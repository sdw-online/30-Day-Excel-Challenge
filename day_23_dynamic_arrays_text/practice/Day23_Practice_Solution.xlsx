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23_dynamic_arrays_text\practice\"/>
    </mc:Choice>
  </mc:AlternateContent>
  <xr:revisionPtr revIDLastSave="0" documentId="13_ncr:1_{D7996326-4674-43EE-8E6E-16224AB868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shelter_data" sheetId="2" r:id="rId2"/>
    <sheet name="Task1 - Unique Types" sheetId="3" r:id="rId3"/>
    <sheet name="Task2 - Top10 Expensive" sheetId="4" r:id="rId4"/>
    <sheet name="Task3 - Toronto CreditCard" sheetId="5" r:id="rId5"/>
    <sheet name="Task4 - 15 MostRecent" sheetId="6" r:id="rId6"/>
    <sheet name="Task5 - Type&amp;Fee" sheetId="7" r:id="rId7"/>
    <sheet name="Task6 - Bonu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" i="8" l="1" a="1"/>
  <c r="AE6" i="8" a="1"/>
  <c r="K6" i="8" a="1"/>
  <c r="A6" i="8" a="1"/>
  <c r="A6" i="7" a="1"/>
  <c r="A6" i="6" a="1"/>
  <c r="A6" i="5" a="1"/>
  <c r="A6" i="4" a="1"/>
  <c r="A6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<sst xmlns="http://schemas.openxmlformats.org/spreadsheetml/2006/main" count="2124" uniqueCount="470">
  <si>
    <t>Day 23 Solution - Dynamic Array Functions (FILTER / SORT / UNIQUE / TAKE / DROP / CHOOSECOLS / CHOOSEROWS)</t>
  </si>
  <si>
    <t>Task 1: List all unique animal types that were adopted</t>
  </si>
  <si>
    <t>Formula:</t>
  </si>
  <si>
    <t>UNIQUE(shelter_data!B2:B401)   (sheet: Task1 - Unique Types)</t>
  </si>
  <si>
    <t>Answer:</t>
  </si>
  <si>
    <t>5 unique types: Bird, Guinea Pig, Rabbit, Cat, Dog</t>
  </si>
  <si>
    <t>Task 2: Show the top 10 most expensive adoptions</t>
  </si>
  <si>
    <t>TAKE(SORT(shelter_data!A2:H401,5,-1),10)   (sheet: Task2 - Top10 Expensive)</t>
  </si>
  <si>
    <t>All 10 rows share the maximum Adoption Fee ($200 - held by 81 of 400 records).</t>
  </si>
  <si>
    <t>IDs returned (original row order kept among ties): A0001, A0007, A0011, A0013, A0015, A0016, A0017, A0020, A0030, A0038</t>
  </si>
  <si>
    <t>Task 3: Filter for adoptions made in 'Toronto' using Credit Card</t>
  </si>
  <si>
    <t>FILTER(shelter_data!A2:H401,(shelter_data!G2:G401="Toronto")*(shelter_data!H2:H401="Credit Card"))   (sheet: Task3 - Toronto CreditCard)</t>
  </si>
  <si>
    <t>14 matching records. IDs: A0007, A0016, A0017, A0019, A0021, A0050, A0059, A0135, A0168, A0200, A0231, A0285, A0307, A0353</t>
  </si>
  <si>
    <t>Task 4: Return the 15 most recent adoptions</t>
  </si>
  <si>
    <t>TAKE(SORT(shelter_data!A2:H401,6,-1),15)   (sheet: Task4 - 15 MostRecent)</t>
  </si>
  <si>
    <t>Most recent date: 2024-06-27  |  15th most recent date: 2024-06-09</t>
  </si>
  <si>
    <t>IDs returned: A0204, A0040, A0156, A0173, A0140, A0400, A0047, A0259, A0182, A0086, A0283, A0297, A0166, A0184, A0303</t>
  </si>
  <si>
    <t>Task 5: Extract only 'Animal Type' and 'Adoption Fee' columns</t>
  </si>
  <si>
    <t>CHOOSECOLS(shelter_data!A2:H401,2,5)   (sheet: Task5 - Type&amp;Fee)</t>
  </si>
  <si>
    <t>Spills 400 rows x 2 columns (Animal Type, Adoption Fee).</t>
  </si>
  <si>
    <t>Task 6 (Bonus): TAKE / DROP / CHOOSECOLS / CHOOSEROWS insights (sheet: Task6 - Bonus)</t>
  </si>
  <si>
    <t>Four demos, each in its own far-apart column region (cols A, K, AE, AY) so spills never overlap</t>
  </si>
  <si>
    <t>TAKE(SORT(...),5) -&gt; top 5 most expensive adoptions, IDs: A0001, A0007, A0011, A0013, A0015</t>
  </si>
  <si>
    <t>DROP(range,0,1) -&gt; full dataset minus Adoption ID (400 rows x 7 cols).</t>
  </si>
  <si>
    <t>CHOOSECOLS(range,3,7) -&gt; Breed and City columns only, for regional breed trends.</t>
  </si>
  <si>
    <t>CHOOSEROWS(range,1,200,400) -&gt; first/middle/last snapshot, IDs: A0001, A0200, A0400</t>
  </si>
  <si>
    <t>Adoption ID</t>
  </si>
  <si>
    <t>Animal Type</t>
  </si>
  <si>
    <t>Breed</t>
  </si>
  <si>
    <t>Age (Years)</t>
  </si>
  <si>
    <t>Adoption Fee</t>
  </si>
  <si>
    <t>Adoption Date</t>
  </si>
  <si>
    <t>City</t>
  </si>
  <si>
    <t>Payment Method</t>
  </si>
  <si>
    <t>A0001</t>
  </si>
  <si>
    <t>Bird</t>
  </si>
  <si>
    <t>Holland Lop</t>
  </si>
  <si>
    <t>Toronto</t>
  </si>
  <si>
    <t>Online Transfer</t>
  </si>
  <si>
    <t>A0002</t>
  </si>
  <si>
    <t>Guinea Pig</t>
  </si>
  <si>
    <t>American</t>
  </si>
  <si>
    <t>Ottawa</t>
  </si>
  <si>
    <t>A0003</t>
  </si>
  <si>
    <t>Rabbit</t>
  </si>
  <si>
    <t>Persian</t>
  </si>
  <si>
    <t>Calgary</t>
  </si>
  <si>
    <t>A0004</t>
  </si>
  <si>
    <t>Labrador</t>
  </si>
  <si>
    <t>Debit</t>
  </si>
  <si>
    <t>A0005</t>
  </si>
  <si>
    <t>A0006</t>
  </si>
  <si>
    <t>Cat</t>
  </si>
  <si>
    <t>Cash</t>
  </si>
  <si>
    <t>A0007</t>
  </si>
  <si>
    <t>Cockatiel</t>
  </si>
  <si>
    <t>Credit Card</t>
  </si>
  <si>
    <t>A0008</t>
  </si>
  <si>
    <t>A0009</t>
  </si>
  <si>
    <t>Bulldog</t>
  </si>
  <si>
    <t>Montreal</t>
  </si>
  <si>
    <t>A0010</t>
  </si>
  <si>
    <t>A0011</t>
  </si>
  <si>
    <t>A0012</t>
  </si>
  <si>
    <t>Vancouver</t>
  </si>
  <si>
    <t>A0013</t>
  </si>
  <si>
    <t>A0014</t>
  </si>
  <si>
    <t>A0015</t>
  </si>
  <si>
    <t>A0016</t>
  </si>
  <si>
    <t>A0017</t>
  </si>
  <si>
    <t>Siamese</t>
  </si>
  <si>
    <t>A0018</t>
  </si>
  <si>
    <t>A0019</t>
  </si>
  <si>
    <t>Dog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</si>
  <si>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</si>
  <si>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</si>
  <si>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</si>
  <si>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</si>
  <si>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</si>
  <si>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</si>
  <si>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</si>
  <si>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</si>
  <si>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</si>
  <si>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</si>
  <si>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</si>
  <si>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</si>
  <si>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</si>
  <si>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</si>
  <si>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</si>
  <si>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</si>
  <si>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</si>
  <si>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</si>
  <si>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</si>
  <si>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</si>
  <si>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</si>
  <si>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</si>
  <si>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</si>
  <si>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</si>
  <si>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</si>
  <si>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</si>
  <si>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</si>
  <si>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</si>
  <si>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</si>
  <si>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</si>
  <si>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</si>
  <si>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</si>
  <si>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</si>
  <si>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</si>
  <si>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</si>
  <si>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</si>
  <si>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</si>
  <si>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</si>
  <si>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</si>
  <si>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</si>
  <si>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</si>
  <si>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</si>
  <si>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</si>
  <si>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</si>
  <si>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</si>
  <si>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</si>
  <si>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</si>
  <si>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</si>
  <si>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</si>
  <si>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</si>
  <si>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</si>
  <si>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</si>
  <si>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</si>
  <si>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</si>
  <si>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</si>
  <si>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</si>
  <si>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</si>
  <si>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</si>
  <si>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</si>
  <si>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</si>
  <si>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</si>
  <si>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</si>
  <si>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</si>
  <si>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</si>
  <si>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</si>
  <si>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</si>
  <si>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</si>
  <si>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</si>
  <si>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</si>
  <si>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</si>
  <si>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</si>
  <si>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</si>
  <si>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</si>
  <si>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</si>
  <si>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</si>
  <si>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</si>
  <si>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</si>
  <si>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</si>
  <si>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</si>
  <si>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</si>
  <si>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</si>
  <si>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</si>
  <si>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</si>
  <si>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</si>
  <si>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</si>
  <si>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</si>
  <si>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</si>
  <si>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</si>
  <si>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</si>
  <si>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</si>
  <si>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</si>
  <si>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</si>
  <si>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</si>
  <si>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</si>
  <si>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</si>
  <si>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</si>
  <si>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</si>
  <si>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</si>
  <si>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</si>
  <si>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</si>
  <si>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</si>
  <si>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</si>
  <si>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</si>
  <si>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</si>
  <si>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</si>
  <si>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</si>
  <si>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</si>
  <si>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</si>
  <si>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</si>
  <si>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</si>
  <si>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</si>
  <si>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</si>
  <si>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</si>
  <si>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</si>
  <si>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</si>
  <si>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</si>
  <si>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</si>
  <si>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</si>
  <si>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</si>
  <si>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</si>
  <si>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</si>
  <si>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</si>
  <si>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</si>
  <si>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</si>
  <si>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</si>
  <si>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</si>
  <si>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</si>
  <si>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</si>
  <si>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</si>
  <si>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</si>
  <si>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</si>
  <si>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</si>
  <si>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</si>
  <si>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</si>
  <si>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</si>
  <si>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</si>
  <si>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</si>
  <si>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</si>
  <si>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</si>
  <si>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</si>
  <si>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</si>
  <si>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</si>
  <si>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</si>
  <si>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</si>
  <si>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</si>
  <si>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</si>
  <si>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</si>
  <si>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</si>
  <si>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</si>
  <si>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</si>
  <si>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</si>
  <si>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</si>
  <si>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</si>
  <si>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</si>
  <si>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</si>
  <si>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</si>
  <si>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</si>
  <si>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</si>
  <si>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</si>
  <si>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</si>
  <si>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</si>
  <si>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</si>
  <si>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</si>
  <si>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</si>
  <si>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</si>
  <si>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</si>
  <si>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</si>
  <si>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</si>
  <si>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</si>
  <si>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</si>
  <si>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</si>
  <si>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</si>
  <si>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</si>
  <si>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</si>
  <si>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</si>
  <si>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</si>
  <si>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</si>
  <si>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</si>
  <si>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</si>
  <si>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</si>
  <si>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</si>
  <si>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</si>
  <si>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</si>
  <si>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</si>
  <si>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</si>
  <si>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</si>
  <si>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</si>
  <si>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</si>
  <si>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</si>
  <si>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</si>
  <si>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</si>
  <si>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</si>
  <si>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</si>
  <si>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</si>
  <si>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</si>
  <si>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</si>
  <si>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</si>
  <si>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</si>
  <si>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</si>
  <si>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</si>
  <si>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</si>
  <si>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</si>
  <si>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</si>
  <si>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</si>
  <si>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</si>
  <si>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</si>
  <si>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</si>
  <si>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</si>
  <si>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</si>
  <si>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</si>
  <si>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</si>
  <si>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</si>
  <si>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</si>
  <si>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</si>
  <si>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</si>
  <si>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</si>
  <si>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</si>
  <si>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</si>
  <si>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</si>
  <si>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</si>
  <si>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</si>
  <si>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</si>
  <si>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</si>
  <si>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</si>
  <si>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</si>
  <si>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</si>
  <si>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</si>
  <si>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</si>
  <si>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</si>
  <si>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</si>
  <si>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</si>
  <si>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</si>
  <si>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</si>
  <si>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</si>
  <si>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</si>
  <si>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</si>
  <si>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</si>
  <si>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</si>
  <si>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</si>
  <si>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</si>
  <si>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</si>
  <si>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</si>
  <si>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</si>
  <si>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</si>
  <si>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</si>
  <si>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</si>
  <si>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</si>
  <si>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</si>
  <si>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</si>
  <si>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</si>
  <si>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</si>
  <si>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</si>
  <si>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</si>
  <si>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</si>
  <si>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</si>
  <si>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</si>
  <si>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</si>
  <si>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</si>
  <si>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</si>
  <si>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</si>
  <si>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</si>
  <si>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</si>
  <si>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</si>
  <si>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</si>
  <si>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</si>
  <si>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</si>
  <si>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</si>
  <si>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</si>
  <si>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</si>
  <si>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</si>
  <si>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</si>
  <si>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</si>
  <si>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</si>
  <si>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</si>
  <si>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</si>
  <si>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</si>
  <si>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</si>
  <si>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</si>
  <si>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</si>
  <si>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</si>
  <si>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</si>
  <si>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</si>
  <si>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</si>
  <si>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</si>
  <si>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</si>
  <si>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</si>
  <si>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</si>
  <si>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</si>
  <si>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</si>
  <si>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</si>
  <si>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</si>
  <si>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</si>
  <si>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</si>
  <si>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</si>
  <si>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</si>
  <si>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</si>
  <si>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</si>
  <si>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</si>
  <si>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</si>
  <si>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</si>
  <si>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</si>
  <si>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</si>
  <si>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</si>
  <si>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</si>
  <si>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</si>
  <si>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</si>
  <si>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</si>
  <si>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</si>
  <si>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</si>
  <si>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</si>
  <si>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</si>
  <si>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</si>
  <si>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</si>
  <si>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</si>
  <si>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</si>
  <si>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</si>
  <si>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</si>
  <si>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</si>
  <si>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</si>
  <si>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</si>
  <si>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</si>
  <si>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</si>
  <si>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</si>
  <si>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</si>
  <si>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</si>
  <si>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</si>
  <si>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</si>
  <si>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</si>
  <si>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</si>
  <si>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</si>
  <si>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</si>
  <si>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</si>
  <si>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</si>
  <si>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</si>
  <si>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</si>
  <si>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</si>
  <si>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</si>
  <si>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</si>
  <si>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</si>
  <si>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</si>
  <si>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</si>
  <si>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</si>
  <si>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</si>
  <si>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</si>
  <si>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</si>
  <si>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</si>
  <si>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</si>
  <si>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</si>
  <si>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</si>
  <si>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</si>
  <si>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</si>
  <si>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</si>
  <si>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</si>
  <si>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</si>
  <si>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</si>
  <si>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</si>
  <si>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</si>
  <si>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</si>
  <si>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</si>
  <si>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</si>
  <si>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</si>
  <si>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</si>
  <si>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</si>
  <si>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</si>
  <si>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</si>
  <si>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</si>
  <si>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</si>
  <si>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</si>
  <si>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</si>
  <si>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</si>
  <si>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</si>
  <si>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</si>
  <si>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</si>
  <si>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</si>
  <si>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</si>
  <si>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</si>
  <si>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</si>
  <si>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</si>
  <si>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</si>
  <si>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</si>
  <si>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</si>
  <si>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Formula used:</t>
  </si>
  <si>
    <t>UNIQUE(shelter_data!B2:B401)</t>
  </si>
  <si>
    <t>TAKE(SORT(shelter_data!A2:H401,5,-1),10)</t>
  </si>
  <si>
    <t>FILTER(shelter_data!A2:H401,(shelter_data!G2:G401="Toronto")*(shelter_data!H2:H401="Credit Card"))</t>
  </si>
  <si>
    <t>TAKE(SORT(shelter_data!A2:H401,6,-1),15)</t>
  </si>
  <si>
    <t>CHOOSECOLS(shelter_data!A2:H401,2,5)</t>
  </si>
  <si>
    <t>Task 6 (Bonus): TAKE, DROP, CHOOSECOLS, CHOOSEROWS insights</t>
  </si>
  <si>
    <t>TAKE - top 5 most expensive adoptions</t>
  </si>
  <si>
    <t>DROP - full dataset without the Adoption ID column</t>
  </si>
  <si>
    <t>CHOOSECOLS - Breed and City only</t>
  </si>
  <si>
    <t>CHOOSEROWS - first, middle and last record (a quick data snapshot)</t>
  </si>
  <si>
    <t>TAKE(SORT(shelter_data!A2:H401,5,-1),5)</t>
  </si>
  <si>
    <t>DROP(shelter_data!A2:H401,0,1)</t>
  </si>
  <si>
    <t>CHOOSECOLS(shelter_data!A2:H401,3,7)</t>
  </si>
  <si>
    <t>CHOOSEROWS(shelter_data!A2:H401,1,200,400)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</si>
</sst>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i/>
      <sz val="11"/>
      <color rgb="FF404040"/>
      <name val="Calibri"/>
    </font>
    <font>
      <sz val="11"/>
      <color rgb="FF1F4E78"/>
      <name val="Consolas"/>
    </font>
    <font>
      <b/>
      <sz val="12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F1"/>
    </sheetView>
  </sheetViews>
  <sheetFormatPr defaultRowHeight="14.25" x14ac:dyDescent="0.45"/>
  <cols>
    <col min="1" max="1" width="14" customWidth="1"/>
    <col min="2" max="2" width="95" customWidth="1"/>
  </cols>
  <sheetData>
    <row r="1" spans="1:6" ht="18" x14ac:dyDescent="0.55000000000000004">
      <c r="A1" s="9" t="s">
        <v>0</v>
      </c>
      <c r="B1" s="10"/>
      <c r="C1" s="10"/>
      <c r="D1" s="10"/>
      <c r="E1" s="10"/>
      <c r="F1" s="10"/>
    </row>
    <row r="3" spans="1:6" ht="15.75" x14ac:dyDescent="0.5">
      <c r="A3" s="2" t="s">
        <v>1</v>
      </c>
    </row>
    <row r="4" spans="1:6" x14ac:dyDescent="0.45">
      <c r="A4" s="3" t="s">
        <v>2</v>
      </c>
      <c r="B4" s="4" t="s">
        <v>3</v>
      </c>
    </row>
    <row r="5" spans="1:6" x14ac:dyDescent="0.45">
      <c r="A5" s="3" t="s">
        <v>4</v>
      </c>
      <c r="B5" t="s">
        <v>5</v>
      </c>
    </row>
    <row r="7" spans="1:6" ht="15.75" x14ac:dyDescent="0.5">
      <c r="A7" s="2" t="s">
        <v>6</v>
      </c>
    </row>
    <row r="8" spans="1:6" x14ac:dyDescent="0.45">
      <c r="A8" s="3" t="s">
        <v>2</v>
      </c>
      <c r="B8" s="4" t="s">
        <v>7</v>
      </c>
    </row>
    <row r="9" spans="1:6" x14ac:dyDescent="0.45">
      <c r="A9" s="3" t="s">
        <v>4</v>
      </c>
      <c r="B9" t="s">
        <v>8</v>
      </c>
    </row>
    <row r="10" spans="1:6" x14ac:dyDescent="0.45">
      <c r="B10" t="s">
        <v>9</v>
      </c>
    </row>
    <row r="12" spans="1:6" ht="15.75" x14ac:dyDescent="0.5">
      <c r="A12" s="2" t="s">
        <v>10</v>
      </c>
    </row>
    <row r="13" spans="1:6" x14ac:dyDescent="0.45">
      <c r="A13" s="3" t="s">
        <v>2</v>
      </c>
      <c r="B13" s="4" t="s">
        <v>11</v>
      </c>
    </row>
    <row r="14" spans="1:6" x14ac:dyDescent="0.45">
      <c r="A14" s="3" t="s">
        <v>4</v>
      </c>
      <c r="B14" t="s">
        <v>12</v>
      </c>
    </row>
    <row r="16" spans="1:6" ht="15.75" x14ac:dyDescent="0.5">
      <c r="A16" s="2" t="s">
        <v>13</v>
      </c>
    </row>
    <row r="17" spans="1:2" x14ac:dyDescent="0.45">
      <c r="A17" s="3" t="s">
        <v>2</v>
      </c>
      <c r="B17" s="4" t="s">
        <v>14</v>
      </c>
    </row>
    <row r="18" spans="1:2" x14ac:dyDescent="0.45">
      <c r="A18" s="3" t="s">
        <v>4</v>
      </c>
      <c r="B18" t="s">
        <v>15</v>
      </c>
    </row>
    <row r="19" spans="1:2" x14ac:dyDescent="0.45">
      <c r="B19" t="s">
        <v>16</v>
      </c>
    </row>
    <row r="21" spans="1:2" ht="15.75" x14ac:dyDescent="0.5">
      <c r="A21" s="2" t="s">
        <v>17</v>
      </c>
    </row>
    <row r="22" spans="1:2" x14ac:dyDescent="0.45">
      <c r="A22" s="3" t="s">
        <v>2</v>
      </c>
      <c r="B22" s="4" t="s">
        <v>18</v>
      </c>
    </row>
    <row r="23" spans="1:2" x14ac:dyDescent="0.45">
      <c r="A23" s="3" t="s">
        <v>4</v>
      </c>
      <c r="B23" t="s">
        <v>19</v>
      </c>
    </row>
    <row r="25" spans="1:2" ht="15.75" x14ac:dyDescent="0.5">
      <c r="A25" s="2" t="s">
        <v>20</v>
      </c>
    </row>
    <row r="26" spans="1:2" x14ac:dyDescent="0.45">
      <c r="A26" s="3" t="s">
        <v>2</v>
      </c>
      <c r="B26" s="4" t="s">
        <v>21</v>
      </c>
    </row>
    <row r="27" spans="1:2" x14ac:dyDescent="0.45">
      <c r="A27" s="3" t="s">
        <v>4</v>
      </c>
      <c r="B27" t="s">
        <v>22</v>
      </c>
    </row>
    <row r="28" spans="1:2" x14ac:dyDescent="0.45">
      <c r="B28" t="s">
        <v>23</v>
      </c>
    </row>
    <row r="29" spans="1:2" x14ac:dyDescent="0.45">
      <c r="B29" t="s">
        <v>24</v>
      </c>
    </row>
    <row r="30" spans="1:2" x14ac:dyDescent="0.45">
      <c r="B30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x14ac:dyDescent="0.4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1:8" x14ac:dyDescent="0.45">
      <c r="A2" t="s">
        <v>34</v>
      </c>
      <c r="B2" t="s">
        <v>35</v>
      </c>
      <c r="C2" t="s">
        <v>36</v>
      </c>
      <c r="D2">
        <v>13</v>
      </c>
      <c r="E2" s="6">
        <v>200</v>
      </c>
      <c r="F2" s="7">
        <v>44987</v>
      </c>
      <c r="G2" t="s">
        <v>37</v>
      </c>
      <c r="H2" t="s">
        <v>38</v>
      </c>
    </row>
    <row r="3" spans="1:8" x14ac:dyDescent="0.45">
      <c r="A3" t="s">
        <v>39</v>
      </c>
      <c r="B3" t="s">
        <v>40</v>
      </c>
      <c r="C3" t="s">
        <v>41</v>
      </c>
      <c r="D3">
        <v>10</v>
      </c>
      <c r="E3" s="6">
        <v>100</v>
      </c>
      <c r="F3" s="7">
        <v>45306</v>
      </c>
      <c r="G3" t="s">
        <v>42</v>
      </c>
      <c r="H3" t="s">
        <v>38</v>
      </c>
    </row>
    <row r="4" spans="1:8" x14ac:dyDescent="0.45">
      <c r="A4" t="s">
        <v>43</v>
      </c>
      <c r="B4" t="s">
        <v>44</v>
      </c>
      <c r="C4" t="s">
        <v>45</v>
      </c>
      <c r="D4">
        <v>8</v>
      </c>
      <c r="E4" s="6">
        <v>50</v>
      </c>
      <c r="F4" s="7">
        <v>45366</v>
      </c>
      <c r="G4" t="s">
        <v>46</v>
      </c>
      <c r="H4" t="s">
        <v>38</v>
      </c>
    </row>
    <row r="5" spans="1:8" x14ac:dyDescent="0.45">
      <c r="A5" t="s">
        <v>47</v>
      </c>
      <c r="B5" t="s">
        <v>40</v>
      </c>
      <c r="C5" t="s">
        <v>48</v>
      </c>
      <c r="D5">
        <v>0</v>
      </c>
      <c r="E5" s="6">
        <v>150</v>
      </c>
      <c r="F5" s="7">
        <v>45245</v>
      </c>
      <c r="G5" t="s">
        <v>37</v>
      </c>
      <c r="H5" t="s">
        <v>49</v>
      </c>
    </row>
    <row r="6" spans="1:8" x14ac:dyDescent="0.45">
      <c r="A6" t="s">
        <v>50</v>
      </c>
      <c r="B6" t="s">
        <v>40</v>
      </c>
      <c r="C6" t="s">
        <v>41</v>
      </c>
      <c r="D6">
        <v>14</v>
      </c>
      <c r="E6" s="6">
        <v>75</v>
      </c>
      <c r="F6" s="7">
        <v>45228</v>
      </c>
      <c r="G6" t="s">
        <v>42</v>
      </c>
      <c r="H6" t="s">
        <v>38</v>
      </c>
    </row>
    <row r="7" spans="1:8" x14ac:dyDescent="0.45">
      <c r="A7" t="s">
        <v>51</v>
      </c>
      <c r="B7" t="s">
        <v>52</v>
      </c>
      <c r="C7" t="s">
        <v>45</v>
      </c>
      <c r="D7">
        <v>14</v>
      </c>
      <c r="E7" s="6">
        <v>75</v>
      </c>
      <c r="F7" s="7">
        <v>45270</v>
      </c>
      <c r="G7" t="s">
        <v>37</v>
      </c>
      <c r="H7" t="s">
        <v>53</v>
      </c>
    </row>
    <row r="8" spans="1:8" x14ac:dyDescent="0.45">
      <c r="A8" t="s">
        <v>54</v>
      </c>
      <c r="B8" t="s">
        <v>44</v>
      </c>
      <c r="C8" t="s">
        <v>55</v>
      </c>
      <c r="D8">
        <v>6</v>
      </c>
      <c r="E8" s="6">
        <v>200</v>
      </c>
      <c r="F8" s="7">
        <v>44937</v>
      </c>
      <c r="G8" t="s">
        <v>37</v>
      </c>
      <c r="H8" t="s">
        <v>56</v>
      </c>
    </row>
    <row r="9" spans="1:8" x14ac:dyDescent="0.45">
      <c r="A9" t="s">
        <v>57</v>
      </c>
      <c r="B9" t="s">
        <v>44</v>
      </c>
      <c r="C9" t="s">
        <v>41</v>
      </c>
      <c r="D9">
        <v>14</v>
      </c>
      <c r="E9" s="6">
        <v>100</v>
      </c>
      <c r="F9" s="7">
        <v>44988</v>
      </c>
      <c r="G9" t="s">
        <v>46</v>
      </c>
      <c r="H9" t="s">
        <v>56</v>
      </c>
    </row>
    <row r="10" spans="1:8" x14ac:dyDescent="0.45">
      <c r="A10" t="s">
        <v>58</v>
      </c>
      <c r="B10" t="s">
        <v>44</v>
      </c>
      <c r="C10" t="s">
        <v>59</v>
      </c>
      <c r="D10">
        <v>4</v>
      </c>
      <c r="E10" s="6">
        <v>75</v>
      </c>
      <c r="F10" s="7">
        <v>45152</v>
      </c>
      <c r="G10" t="s">
        <v>60</v>
      </c>
      <c r="H10" t="s">
        <v>38</v>
      </c>
    </row>
    <row r="11" spans="1:8" x14ac:dyDescent="0.45">
      <c r="A11" t="s">
        <v>61</v>
      </c>
      <c r="B11" t="s">
        <v>40</v>
      </c>
      <c r="C11" t="s">
        <v>48</v>
      </c>
      <c r="D11">
        <v>4</v>
      </c>
      <c r="E11" s="6">
        <v>50</v>
      </c>
      <c r="F11" s="7">
        <v>45079</v>
      </c>
      <c r="G11" t="s">
        <v>60</v>
      </c>
      <c r="H11" t="s">
        <v>56</v>
      </c>
    </row>
    <row r="12" spans="1:8" x14ac:dyDescent="0.45">
      <c r="A12" t="s">
        <v>62</v>
      </c>
      <c r="B12" t="s">
        <v>35</v>
      </c>
      <c r="C12" t="s">
        <v>45</v>
      </c>
      <c r="D12">
        <v>13</v>
      </c>
      <c r="E12" s="6">
        <v>200</v>
      </c>
      <c r="F12" s="7">
        <v>45236</v>
      </c>
      <c r="G12" t="s">
        <v>37</v>
      </c>
      <c r="H12" t="s">
        <v>49</v>
      </c>
    </row>
    <row r="13" spans="1:8" x14ac:dyDescent="0.45">
      <c r="A13" t="s">
        <v>63</v>
      </c>
      <c r="B13" t="s">
        <v>44</v>
      </c>
      <c r="C13" t="s">
        <v>45</v>
      </c>
      <c r="D13">
        <v>1</v>
      </c>
      <c r="E13" s="6">
        <v>150</v>
      </c>
      <c r="F13" s="7">
        <v>45169</v>
      </c>
      <c r="G13" t="s">
        <v>64</v>
      </c>
      <c r="H13" t="s">
        <v>49</v>
      </c>
    </row>
    <row r="14" spans="1:8" x14ac:dyDescent="0.45">
      <c r="A14" t="s">
        <v>65</v>
      </c>
      <c r="B14" t="s">
        <v>40</v>
      </c>
      <c r="C14" t="s">
        <v>45</v>
      </c>
      <c r="D14">
        <v>10</v>
      </c>
      <c r="E14" s="6">
        <v>200</v>
      </c>
      <c r="F14" s="7">
        <v>45419</v>
      </c>
      <c r="G14" t="s">
        <v>42</v>
      </c>
      <c r="H14" t="s">
        <v>56</v>
      </c>
    </row>
    <row r="15" spans="1:8" x14ac:dyDescent="0.45">
      <c r="A15" t="s">
        <v>66</v>
      </c>
      <c r="B15" t="s">
        <v>52</v>
      </c>
      <c r="C15" t="s">
        <v>55</v>
      </c>
      <c r="D15">
        <v>2</v>
      </c>
      <c r="E15" s="6">
        <v>150</v>
      </c>
      <c r="F15" s="7">
        <v>45292</v>
      </c>
      <c r="G15" t="s">
        <v>64</v>
      </c>
      <c r="H15" t="s">
        <v>49</v>
      </c>
    </row>
    <row r="16" spans="1:8" x14ac:dyDescent="0.45">
      <c r="A16" t="s">
        <v>67</v>
      </c>
      <c r="B16" t="s">
        <v>35</v>
      </c>
      <c r="C16" t="s">
        <v>41</v>
      </c>
      <c r="D16">
        <v>6</v>
      </c>
      <c r="E16" s="6">
        <v>200</v>
      </c>
      <c r="F16" s="7">
        <v>45256</v>
      </c>
      <c r="G16" t="s">
        <v>64</v>
      </c>
      <c r="H16" t="s">
        <v>56</v>
      </c>
    </row>
    <row r="17" spans="1:8" x14ac:dyDescent="0.45">
      <c r="A17" t="s">
        <v>68</v>
      </c>
      <c r="B17" t="s">
        <v>52</v>
      </c>
      <c r="C17" t="s">
        <v>55</v>
      </c>
      <c r="D17">
        <v>5</v>
      </c>
      <c r="E17" s="6">
        <v>200</v>
      </c>
      <c r="F17" s="7">
        <v>45033</v>
      </c>
      <c r="G17" t="s">
        <v>37</v>
      </c>
      <c r="H17" t="s">
        <v>56</v>
      </c>
    </row>
    <row r="18" spans="1:8" x14ac:dyDescent="0.45">
      <c r="A18" t="s">
        <v>69</v>
      </c>
      <c r="B18" t="s">
        <v>35</v>
      </c>
      <c r="C18" t="s">
        <v>70</v>
      </c>
      <c r="D18">
        <v>11</v>
      </c>
      <c r="E18" s="6">
        <v>200</v>
      </c>
      <c r="F18" s="7">
        <v>45152</v>
      </c>
      <c r="G18" t="s">
        <v>37</v>
      </c>
      <c r="H18" t="s">
        <v>56</v>
      </c>
    </row>
    <row r="19" spans="1:8" x14ac:dyDescent="0.45">
      <c r="A19" t="s">
        <v>71</v>
      </c>
      <c r="B19" t="s">
        <v>40</v>
      </c>
      <c r="C19" t="s">
        <v>70</v>
      </c>
      <c r="D19">
        <v>1</v>
      </c>
      <c r="E19" s="6">
        <v>150</v>
      </c>
      <c r="F19" s="7">
        <v>45144</v>
      </c>
      <c r="G19" t="s">
        <v>37</v>
      </c>
      <c r="H19" t="s">
        <v>38</v>
      </c>
    </row>
    <row r="20" spans="1:8" x14ac:dyDescent="0.45">
      <c r="A20" t="s">
        <v>72</v>
      </c>
      <c r="B20" t="s">
        <v>73</v>
      </c>
      <c r="C20" t="s">
        <v>41</v>
      </c>
      <c r="D20">
        <v>5</v>
      </c>
      <c r="E20" s="6">
        <v>150</v>
      </c>
      <c r="F20" s="7">
        <v>45432</v>
      </c>
      <c r="G20" t="s">
        <v>37</v>
      </c>
      <c r="H20" t="s">
        <v>56</v>
      </c>
    </row>
    <row r="21" spans="1:8" x14ac:dyDescent="0.45">
      <c r="A21" t="s">
        <v>74</v>
      </c>
      <c r="B21" t="s">
        <v>35</v>
      </c>
      <c r="C21" t="s">
        <v>59</v>
      </c>
      <c r="D21">
        <v>1</v>
      </c>
      <c r="E21" s="6">
        <v>200</v>
      </c>
      <c r="F21" s="7">
        <v>45185</v>
      </c>
      <c r="G21" t="s">
        <v>60</v>
      </c>
      <c r="H21" t="s">
        <v>38</v>
      </c>
    </row>
    <row r="22" spans="1:8" x14ac:dyDescent="0.45">
      <c r="A22" t="s">
        <v>75</v>
      </c>
      <c r="B22" t="s">
        <v>52</v>
      </c>
      <c r="C22" t="s">
        <v>55</v>
      </c>
      <c r="D22">
        <v>1</v>
      </c>
      <c r="E22" s="6">
        <v>75</v>
      </c>
      <c r="F22" s="7">
        <v>45443</v>
      </c>
      <c r="G22" t="s">
        <v>37</v>
      </c>
      <c r="H22" t="s">
        <v>56</v>
      </c>
    </row>
    <row r="23" spans="1:8" x14ac:dyDescent="0.45">
      <c r="A23" t="s">
        <v>76</v>
      </c>
      <c r="B23" t="s">
        <v>40</v>
      </c>
      <c r="C23" t="s">
        <v>48</v>
      </c>
      <c r="D23">
        <v>1</v>
      </c>
      <c r="E23" s="6">
        <v>100</v>
      </c>
      <c r="F23" s="7">
        <v>44980</v>
      </c>
      <c r="G23" t="s">
        <v>60</v>
      </c>
      <c r="H23" t="s">
        <v>56</v>
      </c>
    </row>
    <row r="24" spans="1:8" x14ac:dyDescent="0.45">
      <c r="A24" t="s">
        <v>77</v>
      </c>
      <c r="B24" t="s">
        <v>35</v>
      </c>
      <c r="C24" t="s">
        <v>45</v>
      </c>
      <c r="D24">
        <v>13</v>
      </c>
      <c r="E24" s="6">
        <v>100</v>
      </c>
      <c r="F24" s="7">
        <v>44973</v>
      </c>
      <c r="G24" t="s">
        <v>60</v>
      </c>
      <c r="H24" t="s">
        <v>56</v>
      </c>
    </row>
    <row r="25" spans="1:8" x14ac:dyDescent="0.45">
      <c r="A25" t="s">
        <v>78</v>
      </c>
      <c r="B25" t="s">
        <v>73</v>
      </c>
      <c r="C25" t="s">
        <v>45</v>
      </c>
      <c r="D25">
        <v>14</v>
      </c>
      <c r="E25" s="6">
        <v>100</v>
      </c>
      <c r="F25" s="7">
        <v>45447</v>
      </c>
      <c r="G25" t="s">
        <v>37</v>
      </c>
      <c r="H25" t="s">
        <v>49</v>
      </c>
    </row>
    <row r="26" spans="1:8" x14ac:dyDescent="0.45">
      <c r="A26" t="s">
        <v>79</v>
      </c>
      <c r="B26" t="s">
        <v>73</v>
      </c>
      <c r="C26" t="s">
        <v>41</v>
      </c>
      <c r="D26">
        <v>10</v>
      </c>
      <c r="E26" s="6">
        <v>150</v>
      </c>
      <c r="F26" s="7">
        <v>45025</v>
      </c>
      <c r="G26" t="s">
        <v>46</v>
      </c>
      <c r="H26" t="s">
        <v>38</v>
      </c>
    </row>
    <row r="27" spans="1:8" x14ac:dyDescent="0.45">
      <c r="A27" t="s">
        <v>80</v>
      </c>
      <c r="B27" t="s">
        <v>44</v>
      </c>
      <c r="C27" t="s">
        <v>59</v>
      </c>
      <c r="D27">
        <v>2</v>
      </c>
      <c r="E27" s="6">
        <v>150</v>
      </c>
      <c r="F27" s="7">
        <v>44946</v>
      </c>
      <c r="G27" t="s">
        <v>42</v>
      </c>
      <c r="H27" t="s">
        <v>38</v>
      </c>
    </row>
    <row r="28" spans="1:8" x14ac:dyDescent="0.45">
      <c r="A28" t="s">
        <v>81</v>
      </c>
      <c r="B28" t="s">
        <v>44</v>
      </c>
      <c r="C28" t="s">
        <v>70</v>
      </c>
      <c r="D28">
        <v>14</v>
      </c>
      <c r="E28" s="6">
        <v>75</v>
      </c>
      <c r="F28" s="7">
        <v>45416</v>
      </c>
      <c r="G28" t="s">
        <v>64</v>
      </c>
      <c r="H28" t="s">
        <v>56</v>
      </c>
    </row>
    <row r="29" spans="1:8" x14ac:dyDescent="0.45">
      <c r="A29" t="s">
        <v>82</v>
      </c>
      <c r="B29" t="s">
        <v>52</v>
      </c>
      <c r="C29" t="s">
        <v>70</v>
      </c>
      <c r="D29">
        <v>1</v>
      </c>
      <c r="E29" s="6">
        <v>100</v>
      </c>
      <c r="F29" s="7">
        <v>45345</v>
      </c>
      <c r="G29" t="s">
        <v>60</v>
      </c>
      <c r="H29" t="s">
        <v>56</v>
      </c>
    </row>
    <row r="30" spans="1:8" x14ac:dyDescent="0.45">
      <c r="A30" t="s">
        <v>83</v>
      </c>
      <c r="B30" t="s">
        <v>35</v>
      </c>
      <c r="C30" t="s">
        <v>45</v>
      </c>
      <c r="D30">
        <v>3</v>
      </c>
      <c r="E30" s="6">
        <v>100</v>
      </c>
      <c r="F30" s="7">
        <v>44988</v>
      </c>
      <c r="G30" t="s">
        <v>42</v>
      </c>
      <c r="H30" t="s">
        <v>49</v>
      </c>
    </row>
    <row r="31" spans="1:8" x14ac:dyDescent="0.45">
      <c r="A31" t="s">
        <v>84</v>
      </c>
      <c r="B31" t="s">
        <v>35</v>
      </c>
      <c r="C31" t="s">
        <v>41</v>
      </c>
      <c r="D31">
        <v>8</v>
      </c>
      <c r="E31" s="6">
        <v>200</v>
      </c>
      <c r="F31" s="7">
        <v>45071</v>
      </c>
      <c r="G31" t="s">
        <v>46</v>
      </c>
      <c r="H31" t="s">
        <v>49</v>
      </c>
    </row>
    <row r="32" spans="1:8" x14ac:dyDescent="0.45">
      <c r="A32" t="s">
        <v>85</v>
      </c>
      <c r="B32" t="s">
        <v>44</v>
      </c>
      <c r="C32" t="s">
        <v>55</v>
      </c>
      <c r="D32">
        <v>5</v>
      </c>
      <c r="E32" s="6">
        <v>150</v>
      </c>
      <c r="F32" s="7">
        <v>45142</v>
      </c>
      <c r="G32" t="s">
        <v>64</v>
      </c>
      <c r="H32" t="s">
        <v>49</v>
      </c>
    </row>
    <row r="33" spans="1:8" x14ac:dyDescent="0.45">
      <c r="A33" t="s">
        <v>86</v>
      </c>
      <c r="B33" t="s">
        <v>35</v>
      </c>
      <c r="C33" t="s">
        <v>70</v>
      </c>
      <c r="D33">
        <v>0</v>
      </c>
      <c r="E33" s="6">
        <v>100</v>
      </c>
      <c r="F33" s="7">
        <v>44929</v>
      </c>
      <c r="G33" t="s">
        <v>64</v>
      </c>
      <c r="H33" t="s">
        <v>38</v>
      </c>
    </row>
    <row r="34" spans="1:8" x14ac:dyDescent="0.45">
      <c r="A34" t="s">
        <v>87</v>
      </c>
      <c r="B34" t="s">
        <v>35</v>
      </c>
      <c r="C34" t="s">
        <v>55</v>
      </c>
      <c r="D34">
        <v>7</v>
      </c>
      <c r="E34" s="6">
        <v>75</v>
      </c>
      <c r="F34" s="7">
        <v>45086</v>
      </c>
      <c r="G34" t="s">
        <v>60</v>
      </c>
      <c r="H34" t="s">
        <v>38</v>
      </c>
    </row>
    <row r="35" spans="1:8" x14ac:dyDescent="0.45">
      <c r="A35" t="s">
        <v>88</v>
      </c>
      <c r="B35" t="s">
        <v>73</v>
      </c>
      <c r="C35" t="s">
        <v>59</v>
      </c>
      <c r="D35">
        <v>14</v>
      </c>
      <c r="E35" s="6">
        <v>75</v>
      </c>
      <c r="F35" s="7">
        <v>45046</v>
      </c>
      <c r="G35" t="s">
        <v>37</v>
      </c>
      <c r="H35" t="s">
        <v>38</v>
      </c>
    </row>
    <row r="36" spans="1:8" x14ac:dyDescent="0.45">
      <c r="A36" t="s">
        <v>89</v>
      </c>
      <c r="B36" t="s">
        <v>44</v>
      </c>
      <c r="C36" t="s">
        <v>70</v>
      </c>
      <c r="D36">
        <v>11</v>
      </c>
      <c r="E36" s="6">
        <v>100</v>
      </c>
      <c r="F36" s="7">
        <v>45015</v>
      </c>
      <c r="G36" t="s">
        <v>46</v>
      </c>
      <c r="H36" t="s">
        <v>56</v>
      </c>
    </row>
    <row r="37" spans="1:8" x14ac:dyDescent="0.45">
      <c r="A37" t="s">
        <v>90</v>
      </c>
      <c r="B37" t="s">
        <v>40</v>
      </c>
      <c r="C37" t="s">
        <v>70</v>
      </c>
      <c r="D37">
        <v>13</v>
      </c>
      <c r="E37" s="6">
        <v>150</v>
      </c>
      <c r="F37" s="7">
        <v>45255</v>
      </c>
      <c r="G37" t="s">
        <v>60</v>
      </c>
      <c r="H37" t="s">
        <v>38</v>
      </c>
    </row>
    <row r="38" spans="1:8" x14ac:dyDescent="0.45">
      <c r="A38" t="s">
        <v>91</v>
      </c>
      <c r="B38" t="s">
        <v>44</v>
      </c>
      <c r="C38" t="s">
        <v>36</v>
      </c>
      <c r="D38">
        <v>6</v>
      </c>
      <c r="E38" s="6">
        <v>75</v>
      </c>
      <c r="F38" s="7">
        <v>45283</v>
      </c>
      <c r="G38" t="s">
        <v>46</v>
      </c>
      <c r="H38" t="s">
        <v>53</v>
      </c>
    </row>
    <row r="39" spans="1:8" x14ac:dyDescent="0.45">
      <c r="A39" t="s">
        <v>92</v>
      </c>
      <c r="B39" t="s">
        <v>40</v>
      </c>
      <c r="C39" t="s">
        <v>70</v>
      </c>
      <c r="D39">
        <v>9</v>
      </c>
      <c r="E39" s="6">
        <v>200</v>
      </c>
      <c r="F39" s="7">
        <v>45193</v>
      </c>
      <c r="G39" t="s">
        <v>37</v>
      </c>
      <c r="H39" t="s">
        <v>53</v>
      </c>
    </row>
    <row r="40" spans="1:8" x14ac:dyDescent="0.45">
      <c r="A40" t="s">
        <v>93</v>
      </c>
      <c r="B40" t="s">
        <v>73</v>
      </c>
      <c r="C40" t="s">
        <v>48</v>
      </c>
      <c r="D40">
        <v>2</v>
      </c>
      <c r="E40" s="6">
        <v>75</v>
      </c>
      <c r="F40" s="7">
        <v>45249</v>
      </c>
      <c r="G40" t="s">
        <v>37</v>
      </c>
      <c r="H40" t="s">
        <v>49</v>
      </c>
    </row>
    <row r="41" spans="1:8" x14ac:dyDescent="0.45">
      <c r="A41" t="s">
        <v>94</v>
      </c>
      <c r="B41" t="s">
        <v>52</v>
      </c>
      <c r="C41" t="s">
        <v>41</v>
      </c>
      <c r="D41">
        <v>0</v>
      </c>
      <c r="E41" s="6">
        <v>50</v>
      </c>
      <c r="F41" s="7">
        <v>45467</v>
      </c>
      <c r="G41" t="s">
        <v>60</v>
      </c>
      <c r="H41" t="s">
        <v>38</v>
      </c>
    </row>
    <row r="42" spans="1:8" x14ac:dyDescent="0.45">
      <c r="A42" t="s">
        <v>95</v>
      </c>
      <c r="B42" t="s">
        <v>35</v>
      </c>
      <c r="C42" t="s">
        <v>41</v>
      </c>
      <c r="D42">
        <v>4</v>
      </c>
      <c r="E42" s="6">
        <v>50</v>
      </c>
      <c r="F42" s="7">
        <v>45121</v>
      </c>
      <c r="G42" t="s">
        <v>37</v>
      </c>
      <c r="H42" t="s">
        <v>53</v>
      </c>
    </row>
    <row r="43" spans="1:8" x14ac:dyDescent="0.45">
      <c r="A43" t="s">
        <v>96</v>
      </c>
      <c r="B43" t="s">
        <v>73</v>
      </c>
      <c r="C43" t="s">
        <v>55</v>
      </c>
      <c r="D43">
        <v>12</v>
      </c>
      <c r="E43" s="6">
        <v>150</v>
      </c>
      <c r="F43" s="7">
        <v>45258</v>
      </c>
      <c r="G43" t="s">
        <v>42</v>
      </c>
      <c r="H43" t="s">
        <v>49</v>
      </c>
    </row>
    <row r="44" spans="1:8" x14ac:dyDescent="0.45">
      <c r="A44" t="s">
        <v>97</v>
      </c>
      <c r="B44" t="s">
        <v>35</v>
      </c>
      <c r="C44" t="s">
        <v>59</v>
      </c>
      <c r="D44">
        <v>3</v>
      </c>
      <c r="E44" s="6">
        <v>100</v>
      </c>
      <c r="F44" s="7">
        <v>45096</v>
      </c>
      <c r="G44" t="s">
        <v>64</v>
      </c>
      <c r="H44" t="s">
        <v>38</v>
      </c>
    </row>
    <row r="45" spans="1:8" x14ac:dyDescent="0.45">
      <c r="A45" t="s">
        <v>98</v>
      </c>
      <c r="B45" t="s">
        <v>52</v>
      </c>
      <c r="C45" t="s">
        <v>70</v>
      </c>
      <c r="D45">
        <v>9</v>
      </c>
      <c r="E45" s="6">
        <v>150</v>
      </c>
      <c r="F45" s="7">
        <v>45447</v>
      </c>
      <c r="G45" t="s">
        <v>60</v>
      </c>
      <c r="H45" t="s">
        <v>56</v>
      </c>
    </row>
    <row r="46" spans="1:8" x14ac:dyDescent="0.45">
      <c r="A46" t="s">
        <v>99</v>
      </c>
      <c r="B46" t="s">
        <v>52</v>
      </c>
      <c r="C46" t="s">
        <v>48</v>
      </c>
      <c r="D46">
        <v>7</v>
      </c>
      <c r="E46" s="6">
        <v>150</v>
      </c>
      <c r="F46" s="7">
        <v>45389</v>
      </c>
      <c r="G46" t="s">
        <v>46</v>
      </c>
      <c r="H46" t="s">
        <v>53</v>
      </c>
    </row>
    <row r="47" spans="1:8" x14ac:dyDescent="0.45">
      <c r="A47" t="s">
        <v>100</v>
      </c>
      <c r="B47" t="s">
        <v>73</v>
      </c>
      <c r="C47" t="s">
        <v>55</v>
      </c>
      <c r="D47">
        <v>0</v>
      </c>
      <c r="E47" s="6">
        <v>150</v>
      </c>
      <c r="F47" s="7">
        <v>44966</v>
      </c>
      <c r="G47" t="s">
        <v>42</v>
      </c>
      <c r="H47" t="s">
        <v>56</v>
      </c>
    </row>
    <row r="48" spans="1:8" x14ac:dyDescent="0.45">
      <c r="A48" t="s">
        <v>101</v>
      </c>
      <c r="B48" t="s">
        <v>52</v>
      </c>
      <c r="C48" t="s">
        <v>36</v>
      </c>
      <c r="D48">
        <v>9</v>
      </c>
      <c r="E48" s="6">
        <v>150</v>
      </c>
      <c r="F48" s="7">
        <v>45463</v>
      </c>
      <c r="G48" t="s">
        <v>60</v>
      </c>
      <c r="H48" t="s">
        <v>38</v>
      </c>
    </row>
    <row r="49" spans="1:8" x14ac:dyDescent="0.45">
      <c r="A49" t="s">
        <v>102</v>
      </c>
      <c r="B49" t="s">
        <v>40</v>
      </c>
      <c r="C49" t="s">
        <v>55</v>
      </c>
      <c r="D49">
        <v>0</v>
      </c>
      <c r="E49" s="6">
        <v>200</v>
      </c>
      <c r="F49" s="7">
        <v>45187</v>
      </c>
      <c r="G49" t="s">
        <v>37</v>
      </c>
      <c r="H49" t="s">
        <v>53</v>
      </c>
    </row>
    <row r="50" spans="1:8" x14ac:dyDescent="0.45">
      <c r="A50" t="s">
        <v>103</v>
      </c>
      <c r="B50" t="s">
        <v>52</v>
      </c>
      <c r="C50" t="s">
        <v>55</v>
      </c>
      <c r="D50">
        <v>11</v>
      </c>
      <c r="E50" s="6">
        <v>200</v>
      </c>
      <c r="F50" s="7">
        <v>45321</v>
      </c>
      <c r="G50" t="s">
        <v>37</v>
      </c>
      <c r="H50" t="s">
        <v>38</v>
      </c>
    </row>
    <row r="51" spans="1:8" x14ac:dyDescent="0.45">
      <c r="A51" t="s">
        <v>104</v>
      </c>
      <c r="B51" t="s">
        <v>35</v>
      </c>
      <c r="C51" t="s">
        <v>70</v>
      </c>
      <c r="D51">
        <v>3</v>
      </c>
      <c r="E51" s="6">
        <v>75</v>
      </c>
      <c r="F51" s="7">
        <v>45152</v>
      </c>
      <c r="G51" t="s">
        <v>37</v>
      </c>
      <c r="H51" t="s">
        <v>56</v>
      </c>
    </row>
    <row r="52" spans="1:8" x14ac:dyDescent="0.45">
      <c r="A52" t="s">
        <v>105</v>
      </c>
      <c r="B52" t="s">
        <v>35</v>
      </c>
      <c r="C52" t="s">
        <v>36</v>
      </c>
      <c r="D52">
        <v>7</v>
      </c>
      <c r="E52" s="6">
        <v>50</v>
      </c>
      <c r="F52" s="7">
        <v>45050</v>
      </c>
      <c r="G52" t="s">
        <v>37</v>
      </c>
      <c r="H52" t="s">
        <v>53</v>
      </c>
    </row>
    <row r="53" spans="1:8" x14ac:dyDescent="0.45">
      <c r="A53" t="s">
        <v>106</v>
      </c>
      <c r="B53" t="s">
        <v>35</v>
      </c>
      <c r="C53" t="s">
        <v>55</v>
      </c>
      <c r="D53">
        <v>4</v>
      </c>
      <c r="E53" s="6">
        <v>150</v>
      </c>
      <c r="F53" s="7">
        <v>44964</v>
      </c>
      <c r="G53" t="s">
        <v>46</v>
      </c>
      <c r="H53" t="s">
        <v>56</v>
      </c>
    </row>
    <row r="54" spans="1:8" x14ac:dyDescent="0.45">
      <c r="A54" t="s">
        <v>107</v>
      </c>
      <c r="B54" t="s">
        <v>35</v>
      </c>
      <c r="C54" t="s">
        <v>48</v>
      </c>
      <c r="D54">
        <v>1</v>
      </c>
      <c r="E54" s="6">
        <v>75</v>
      </c>
      <c r="F54" s="7">
        <v>45254</v>
      </c>
      <c r="G54" t="s">
        <v>42</v>
      </c>
      <c r="H54" t="s">
        <v>38</v>
      </c>
    </row>
    <row r="55" spans="1:8" x14ac:dyDescent="0.45">
      <c r="A55" t="s">
        <v>108</v>
      </c>
      <c r="B55" t="s">
        <v>40</v>
      </c>
      <c r="C55" t="s">
        <v>48</v>
      </c>
      <c r="D55">
        <v>5</v>
      </c>
      <c r="E55" s="6">
        <v>50</v>
      </c>
      <c r="F55" s="7">
        <v>45177</v>
      </c>
      <c r="G55" t="s">
        <v>64</v>
      </c>
      <c r="H55" t="s">
        <v>38</v>
      </c>
    </row>
    <row r="56" spans="1:8" x14ac:dyDescent="0.45">
      <c r="A56" t="s">
        <v>109</v>
      </c>
      <c r="B56" t="s">
        <v>44</v>
      </c>
      <c r="C56" t="s">
        <v>41</v>
      </c>
      <c r="D56">
        <v>4</v>
      </c>
      <c r="E56" s="6">
        <v>100</v>
      </c>
      <c r="F56" s="7">
        <v>45102</v>
      </c>
      <c r="G56" t="s">
        <v>46</v>
      </c>
      <c r="H56" t="s">
        <v>56</v>
      </c>
    </row>
    <row r="57" spans="1:8" x14ac:dyDescent="0.45">
      <c r="A57" t="s">
        <v>110</v>
      </c>
      <c r="B57" t="s">
        <v>73</v>
      </c>
      <c r="C57" t="s">
        <v>36</v>
      </c>
      <c r="D57">
        <v>1</v>
      </c>
      <c r="E57" s="6">
        <v>200</v>
      </c>
      <c r="F57" s="7">
        <v>45380</v>
      </c>
      <c r="G57" t="s">
        <v>46</v>
      </c>
      <c r="H57" t="s">
        <v>53</v>
      </c>
    </row>
    <row r="58" spans="1:8" x14ac:dyDescent="0.45">
      <c r="A58" t="s">
        <v>111</v>
      </c>
      <c r="B58" t="s">
        <v>35</v>
      </c>
      <c r="C58" t="s">
        <v>36</v>
      </c>
      <c r="D58">
        <v>12</v>
      </c>
      <c r="E58" s="6">
        <v>50</v>
      </c>
      <c r="F58" s="7">
        <v>44963</v>
      </c>
      <c r="G58" t="s">
        <v>64</v>
      </c>
      <c r="H58" t="s">
        <v>56</v>
      </c>
    </row>
    <row r="59" spans="1:8" x14ac:dyDescent="0.45">
      <c r="A59" t="s">
        <v>112</v>
      </c>
      <c r="B59" t="s">
        <v>52</v>
      </c>
      <c r="C59" t="s">
        <v>41</v>
      </c>
      <c r="D59">
        <v>13</v>
      </c>
      <c r="E59" s="6">
        <v>100</v>
      </c>
      <c r="F59" s="7">
        <v>45242</v>
      </c>
      <c r="G59" t="s">
        <v>64</v>
      </c>
      <c r="H59" t="s">
        <v>38</v>
      </c>
    </row>
    <row r="60" spans="1:8" x14ac:dyDescent="0.45">
      <c r="A60" t="s">
        <v>113</v>
      </c>
      <c r="B60" t="s">
        <v>35</v>
      </c>
      <c r="C60" t="s">
        <v>55</v>
      </c>
      <c r="D60">
        <v>10</v>
      </c>
      <c r="E60" s="6">
        <v>50</v>
      </c>
      <c r="F60" s="7">
        <v>45040</v>
      </c>
      <c r="G60" t="s">
        <v>37</v>
      </c>
      <c r="H60" t="s">
        <v>56</v>
      </c>
    </row>
    <row r="61" spans="1:8" x14ac:dyDescent="0.45">
      <c r="A61" t="s">
        <v>114</v>
      </c>
      <c r="B61" t="s">
        <v>52</v>
      </c>
      <c r="C61" t="s">
        <v>36</v>
      </c>
      <c r="D61">
        <v>10</v>
      </c>
      <c r="E61" s="6">
        <v>200</v>
      </c>
      <c r="F61" s="7">
        <v>44966</v>
      </c>
      <c r="G61" t="s">
        <v>46</v>
      </c>
      <c r="H61" t="s">
        <v>38</v>
      </c>
    </row>
    <row r="62" spans="1:8" x14ac:dyDescent="0.45">
      <c r="A62" t="s">
        <v>115</v>
      </c>
      <c r="B62" t="s">
        <v>52</v>
      </c>
      <c r="C62" t="s">
        <v>48</v>
      </c>
      <c r="D62">
        <v>10</v>
      </c>
      <c r="E62" s="6">
        <v>200</v>
      </c>
      <c r="F62" s="7">
        <v>45227</v>
      </c>
      <c r="G62" t="s">
        <v>60</v>
      </c>
      <c r="H62" t="s">
        <v>56</v>
      </c>
    </row>
    <row r="63" spans="1:8" x14ac:dyDescent="0.45">
      <c r="A63" t="s">
        <v>116</v>
      </c>
      <c r="B63" t="s">
        <v>35</v>
      </c>
      <c r="C63" t="s">
        <v>48</v>
      </c>
      <c r="D63">
        <v>2</v>
      </c>
      <c r="E63" s="6">
        <v>75</v>
      </c>
      <c r="F63" s="7">
        <v>45150</v>
      </c>
      <c r="G63" t="s">
        <v>64</v>
      </c>
      <c r="H63" t="s">
        <v>53</v>
      </c>
    </row>
    <row r="64" spans="1:8" x14ac:dyDescent="0.45">
      <c r="A64" t="s">
        <v>117</v>
      </c>
      <c r="B64" t="s">
        <v>40</v>
      </c>
      <c r="C64" t="s">
        <v>70</v>
      </c>
      <c r="D64">
        <v>14</v>
      </c>
      <c r="E64" s="6">
        <v>150</v>
      </c>
      <c r="F64" s="7">
        <v>45244</v>
      </c>
      <c r="G64" t="s">
        <v>64</v>
      </c>
      <c r="H64" t="s">
        <v>53</v>
      </c>
    </row>
    <row r="65" spans="1:8" x14ac:dyDescent="0.45">
      <c r="A65" t="s">
        <v>118</v>
      </c>
      <c r="B65" t="s">
        <v>52</v>
      </c>
      <c r="C65" t="s">
        <v>36</v>
      </c>
      <c r="D65">
        <v>8</v>
      </c>
      <c r="E65" s="6">
        <v>50</v>
      </c>
      <c r="F65" s="7">
        <v>45275</v>
      </c>
      <c r="G65" t="s">
        <v>42</v>
      </c>
      <c r="H65" t="s">
        <v>56</v>
      </c>
    </row>
    <row r="66" spans="1:8" x14ac:dyDescent="0.45">
      <c r="A66" t="s">
        <v>119</v>
      </c>
      <c r="B66" t="s">
        <v>52</v>
      </c>
      <c r="C66" t="s">
        <v>55</v>
      </c>
      <c r="D66">
        <v>6</v>
      </c>
      <c r="E66" s="6">
        <v>50</v>
      </c>
      <c r="F66" s="7">
        <v>45041</v>
      </c>
      <c r="G66" t="s">
        <v>60</v>
      </c>
      <c r="H66" t="s">
        <v>56</v>
      </c>
    </row>
    <row r="67" spans="1:8" x14ac:dyDescent="0.45">
      <c r="A67" t="s">
        <v>120</v>
      </c>
      <c r="B67" t="s">
        <v>35</v>
      </c>
      <c r="C67" t="s">
        <v>41</v>
      </c>
      <c r="D67">
        <v>6</v>
      </c>
      <c r="E67" s="6">
        <v>100</v>
      </c>
      <c r="F67" s="7">
        <v>45249</v>
      </c>
      <c r="G67" t="s">
        <v>60</v>
      </c>
      <c r="H67" t="s">
        <v>53</v>
      </c>
    </row>
    <row r="68" spans="1:8" x14ac:dyDescent="0.45">
      <c r="A68" t="s">
        <v>121</v>
      </c>
      <c r="B68" t="s">
        <v>52</v>
      </c>
      <c r="C68" t="s">
        <v>41</v>
      </c>
      <c r="D68">
        <v>14</v>
      </c>
      <c r="E68" s="6">
        <v>200</v>
      </c>
      <c r="F68" s="7">
        <v>44966</v>
      </c>
      <c r="G68" t="s">
        <v>64</v>
      </c>
      <c r="H68" t="s">
        <v>38</v>
      </c>
    </row>
    <row r="69" spans="1:8" x14ac:dyDescent="0.45">
      <c r="A69" t="s">
        <v>122</v>
      </c>
      <c r="B69" t="s">
        <v>52</v>
      </c>
      <c r="C69" t="s">
        <v>55</v>
      </c>
      <c r="D69">
        <v>10</v>
      </c>
      <c r="E69" s="6">
        <v>50</v>
      </c>
      <c r="F69" s="7">
        <v>44966</v>
      </c>
      <c r="G69" t="s">
        <v>37</v>
      </c>
      <c r="H69" t="s">
        <v>53</v>
      </c>
    </row>
    <row r="70" spans="1:8" x14ac:dyDescent="0.45">
      <c r="A70" t="s">
        <v>123</v>
      </c>
      <c r="B70" t="s">
        <v>35</v>
      </c>
      <c r="C70" t="s">
        <v>59</v>
      </c>
      <c r="D70">
        <v>5</v>
      </c>
      <c r="E70" s="6">
        <v>200</v>
      </c>
      <c r="F70" s="7">
        <v>45215</v>
      </c>
      <c r="G70" t="s">
        <v>42</v>
      </c>
      <c r="H70" t="s">
        <v>38</v>
      </c>
    </row>
    <row r="71" spans="1:8" x14ac:dyDescent="0.45">
      <c r="A71" t="s">
        <v>124</v>
      </c>
      <c r="B71" t="s">
        <v>35</v>
      </c>
      <c r="C71" t="s">
        <v>45</v>
      </c>
      <c r="D71">
        <v>7</v>
      </c>
      <c r="E71" s="6">
        <v>50</v>
      </c>
      <c r="F71" s="7">
        <v>45188</v>
      </c>
      <c r="G71" t="s">
        <v>60</v>
      </c>
      <c r="H71" t="s">
        <v>56</v>
      </c>
    </row>
    <row r="72" spans="1:8" x14ac:dyDescent="0.45">
      <c r="A72" t="s">
        <v>125</v>
      </c>
      <c r="B72" t="s">
        <v>73</v>
      </c>
      <c r="C72" t="s">
        <v>70</v>
      </c>
      <c r="D72">
        <v>3</v>
      </c>
      <c r="E72" s="6">
        <v>75</v>
      </c>
      <c r="F72" s="7">
        <v>45142</v>
      </c>
      <c r="G72" t="s">
        <v>64</v>
      </c>
      <c r="H72" t="s">
        <v>56</v>
      </c>
    </row>
    <row r="73" spans="1:8" x14ac:dyDescent="0.45">
      <c r="A73" t="s">
        <v>126</v>
      </c>
      <c r="B73" t="s">
        <v>40</v>
      </c>
      <c r="C73" t="s">
        <v>41</v>
      </c>
      <c r="D73">
        <v>7</v>
      </c>
      <c r="E73" s="6">
        <v>150</v>
      </c>
      <c r="F73" s="7">
        <v>45073</v>
      </c>
      <c r="G73" t="s">
        <v>60</v>
      </c>
      <c r="H73" t="s">
        <v>38</v>
      </c>
    </row>
    <row r="74" spans="1:8" x14ac:dyDescent="0.45">
      <c r="A74" t="s">
        <v>127</v>
      </c>
      <c r="B74" t="s">
        <v>40</v>
      </c>
      <c r="C74" t="s">
        <v>36</v>
      </c>
      <c r="D74">
        <v>3</v>
      </c>
      <c r="E74" s="6">
        <v>50</v>
      </c>
      <c r="F74" s="7">
        <v>45262</v>
      </c>
      <c r="G74" t="s">
        <v>42</v>
      </c>
      <c r="H74" t="s">
        <v>56</v>
      </c>
    </row>
    <row r="75" spans="1:8" x14ac:dyDescent="0.45">
      <c r="A75" t="s">
        <v>128</v>
      </c>
      <c r="B75" t="s">
        <v>52</v>
      </c>
      <c r="C75" t="s">
        <v>70</v>
      </c>
      <c r="D75">
        <v>7</v>
      </c>
      <c r="E75" s="6">
        <v>200</v>
      </c>
      <c r="F75" s="7">
        <v>45094</v>
      </c>
      <c r="G75" t="s">
        <v>42</v>
      </c>
      <c r="H75" t="s">
        <v>38</v>
      </c>
    </row>
    <row r="76" spans="1:8" x14ac:dyDescent="0.45">
      <c r="A76" t="s">
        <v>129</v>
      </c>
      <c r="B76" t="s">
        <v>40</v>
      </c>
      <c r="C76" t="s">
        <v>36</v>
      </c>
      <c r="D76">
        <v>8</v>
      </c>
      <c r="E76" s="6">
        <v>75</v>
      </c>
      <c r="F76" s="7">
        <v>45018</v>
      </c>
      <c r="G76" t="s">
        <v>46</v>
      </c>
      <c r="H76" t="s">
        <v>49</v>
      </c>
    </row>
    <row r="77" spans="1:8" x14ac:dyDescent="0.45">
      <c r="A77" t="s">
        <v>130</v>
      </c>
      <c r="B77" t="s">
        <v>52</v>
      </c>
      <c r="C77" t="s">
        <v>59</v>
      </c>
      <c r="D77">
        <v>2</v>
      </c>
      <c r="E77" s="6">
        <v>50</v>
      </c>
      <c r="F77" s="7">
        <v>45279</v>
      </c>
      <c r="G77" t="s">
        <v>64</v>
      </c>
      <c r="H77" t="s">
        <v>53</v>
      </c>
    </row>
    <row r="78" spans="1:8" x14ac:dyDescent="0.45">
      <c r="A78" t="s">
        <v>131</v>
      </c>
      <c r="B78" t="s">
        <v>73</v>
      </c>
      <c r="C78" t="s">
        <v>48</v>
      </c>
      <c r="D78">
        <v>2</v>
      </c>
      <c r="E78" s="6">
        <v>100</v>
      </c>
      <c r="F78" s="7">
        <v>45289</v>
      </c>
      <c r="G78" t="s">
        <v>42</v>
      </c>
      <c r="H78" t="s">
        <v>49</v>
      </c>
    </row>
    <row r="79" spans="1:8" x14ac:dyDescent="0.45">
      <c r="A79" t="s">
        <v>132</v>
      </c>
      <c r="B79" t="s">
        <v>35</v>
      </c>
      <c r="C79" t="s">
        <v>70</v>
      </c>
      <c r="D79">
        <v>10</v>
      </c>
      <c r="E79" s="6">
        <v>150</v>
      </c>
      <c r="F79" s="7">
        <v>45271</v>
      </c>
      <c r="G79" t="s">
        <v>46</v>
      </c>
      <c r="H79" t="s">
        <v>38</v>
      </c>
    </row>
    <row r="80" spans="1:8" x14ac:dyDescent="0.45">
      <c r="A80" t="s">
        <v>133</v>
      </c>
      <c r="B80" t="s">
        <v>35</v>
      </c>
      <c r="C80" t="s">
        <v>41</v>
      </c>
      <c r="D80">
        <v>12</v>
      </c>
      <c r="E80" s="6">
        <v>50</v>
      </c>
      <c r="F80" s="7">
        <v>45096</v>
      </c>
      <c r="G80" t="s">
        <v>46</v>
      </c>
      <c r="H80" t="s">
        <v>53</v>
      </c>
    </row>
    <row r="81" spans="1:8" x14ac:dyDescent="0.45">
      <c r="A81" t="s">
        <v>134</v>
      </c>
      <c r="B81" t="s">
        <v>35</v>
      </c>
      <c r="C81" t="s">
        <v>70</v>
      </c>
      <c r="D81">
        <v>1</v>
      </c>
      <c r="E81" s="6">
        <v>75</v>
      </c>
      <c r="F81" s="7">
        <v>45282</v>
      </c>
      <c r="G81" t="s">
        <v>60</v>
      </c>
      <c r="H81" t="s">
        <v>38</v>
      </c>
    </row>
    <row r="82" spans="1:8" x14ac:dyDescent="0.45">
      <c r="A82" t="s">
        <v>135</v>
      </c>
      <c r="B82" t="s">
        <v>40</v>
      </c>
      <c r="C82" t="s">
        <v>70</v>
      </c>
      <c r="D82">
        <v>12</v>
      </c>
      <c r="E82" s="6">
        <v>100</v>
      </c>
      <c r="F82" s="7">
        <v>45117</v>
      </c>
      <c r="G82" t="s">
        <v>60</v>
      </c>
      <c r="H82" t="s">
        <v>53</v>
      </c>
    </row>
    <row r="83" spans="1:8" x14ac:dyDescent="0.45">
      <c r="A83" t="s">
        <v>136</v>
      </c>
      <c r="B83" t="s">
        <v>73</v>
      </c>
      <c r="C83" t="s">
        <v>70</v>
      </c>
      <c r="D83">
        <v>9</v>
      </c>
      <c r="E83" s="6">
        <v>75</v>
      </c>
      <c r="F83" s="7">
        <v>45348</v>
      </c>
      <c r="G83" t="s">
        <v>46</v>
      </c>
      <c r="H83" t="s">
        <v>53</v>
      </c>
    </row>
    <row r="84" spans="1:8" x14ac:dyDescent="0.45">
      <c r="A84" t="s">
        <v>137</v>
      </c>
      <c r="B84" t="s">
        <v>40</v>
      </c>
      <c r="C84" t="s">
        <v>45</v>
      </c>
      <c r="D84">
        <v>2</v>
      </c>
      <c r="E84" s="6">
        <v>75</v>
      </c>
      <c r="F84" s="7">
        <v>44933</v>
      </c>
      <c r="G84" t="s">
        <v>60</v>
      </c>
      <c r="H84" t="s">
        <v>53</v>
      </c>
    </row>
    <row r="85" spans="1:8" x14ac:dyDescent="0.45">
      <c r="A85" t="s">
        <v>138</v>
      </c>
      <c r="B85" t="s">
        <v>40</v>
      </c>
      <c r="C85" t="s">
        <v>70</v>
      </c>
      <c r="D85">
        <v>2</v>
      </c>
      <c r="E85" s="6">
        <v>100</v>
      </c>
      <c r="F85" s="7">
        <v>45059</v>
      </c>
      <c r="G85" t="s">
        <v>42</v>
      </c>
      <c r="H85" t="s">
        <v>53</v>
      </c>
    </row>
    <row r="86" spans="1:8" x14ac:dyDescent="0.45">
      <c r="A86" t="s">
        <v>139</v>
      </c>
      <c r="B86" t="s">
        <v>73</v>
      </c>
      <c r="C86" t="s">
        <v>36</v>
      </c>
      <c r="D86">
        <v>4</v>
      </c>
      <c r="E86" s="6">
        <v>75</v>
      </c>
      <c r="F86" s="7">
        <v>44957</v>
      </c>
      <c r="G86" t="s">
        <v>37</v>
      </c>
      <c r="H86" t="s">
        <v>38</v>
      </c>
    </row>
    <row r="87" spans="1:8" x14ac:dyDescent="0.45">
      <c r="A87" t="s">
        <v>140</v>
      </c>
      <c r="B87" t="s">
        <v>73</v>
      </c>
      <c r="C87" t="s">
        <v>48</v>
      </c>
      <c r="D87">
        <v>4</v>
      </c>
      <c r="E87" s="6">
        <v>100</v>
      </c>
      <c r="F87" s="7">
        <v>45461</v>
      </c>
      <c r="G87" t="s">
        <v>42</v>
      </c>
      <c r="H87" t="s">
        <v>53</v>
      </c>
    </row>
    <row r="88" spans="1:8" x14ac:dyDescent="0.45">
      <c r="A88" t="s">
        <v>141</v>
      </c>
      <c r="B88" t="s">
        <v>73</v>
      </c>
      <c r="C88" t="s">
        <v>59</v>
      </c>
      <c r="D88">
        <v>1</v>
      </c>
      <c r="E88" s="6">
        <v>50</v>
      </c>
      <c r="F88" s="7">
        <v>45352</v>
      </c>
      <c r="G88" t="s">
        <v>46</v>
      </c>
      <c r="H88" t="s">
        <v>53</v>
      </c>
    </row>
    <row r="89" spans="1:8" x14ac:dyDescent="0.45">
      <c r="A89" t="s">
        <v>142</v>
      </c>
      <c r="B89" t="s">
        <v>73</v>
      </c>
      <c r="C89" t="s">
        <v>55</v>
      </c>
      <c r="D89">
        <v>11</v>
      </c>
      <c r="E89" s="6">
        <v>100</v>
      </c>
      <c r="F89" s="7">
        <v>45320</v>
      </c>
      <c r="G89" t="s">
        <v>46</v>
      </c>
      <c r="H89" t="s">
        <v>49</v>
      </c>
    </row>
    <row r="90" spans="1:8" x14ac:dyDescent="0.45">
      <c r="A90" t="s">
        <v>143</v>
      </c>
      <c r="B90" t="s">
        <v>35</v>
      </c>
      <c r="C90" t="s">
        <v>70</v>
      </c>
      <c r="D90">
        <v>9</v>
      </c>
      <c r="E90" s="6">
        <v>100</v>
      </c>
      <c r="F90" s="7">
        <v>45289</v>
      </c>
      <c r="G90" t="s">
        <v>42</v>
      </c>
      <c r="H90" t="s">
        <v>56</v>
      </c>
    </row>
    <row r="91" spans="1:8" x14ac:dyDescent="0.45">
      <c r="A91" t="s">
        <v>144</v>
      </c>
      <c r="B91" t="s">
        <v>44</v>
      </c>
      <c r="C91" t="s">
        <v>41</v>
      </c>
      <c r="D91">
        <v>12</v>
      </c>
      <c r="E91" s="6">
        <v>150</v>
      </c>
      <c r="F91" s="7">
        <v>45363</v>
      </c>
      <c r="G91" t="s">
        <v>60</v>
      </c>
      <c r="H91" t="s">
        <v>56</v>
      </c>
    </row>
    <row r="92" spans="1:8" x14ac:dyDescent="0.45">
      <c r="A92" t="s">
        <v>145</v>
      </c>
      <c r="B92" t="s">
        <v>44</v>
      </c>
      <c r="C92" t="s">
        <v>70</v>
      </c>
      <c r="D92">
        <v>5</v>
      </c>
      <c r="E92" s="6">
        <v>100</v>
      </c>
      <c r="F92" s="7">
        <v>45008</v>
      </c>
      <c r="G92" t="s">
        <v>60</v>
      </c>
      <c r="H92" t="s">
        <v>49</v>
      </c>
    </row>
    <row r="93" spans="1:8" x14ac:dyDescent="0.45">
      <c r="A93" t="s">
        <v>146</v>
      </c>
      <c r="B93" t="s">
        <v>73</v>
      </c>
      <c r="C93" t="s">
        <v>41</v>
      </c>
      <c r="D93">
        <v>4</v>
      </c>
      <c r="E93" s="6">
        <v>100</v>
      </c>
      <c r="F93" s="7">
        <v>45282</v>
      </c>
      <c r="G93" t="s">
        <v>46</v>
      </c>
      <c r="H93" t="s">
        <v>49</v>
      </c>
    </row>
    <row r="94" spans="1:8" x14ac:dyDescent="0.45">
      <c r="A94" t="s">
        <v>147</v>
      </c>
      <c r="B94" t="s">
        <v>44</v>
      </c>
      <c r="C94" t="s">
        <v>36</v>
      </c>
      <c r="D94">
        <v>5</v>
      </c>
      <c r="E94" s="6">
        <v>50</v>
      </c>
      <c r="F94" s="7">
        <v>45184</v>
      </c>
      <c r="G94" t="s">
        <v>64</v>
      </c>
      <c r="H94" t="s">
        <v>38</v>
      </c>
    </row>
    <row r="95" spans="1:8" x14ac:dyDescent="0.45">
      <c r="A95" t="s">
        <v>148</v>
      </c>
      <c r="B95" t="s">
        <v>44</v>
      </c>
      <c r="C95" t="s">
        <v>41</v>
      </c>
      <c r="D95">
        <v>0</v>
      </c>
      <c r="E95" s="6">
        <v>150</v>
      </c>
      <c r="F95" s="7">
        <v>45450</v>
      </c>
      <c r="G95" t="s">
        <v>60</v>
      </c>
      <c r="H95" t="s">
        <v>38</v>
      </c>
    </row>
    <row r="96" spans="1:8" x14ac:dyDescent="0.45">
      <c r="A96" t="s">
        <v>149</v>
      </c>
      <c r="B96" t="s">
        <v>73</v>
      </c>
      <c r="C96" t="s">
        <v>55</v>
      </c>
      <c r="D96">
        <v>4</v>
      </c>
      <c r="E96" s="6">
        <v>200</v>
      </c>
      <c r="F96" s="7">
        <v>45221</v>
      </c>
      <c r="G96" t="s">
        <v>42</v>
      </c>
      <c r="H96" t="s">
        <v>38</v>
      </c>
    </row>
    <row r="97" spans="1:8" x14ac:dyDescent="0.45">
      <c r="A97" t="s">
        <v>150</v>
      </c>
      <c r="B97" t="s">
        <v>44</v>
      </c>
      <c r="C97" t="s">
        <v>48</v>
      </c>
      <c r="D97">
        <v>8</v>
      </c>
      <c r="E97" s="6">
        <v>50</v>
      </c>
      <c r="F97" s="7">
        <v>45150</v>
      </c>
      <c r="G97" t="s">
        <v>60</v>
      </c>
      <c r="H97" t="s">
        <v>49</v>
      </c>
    </row>
    <row r="98" spans="1:8" x14ac:dyDescent="0.45">
      <c r="A98" t="s">
        <v>151</v>
      </c>
      <c r="B98" t="s">
        <v>40</v>
      </c>
      <c r="C98" t="s">
        <v>41</v>
      </c>
      <c r="D98">
        <v>11</v>
      </c>
      <c r="E98" s="6">
        <v>50</v>
      </c>
      <c r="F98" s="7">
        <v>45451</v>
      </c>
      <c r="G98" t="s">
        <v>42</v>
      </c>
      <c r="H98" t="s">
        <v>49</v>
      </c>
    </row>
    <row r="99" spans="1:8" x14ac:dyDescent="0.45">
      <c r="A99" t="s">
        <v>152</v>
      </c>
      <c r="B99" t="s">
        <v>52</v>
      </c>
      <c r="C99" t="s">
        <v>41</v>
      </c>
      <c r="D99">
        <v>9</v>
      </c>
      <c r="E99" s="6">
        <v>200</v>
      </c>
      <c r="F99" s="7">
        <v>44972</v>
      </c>
      <c r="G99" t="s">
        <v>46</v>
      </c>
      <c r="H99" t="s">
        <v>53</v>
      </c>
    </row>
    <row r="100" spans="1:8" x14ac:dyDescent="0.45">
      <c r="A100" t="s">
        <v>153</v>
      </c>
      <c r="B100" t="s">
        <v>52</v>
      </c>
      <c r="C100" t="s">
        <v>48</v>
      </c>
      <c r="D100">
        <v>13</v>
      </c>
      <c r="E100" s="6">
        <v>100</v>
      </c>
      <c r="F100" s="7">
        <v>45039</v>
      </c>
      <c r="G100" t="s">
        <v>60</v>
      </c>
      <c r="H100" t="s">
        <v>38</v>
      </c>
    </row>
    <row r="101" spans="1:8" x14ac:dyDescent="0.45">
      <c r="A101" t="s">
        <v>154</v>
      </c>
      <c r="B101" t="s">
        <v>73</v>
      </c>
      <c r="C101" t="s">
        <v>55</v>
      </c>
      <c r="D101">
        <v>1</v>
      </c>
      <c r="E101" s="6">
        <v>75</v>
      </c>
      <c r="F101" s="7">
        <v>45159</v>
      </c>
      <c r="G101" t="s">
        <v>42</v>
      </c>
      <c r="H101" t="s">
        <v>38</v>
      </c>
    </row>
    <row r="102" spans="1:8" x14ac:dyDescent="0.45">
      <c r="A102" t="s">
        <v>155</v>
      </c>
      <c r="B102" t="s">
        <v>35</v>
      </c>
      <c r="C102" t="s">
        <v>70</v>
      </c>
      <c r="D102">
        <v>0</v>
      </c>
      <c r="E102" s="6">
        <v>150</v>
      </c>
      <c r="F102" s="7">
        <v>44943</v>
      </c>
      <c r="G102" t="s">
        <v>46</v>
      </c>
      <c r="H102" t="s">
        <v>38</v>
      </c>
    </row>
    <row r="103" spans="1:8" x14ac:dyDescent="0.45">
      <c r="A103" t="s">
        <v>156</v>
      </c>
      <c r="B103" t="s">
        <v>73</v>
      </c>
      <c r="C103" t="s">
        <v>41</v>
      </c>
      <c r="D103">
        <v>13</v>
      </c>
      <c r="E103" s="6">
        <v>75</v>
      </c>
      <c r="F103" s="7">
        <v>45286</v>
      </c>
      <c r="G103" t="s">
        <v>64</v>
      </c>
      <c r="H103" t="s">
        <v>56</v>
      </c>
    </row>
    <row r="104" spans="1:8" x14ac:dyDescent="0.45">
      <c r="A104" t="s">
        <v>157</v>
      </c>
      <c r="B104" t="s">
        <v>35</v>
      </c>
      <c r="C104" t="s">
        <v>48</v>
      </c>
      <c r="D104">
        <v>9</v>
      </c>
      <c r="E104" s="6">
        <v>200</v>
      </c>
      <c r="F104" s="7">
        <v>45149</v>
      </c>
      <c r="G104" t="s">
        <v>42</v>
      </c>
      <c r="H104" t="s">
        <v>53</v>
      </c>
    </row>
    <row r="105" spans="1:8" x14ac:dyDescent="0.45">
      <c r="A105" t="s">
        <v>158</v>
      </c>
      <c r="B105" t="s">
        <v>52</v>
      </c>
      <c r="C105" t="s">
        <v>36</v>
      </c>
      <c r="D105">
        <v>12</v>
      </c>
      <c r="E105" s="6">
        <v>50</v>
      </c>
      <c r="F105" s="7">
        <v>45374</v>
      </c>
      <c r="G105" t="s">
        <v>64</v>
      </c>
      <c r="H105" t="s">
        <v>38</v>
      </c>
    </row>
    <row r="106" spans="1:8" x14ac:dyDescent="0.45">
      <c r="A106" t="s">
        <v>159</v>
      </c>
      <c r="B106" t="s">
        <v>73</v>
      </c>
      <c r="C106" t="s">
        <v>48</v>
      </c>
      <c r="D106">
        <v>10</v>
      </c>
      <c r="E106" s="6">
        <v>50</v>
      </c>
      <c r="F106" s="7">
        <v>45291</v>
      </c>
      <c r="G106" t="s">
        <v>64</v>
      </c>
      <c r="H106" t="s">
        <v>38</v>
      </c>
    </row>
    <row r="107" spans="1:8" x14ac:dyDescent="0.45">
      <c r="A107" t="s">
        <v>160</v>
      </c>
      <c r="B107" t="s">
        <v>40</v>
      </c>
      <c r="C107" t="s">
        <v>36</v>
      </c>
      <c r="D107">
        <v>8</v>
      </c>
      <c r="E107" s="6">
        <v>150</v>
      </c>
      <c r="F107" s="7">
        <v>45252</v>
      </c>
      <c r="G107" t="s">
        <v>37</v>
      </c>
      <c r="H107" t="s">
        <v>38</v>
      </c>
    </row>
    <row r="108" spans="1:8" x14ac:dyDescent="0.45">
      <c r="A108" t="s">
        <v>161</v>
      </c>
      <c r="B108" t="s">
        <v>44</v>
      </c>
      <c r="C108" t="s">
        <v>55</v>
      </c>
      <c r="D108">
        <v>9</v>
      </c>
      <c r="E108" s="6">
        <v>50</v>
      </c>
      <c r="F108" s="7">
        <v>45393</v>
      </c>
      <c r="G108" t="s">
        <v>60</v>
      </c>
      <c r="H108" t="s">
        <v>56</v>
      </c>
    </row>
    <row r="109" spans="1:8" x14ac:dyDescent="0.45">
      <c r="A109" t="s">
        <v>162</v>
      </c>
      <c r="B109" t="s">
        <v>35</v>
      </c>
      <c r="C109" t="s">
        <v>70</v>
      </c>
      <c r="D109">
        <v>8</v>
      </c>
      <c r="E109" s="6">
        <v>50</v>
      </c>
      <c r="F109" s="7">
        <v>45340</v>
      </c>
      <c r="G109" t="s">
        <v>42</v>
      </c>
      <c r="H109" t="s">
        <v>56</v>
      </c>
    </row>
    <row r="110" spans="1:8" x14ac:dyDescent="0.45">
      <c r="A110" t="s">
        <v>163</v>
      </c>
      <c r="B110" t="s">
        <v>44</v>
      </c>
      <c r="C110" t="s">
        <v>48</v>
      </c>
      <c r="D110">
        <v>14</v>
      </c>
      <c r="E110" s="6">
        <v>150</v>
      </c>
      <c r="F110" s="7">
        <v>45381</v>
      </c>
      <c r="G110" t="s">
        <v>64</v>
      </c>
      <c r="H110" t="s">
        <v>49</v>
      </c>
    </row>
    <row r="111" spans="1:8" x14ac:dyDescent="0.45">
      <c r="A111" t="s">
        <v>164</v>
      </c>
      <c r="B111" t="s">
        <v>44</v>
      </c>
      <c r="C111" t="s">
        <v>59</v>
      </c>
      <c r="D111">
        <v>8</v>
      </c>
      <c r="E111" s="6">
        <v>150</v>
      </c>
      <c r="F111" s="7">
        <v>45159</v>
      </c>
      <c r="G111" t="s">
        <v>37</v>
      </c>
      <c r="H111" t="s">
        <v>53</v>
      </c>
    </row>
    <row r="112" spans="1:8" x14ac:dyDescent="0.45">
      <c r="A112" t="s">
        <v>165</v>
      </c>
      <c r="B112" t="s">
        <v>73</v>
      </c>
      <c r="C112" t="s">
        <v>59</v>
      </c>
      <c r="D112">
        <v>5</v>
      </c>
      <c r="E112" s="6">
        <v>200</v>
      </c>
      <c r="F112" s="7">
        <v>45150</v>
      </c>
      <c r="G112" t="s">
        <v>46</v>
      </c>
      <c r="H112" t="s">
        <v>49</v>
      </c>
    </row>
    <row r="113" spans="1:8" x14ac:dyDescent="0.45">
      <c r="A113" t="s">
        <v>166</v>
      </c>
      <c r="B113" t="s">
        <v>44</v>
      </c>
      <c r="C113" t="s">
        <v>45</v>
      </c>
      <c r="D113">
        <v>14</v>
      </c>
      <c r="E113" s="6">
        <v>50</v>
      </c>
      <c r="F113" s="7">
        <v>45338</v>
      </c>
      <c r="G113" t="s">
        <v>42</v>
      </c>
      <c r="H113" t="s">
        <v>53</v>
      </c>
    </row>
    <row r="114" spans="1:8" x14ac:dyDescent="0.45">
      <c r="A114" t="s">
        <v>167</v>
      </c>
      <c r="B114" t="s">
        <v>40</v>
      </c>
      <c r="C114" t="s">
        <v>41</v>
      </c>
      <c r="D114">
        <v>7</v>
      </c>
      <c r="E114" s="6">
        <v>50</v>
      </c>
      <c r="F114" s="7">
        <v>45261</v>
      </c>
      <c r="G114" t="s">
        <v>64</v>
      </c>
      <c r="H114" t="s">
        <v>56</v>
      </c>
    </row>
    <row r="115" spans="1:8" x14ac:dyDescent="0.45">
      <c r="A115" t="s">
        <v>168</v>
      </c>
      <c r="B115" t="s">
        <v>44</v>
      </c>
      <c r="C115" t="s">
        <v>55</v>
      </c>
      <c r="D115">
        <v>13</v>
      </c>
      <c r="E115" s="6">
        <v>200</v>
      </c>
      <c r="F115" s="7">
        <v>45148</v>
      </c>
      <c r="G115" t="s">
        <v>60</v>
      </c>
      <c r="H115" t="s">
        <v>38</v>
      </c>
    </row>
    <row r="116" spans="1:8" x14ac:dyDescent="0.45">
      <c r="A116" t="s">
        <v>169</v>
      </c>
      <c r="B116" t="s">
        <v>73</v>
      </c>
      <c r="C116" t="s">
        <v>48</v>
      </c>
      <c r="D116">
        <v>10</v>
      </c>
      <c r="E116" s="6">
        <v>100</v>
      </c>
      <c r="F116" s="7">
        <v>44963</v>
      </c>
      <c r="G116" t="s">
        <v>37</v>
      </c>
      <c r="H116" t="s">
        <v>49</v>
      </c>
    </row>
    <row r="117" spans="1:8" x14ac:dyDescent="0.45">
      <c r="A117" t="s">
        <v>170</v>
      </c>
      <c r="B117" t="s">
        <v>40</v>
      </c>
      <c r="C117" t="s">
        <v>59</v>
      </c>
      <c r="D117">
        <v>14</v>
      </c>
      <c r="E117" s="6">
        <v>100</v>
      </c>
      <c r="F117" s="7">
        <v>45204</v>
      </c>
      <c r="G117" t="s">
        <v>64</v>
      </c>
      <c r="H117" t="s">
        <v>38</v>
      </c>
    </row>
    <row r="118" spans="1:8" x14ac:dyDescent="0.45">
      <c r="A118" t="s">
        <v>171</v>
      </c>
      <c r="B118" t="s">
        <v>52</v>
      </c>
      <c r="C118" t="s">
        <v>41</v>
      </c>
      <c r="D118">
        <v>12</v>
      </c>
      <c r="E118" s="6">
        <v>100</v>
      </c>
      <c r="F118" s="7">
        <v>45122</v>
      </c>
      <c r="G118" t="s">
        <v>60</v>
      </c>
      <c r="H118" t="s">
        <v>49</v>
      </c>
    </row>
    <row r="119" spans="1:8" x14ac:dyDescent="0.45">
      <c r="A119" t="s">
        <v>172</v>
      </c>
      <c r="B119" t="s">
        <v>44</v>
      </c>
      <c r="C119" t="s">
        <v>59</v>
      </c>
      <c r="D119">
        <v>0</v>
      </c>
      <c r="E119" s="6">
        <v>200</v>
      </c>
      <c r="F119" s="7">
        <v>45410</v>
      </c>
      <c r="G119" t="s">
        <v>64</v>
      </c>
      <c r="H119" t="s">
        <v>56</v>
      </c>
    </row>
    <row r="120" spans="1:8" x14ac:dyDescent="0.45">
      <c r="A120" t="s">
        <v>173</v>
      </c>
      <c r="B120" t="s">
        <v>73</v>
      </c>
      <c r="C120" t="s">
        <v>48</v>
      </c>
      <c r="D120">
        <v>9</v>
      </c>
      <c r="E120" s="6">
        <v>50</v>
      </c>
      <c r="F120" s="7">
        <v>45168</v>
      </c>
      <c r="G120" t="s">
        <v>42</v>
      </c>
      <c r="H120" t="s">
        <v>56</v>
      </c>
    </row>
    <row r="121" spans="1:8" x14ac:dyDescent="0.45">
      <c r="A121" t="s">
        <v>174</v>
      </c>
      <c r="B121" t="s">
        <v>52</v>
      </c>
      <c r="C121" t="s">
        <v>36</v>
      </c>
      <c r="D121">
        <v>3</v>
      </c>
      <c r="E121" s="6">
        <v>200</v>
      </c>
      <c r="F121" s="7">
        <v>45250</v>
      </c>
      <c r="G121" t="s">
        <v>42</v>
      </c>
      <c r="H121" t="s">
        <v>56</v>
      </c>
    </row>
    <row r="122" spans="1:8" x14ac:dyDescent="0.45">
      <c r="A122" t="s">
        <v>175</v>
      </c>
      <c r="B122" t="s">
        <v>52</v>
      </c>
      <c r="C122" t="s">
        <v>48</v>
      </c>
      <c r="D122">
        <v>0</v>
      </c>
      <c r="E122" s="6">
        <v>200</v>
      </c>
      <c r="F122" s="7">
        <v>45118</v>
      </c>
      <c r="G122" t="s">
        <v>42</v>
      </c>
      <c r="H122" t="s">
        <v>49</v>
      </c>
    </row>
    <row r="123" spans="1:8" x14ac:dyDescent="0.45">
      <c r="A123" t="s">
        <v>176</v>
      </c>
      <c r="B123" t="s">
        <v>35</v>
      </c>
      <c r="C123" t="s">
        <v>45</v>
      </c>
      <c r="D123">
        <v>7</v>
      </c>
      <c r="E123" s="6">
        <v>100</v>
      </c>
      <c r="F123" s="7">
        <v>44943</v>
      </c>
      <c r="G123" t="s">
        <v>37</v>
      </c>
      <c r="H123" t="s">
        <v>53</v>
      </c>
    </row>
    <row r="124" spans="1:8" x14ac:dyDescent="0.45">
      <c r="A124" t="s">
        <v>177</v>
      </c>
      <c r="B124" t="s">
        <v>40</v>
      </c>
      <c r="C124" t="s">
        <v>48</v>
      </c>
      <c r="D124">
        <v>0</v>
      </c>
      <c r="E124" s="6">
        <v>75</v>
      </c>
      <c r="F124" s="7">
        <v>45450</v>
      </c>
      <c r="G124" t="s">
        <v>42</v>
      </c>
      <c r="H124" t="s">
        <v>49</v>
      </c>
    </row>
    <row r="125" spans="1:8" x14ac:dyDescent="0.45">
      <c r="A125" t="s">
        <v>178</v>
      </c>
      <c r="B125" t="s">
        <v>44</v>
      </c>
      <c r="C125" t="s">
        <v>48</v>
      </c>
      <c r="D125">
        <v>2</v>
      </c>
      <c r="E125" s="6">
        <v>50</v>
      </c>
      <c r="F125" s="7">
        <v>45327</v>
      </c>
      <c r="G125" t="s">
        <v>60</v>
      </c>
      <c r="H125" t="s">
        <v>53</v>
      </c>
    </row>
    <row r="126" spans="1:8" x14ac:dyDescent="0.45">
      <c r="A126" t="s">
        <v>179</v>
      </c>
      <c r="B126" t="s">
        <v>73</v>
      </c>
      <c r="C126" t="s">
        <v>45</v>
      </c>
      <c r="D126">
        <v>12</v>
      </c>
      <c r="E126" s="6">
        <v>100</v>
      </c>
      <c r="F126" s="7">
        <v>44948</v>
      </c>
      <c r="G126" t="s">
        <v>64</v>
      </c>
      <c r="H126" t="s">
        <v>49</v>
      </c>
    </row>
    <row r="127" spans="1:8" x14ac:dyDescent="0.45">
      <c r="A127" t="s">
        <v>180</v>
      </c>
      <c r="B127" t="s">
        <v>35</v>
      </c>
      <c r="C127" t="s">
        <v>55</v>
      </c>
      <c r="D127">
        <v>3</v>
      </c>
      <c r="E127" s="6">
        <v>75</v>
      </c>
      <c r="F127" s="7">
        <v>45400</v>
      </c>
      <c r="G127" t="s">
        <v>46</v>
      </c>
      <c r="H127" t="s">
        <v>49</v>
      </c>
    </row>
    <row r="128" spans="1:8" x14ac:dyDescent="0.45">
      <c r="A128" t="s">
        <v>181</v>
      </c>
      <c r="B128" t="s">
        <v>40</v>
      </c>
      <c r="C128" t="s">
        <v>48</v>
      </c>
      <c r="D128">
        <v>14</v>
      </c>
      <c r="E128" s="6">
        <v>75</v>
      </c>
      <c r="F128" s="7">
        <v>45046</v>
      </c>
      <c r="G128" t="s">
        <v>60</v>
      </c>
      <c r="H128" t="s">
        <v>56</v>
      </c>
    </row>
    <row r="129" spans="1:8" x14ac:dyDescent="0.45">
      <c r="A129" t="s">
        <v>182</v>
      </c>
      <c r="B129" t="s">
        <v>35</v>
      </c>
      <c r="C129" t="s">
        <v>45</v>
      </c>
      <c r="D129">
        <v>14</v>
      </c>
      <c r="E129" s="6">
        <v>150</v>
      </c>
      <c r="F129" s="7">
        <v>45136</v>
      </c>
      <c r="G129" t="s">
        <v>60</v>
      </c>
      <c r="H129" t="s">
        <v>38</v>
      </c>
    </row>
    <row r="130" spans="1:8" x14ac:dyDescent="0.45">
      <c r="A130" t="s">
        <v>183</v>
      </c>
      <c r="B130" t="s">
        <v>40</v>
      </c>
      <c r="C130" t="s">
        <v>41</v>
      </c>
      <c r="D130">
        <v>14</v>
      </c>
      <c r="E130" s="6">
        <v>50</v>
      </c>
      <c r="F130" s="7">
        <v>45232</v>
      </c>
      <c r="G130" t="s">
        <v>42</v>
      </c>
      <c r="H130" t="s">
        <v>38</v>
      </c>
    </row>
    <row r="131" spans="1:8" x14ac:dyDescent="0.45">
      <c r="A131" t="s">
        <v>184</v>
      </c>
      <c r="B131" t="s">
        <v>40</v>
      </c>
      <c r="C131" t="s">
        <v>36</v>
      </c>
      <c r="D131">
        <v>7</v>
      </c>
      <c r="E131" s="6">
        <v>75</v>
      </c>
      <c r="F131" s="7">
        <v>45196</v>
      </c>
      <c r="G131" t="s">
        <v>37</v>
      </c>
      <c r="H131" t="s">
        <v>53</v>
      </c>
    </row>
    <row r="132" spans="1:8" x14ac:dyDescent="0.45">
      <c r="A132" t="s">
        <v>185</v>
      </c>
      <c r="B132" t="s">
        <v>44</v>
      </c>
      <c r="C132" t="s">
        <v>36</v>
      </c>
      <c r="D132">
        <v>5</v>
      </c>
      <c r="E132" s="6">
        <v>100</v>
      </c>
      <c r="F132" s="7">
        <v>45211</v>
      </c>
      <c r="G132" t="s">
        <v>64</v>
      </c>
      <c r="H132" t="s">
        <v>38</v>
      </c>
    </row>
    <row r="133" spans="1:8" x14ac:dyDescent="0.45">
      <c r="A133" t="s">
        <v>186</v>
      </c>
      <c r="B133" t="s">
        <v>40</v>
      </c>
      <c r="C133" t="s">
        <v>48</v>
      </c>
      <c r="D133">
        <v>13</v>
      </c>
      <c r="E133" s="6">
        <v>150</v>
      </c>
      <c r="F133" s="7">
        <v>45153</v>
      </c>
      <c r="G133" t="s">
        <v>37</v>
      </c>
      <c r="H133" t="s">
        <v>49</v>
      </c>
    </row>
    <row r="134" spans="1:8" x14ac:dyDescent="0.45">
      <c r="A134" t="s">
        <v>187</v>
      </c>
      <c r="B134" t="s">
        <v>35</v>
      </c>
      <c r="C134" t="s">
        <v>55</v>
      </c>
      <c r="D134">
        <v>9</v>
      </c>
      <c r="E134" s="6">
        <v>50</v>
      </c>
      <c r="F134" s="7">
        <v>45307</v>
      </c>
      <c r="G134" t="s">
        <v>64</v>
      </c>
      <c r="H134" t="s">
        <v>49</v>
      </c>
    </row>
    <row r="135" spans="1:8" x14ac:dyDescent="0.45">
      <c r="A135" t="s">
        <v>188</v>
      </c>
      <c r="B135" t="s">
        <v>40</v>
      </c>
      <c r="C135" t="s">
        <v>55</v>
      </c>
      <c r="D135">
        <v>11</v>
      </c>
      <c r="E135" s="6">
        <v>200</v>
      </c>
      <c r="F135" s="7">
        <v>45386</v>
      </c>
      <c r="G135" t="s">
        <v>64</v>
      </c>
      <c r="H135" t="s">
        <v>56</v>
      </c>
    </row>
    <row r="136" spans="1:8" x14ac:dyDescent="0.45">
      <c r="A136" t="s">
        <v>189</v>
      </c>
      <c r="B136" t="s">
        <v>44</v>
      </c>
      <c r="C136" t="s">
        <v>41</v>
      </c>
      <c r="D136">
        <v>6</v>
      </c>
      <c r="E136" s="6">
        <v>100</v>
      </c>
      <c r="F136" s="7">
        <v>44933</v>
      </c>
      <c r="G136" t="s">
        <v>37</v>
      </c>
      <c r="H136" t="s">
        <v>56</v>
      </c>
    </row>
    <row r="137" spans="1:8" x14ac:dyDescent="0.45">
      <c r="A137" t="s">
        <v>190</v>
      </c>
      <c r="B137" t="s">
        <v>44</v>
      </c>
      <c r="C137" t="s">
        <v>48</v>
      </c>
      <c r="D137">
        <v>13</v>
      </c>
      <c r="E137" s="6">
        <v>75</v>
      </c>
      <c r="F137" s="7">
        <v>44955</v>
      </c>
      <c r="G137" t="s">
        <v>60</v>
      </c>
      <c r="H137" t="s">
        <v>38</v>
      </c>
    </row>
    <row r="138" spans="1:8" x14ac:dyDescent="0.45">
      <c r="A138" t="s">
        <v>191</v>
      </c>
      <c r="B138" t="s">
        <v>35</v>
      </c>
      <c r="C138" t="s">
        <v>36</v>
      </c>
      <c r="D138">
        <v>7</v>
      </c>
      <c r="E138" s="6">
        <v>75</v>
      </c>
      <c r="F138" s="7">
        <v>44959</v>
      </c>
      <c r="G138" t="s">
        <v>64</v>
      </c>
      <c r="H138" t="s">
        <v>53</v>
      </c>
    </row>
    <row r="139" spans="1:8" x14ac:dyDescent="0.45">
      <c r="A139" t="s">
        <v>192</v>
      </c>
      <c r="B139" t="s">
        <v>52</v>
      </c>
      <c r="C139" t="s">
        <v>55</v>
      </c>
      <c r="D139">
        <v>1</v>
      </c>
      <c r="E139" s="6">
        <v>100</v>
      </c>
      <c r="F139" s="7">
        <v>45005</v>
      </c>
      <c r="G139" t="s">
        <v>37</v>
      </c>
      <c r="H139" t="s">
        <v>38</v>
      </c>
    </row>
    <row r="140" spans="1:8" x14ac:dyDescent="0.45">
      <c r="A140" t="s">
        <v>193</v>
      </c>
      <c r="B140" t="s">
        <v>52</v>
      </c>
      <c r="C140" t="s">
        <v>48</v>
      </c>
      <c r="D140">
        <v>12</v>
      </c>
      <c r="E140" s="6">
        <v>75</v>
      </c>
      <c r="F140" s="7">
        <v>45385</v>
      </c>
      <c r="G140" t="s">
        <v>64</v>
      </c>
      <c r="H140" t="s">
        <v>38</v>
      </c>
    </row>
    <row r="141" spans="1:8" x14ac:dyDescent="0.45">
      <c r="A141" t="s">
        <v>194</v>
      </c>
      <c r="B141" t="s">
        <v>40</v>
      </c>
      <c r="C141" t="s">
        <v>59</v>
      </c>
      <c r="D141">
        <v>9</v>
      </c>
      <c r="E141" s="6">
        <v>150</v>
      </c>
      <c r="F141" s="7">
        <v>45464</v>
      </c>
      <c r="G141" t="s">
        <v>46</v>
      </c>
      <c r="H141" t="s">
        <v>38</v>
      </c>
    </row>
    <row r="142" spans="1:8" x14ac:dyDescent="0.45">
      <c r="A142" t="s">
        <v>195</v>
      </c>
      <c r="B142" t="s">
        <v>73</v>
      </c>
      <c r="C142" t="s">
        <v>55</v>
      </c>
      <c r="D142">
        <v>13</v>
      </c>
      <c r="E142" s="6">
        <v>50</v>
      </c>
      <c r="F142" s="7">
        <v>45408</v>
      </c>
      <c r="G142" t="s">
        <v>60</v>
      </c>
      <c r="H142" t="s">
        <v>38</v>
      </c>
    </row>
    <row r="143" spans="1:8" x14ac:dyDescent="0.45">
      <c r="A143" t="s">
        <v>196</v>
      </c>
      <c r="B143" t="s">
        <v>40</v>
      </c>
      <c r="C143" t="s">
        <v>45</v>
      </c>
      <c r="D143">
        <v>10</v>
      </c>
      <c r="E143" s="6">
        <v>150</v>
      </c>
      <c r="F143" s="7">
        <v>45356</v>
      </c>
      <c r="G143" t="s">
        <v>42</v>
      </c>
      <c r="H143" t="s">
        <v>49</v>
      </c>
    </row>
    <row r="144" spans="1:8" x14ac:dyDescent="0.45">
      <c r="A144" t="s">
        <v>197</v>
      </c>
      <c r="B144" t="s">
        <v>35</v>
      </c>
      <c r="C144" t="s">
        <v>59</v>
      </c>
      <c r="D144">
        <v>7</v>
      </c>
      <c r="E144" s="6">
        <v>75</v>
      </c>
      <c r="F144" s="7">
        <v>45211</v>
      </c>
      <c r="G144" t="s">
        <v>64</v>
      </c>
      <c r="H144" t="s">
        <v>53</v>
      </c>
    </row>
    <row r="145" spans="1:8" x14ac:dyDescent="0.45">
      <c r="A145" t="s">
        <v>198</v>
      </c>
      <c r="B145" t="s">
        <v>35</v>
      </c>
      <c r="C145" t="s">
        <v>55</v>
      </c>
      <c r="D145">
        <v>2</v>
      </c>
      <c r="E145" s="6">
        <v>200</v>
      </c>
      <c r="F145" s="7">
        <v>45442</v>
      </c>
      <c r="G145" t="s">
        <v>46</v>
      </c>
      <c r="H145" t="s">
        <v>49</v>
      </c>
    </row>
    <row r="146" spans="1:8" x14ac:dyDescent="0.45">
      <c r="A146" t="s">
        <v>199</v>
      </c>
      <c r="B146" t="s">
        <v>35</v>
      </c>
      <c r="C146" t="s">
        <v>36</v>
      </c>
      <c r="D146">
        <v>6</v>
      </c>
      <c r="E146" s="6">
        <v>50</v>
      </c>
      <c r="F146" s="7">
        <v>45025</v>
      </c>
      <c r="G146" t="s">
        <v>42</v>
      </c>
      <c r="H146" t="s">
        <v>53</v>
      </c>
    </row>
    <row r="147" spans="1:8" x14ac:dyDescent="0.45">
      <c r="A147" t="s">
        <v>200</v>
      </c>
      <c r="B147" t="s">
        <v>35</v>
      </c>
      <c r="C147" t="s">
        <v>70</v>
      </c>
      <c r="D147">
        <v>2</v>
      </c>
      <c r="E147" s="6">
        <v>50</v>
      </c>
      <c r="F147" s="7">
        <v>45323</v>
      </c>
      <c r="G147" t="s">
        <v>42</v>
      </c>
      <c r="H147" t="s">
        <v>56</v>
      </c>
    </row>
    <row r="148" spans="1:8" x14ac:dyDescent="0.45">
      <c r="A148" t="s">
        <v>201</v>
      </c>
      <c r="B148" t="s">
        <v>35</v>
      </c>
      <c r="C148" t="s">
        <v>59</v>
      </c>
      <c r="D148">
        <v>14</v>
      </c>
      <c r="E148" s="6">
        <v>100</v>
      </c>
      <c r="F148" s="7">
        <v>45415</v>
      </c>
      <c r="G148" t="s">
        <v>64</v>
      </c>
      <c r="H148" t="s">
        <v>38</v>
      </c>
    </row>
    <row r="149" spans="1:8" x14ac:dyDescent="0.45">
      <c r="A149" t="s">
        <v>202</v>
      </c>
      <c r="B149" t="s">
        <v>44</v>
      </c>
      <c r="C149" t="s">
        <v>41</v>
      </c>
      <c r="D149">
        <v>6</v>
      </c>
      <c r="E149" s="6">
        <v>100</v>
      </c>
      <c r="F149" s="7">
        <v>44965</v>
      </c>
      <c r="G149" t="s">
        <v>37</v>
      </c>
      <c r="H149" t="s">
        <v>49</v>
      </c>
    </row>
    <row r="150" spans="1:8" x14ac:dyDescent="0.45">
      <c r="A150" t="s">
        <v>203</v>
      </c>
      <c r="B150" t="s">
        <v>52</v>
      </c>
      <c r="C150" t="s">
        <v>41</v>
      </c>
      <c r="D150">
        <v>13</v>
      </c>
      <c r="E150" s="6">
        <v>200</v>
      </c>
      <c r="F150" s="7">
        <v>45197</v>
      </c>
      <c r="G150" t="s">
        <v>64</v>
      </c>
      <c r="H150" t="s">
        <v>53</v>
      </c>
    </row>
    <row r="151" spans="1:8" x14ac:dyDescent="0.45">
      <c r="A151" t="s">
        <v>204</v>
      </c>
      <c r="B151" t="s">
        <v>35</v>
      </c>
      <c r="C151" t="s">
        <v>36</v>
      </c>
      <c r="D151">
        <v>10</v>
      </c>
      <c r="E151" s="6">
        <v>50</v>
      </c>
      <c r="F151" s="7">
        <v>45083</v>
      </c>
      <c r="G151" t="s">
        <v>46</v>
      </c>
      <c r="H151" t="s">
        <v>56</v>
      </c>
    </row>
    <row r="152" spans="1:8" x14ac:dyDescent="0.45">
      <c r="A152" t="s">
        <v>205</v>
      </c>
      <c r="B152" t="s">
        <v>73</v>
      </c>
      <c r="C152" t="s">
        <v>55</v>
      </c>
      <c r="D152">
        <v>14</v>
      </c>
      <c r="E152" s="6">
        <v>200</v>
      </c>
      <c r="F152" s="7">
        <v>45001</v>
      </c>
      <c r="G152" t="s">
        <v>42</v>
      </c>
      <c r="H152" t="s">
        <v>56</v>
      </c>
    </row>
    <row r="153" spans="1:8" x14ac:dyDescent="0.45">
      <c r="A153" t="s">
        <v>206</v>
      </c>
      <c r="B153" t="s">
        <v>73</v>
      </c>
      <c r="C153" t="s">
        <v>48</v>
      </c>
      <c r="D153">
        <v>11</v>
      </c>
      <c r="E153" s="6">
        <v>100</v>
      </c>
      <c r="F153" s="7">
        <v>45056</v>
      </c>
      <c r="G153" t="s">
        <v>64</v>
      </c>
      <c r="H153" t="s">
        <v>38</v>
      </c>
    </row>
    <row r="154" spans="1:8" x14ac:dyDescent="0.45">
      <c r="A154" t="s">
        <v>207</v>
      </c>
      <c r="B154" t="s">
        <v>73</v>
      </c>
      <c r="C154" t="s">
        <v>55</v>
      </c>
      <c r="D154">
        <v>12</v>
      </c>
      <c r="E154" s="6">
        <v>100</v>
      </c>
      <c r="F154" s="7">
        <v>45010</v>
      </c>
      <c r="G154" t="s">
        <v>37</v>
      </c>
      <c r="H154" t="s">
        <v>53</v>
      </c>
    </row>
    <row r="155" spans="1:8" x14ac:dyDescent="0.45">
      <c r="A155" t="s">
        <v>208</v>
      </c>
      <c r="B155" t="s">
        <v>73</v>
      </c>
      <c r="C155" t="s">
        <v>36</v>
      </c>
      <c r="D155">
        <v>1</v>
      </c>
      <c r="E155" s="6">
        <v>50</v>
      </c>
      <c r="F155" s="7">
        <v>44948</v>
      </c>
      <c r="G155" t="s">
        <v>64</v>
      </c>
      <c r="H155" t="s">
        <v>49</v>
      </c>
    </row>
    <row r="156" spans="1:8" x14ac:dyDescent="0.45">
      <c r="A156" t="s">
        <v>209</v>
      </c>
      <c r="B156" t="s">
        <v>44</v>
      </c>
      <c r="C156" t="s">
        <v>41</v>
      </c>
      <c r="D156">
        <v>9</v>
      </c>
      <c r="E156" s="6">
        <v>150</v>
      </c>
      <c r="F156" s="7">
        <v>45385</v>
      </c>
      <c r="G156" t="s">
        <v>60</v>
      </c>
      <c r="H156" t="s">
        <v>38</v>
      </c>
    </row>
    <row r="157" spans="1:8" x14ac:dyDescent="0.45">
      <c r="A157" t="s">
        <v>210</v>
      </c>
      <c r="B157" t="s">
        <v>73</v>
      </c>
      <c r="C157" t="s">
        <v>55</v>
      </c>
      <c r="D157">
        <v>5</v>
      </c>
      <c r="E157" s="6">
        <v>75</v>
      </c>
      <c r="F157" s="7">
        <v>45465</v>
      </c>
      <c r="G157" t="s">
        <v>37</v>
      </c>
      <c r="H157" t="s">
        <v>49</v>
      </c>
    </row>
    <row r="158" spans="1:8" x14ac:dyDescent="0.45">
      <c r="A158" t="s">
        <v>211</v>
      </c>
      <c r="B158" t="s">
        <v>35</v>
      </c>
      <c r="C158" t="s">
        <v>41</v>
      </c>
      <c r="D158">
        <v>2</v>
      </c>
      <c r="E158" s="6">
        <v>100</v>
      </c>
      <c r="F158" s="7">
        <v>45308</v>
      </c>
      <c r="G158" t="s">
        <v>46</v>
      </c>
      <c r="H158" t="s">
        <v>56</v>
      </c>
    </row>
    <row r="159" spans="1:8" x14ac:dyDescent="0.45">
      <c r="A159" t="s">
        <v>212</v>
      </c>
      <c r="B159" t="s">
        <v>40</v>
      </c>
      <c r="C159" t="s">
        <v>59</v>
      </c>
      <c r="D159">
        <v>2</v>
      </c>
      <c r="E159" s="6">
        <v>100</v>
      </c>
      <c r="F159" s="7">
        <v>45366</v>
      </c>
      <c r="G159" t="s">
        <v>42</v>
      </c>
      <c r="H159" t="s">
        <v>49</v>
      </c>
    </row>
    <row r="160" spans="1:8" x14ac:dyDescent="0.45">
      <c r="A160" t="s">
        <v>213</v>
      </c>
      <c r="B160" t="s">
        <v>73</v>
      </c>
      <c r="C160" t="s">
        <v>48</v>
      </c>
      <c r="D160">
        <v>14</v>
      </c>
      <c r="E160" s="6">
        <v>150</v>
      </c>
      <c r="F160" s="7">
        <v>44947</v>
      </c>
      <c r="G160" t="s">
        <v>64</v>
      </c>
      <c r="H160" t="s">
        <v>49</v>
      </c>
    </row>
    <row r="161" spans="1:8" x14ac:dyDescent="0.45">
      <c r="A161" t="s">
        <v>214</v>
      </c>
      <c r="B161" t="s">
        <v>44</v>
      </c>
      <c r="C161" t="s">
        <v>59</v>
      </c>
      <c r="D161">
        <v>8</v>
      </c>
      <c r="E161" s="6">
        <v>150</v>
      </c>
      <c r="F161" s="7">
        <v>45229</v>
      </c>
      <c r="G161" t="s">
        <v>37</v>
      </c>
      <c r="H161" t="s">
        <v>38</v>
      </c>
    </row>
    <row r="162" spans="1:8" x14ac:dyDescent="0.45">
      <c r="A162" t="s">
        <v>215</v>
      </c>
      <c r="B162" t="s">
        <v>44</v>
      </c>
      <c r="C162" t="s">
        <v>41</v>
      </c>
      <c r="D162">
        <v>6</v>
      </c>
      <c r="E162" s="6">
        <v>200</v>
      </c>
      <c r="F162" s="7">
        <v>45010</v>
      </c>
      <c r="G162" t="s">
        <v>60</v>
      </c>
      <c r="H162" t="s">
        <v>49</v>
      </c>
    </row>
    <row r="163" spans="1:8" x14ac:dyDescent="0.45">
      <c r="A163" t="s">
        <v>216</v>
      </c>
      <c r="B163" t="s">
        <v>73</v>
      </c>
      <c r="C163" t="s">
        <v>41</v>
      </c>
      <c r="D163">
        <v>4</v>
      </c>
      <c r="E163" s="6">
        <v>200</v>
      </c>
      <c r="F163" s="7">
        <v>45379</v>
      </c>
      <c r="G163" t="s">
        <v>37</v>
      </c>
      <c r="H163" t="s">
        <v>38</v>
      </c>
    </row>
    <row r="164" spans="1:8" x14ac:dyDescent="0.45">
      <c r="A164" t="s">
        <v>217</v>
      </c>
      <c r="B164" t="s">
        <v>40</v>
      </c>
      <c r="C164" t="s">
        <v>70</v>
      </c>
      <c r="D164">
        <v>11</v>
      </c>
      <c r="E164" s="6">
        <v>75</v>
      </c>
      <c r="F164" s="7">
        <v>45313</v>
      </c>
      <c r="G164" t="s">
        <v>60</v>
      </c>
      <c r="H164" t="s">
        <v>56</v>
      </c>
    </row>
    <row r="165" spans="1:8" x14ac:dyDescent="0.45">
      <c r="A165" t="s">
        <v>218</v>
      </c>
      <c r="B165" t="s">
        <v>73</v>
      </c>
      <c r="C165" t="s">
        <v>70</v>
      </c>
      <c r="D165">
        <v>9</v>
      </c>
      <c r="E165" s="6">
        <v>75</v>
      </c>
      <c r="F165" s="7">
        <v>45433</v>
      </c>
      <c r="G165" t="s">
        <v>46</v>
      </c>
      <c r="H165" t="s">
        <v>38</v>
      </c>
    </row>
    <row r="166" spans="1:8" x14ac:dyDescent="0.45">
      <c r="A166" t="s">
        <v>219</v>
      </c>
      <c r="B166" t="s">
        <v>44</v>
      </c>
      <c r="C166" t="s">
        <v>59</v>
      </c>
      <c r="D166">
        <v>6</v>
      </c>
      <c r="E166" s="6">
        <v>50</v>
      </c>
      <c r="F166" s="7">
        <v>45183</v>
      </c>
      <c r="G166" t="s">
        <v>42</v>
      </c>
      <c r="H166" t="s">
        <v>38</v>
      </c>
    </row>
    <row r="167" spans="1:8" x14ac:dyDescent="0.45">
      <c r="A167" t="s">
        <v>220</v>
      </c>
      <c r="B167" t="s">
        <v>52</v>
      </c>
      <c r="C167" t="s">
        <v>45</v>
      </c>
      <c r="D167">
        <v>8</v>
      </c>
      <c r="E167" s="6">
        <v>200</v>
      </c>
      <c r="F167" s="7">
        <v>45453</v>
      </c>
      <c r="G167" t="s">
        <v>46</v>
      </c>
      <c r="H167" t="s">
        <v>53</v>
      </c>
    </row>
    <row r="168" spans="1:8" x14ac:dyDescent="0.45">
      <c r="A168" t="s">
        <v>221</v>
      </c>
      <c r="B168" t="s">
        <v>35</v>
      </c>
      <c r="C168" t="s">
        <v>59</v>
      </c>
      <c r="D168">
        <v>0</v>
      </c>
      <c r="E168" s="6">
        <v>100</v>
      </c>
      <c r="F168" s="7">
        <v>45088</v>
      </c>
      <c r="G168" t="s">
        <v>64</v>
      </c>
      <c r="H168" t="s">
        <v>49</v>
      </c>
    </row>
    <row r="169" spans="1:8" x14ac:dyDescent="0.45">
      <c r="A169" t="s">
        <v>222</v>
      </c>
      <c r="B169" t="s">
        <v>44</v>
      </c>
      <c r="C169" t="s">
        <v>70</v>
      </c>
      <c r="D169">
        <v>6</v>
      </c>
      <c r="E169" s="6">
        <v>200</v>
      </c>
      <c r="F169" s="7">
        <v>45089</v>
      </c>
      <c r="G169" t="s">
        <v>37</v>
      </c>
      <c r="H169" t="s">
        <v>56</v>
      </c>
    </row>
    <row r="170" spans="1:8" x14ac:dyDescent="0.45">
      <c r="A170" t="s">
        <v>223</v>
      </c>
      <c r="B170" t="s">
        <v>73</v>
      </c>
      <c r="C170" t="s">
        <v>41</v>
      </c>
      <c r="D170">
        <v>5</v>
      </c>
      <c r="E170" s="6">
        <v>100</v>
      </c>
      <c r="F170" s="7">
        <v>45450</v>
      </c>
      <c r="G170" t="s">
        <v>60</v>
      </c>
      <c r="H170" t="s">
        <v>38</v>
      </c>
    </row>
    <row r="171" spans="1:8" x14ac:dyDescent="0.45">
      <c r="A171" t="s">
        <v>224</v>
      </c>
      <c r="B171" t="s">
        <v>35</v>
      </c>
      <c r="C171" t="s">
        <v>36</v>
      </c>
      <c r="D171">
        <v>9</v>
      </c>
      <c r="E171" s="6">
        <v>150</v>
      </c>
      <c r="F171" s="7">
        <v>45197</v>
      </c>
      <c r="G171" t="s">
        <v>60</v>
      </c>
      <c r="H171" t="s">
        <v>56</v>
      </c>
    </row>
    <row r="172" spans="1:8" x14ac:dyDescent="0.45">
      <c r="A172" t="s">
        <v>225</v>
      </c>
      <c r="B172" t="s">
        <v>73</v>
      </c>
      <c r="C172" t="s">
        <v>59</v>
      </c>
      <c r="D172">
        <v>13</v>
      </c>
      <c r="E172" s="6">
        <v>200</v>
      </c>
      <c r="F172" s="7">
        <v>45418</v>
      </c>
      <c r="G172" t="s">
        <v>37</v>
      </c>
      <c r="H172" t="s">
        <v>53</v>
      </c>
    </row>
    <row r="173" spans="1:8" x14ac:dyDescent="0.45">
      <c r="A173" t="s">
        <v>226</v>
      </c>
      <c r="B173" t="s">
        <v>73</v>
      </c>
      <c r="C173" t="s">
        <v>41</v>
      </c>
      <c r="D173">
        <v>11</v>
      </c>
      <c r="E173" s="6">
        <v>150</v>
      </c>
      <c r="F173" s="7">
        <v>45134</v>
      </c>
      <c r="G173" t="s">
        <v>37</v>
      </c>
      <c r="H173" t="s">
        <v>49</v>
      </c>
    </row>
    <row r="174" spans="1:8" x14ac:dyDescent="0.45">
      <c r="A174" t="s">
        <v>227</v>
      </c>
      <c r="B174" t="s">
        <v>52</v>
      </c>
      <c r="C174" t="s">
        <v>36</v>
      </c>
      <c r="D174">
        <v>8</v>
      </c>
      <c r="E174" s="6">
        <v>75</v>
      </c>
      <c r="F174" s="7">
        <v>45465</v>
      </c>
      <c r="G174" t="s">
        <v>64</v>
      </c>
      <c r="H174" t="s">
        <v>38</v>
      </c>
    </row>
    <row r="175" spans="1:8" x14ac:dyDescent="0.45">
      <c r="A175" t="s">
        <v>228</v>
      </c>
      <c r="B175" t="s">
        <v>35</v>
      </c>
      <c r="C175" t="s">
        <v>36</v>
      </c>
      <c r="D175">
        <v>0</v>
      </c>
      <c r="E175" s="6">
        <v>75</v>
      </c>
      <c r="F175" s="7">
        <v>44986</v>
      </c>
      <c r="G175" t="s">
        <v>46</v>
      </c>
      <c r="H175" t="s">
        <v>49</v>
      </c>
    </row>
    <row r="176" spans="1:8" x14ac:dyDescent="0.45">
      <c r="A176" t="s">
        <v>229</v>
      </c>
      <c r="B176" t="s">
        <v>35</v>
      </c>
      <c r="C176" t="s">
        <v>70</v>
      </c>
      <c r="D176">
        <v>12</v>
      </c>
      <c r="E176" s="6">
        <v>50</v>
      </c>
      <c r="F176" s="7">
        <v>45356</v>
      </c>
      <c r="G176" t="s">
        <v>60</v>
      </c>
      <c r="H176" t="s">
        <v>53</v>
      </c>
    </row>
    <row r="177" spans="1:8" x14ac:dyDescent="0.45">
      <c r="A177" t="s">
        <v>230</v>
      </c>
      <c r="B177" t="s">
        <v>52</v>
      </c>
      <c r="C177" t="s">
        <v>59</v>
      </c>
      <c r="D177">
        <v>3</v>
      </c>
      <c r="E177" s="6">
        <v>200</v>
      </c>
      <c r="F177" s="7">
        <v>45235</v>
      </c>
      <c r="G177" t="s">
        <v>64</v>
      </c>
      <c r="H177" t="s">
        <v>53</v>
      </c>
    </row>
    <row r="178" spans="1:8" x14ac:dyDescent="0.45">
      <c r="A178" t="s">
        <v>231</v>
      </c>
      <c r="B178" t="s">
        <v>44</v>
      </c>
      <c r="C178" t="s">
        <v>55</v>
      </c>
      <c r="D178">
        <v>8</v>
      </c>
      <c r="E178" s="6">
        <v>150</v>
      </c>
      <c r="F178" s="7">
        <v>45446</v>
      </c>
      <c r="G178" t="s">
        <v>46</v>
      </c>
      <c r="H178" t="s">
        <v>56</v>
      </c>
    </row>
    <row r="179" spans="1:8" x14ac:dyDescent="0.45">
      <c r="A179" t="s">
        <v>232</v>
      </c>
      <c r="B179" t="s">
        <v>73</v>
      </c>
      <c r="C179" t="s">
        <v>48</v>
      </c>
      <c r="D179">
        <v>3</v>
      </c>
      <c r="E179" s="6">
        <v>100</v>
      </c>
      <c r="F179" s="7">
        <v>44953</v>
      </c>
      <c r="G179" t="s">
        <v>64</v>
      </c>
      <c r="H179" t="s">
        <v>38</v>
      </c>
    </row>
    <row r="180" spans="1:8" x14ac:dyDescent="0.45">
      <c r="A180" t="s">
        <v>233</v>
      </c>
      <c r="B180" t="s">
        <v>40</v>
      </c>
      <c r="C180" t="s">
        <v>70</v>
      </c>
      <c r="D180">
        <v>9</v>
      </c>
      <c r="E180" s="6">
        <v>75</v>
      </c>
      <c r="F180" s="7">
        <v>45125</v>
      </c>
      <c r="G180" t="s">
        <v>60</v>
      </c>
      <c r="H180" t="s">
        <v>56</v>
      </c>
    </row>
    <row r="181" spans="1:8" x14ac:dyDescent="0.45">
      <c r="A181" t="s">
        <v>234</v>
      </c>
      <c r="B181" t="s">
        <v>73</v>
      </c>
      <c r="C181" t="s">
        <v>70</v>
      </c>
      <c r="D181">
        <v>2</v>
      </c>
      <c r="E181" s="6">
        <v>75</v>
      </c>
      <c r="F181" s="7">
        <v>45313</v>
      </c>
      <c r="G181" t="s">
        <v>37</v>
      </c>
      <c r="H181" t="s">
        <v>53</v>
      </c>
    </row>
    <row r="182" spans="1:8" x14ac:dyDescent="0.45">
      <c r="A182" t="s">
        <v>235</v>
      </c>
      <c r="B182" t="s">
        <v>73</v>
      </c>
      <c r="C182" t="s">
        <v>55</v>
      </c>
      <c r="D182">
        <v>8</v>
      </c>
      <c r="E182" s="6">
        <v>100</v>
      </c>
      <c r="F182" s="7">
        <v>45275</v>
      </c>
      <c r="G182" t="s">
        <v>37</v>
      </c>
      <c r="H182" t="s">
        <v>49</v>
      </c>
    </row>
    <row r="183" spans="1:8" x14ac:dyDescent="0.45">
      <c r="A183" t="s">
        <v>236</v>
      </c>
      <c r="B183" t="s">
        <v>44</v>
      </c>
      <c r="C183" t="s">
        <v>48</v>
      </c>
      <c r="D183">
        <v>12</v>
      </c>
      <c r="E183" s="6">
        <v>150</v>
      </c>
      <c r="F183" s="7">
        <v>45462</v>
      </c>
      <c r="G183" t="s">
        <v>46</v>
      </c>
      <c r="H183" t="s">
        <v>56</v>
      </c>
    </row>
    <row r="184" spans="1:8" x14ac:dyDescent="0.45">
      <c r="A184" t="s">
        <v>237</v>
      </c>
      <c r="B184" t="s">
        <v>73</v>
      </c>
      <c r="C184" t="s">
        <v>41</v>
      </c>
      <c r="D184">
        <v>1</v>
      </c>
      <c r="E184" s="6">
        <v>150</v>
      </c>
      <c r="F184" s="7">
        <v>45304</v>
      </c>
      <c r="G184" t="s">
        <v>42</v>
      </c>
      <c r="H184" t="s">
        <v>56</v>
      </c>
    </row>
    <row r="185" spans="1:8" x14ac:dyDescent="0.45">
      <c r="A185" t="s">
        <v>238</v>
      </c>
      <c r="B185" t="s">
        <v>52</v>
      </c>
      <c r="C185" t="s">
        <v>45</v>
      </c>
      <c r="D185">
        <v>14</v>
      </c>
      <c r="E185" s="6">
        <v>200</v>
      </c>
      <c r="F185" s="7">
        <v>45453</v>
      </c>
      <c r="G185" t="s">
        <v>46</v>
      </c>
      <c r="H185" t="s">
        <v>49</v>
      </c>
    </row>
    <row r="186" spans="1:8" x14ac:dyDescent="0.45">
      <c r="A186" t="s">
        <v>239</v>
      </c>
      <c r="B186" t="s">
        <v>52</v>
      </c>
      <c r="C186" t="s">
        <v>59</v>
      </c>
      <c r="D186">
        <v>3</v>
      </c>
      <c r="E186" s="6">
        <v>200</v>
      </c>
      <c r="F186" s="7">
        <v>45079</v>
      </c>
      <c r="G186" t="s">
        <v>42</v>
      </c>
      <c r="H186" t="s">
        <v>56</v>
      </c>
    </row>
    <row r="187" spans="1:8" x14ac:dyDescent="0.45">
      <c r="A187" t="s">
        <v>240</v>
      </c>
      <c r="B187" t="s">
        <v>35</v>
      </c>
      <c r="C187" t="s">
        <v>45</v>
      </c>
      <c r="D187">
        <v>14</v>
      </c>
      <c r="E187" s="6">
        <v>50</v>
      </c>
      <c r="F187" s="7">
        <v>45132</v>
      </c>
      <c r="G187" t="s">
        <v>64</v>
      </c>
      <c r="H187" t="s">
        <v>49</v>
      </c>
    </row>
    <row r="188" spans="1:8" x14ac:dyDescent="0.45">
      <c r="A188" t="s">
        <v>241</v>
      </c>
      <c r="B188" t="s">
        <v>40</v>
      </c>
      <c r="C188" t="s">
        <v>41</v>
      </c>
      <c r="D188">
        <v>5</v>
      </c>
      <c r="E188" s="6">
        <v>75</v>
      </c>
      <c r="F188" s="7">
        <v>45381</v>
      </c>
      <c r="G188" t="s">
        <v>64</v>
      </c>
      <c r="H188" t="s">
        <v>38</v>
      </c>
    </row>
    <row r="189" spans="1:8" x14ac:dyDescent="0.45">
      <c r="A189" t="s">
        <v>242</v>
      </c>
      <c r="B189" t="s">
        <v>73</v>
      </c>
      <c r="C189" t="s">
        <v>70</v>
      </c>
      <c r="D189">
        <v>1</v>
      </c>
      <c r="E189" s="6">
        <v>200</v>
      </c>
      <c r="F189" s="7">
        <v>45199</v>
      </c>
      <c r="G189" t="s">
        <v>60</v>
      </c>
      <c r="H189" t="s">
        <v>49</v>
      </c>
    </row>
    <row r="190" spans="1:8" x14ac:dyDescent="0.45">
      <c r="A190" t="s">
        <v>243</v>
      </c>
      <c r="B190" t="s">
        <v>73</v>
      </c>
      <c r="C190" t="s">
        <v>48</v>
      </c>
      <c r="D190">
        <v>14</v>
      </c>
      <c r="E190" s="6">
        <v>150</v>
      </c>
      <c r="F190" s="7">
        <v>45162</v>
      </c>
      <c r="G190" t="s">
        <v>42</v>
      </c>
      <c r="H190" t="s">
        <v>38</v>
      </c>
    </row>
    <row r="191" spans="1:8" x14ac:dyDescent="0.45">
      <c r="A191" t="s">
        <v>244</v>
      </c>
      <c r="B191" t="s">
        <v>44</v>
      </c>
      <c r="C191" t="s">
        <v>70</v>
      </c>
      <c r="D191">
        <v>7</v>
      </c>
      <c r="E191" s="6">
        <v>100</v>
      </c>
      <c r="F191" s="7">
        <v>45447</v>
      </c>
      <c r="G191" t="s">
        <v>60</v>
      </c>
      <c r="H191" t="s">
        <v>49</v>
      </c>
    </row>
    <row r="192" spans="1:8" x14ac:dyDescent="0.45">
      <c r="A192" t="s">
        <v>245</v>
      </c>
      <c r="B192" t="s">
        <v>52</v>
      </c>
      <c r="C192" t="s">
        <v>36</v>
      </c>
      <c r="D192">
        <v>7</v>
      </c>
      <c r="E192" s="6">
        <v>150</v>
      </c>
      <c r="F192" s="7">
        <v>45427</v>
      </c>
      <c r="G192" t="s">
        <v>37</v>
      </c>
      <c r="H192" t="s">
        <v>53</v>
      </c>
    </row>
    <row r="193" spans="1:8" x14ac:dyDescent="0.45">
      <c r="A193" t="s">
        <v>246</v>
      </c>
      <c r="B193" t="s">
        <v>40</v>
      </c>
      <c r="C193" t="s">
        <v>70</v>
      </c>
      <c r="D193">
        <v>0</v>
      </c>
      <c r="E193" s="6">
        <v>75</v>
      </c>
      <c r="F193" s="7">
        <v>45043</v>
      </c>
      <c r="G193" t="s">
        <v>42</v>
      </c>
      <c r="H193" t="s">
        <v>53</v>
      </c>
    </row>
    <row r="194" spans="1:8" x14ac:dyDescent="0.45">
      <c r="A194" t="s">
        <v>247</v>
      </c>
      <c r="B194" t="s">
        <v>35</v>
      </c>
      <c r="C194" t="s">
        <v>70</v>
      </c>
      <c r="D194">
        <v>11</v>
      </c>
      <c r="E194" s="6">
        <v>150</v>
      </c>
      <c r="F194" s="7">
        <v>45312</v>
      </c>
      <c r="G194" t="s">
        <v>46</v>
      </c>
      <c r="H194" t="s">
        <v>38</v>
      </c>
    </row>
    <row r="195" spans="1:8" x14ac:dyDescent="0.45">
      <c r="A195" t="s">
        <v>248</v>
      </c>
      <c r="B195" t="s">
        <v>52</v>
      </c>
      <c r="C195" t="s">
        <v>41</v>
      </c>
      <c r="D195">
        <v>2</v>
      </c>
      <c r="E195" s="6">
        <v>50</v>
      </c>
      <c r="F195" s="7">
        <v>45270</v>
      </c>
      <c r="G195" t="s">
        <v>37</v>
      </c>
      <c r="H195" t="s">
        <v>38</v>
      </c>
    </row>
    <row r="196" spans="1:8" x14ac:dyDescent="0.45">
      <c r="A196" t="s">
        <v>249</v>
      </c>
      <c r="B196" t="s">
        <v>35</v>
      </c>
      <c r="C196" t="s">
        <v>41</v>
      </c>
      <c r="D196">
        <v>9</v>
      </c>
      <c r="E196" s="6">
        <v>75</v>
      </c>
      <c r="F196" s="7">
        <v>45321</v>
      </c>
      <c r="G196" t="s">
        <v>37</v>
      </c>
      <c r="H196" t="s">
        <v>53</v>
      </c>
    </row>
    <row r="197" spans="1:8" x14ac:dyDescent="0.45">
      <c r="A197" t="s">
        <v>250</v>
      </c>
      <c r="B197" t="s">
        <v>44</v>
      </c>
      <c r="C197" t="s">
        <v>41</v>
      </c>
      <c r="D197">
        <v>8</v>
      </c>
      <c r="E197" s="6">
        <v>100</v>
      </c>
      <c r="F197" s="7">
        <v>44990</v>
      </c>
      <c r="G197" t="s">
        <v>46</v>
      </c>
      <c r="H197" t="s">
        <v>38</v>
      </c>
    </row>
    <row r="198" spans="1:8" x14ac:dyDescent="0.45">
      <c r="A198" t="s">
        <v>251</v>
      </c>
      <c r="B198" t="s">
        <v>44</v>
      </c>
      <c r="C198" t="s">
        <v>45</v>
      </c>
      <c r="D198">
        <v>4</v>
      </c>
      <c r="E198" s="6">
        <v>50</v>
      </c>
      <c r="F198" s="7">
        <v>44998</v>
      </c>
      <c r="G198" t="s">
        <v>37</v>
      </c>
      <c r="H198" t="s">
        <v>49</v>
      </c>
    </row>
    <row r="199" spans="1:8" x14ac:dyDescent="0.45">
      <c r="A199" t="s">
        <v>252</v>
      </c>
      <c r="B199" t="s">
        <v>73</v>
      </c>
      <c r="C199" t="s">
        <v>36</v>
      </c>
      <c r="D199">
        <v>5</v>
      </c>
      <c r="E199" s="6">
        <v>75</v>
      </c>
      <c r="F199" s="7">
        <v>45200</v>
      </c>
      <c r="G199" t="s">
        <v>42</v>
      </c>
      <c r="H199" t="s">
        <v>49</v>
      </c>
    </row>
    <row r="200" spans="1:8" x14ac:dyDescent="0.45">
      <c r="A200" t="s">
        <v>253</v>
      </c>
      <c r="B200" t="s">
        <v>40</v>
      </c>
      <c r="C200" t="s">
        <v>41</v>
      </c>
      <c r="D200">
        <v>3</v>
      </c>
      <c r="E200" s="6">
        <v>100</v>
      </c>
      <c r="F200" s="7">
        <v>45246</v>
      </c>
      <c r="G200" t="s">
        <v>60</v>
      </c>
      <c r="H200" t="s">
        <v>53</v>
      </c>
    </row>
    <row r="201" spans="1:8" x14ac:dyDescent="0.45">
      <c r="A201" t="s">
        <v>254</v>
      </c>
      <c r="B201" t="s">
        <v>35</v>
      </c>
      <c r="C201" t="s">
        <v>48</v>
      </c>
      <c r="D201">
        <v>9</v>
      </c>
      <c r="E201" s="6">
        <v>50</v>
      </c>
      <c r="F201" s="7">
        <v>45264</v>
      </c>
      <c r="G201" t="s">
        <v>37</v>
      </c>
      <c r="H201" t="s">
        <v>56</v>
      </c>
    </row>
    <row r="202" spans="1:8" x14ac:dyDescent="0.45">
      <c r="A202" t="s">
        <v>255</v>
      </c>
      <c r="B202" t="s">
        <v>52</v>
      </c>
      <c r="C202" t="s">
        <v>45</v>
      </c>
      <c r="D202">
        <v>1</v>
      </c>
      <c r="E202" s="6">
        <v>50</v>
      </c>
      <c r="F202" s="7">
        <v>45292</v>
      </c>
      <c r="G202" t="s">
        <v>42</v>
      </c>
      <c r="H202" t="s">
        <v>49</v>
      </c>
    </row>
    <row r="203" spans="1:8" x14ac:dyDescent="0.45">
      <c r="A203" t="s">
        <v>256</v>
      </c>
      <c r="B203" t="s">
        <v>44</v>
      </c>
      <c r="C203" t="s">
        <v>55</v>
      </c>
      <c r="D203">
        <v>10</v>
      </c>
      <c r="E203" s="6">
        <v>75</v>
      </c>
      <c r="F203" s="7">
        <v>45421</v>
      </c>
      <c r="G203" t="s">
        <v>64</v>
      </c>
      <c r="H203" t="s">
        <v>38</v>
      </c>
    </row>
    <row r="204" spans="1:8" x14ac:dyDescent="0.45">
      <c r="A204" t="s">
        <v>257</v>
      </c>
      <c r="B204" t="s">
        <v>73</v>
      </c>
      <c r="C204" t="s">
        <v>48</v>
      </c>
      <c r="D204">
        <v>7</v>
      </c>
      <c r="E204" s="6">
        <v>200</v>
      </c>
      <c r="F204" s="7">
        <v>45092</v>
      </c>
      <c r="G204" t="s">
        <v>42</v>
      </c>
      <c r="H204" t="s">
        <v>56</v>
      </c>
    </row>
    <row r="205" spans="1:8" x14ac:dyDescent="0.45">
      <c r="A205" t="s">
        <v>258</v>
      </c>
      <c r="B205" t="s">
        <v>73</v>
      </c>
      <c r="C205" t="s">
        <v>59</v>
      </c>
      <c r="D205">
        <v>10</v>
      </c>
      <c r="E205" s="6">
        <v>50</v>
      </c>
      <c r="F205" s="7">
        <v>45470</v>
      </c>
      <c r="G205" t="s">
        <v>60</v>
      </c>
      <c r="H205" t="s">
        <v>56</v>
      </c>
    </row>
    <row r="206" spans="1:8" x14ac:dyDescent="0.45">
      <c r="A206" t="s">
        <v>259</v>
      </c>
      <c r="B206" t="s">
        <v>35</v>
      </c>
      <c r="C206" t="s">
        <v>59</v>
      </c>
      <c r="D206">
        <v>12</v>
      </c>
      <c r="E206" s="6">
        <v>50</v>
      </c>
      <c r="F206" s="7">
        <v>44937</v>
      </c>
      <c r="G206" t="s">
        <v>42</v>
      </c>
      <c r="H206" t="s">
        <v>49</v>
      </c>
    </row>
    <row r="207" spans="1:8" x14ac:dyDescent="0.45">
      <c r="A207" t="s">
        <v>260</v>
      </c>
      <c r="B207" t="s">
        <v>44</v>
      </c>
      <c r="C207" t="s">
        <v>48</v>
      </c>
      <c r="D207">
        <v>5</v>
      </c>
      <c r="E207" s="6">
        <v>100</v>
      </c>
      <c r="F207" s="7">
        <v>45227</v>
      </c>
      <c r="G207" t="s">
        <v>46</v>
      </c>
      <c r="H207" t="s">
        <v>49</v>
      </c>
    </row>
    <row r="208" spans="1:8" x14ac:dyDescent="0.45">
      <c r="A208" t="s">
        <v>261</v>
      </c>
      <c r="B208" t="s">
        <v>40</v>
      </c>
      <c r="C208" t="s">
        <v>41</v>
      </c>
      <c r="D208">
        <v>4</v>
      </c>
      <c r="E208" s="6">
        <v>150</v>
      </c>
      <c r="F208" s="7">
        <v>45028</v>
      </c>
      <c r="G208" t="s">
        <v>60</v>
      </c>
      <c r="H208" t="s">
        <v>56</v>
      </c>
    </row>
    <row r="209" spans="1:8" x14ac:dyDescent="0.45">
      <c r="A209" t="s">
        <v>262</v>
      </c>
      <c r="B209" t="s">
        <v>44</v>
      </c>
      <c r="C209" t="s">
        <v>55</v>
      </c>
      <c r="D209">
        <v>8</v>
      </c>
      <c r="E209" s="6">
        <v>75</v>
      </c>
      <c r="F209" s="7">
        <v>45351</v>
      </c>
      <c r="G209" t="s">
        <v>64</v>
      </c>
      <c r="H209" t="s">
        <v>56</v>
      </c>
    </row>
    <row r="210" spans="1:8" x14ac:dyDescent="0.45">
      <c r="A210" t="s">
        <v>263</v>
      </c>
      <c r="B210" t="s">
        <v>35</v>
      </c>
      <c r="C210" t="s">
        <v>55</v>
      </c>
      <c r="D210">
        <v>0</v>
      </c>
      <c r="E210" s="6">
        <v>75</v>
      </c>
      <c r="F210" s="7">
        <v>45318</v>
      </c>
      <c r="G210" t="s">
        <v>46</v>
      </c>
      <c r="H210" t="s">
        <v>53</v>
      </c>
    </row>
    <row r="211" spans="1:8" x14ac:dyDescent="0.45">
      <c r="A211" t="s">
        <v>264</v>
      </c>
      <c r="B211" t="s">
        <v>35</v>
      </c>
      <c r="C211" t="s">
        <v>45</v>
      </c>
      <c r="D211">
        <v>4</v>
      </c>
      <c r="E211" s="6">
        <v>200</v>
      </c>
      <c r="F211" s="7">
        <v>45140</v>
      </c>
      <c r="G211" t="s">
        <v>42</v>
      </c>
      <c r="H211" t="s">
        <v>38</v>
      </c>
    </row>
    <row r="212" spans="1:8" x14ac:dyDescent="0.45">
      <c r="A212" t="s">
        <v>265</v>
      </c>
      <c r="B212" t="s">
        <v>44</v>
      </c>
      <c r="C212" t="s">
        <v>55</v>
      </c>
      <c r="D212">
        <v>5</v>
      </c>
      <c r="E212" s="6">
        <v>200</v>
      </c>
      <c r="F212" s="7">
        <v>45014</v>
      </c>
      <c r="G212" t="s">
        <v>60</v>
      </c>
      <c r="H212" t="s">
        <v>53</v>
      </c>
    </row>
    <row r="213" spans="1:8" x14ac:dyDescent="0.45">
      <c r="A213" t="s">
        <v>266</v>
      </c>
      <c r="B213" t="s">
        <v>35</v>
      </c>
      <c r="C213" t="s">
        <v>59</v>
      </c>
      <c r="D213">
        <v>4</v>
      </c>
      <c r="E213" s="6">
        <v>75</v>
      </c>
      <c r="F213" s="7">
        <v>45327</v>
      </c>
      <c r="G213" t="s">
        <v>64</v>
      </c>
      <c r="H213" t="s">
        <v>49</v>
      </c>
    </row>
    <row r="214" spans="1:8" x14ac:dyDescent="0.45">
      <c r="A214" t="s">
        <v>267</v>
      </c>
      <c r="B214" t="s">
        <v>44</v>
      </c>
      <c r="C214" t="s">
        <v>36</v>
      </c>
      <c r="D214">
        <v>5</v>
      </c>
      <c r="E214" s="6">
        <v>200</v>
      </c>
      <c r="F214" s="7">
        <v>44972</v>
      </c>
      <c r="G214" t="s">
        <v>46</v>
      </c>
      <c r="H214" t="s">
        <v>53</v>
      </c>
    </row>
    <row r="215" spans="1:8" x14ac:dyDescent="0.45">
      <c r="A215" t="s">
        <v>268</v>
      </c>
      <c r="B215" t="s">
        <v>52</v>
      </c>
      <c r="C215" t="s">
        <v>41</v>
      </c>
      <c r="D215">
        <v>5</v>
      </c>
      <c r="E215" s="6">
        <v>100</v>
      </c>
      <c r="F215" s="7">
        <v>45389</v>
      </c>
      <c r="G215" t="s">
        <v>64</v>
      </c>
      <c r="H215" t="s">
        <v>53</v>
      </c>
    </row>
    <row r="216" spans="1:8" x14ac:dyDescent="0.45">
      <c r="A216" t="s">
        <v>269</v>
      </c>
      <c r="B216" t="s">
        <v>44</v>
      </c>
      <c r="C216" t="s">
        <v>55</v>
      </c>
      <c r="D216">
        <v>6</v>
      </c>
      <c r="E216" s="6">
        <v>75</v>
      </c>
      <c r="F216" s="7">
        <v>45236</v>
      </c>
      <c r="G216" t="s">
        <v>42</v>
      </c>
      <c r="H216" t="s">
        <v>53</v>
      </c>
    </row>
    <row r="217" spans="1:8" x14ac:dyDescent="0.45">
      <c r="A217" t="s">
        <v>270</v>
      </c>
      <c r="B217" t="s">
        <v>44</v>
      </c>
      <c r="C217" t="s">
        <v>45</v>
      </c>
      <c r="D217">
        <v>3</v>
      </c>
      <c r="E217" s="6">
        <v>200</v>
      </c>
      <c r="F217" s="7">
        <v>45012</v>
      </c>
      <c r="G217" t="s">
        <v>64</v>
      </c>
      <c r="H217" t="s">
        <v>53</v>
      </c>
    </row>
    <row r="218" spans="1:8" x14ac:dyDescent="0.45">
      <c r="A218" t="s">
        <v>271</v>
      </c>
      <c r="B218" t="s">
        <v>35</v>
      </c>
      <c r="C218" t="s">
        <v>59</v>
      </c>
      <c r="D218">
        <v>13</v>
      </c>
      <c r="E218" s="6">
        <v>75</v>
      </c>
      <c r="F218" s="7">
        <v>45018</v>
      </c>
      <c r="G218" t="s">
        <v>37</v>
      </c>
      <c r="H218" t="s">
        <v>38</v>
      </c>
    </row>
    <row r="219" spans="1:8" x14ac:dyDescent="0.45">
      <c r="A219" t="s">
        <v>272</v>
      </c>
      <c r="B219" t="s">
        <v>35</v>
      </c>
      <c r="C219" t="s">
        <v>36</v>
      </c>
      <c r="D219">
        <v>10</v>
      </c>
      <c r="E219" s="6">
        <v>150</v>
      </c>
      <c r="F219" s="7">
        <v>45168</v>
      </c>
      <c r="G219" t="s">
        <v>46</v>
      </c>
      <c r="H219" t="s">
        <v>38</v>
      </c>
    </row>
    <row r="220" spans="1:8" x14ac:dyDescent="0.45">
      <c r="A220" t="s">
        <v>273</v>
      </c>
      <c r="B220" t="s">
        <v>73</v>
      </c>
      <c r="C220" t="s">
        <v>70</v>
      </c>
      <c r="D220">
        <v>13</v>
      </c>
      <c r="E220" s="6">
        <v>50</v>
      </c>
      <c r="F220" s="7">
        <v>44928</v>
      </c>
      <c r="G220" t="s">
        <v>64</v>
      </c>
      <c r="H220" t="s">
        <v>56</v>
      </c>
    </row>
    <row r="221" spans="1:8" x14ac:dyDescent="0.45">
      <c r="A221" t="s">
        <v>274</v>
      </c>
      <c r="B221" t="s">
        <v>73</v>
      </c>
      <c r="C221" t="s">
        <v>70</v>
      </c>
      <c r="D221">
        <v>13</v>
      </c>
      <c r="E221" s="6">
        <v>75</v>
      </c>
      <c r="F221" s="7">
        <v>45151</v>
      </c>
      <c r="G221" t="s">
        <v>42</v>
      </c>
      <c r="H221" t="s">
        <v>49</v>
      </c>
    </row>
    <row r="222" spans="1:8" x14ac:dyDescent="0.45">
      <c r="A222" t="s">
        <v>275</v>
      </c>
      <c r="B222" t="s">
        <v>52</v>
      </c>
      <c r="C222" t="s">
        <v>36</v>
      </c>
      <c r="D222">
        <v>13</v>
      </c>
      <c r="E222" s="6">
        <v>50</v>
      </c>
      <c r="F222" s="7">
        <v>45042</v>
      </c>
      <c r="G222" t="s">
        <v>42</v>
      </c>
      <c r="H222" t="s">
        <v>53</v>
      </c>
    </row>
    <row r="223" spans="1:8" x14ac:dyDescent="0.45">
      <c r="A223" t="s">
        <v>276</v>
      </c>
      <c r="B223" t="s">
        <v>73</v>
      </c>
      <c r="C223" t="s">
        <v>59</v>
      </c>
      <c r="D223">
        <v>14</v>
      </c>
      <c r="E223" s="6">
        <v>200</v>
      </c>
      <c r="F223" s="7">
        <v>45029</v>
      </c>
      <c r="G223" t="s">
        <v>64</v>
      </c>
      <c r="H223" t="s">
        <v>56</v>
      </c>
    </row>
    <row r="224" spans="1:8" x14ac:dyDescent="0.45">
      <c r="A224" t="s">
        <v>277</v>
      </c>
      <c r="B224" t="s">
        <v>44</v>
      </c>
      <c r="C224" t="s">
        <v>45</v>
      </c>
      <c r="D224">
        <v>7</v>
      </c>
      <c r="E224" s="6">
        <v>50</v>
      </c>
      <c r="F224" s="7">
        <v>45120</v>
      </c>
      <c r="G224" t="s">
        <v>42</v>
      </c>
      <c r="H224" t="s">
        <v>56</v>
      </c>
    </row>
    <row r="225" spans="1:8" x14ac:dyDescent="0.45">
      <c r="A225" t="s">
        <v>278</v>
      </c>
      <c r="B225" t="s">
        <v>35</v>
      </c>
      <c r="C225" t="s">
        <v>36</v>
      </c>
      <c r="D225">
        <v>6</v>
      </c>
      <c r="E225" s="6">
        <v>75</v>
      </c>
      <c r="F225" s="7">
        <v>45092</v>
      </c>
      <c r="G225" t="s">
        <v>60</v>
      </c>
      <c r="H225" t="s">
        <v>56</v>
      </c>
    </row>
    <row r="226" spans="1:8" x14ac:dyDescent="0.45">
      <c r="A226" t="s">
        <v>279</v>
      </c>
      <c r="B226" t="s">
        <v>73</v>
      </c>
      <c r="C226" t="s">
        <v>41</v>
      </c>
      <c r="D226">
        <v>8</v>
      </c>
      <c r="E226" s="6">
        <v>150</v>
      </c>
      <c r="F226" s="7">
        <v>45016</v>
      </c>
      <c r="G226" t="s">
        <v>60</v>
      </c>
      <c r="H226" t="s">
        <v>38</v>
      </c>
    </row>
    <row r="227" spans="1:8" x14ac:dyDescent="0.45">
      <c r="A227" t="s">
        <v>280</v>
      </c>
      <c r="B227" t="s">
        <v>73</v>
      </c>
      <c r="C227" t="s">
        <v>41</v>
      </c>
      <c r="D227">
        <v>6</v>
      </c>
      <c r="E227" s="6">
        <v>200</v>
      </c>
      <c r="F227" s="7">
        <v>45048</v>
      </c>
      <c r="G227" t="s">
        <v>60</v>
      </c>
      <c r="H227" t="s">
        <v>53</v>
      </c>
    </row>
    <row r="228" spans="1:8" x14ac:dyDescent="0.45">
      <c r="A228" t="s">
        <v>281</v>
      </c>
      <c r="B228" t="s">
        <v>52</v>
      </c>
      <c r="C228" t="s">
        <v>70</v>
      </c>
      <c r="D228">
        <v>2</v>
      </c>
      <c r="E228" s="6">
        <v>75</v>
      </c>
      <c r="F228" s="7">
        <v>45069</v>
      </c>
      <c r="G228" t="s">
        <v>37</v>
      </c>
      <c r="H228" t="s">
        <v>53</v>
      </c>
    </row>
    <row r="229" spans="1:8" x14ac:dyDescent="0.45">
      <c r="A229" t="s">
        <v>282</v>
      </c>
      <c r="B229" t="s">
        <v>52</v>
      </c>
      <c r="C229" t="s">
        <v>55</v>
      </c>
      <c r="D229">
        <v>2</v>
      </c>
      <c r="E229" s="6">
        <v>200</v>
      </c>
      <c r="F229" s="7">
        <v>45032</v>
      </c>
      <c r="G229" t="s">
        <v>64</v>
      </c>
      <c r="H229" t="s">
        <v>49</v>
      </c>
    </row>
    <row r="230" spans="1:8" x14ac:dyDescent="0.45">
      <c r="A230" t="s">
        <v>283</v>
      </c>
      <c r="B230" t="s">
        <v>44</v>
      </c>
      <c r="C230" t="s">
        <v>45</v>
      </c>
      <c r="D230">
        <v>14</v>
      </c>
      <c r="E230" s="6">
        <v>100</v>
      </c>
      <c r="F230" s="7">
        <v>45354</v>
      </c>
      <c r="G230" t="s">
        <v>37</v>
      </c>
      <c r="H230" t="s">
        <v>53</v>
      </c>
    </row>
    <row r="231" spans="1:8" x14ac:dyDescent="0.45">
      <c r="A231" t="s">
        <v>284</v>
      </c>
      <c r="B231" t="s">
        <v>35</v>
      </c>
      <c r="C231" t="s">
        <v>70</v>
      </c>
      <c r="D231">
        <v>7</v>
      </c>
      <c r="E231" s="6">
        <v>50</v>
      </c>
      <c r="F231" s="7">
        <v>45231</v>
      </c>
      <c r="G231" t="s">
        <v>42</v>
      </c>
      <c r="H231" t="s">
        <v>53</v>
      </c>
    </row>
    <row r="232" spans="1:8" x14ac:dyDescent="0.45">
      <c r="A232" t="s">
        <v>285</v>
      </c>
      <c r="B232" t="s">
        <v>52</v>
      </c>
      <c r="C232" t="s">
        <v>55</v>
      </c>
      <c r="D232">
        <v>4</v>
      </c>
      <c r="E232" s="6">
        <v>100</v>
      </c>
      <c r="F232" s="7">
        <v>45243</v>
      </c>
      <c r="G232" t="s">
        <v>37</v>
      </c>
      <c r="H232" t="s">
        <v>56</v>
      </c>
    </row>
    <row r="233" spans="1:8" x14ac:dyDescent="0.45">
      <c r="A233" t="s">
        <v>286</v>
      </c>
      <c r="B233" t="s">
        <v>73</v>
      </c>
      <c r="C233" t="s">
        <v>55</v>
      </c>
      <c r="D233">
        <v>3</v>
      </c>
      <c r="E233" s="6">
        <v>75</v>
      </c>
      <c r="F233" s="7">
        <v>44935</v>
      </c>
      <c r="G233" t="s">
        <v>42</v>
      </c>
      <c r="H233" t="s">
        <v>49</v>
      </c>
    </row>
    <row r="234" spans="1:8" x14ac:dyDescent="0.45">
      <c r="A234" t="s">
        <v>287</v>
      </c>
      <c r="B234" t="s">
        <v>35</v>
      </c>
      <c r="C234" t="s">
        <v>41</v>
      </c>
      <c r="D234">
        <v>7</v>
      </c>
      <c r="E234" s="6">
        <v>150</v>
      </c>
      <c r="F234" s="7">
        <v>44999</v>
      </c>
      <c r="G234" t="s">
        <v>42</v>
      </c>
      <c r="H234" t="s">
        <v>53</v>
      </c>
    </row>
    <row r="235" spans="1:8" x14ac:dyDescent="0.45">
      <c r="A235" t="s">
        <v>288</v>
      </c>
      <c r="B235" t="s">
        <v>35</v>
      </c>
      <c r="C235" t="s">
        <v>59</v>
      </c>
      <c r="D235">
        <v>14</v>
      </c>
      <c r="E235" s="6">
        <v>200</v>
      </c>
      <c r="F235" s="7">
        <v>45285</v>
      </c>
      <c r="G235" t="s">
        <v>46</v>
      </c>
      <c r="H235" t="s">
        <v>38</v>
      </c>
    </row>
    <row r="236" spans="1:8" x14ac:dyDescent="0.45">
      <c r="A236" t="s">
        <v>289</v>
      </c>
      <c r="B236" t="s">
        <v>73</v>
      </c>
      <c r="C236" t="s">
        <v>48</v>
      </c>
      <c r="D236">
        <v>5</v>
      </c>
      <c r="E236" s="6">
        <v>50</v>
      </c>
      <c r="F236" s="7">
        <v>45149</v>
      </c>
      <c r="G236" t="s">
        <v>60</v>
      </c>
      <c r="H236" t="s">
        <v>53</v>
      </c>
    </row>
    <row r="237" spans="1:8" x14ac:dyDescent="0.45">
      <c r="A237" t="s">
        <v>290</v>
      </c>
      <c r="B237" t="s">
        <v>52</v>
      </c>
      <c r="C237" t="s">
        <v>59</v>
      </c>
      <c r="D237">
        <v>1</v>
      </c>
      <c r="E237" s="6">
        <v>200</v>
      </c>
      <c r="F237" s="7">
        <v>45342</v>
      </c>
      <c r="G237" t="s">
        <v>42</v>
      </c>
      <c r="H237" t="s">
        <v>56</v>
      </c>
    </row>
    <row r="238" spans="1:8" x14ac:dyDescent="0.45">
      <c r="A238" t="s">
        <v>291</v>
      </c>
      <c r="B238" t="s">
        <v>73</v>
      </c>
      <c r="C238" t="s">
        <v>48</v>
      </c>
      <c r="D238">
        <v>3</v>
      </c>
      <c r="E238" s="6">
        <v>75</v>
      </c>
      <c r="F238" s="7">
        <v>45296</v>
      </c>
      <c r="G238" t="s">
        <v>46</v>
      </c>
      <c r="H238" t="s">
        <v>38</v>
      </c>
    </row>
    <row r="239" spans="1:8" x14ac:dyDescent="0.45">
      <c r="A239" t="s">
        <v>292</v>
      </c>
      <c r="B239" t="s">
        <v>35</v>
      </c>
      <c r="C239" t="s">
        <v>36</v>
      </c>
      <c r="D239">
        <v>11</v>
      </c>
      <c r="E239" s="6">
        <v>200</v>
      </c>
      <c r="F239" s="7">
        <v>45190</v>
      </c>
      <c r="G239" t="s">
        <v>60</v>
      </c>
      <c r="H239" t="s">
        <v>56</v>
      </c>
    </row>
    <row r="240" spans="1:8" x14ac:dyDescent="0.45">
      <c r="A240" t="s">
        <v>293</v>
      </c>
      <c r="B240" t="s">
        <v>40</v>
      </c>
      <c r="C240" t="s">
        <v>41</v>
      </c>
      <c r="D240">
        <v>10</v>
      </c>
      <c r="E240" s="6">
        <v>50</v>
      </c>
      <c r="F240" s="7">
        <v>45244</v>
      </c>
      <c r="G240" t="s">
        <v>42</v>
      </c>
      <c r="H240" t="s">
        <v>53</v>
      </c>
    </row>
    <row r="241" spans="1:8" x14ac:dyDescent="0.45">
      <c r="A241" t="s">
        <v>294</v>
      </c>
      <c r="B241" t="s">
        <v>40</v>
      </c>
      <c r="C241" t="s">
        <v>55</v>
      </c>
      <c r="D241">
        <v>3</v>
      </c>
      <c r="E241" s="6">
        <v>75</v>
      </c>
      <c r="F241" s="7">
        <v>45010</v>
      </c>
      <c r="G241" t="s">
        <v>42</v>
      </c>
      <c r="H241" t="s">
        <v>38</v>
      </c>
    </row>
    <row r="242" spans="1:8" x14ac:dyDescent="0.45">
      <c r="A242" t="s">
        <v>295</v>
      </c>
      <c r="B242" t="s">
        <v>44</v>
      </c>
      <c r="C242" t="s">
        <v>45</v>
      </c>
      <c r="D242">
        <v>14</v>
      </c>
      <c r="E242" s="6">
        <v>200</v>
      </c>
      <c r="F242" s="7">
        <v>45244</v>
      </c>
      <c r="G242" t="s">
        <v>37</v>
      </c>
      <c r="H242" t="s">
        <v>49</v>
      </c>
    </row>
    <row r="243" spans="1:8" x14ac:dyDescent="0.45">
      <c r="A243" t="s">
        <v>296</v>
      </c>
      <c r="B243" t="s">
        <v>73</v>
      </c>
      <c r="C243" t="s">
        <v>48</v>
      </c>
      <c r="D243">
        <v>5</v>
      </c>
      <c r="E243" s="6">
        <v>150</v>
      </c>
      <c r="F243" s="7">
        <v>45037</v>
      </c>
      <c r="G243" t="s">
        <v>37</v>
      </c>
      <c r="H243" t="s">
        <v>49</v>
      </c>
    </row>
    <row r="244" spans="1:8" x14ac:dyDescent="0.45">
      <c r="A244" t="s">
        <v>297</v>
      </c>
      <c r="B244" t="s">
        <v>73</v>
      </c>
      <c r="C244" t="s">
        <v>59</v>
      </c>
      <c r="D244">
        <v>5</v>
      </c>
      <c r="E244" s="6">
        <v>75</v>
      </c>
      <c r="F244" s="7">
        <v>45177</v>
      </c>
      <c r="G244" t="s">
        <v>60</v>
      </c>
      <c r="H244" t="s">
        <v>38</v>
      </c>
    </row>
    <row r="245" spans="1:8" x14ac:dyDescent="0.45">
      <c r="A245" t="s">
        <v>298</v>
      </c>
      <c r="B245" t="s">
        <v>44</v>
      </c>
      <c r="C245" t="s">
        <v>55</v>
      </c>
      <c r="D245">
        <v>0</v>
      </c>
      <c r="E245" s="6">
        <v>75</v>
      </c>
      <c r="F245" s="7">
        <v>45309</v>
      </c>
      <c r="G245" t="s">
        <v>42</v>
      </c>
      <c r="H245" t="s">
        <v>38</v>
      </c>
    </row>
    <row r="246" spans="1:8" x14ac:dyDescent="0.45">
      <c r="A246" t="s">
        <v>299</v>
      </c>
      <c r="B246" t="s">
        <v>44</v>
      </c>
      <c r="C246" t="s">
        <v>48</v>
      </c>
      <c r="D246">
        <v>13</v>
      </c>
      <c r="E246" s="6">
        <v>150</v>
      </c>
      <c r="F246" s="7">
        <v>44933</v>
      </c>
      <c r="G246" t="s">
        <v>64</v>
      </c>
      <c r="H246" t="s">
        <v>56</v>
      </c>
    </row>
    <row r="247" spans="1:8" x14ac:dyDescent="0.45">
      <c r="A247" t="s">
        <v>300</v>
      </c>
      <c r="B247" t="s">
        <v>44</v>
      </c>
      <c r="C247" t="s">
        <v>48</v>
      </c>
      <c r="D247">
        <v>7</v>
      </c>
      <c r="E247" s="6">
        <v>100</v>
      </c>
      <c r="F247" s="7">
        <v>45385</v>
      </c>
      <c r="G247" t="s">
        <v>37</v>
      </c>
      <c r="H247" t="s">
        <v>38</v>
      </c>
    </row>
    <row r="248" spans="1:8" x14ac:dyDescent="0.45">
      <c r="A248" t="s">
        <v>301</v>
      </c>
      <c r="B248" t="s">
        <v>35</v>
      </c>
      <c r="C248" t="s">
        <v>48</v>
      </c>
      <c r="D248">
        <v>5</v>
      </c>
      <c r="E248" s="6">
        <v>50</v>
      </c>
      <c r="F248" s="7">
        <v>45010</v>
      </c>
      <c r="G248" t="s">
        <v>60</v>
      </c>
      <c r="H248" t="s">
        <v>56</v>
      </c>
    </row>
    <row r="249" spans="1:8" x14ac:dyDescent="0.45">
      <c r="A249" t="s">
        <v>302</v>
      </c>
      <c r="B249" t="s">
        <v>73</v>
      </c>
      <c r="C249" t="s">
        <v>45</v>
      </c>
      <c r="D249">
        <v>2</v>
      </c>
      <c r="E249" s="6">
        <v>100</v>
      </c>
      <c r="F249" s="7">
        <v>45134</v>
      </c>
      <c r="G249" t="s">
        <v>42</v>
      </c>
      <c r="H249" t="s">
        <v>53</v>
      </c>
    </row>
    <row r="250" spans="1:8" x14ac:dyDescent="0.45">
      <c r="A250" t="s">
        <v>303</v>
      </c>
      <c r="B250" t="s">
        <v>35</v>
      </c>
      <c r="C250" t="s">
        <v>41</v>
      </c>
      <c r="D250">
        <v>13</v>
      </c>
      <c r="E250" s="6">
        <v>200</v>
      </c>
      <c r="F250" s="7">
        <v>45316</v>
      </c>
      <c r="G250" t="s">
        <v>42</v>
      </c>
      <c r="H250" t="s">
        <v>56</v>
      </c>
    </row>
    <row r="251" spans="1:8" x14ac:dyDescent="0.45">
      <c r="A251" t="s">
        <v>304</v>
      </c>
      <c r="B251" t="s">
        <v>44</v>
      </c>
      <c r="C251" t="s">
        <v>45</v>
      </c>
      <c r="D251">
        <v>8</v>
      </c>
      <c r="E251" s="6">
        <v>150</v>
      </c>
      <c r="F251" s="7">
        <v>45240</v>
      </c>
      <c r="G251" t="s">
        <v>64</v>
      </c>
      <c r="H251" t="s">
        <v>38</v>
      </c>
    </row>
    <row r="252" spans="1:8" x14ac:dyDescent="0.45">
      <c r="A252" t="s">
        <v>305</v>
      </c>
      <c r="B252" t="s">
        <v>73</v>
      </c>
      <c r="C252" t="s">
        <v>70</v>
      </c>
      <c r="D252">
        <v>1</v>
      </c>
      <c r="E252" s="6">
        <v>100</v>
      </c>
      <c r="F252" s="7">
        <v>44948</v>
      </c>
      <c r="G252" t="s">
        <v>60</v>
      </c>
      <c r="H252" t="s">
        <v>38</v>
      </c>
    </row>
    <row r="253" spans="1:8" x14ac:dyDescent="0.45">
      <c r="A253" t="s">
        <v>306</v>
      </c>
      <c r="B253" t="s">
        <v>35</v>
      </c>
      <c r="C253" t="s">
        <v>55</v>
      </c>
      <c r="D253">
        <v>14</v>
      </c>
      <c r="E253" s="6">
        <v>75</v>
      </c>
      <c r="F253" s="7">
        <v>45336</v>
      </c>
      <c r="G253" t="s">
        <v>42</v>
      </c>
      <c r="H253" t="s">
        <v>53</v>
      </c>
    </row>
    <row r="254" spans="1:8" x14ac:dyDescent="0.45">
      <c r="A254" t="s">
        <v>307</v>
      </c>
      <c r="B254" t="s">
        <v>35</v>
      </c>
      <c r="C254" t="s">
        <v>41</v>
      </c>
      <c r="D254">
        <v>10</v>
      </c>
      <c r="E254" s="6">
        <v>200</v>
      </c>
      <c r="F254" s="7">
        <v>45441</v>
      </c>
      <c r="G254" t="s">
        <v>37</v>
      </c>
      <c r="H254" t="s">
        <v>38</v>
      </c>
    </row>
    <row r="255" spans="1:8" x14ac:dyDescent="0.45">
      <c r="A255" t="s">
        <v>308</v>
      </c>
      <c r="B255" t="s">
        <v>44</v>
      </c>
      <c r="C255" t="s">
        <v>41</v>
      </c>
      <c r="D255">
        <v>7</v>
      </c>
      <c r="E255" s="6">
        <v>200</v>
      </c>
      <c r="F255" s="7">
        <v>45053</v>
      </c>
      <c r="G255" t="s">
        <v>64</v>
      </c>
      <c r="H255" t="s">
        <v>38</v>
      </c>
    </row>
    <row r="256" spans="1:8" x14ac:dyDescent="0.45">
      <c r="A256" t="s">
        <v>309</v>
      </c>
      <c r="B256" t="s">
        <v>73</v>
      </c>
      <c r="C256" t="s">
        <v>41</v>
      </c>
      <c r="D256">
        <v>9</v>
      </c>
      <c r="E256" s="6">
        <v>100</v>
      </c>
      <c r="F256" s="7">
        <v>44940</v>
      </c>
      <c r="G256" t="s">
        <v>60</v>
      </c>
      <c r="H256" t="s">
        <v>49</v>
      </c>
    </row>
    <row r="257" spans="1:8" x14ac:dyDescent="0.45">
      <c r="A257" t="s">
        <v>310</v>
      </c>
      <c r="B257" t="s">
        <v>44</v>
      </c>
      <c r="C257" t="s">
        <v>59</v>
      </c>
      <c r="D257">
        <v>2</v>
      </c>
      <c r="E257" s="6">
        <v>100</v>
      </c>
      <c r="F257" s="7">
        <v>44938</v>
      </c>
      <c r="G257" t="s">
        <v>64</v>
      </c>
      <c r="H257" t="s">
        <v>49</v>
      </c>
    </row>
    <row r="258" spans="1:8" x14ac:dyDescent="0.45">
      <c r="A258" t="s">
        <v>311</v>
      </c>
      <c r="B258" t="s">
        <v>73</v>
      </c>
      <c r="C258" t="s">
        <v>41</v>
      </c>
      <c r="D258">
        <v>12</v>
      </c>
      <c r="E258" s="6">
        <v>150</v>
      </c>
      <c r="F258" s="7">
        <v>45013</v>
      </c>
      <c r="G258" t="s">
        <v>37</v>
      </c>
      <c r="H258" t="s">
        <v>53</v>
      </c>
    </row>
    <row r="259" spans="1:8" x14ac:dyDescent="0.45">
      <c r="A259" t="s">
        <v>312</v>
      </c>
      <c r="B259" t="s">
        <v>40</v>
      </c>
      <c r="C259" t="s">
        <v>45</v>
      </c>
      <c r="D259">
        <v>11</v>
      </c>
      <c r="E259" s="6">
        <v>50</v>
      </c>
      <c r="F259" s="7">
        <v>45450</v>
      </c>
      <c r="G259" t="s">
        <v>60</v>
      </c>
      <c r="H259" t="s">
        <v>56</v>
      </c>
    </row>
    <row r="260" spans="1:8" x14ac:dyDescent="0.45">
      <c r="A260" t="s">
        <v>313</v>
      </c>
      <c r="B260" t="s">
        <v>52</v>
      </c>
      <c r="C260" t="s">
        <v>41</v>
      </c>
      <c r="D260">
        <v>4</v>
      </c>
      <c r="E260" s="6">
        <v>100</v>
      </c>
      <c r="F260" s="7">
        <v>45463</v>
      </c>
      <c r="G260" t="s">
        <v>64</v>
      </c>
      <c r="H260" t="s">
        <v>49</v>
      </c>
    </row>
    <row r="261" spans="1:8" x14ac:dyDescent="0.45">
      <c r="A261" t="s">
        <v>314</v>
      </c>
      <c r="B261" t="s">
        <v>52</v>
      </c>
      <c r="C261" t="s">
        <v>36</v>
      </c>
      <c r="D261">
        <v>5</v>
      </c>
      <c r="E261" s="6">
        <v>100</v>
      </c>
      <c r="F261" s="7">
        <v>45227</v>
      </c>
      <c r="G261" t="s">
        <v>46</v>
      </c>
      <c r="H261" t="s">
        <v>56</v>
      </c>
    </row>
    <row r="262" spans="1:8" x14ac:dyDescent="0.45">
      <c r="A262" t="s">
        <v>315</v>
      </c>
      <c r="B262" t="s">
        <v>52</v>
      </c>
      <c r="C262" t="s">
        <v>55</v>
      </c>
      <c r="D262">
        <v>9</v>
      </c>
      <c r="E262" s="6">
        <v>75</v>
      </c>
      <c r="F262" s="7">
        <v>45169</v>
      </c>
      <c r="G262" t="s">
        <v>37</v>
      </c>
      <c r="H262" t="s">
        <v>38</v>
      </c>
    </row>
    <row r="263" spans="1:8" x14ac:dyDescent="0.45">
      <c r="A263" t="s">
        <v>316</v>
      </c>
      <c r="B263" t="s">
        <v>44</v>
      </c>
      <c r="C263" t="s">
        <v>41</v>
      </c>
      <c r="D263">
        <v>5</v>
      </c>
      <c r="E263" s="6">
        <v>200</v>
      </c>
      <c r="F263" s="7">
        <v>45048</v>
      </c>
      <c r="G263" t="s">
        <v>37</v>
      </c>
      <c r="H263" t="s">
        <v>49</v>
      </c>
    </row>
    <row r="264" spans="1:8" x14ac:dyDescent="0.45">
      <c r="A264" t="s">
        <v>317</v>
      </c>
      <c r="B264" t="s">
        <v>40</v>
      </c>
      <c r="C264" t="s">
        <v>55</v>
      </c>
      <c r="D264">
        <v>3</v>
      </c>
      <c r="E264" s="6">
        <v>50</v>
      </c>
      <c r="F264" s="7">
        <v>45073</v>
      </c>
      <c r="G264" t="s">
        <v>37</v>
      </c>
      <c r="H264" t="s">
        <v>53</v>
      </c>
    </row>
    <row r="265" spans="1:8" x14ac:dyDescent="0.45">
      <c r="A265" t="s">
        <v>318</v>
      </c>
      <c r="B265" t="s">
        <v>73</v>
      </c>
      <c r="C265" t="s">
        <v>36</v>
      </c>
      <c r="D265">
        <v>2</v>
      </c>
      <c r="E265" s="6">
        <v>75</v>
      </c>
      <c r="F265" s="7">
        <v>45282</v>
      </c>
      <c r="G265" t="s">
        <v>46</v>
      </c>
      <c r="H265" t="s">
        <v>53</v>
      </c>
    </row>
    <row r="266" spans="1:8" x14ac:dyDescent="0.45">
      <c r="A266" t="s">
        <v>319</v>
      </c>
      <c r="B266" t="s">
        <v>35</v>
      </c>
      <c r="C266" t="s">
        <v>36</v>
      </c>
      <c r="D266">
        <v>3</v>
      </c>
      <c r="E266" s="6">
        <v>150</v>
      </c>
      <c r="F266" s="7">
        <v>45235</v>
      </c>
      <c r="G266" t="s">
        <v>46</v>
      </c>
      <c r="H266" t="s">
        <v>53</v>
      </c>
    </row>
    <row r="267" spans="1:8" x14ac:dyDescent="0.45">
      <c r="A267" t="s">
        <v>320</v>
      </c>
      <c r="B267" t="s">
        <v>73</v>
      </c>
      <c r="C267" t="s">
        <v>55</v>
      </c>
      <c r="D267">
        <v>0</v>
      </c>
      <c r="E267" s="6">
        <v>150</v>
      </c>
      <c r="F267" s="7">
        <v>45214</v>
      </c>
      <c r="G267" t="s">
        <v>42</v>
      </c>
      <c r="H267" t="s">
        <v>49</v>
      </c>
    </row>
    <row r="268" spans="1:8" x14ac:dyDescent="0.45">
      <c r="A268" t="s">
        <v>321</v>
      </c>
      <c r="B268" t="s">
        <v>35</v>
      </c>
      <c r="C268" t="s">
        <v>48</v>
      </c>
      <c r="D268">
        <v>3</v>
      </c>
      <c r="E268" s="6">
        <v>100</v>
      </c>
      <c r="F268" s="7">
        <v>45233</v>
      </c>
      <c r="G268" t="s">
        <v>64</v>
      </c>
      <c r="H268" t="s">
        <v>56</v>
      </c>
    </row>
    <row r="269" spans="1:8" x14ac:dyDescent="0.45">
      <c r="A269" t="s">
        <v>322</v>
      </c>
      <c r="B269" t="s">
        <v>73</v>
      </c>
      <c r="C269" t="s">
        <v>70</v>
      </c>
      <c r="D269">
        <v>0</v>
      </c>
      <c r="E269" s="6">
        <v>100</v>
      </c>
      <c r="F269" s="7">
        <v>45278</v>
      </c>
      <c r="G269" t="s">
        <v>42</v>
      </c>
      <c r="H269" t="s">
        <v>38</v>
      </c>
    </row>
    <row r="270" spans="1:8" x14ac:dyDescent="0.45">
      <c r="A270" t="s">
        <v>323</v>
      </c>
      <c r="B270" t="s">
        <v>40</v>
      </c>
      <c r="C270" t="s">
        <v>59</v>
      </c>
      <c r="D270">
        <v>11</v>
      </c>
      <c r="E270" s="6">
        <v>150</v>
      </c>
      <c r="F270" s="7">
        <v>45238</v>
      </c>
      <c r="G270" t="s">
        <v>64</v>
      </c>
      <c r="H270" t="s">
        <v>56</v>
      </c>
    </row>
    <row r="271" spans="1:8" x14ac:dyDescent="0.45">
      <c r="A271" t="s">
        <v>324</v>
      </c>
      <c r="B271" t="s">
        <v>35</v>
      </c>
      <c r="C271" t="s">
        <v>48</v>
      </c>
      <c r="D271">
        <v>14</v>
      </c>
      <c r="E271" s="6">
        <v>100</v>
      </c>
      <c r="F271" s="7">
        <v>44985</v>
      </c>
      <c r="G271" t="s">
        <v>46</v>
      </c>
      <c r="H271" t="s">
        <v>56</v>
      </c>
    </row>
    <row r="272" spans="1:8" x14ac:dyDescent="0.45">
      <c r="A272" t="s">
        <v>325</v>
      </c>
      <c r="B272" t="s">
        <v>44</v>
      </c>
      <c r="C272" t="s">
        <v>48</v>
      </c>
      <c r="D272">
        <v>0</v>
      </c>
      <c r="E272" s="6">
        <v>50</v>
      </c>
      <c r="F272" s="7">
        <v>44961</v>
      </c>
      <c r="G272" t="s">
        <v>46</v>
      </c>
      <c r="H272" t="s">
        <v>38</v>
      </c>
    </row>
    <row r="273" spans="1:8" x14ac:dyDescent="0.45">
      <c r="A273" t="s">
        <v>326</v>
      </c>
      <c r="B273" t="s">
        <v>73</v>
      </c>
      <c r="C273" t="s">
        <v>45</v>
      </c>
      <c r="D273">
        <v>9</v>
      </c>
      <c r="E273" s="6">
        <v>100</v>
      </c>
      <c r="F273" s="7">
        <v>45371</v>
      </c>
      <c r="G273" t="s">
        <v>42</v>
      </c>
      <c r="H273" t="s">
        <v>38</v>
      </c>
    </row>
    <row r="274" spans="1:8" x14ac:dyDescent="0.45">
      <c r="A274" t="s">
        <v>327</v>
      </c>
      <c r="B274" t="s">
        <v>73</v>
      </c>
      <c r="C274" t="s">
        <v>59</v>
      </c>
      <c r="D274">
        <v>13</v>
      </c>
      <c r="E274" s="6">
        <v>200</v>
      </c>
      <c r="F274" s="7">
        <v>45019</v>
      </c>
      <c r="G274" t="s">
        <v>60</v>
      </c>
      <c r="H274" t="s">
        <v>49</v>
      </c>
    </row>
    <row r="275" spans="1:8" x14ac:dyDescent="0.45">
      <c r="A275" t="s">
        <v>328</v>
      </c>
      <c r="B275" t="s">
        <v>35</v>
      </c>
      <c r="C275" t="s">
        <v>59</v>
      </c>
      <c r="D275">
        <v>5</v>
      </c>
      <c r="E275" s="6">
        <v>100</v>
      </c>
      <c r="F275" s="7">
        <v>45133</v>
      </c>
      <c r="G275" t="s">
        <v>42</v>
      </c>
      <c r="H275" t="s">
        <v>49</v>
      </c>
    </row>
    <row r="276" spans="1:8" x14ac:dyDescent="0.45">
      <c r="A276" t="s">
        <v>329</v>
      </c>
      <c r="B276" t="s">
        <v>44</v>
      </c>
      <c r="C276" t="s">
        <v>48</v>
      </c>
      <c r="D276">
        <v>4</v>
      </c>
      <c r="E276" s="6">
        <v>75</v>
      </c>
      <c r="F276" s="7">
        <v>45279</v>
      </c>
      <c r="G276" t="s">
        <v>64</v>
      </c>
      <c r="H276" t="s">
        <v>49</v>
      </c>
    </row>
    <row r="277" spans="1:8" x14ac:dyDescent="0.45">
      <c r="A277" t="s">
        <v>330</v>
      </c>
      <c r="B277" t="s">
        <v>44</v>
      </c>
      <c r="C277" t="s">
        <v>41</v>
      </c>
      <c r="D277">
        <v>13</v>
      </c>
      <c r="E277" s="6">
        <v>50</v>
      </c>
      <c r="F277" s="7">
        <v>45258</v>
      </c>
      <c r="G277" t="s">
        <v>42</v>
      </c>
      <c r="H277" t="s">
        <v>49</v>
      </c>
    </row>
    <row r="278" spans="1:8" x14ac:dyDescent="0.45">
      <c r="A278" t="s">
        <v>331</v>
      </c>
      <c r="B278" t="s">
        <v>40</v>
      </c>
      <c r="C278" t="s">
        <v>45</v>
      </c>
      <c r="D278">
        <v>10</v>
      </c>
      <c r="E278" s="6">
        <v>75</v>
      </c>
      <c r="F278" s="7">
        <v>45085</v>
      </c>
      <c r="G278" t="s">
        <v>37</v>
      </c>
      <c r="H278" t="s">
        <v>49</v>
      </c>
    </row>
    <row r="279" spans="1:8" x14ac:dyDescent="0.45">
      <c r="A279" t="s">
        <v>332</v>
      </c>
      <c r="B279" t="s">
        <v>44</v>
      </c>
      <c r="C279" t="s">
        <v>45</v>
      </c>
      <c r="D279">
        <v>14</v>
      </c>
      <c r="E279" s="6">
        <v>75</v>
      </c>
      <c r="F279" s="7">
        <v>44950</v>
      </c>
      <c r="G279" t="s">
        <v>64</v>
      </c>
      <c r="H279" t="s">
        <v>38</v>
      </c>
    </row>
    <row r="280" spans="1:8" x14ac:dyDescent="0.45">
      <c r="A280" t="s">
        <v>333</v>
      </c>
      <c r="B280" t="s">
        <v>44</v>
      </c>
      <c r="C280" t="s">
        <v>36</v>
      </c>
      <c r="D280">
        <v>3</v>
      </c>
      <c r="E280" s="6">
        <v>200</v>
      </c>
      <c r="F280" s="7">
        <v>45330</v>
      </c>
      <c r="G280" t="s">
        <v>64</v>
      </c>
      <c r="H280" t="s">
        <v>56</v>
      </c>
    </row>
    <row r="281" spans="1:8" x14ac:dyDescent="0.45">
      <c r="A281" t="s">
        <v>334</v>
      </c>
      <c r="B281" t="s">
        <v>44</v>
      </c>
      <c r="C281" t="s">
        <v>59</v>
      </c>
      <c r="D281">
        <v>12</v>
      </c>
      <c r="E281" s="6">
        <v>50</v>
      </c>
      <c r="F281" s="7">
        <v>45442</v>
      </c>
      <c r="G281" t="s">
        <v>60</v>
      </c>
      <c r="H281" t="s">
        <v>49</v>
      </c>
    </row>
    <row r="282" spans="1:8" x14ac:dyDescent="0.45">
      <c r="A282" t="s">
        <v>335</v>
      </c>
      <c r="B282" t="s">
        <v>52</v>
      </c>
      <c r="C282" t="s">
        <v>48</v>
      </c>
      <c r="D282">
        <v>10</v>
      </c>
      <c r="E282" s="6">
        <v>50</v>
      </c>
      <c r="F282" s="7">
        <v>45290</v>
      </c>
      <c r="G282" t="s">
        <v>46</v>
      </c>
      <c r="H282" t="s">
        <v>49</v>
      </c>
    </row>
    <row r="283" spans="1:8" x14ac:dyDescent="0.45">
      <c r="A283" t="s">
        <v>336</v>
      </c>
      <c r="B283" t="s">
        <v>40</v>
      </c>
      <c r="C283" t="s">
        <v>36</v>
      </c>
      <c r="D283">
        <v>2</v>
      </c>
      <c r="E283" s="6">
        <v>50</v>
      </c>
      <c r="F283" s="7">
        <v>45308</v>
      </c>
      <c r="G283" t="s">
        <v>64</v>
      </c>
      <c r="H283" t="s">
        <v>56</v>
      </c>
    </row>
    <row r="284" spans="1:8" x14ac:dyDescent="0.45">
      <c r="A284" t="s">
        <v>337</v>
      </c>
      <c r="B284" t="s">
        <v>73</v>
      </c>
      <c r="C284" t="s">
        <v>55</v>
      </c>
      <c r="D284">
        <v>0</v>
      </c>
      <c r="E284" s="6">
        <v>50</v>
      </c>
      <c r="F284" s="7">
        <v>45458</v>
      </c>
      <c r="G284" t="s">
        <v>46</v>
      </c>
      <c r="H284" t="s">
        <v>49</v>
      </c>
    </row>
    <row r="285" spans="1:8" x14ac:dyDescent="0.45">
      <c r="A285" t="s">
        <v>338</v>
      </c>
      <c r="B285" t="s">
        <v>35</v>
      </c>
      <c r="C285" t="s">
        <v>70</v>
      </c>
      <c r="D285">
        <v>5</v>
      </c>
      <c r="E285" s="6">
        <v>50</v>
      </c>
      <c r="F285" s="7">
        <v>45078</v>
      </c>
      <c r="G285" t="s">
        <v>42</v>
      </c>
      <c r="H285" t="s">
        <v>56</v>
      </c>
    </row>
    <row r="286" spans="1:8" x14ac:dyDescent="0.45">
      <c r="A286" t="s">
        <v>339</v>
      </c>
      <c r="B286" t="s">
        <v>73</v>
      </c>
      <c r="C286" t="s">
        <v>45</v>
      </c>
      <c r="D286">
        <v>1</v>
      </c>
      <c r="E286" s="6">
        <v>200</v>
      </c>
      <c r="F286" s="7">
        <v>45346</v>
      </c>
      <c r="G286" t="s">
        <v>37</v>
      </c>
      <c r="H286" t="s">
        <v>56</v>
      </c>
    </row>
    <row r="287" spans="1:8" x14ac:dyDescent="0.45">
      <c r="A287" t="s">
        <v>340</v>
      </c>
      <c r="B287" t="s">
        <v>40</v>
      </c>
      <c r="C287" t="s">
        <v>55</v>
      </c>
      <c r="D287">
        <v>7</v>
      </c>
      <c r="E287" s="6">
        <v>100</v>
      </c>
      <c r="F287" s="7">
        <v>45176</v>
      </c>
      <c r="G287" t="s">
        <v>60</v>
      </c>
      <c r="H287" t="s">
        <v>38</v>
      </c>
    </row>
    <row r="288" spans="1:8" x14ac:dyDescent="0.45">
      <c r="A288" t="s">
        <v>341</v>
      </c>
      <c r="B288" t="s">
        <v>35</v>
      </c>
      <c r="C288" t="s">
        <v>55</v>
      </c>
      <c r="D288">
        <v>9</v>
      </c>
      <c r="E288" s="6">
        <v>75</v>
      </c>
      <c r="F288" s="7">
        <v>45043</v>
      </c>
      <c r="G288" t="s">
        <v>46</v>
      </c>
      <c r="H288" t="s">
        <v>53</v>
      </c>
    </row>
    <row r="289" spans="1:8" x14ac:dyDescent="0.45">
      <c r="A289" t="s">
        <v>342</v>
      </c>
      <c r="B289" t="s">
        <v>40</v>
      </c>
      <c r="C289" t="s">
        <v>41</v>
      </c>
      <c r="D289">
        <v>4</v>
      </c>
      <c r="E289" s="6">
        <v>50</v>
      </c>
      <c r="F289" s="7">
        <v>45438</v>
      </c>
      <c r="G289" t="s">
        <v>64</v>
      </c>
      <c r="H289" t="s">
        <v>38</v>
      </c>
    </row>
    <row r="290" spans="1:8" x14ac:dyDescent="0.45">
      <c r="A290" t="s">
        <v>343</v>
      </c>
      <c r="B290" t="s">
        <v>44</v>
      </c>
      <c r="C290" t="s">
        <v>70</v>
      </c>
      <c r="D290">
        <v>6</v>
      </c>
      <c r="E290" s="6">
        <v>100</v>
      </c>
      <c r="F290" s="7">
        <v>45261</v>
      </c>
      <c r="G290" t="s">
        <v>46</v>
      </c>
      <c r="H290" t="s">
        <v>53</v>
      </c>
    </row>
    <row r="291" spans="1:8" x14ac:dyDescent="0.45">
      <c r="A291" t="s">
        <v>344</v>
      </c>
      <c r="B291" t="s">
        <v>35</v>
      </c>
      <c r="C291" t="s">
        <v>55</v>
      </c>
      <c r="D291">
        <v>9</v>
      </c>
      <c r="E291" s="6">
        <v>100</v>
      </c>
      <c r="F291" s="7">
        <v>45344</v>
      </c>
      <c r="G291" t="s">
        <v>64</v>
      </c>
      <c r="H291" t="s">
        <v>53</v>
      </c>
    </row>
    <row r="292" spans="1:8" x14ac:dyDescent="0.45">
      <c r="A292" t="s">
        <v>345</v>
      </c>
      <c r="B292" t="s">
        <v>44</v>
      </c>
      <c r="C292" t="s">
        <v>55</v>
      </c>
      <c r="D292">
        <v>11</v>
      </c>
      <c r="E292" s="6">
        <v>75</v>
      </c>
      <c r="F292" s="7">
        <v>45221</v>
      </c>
      <c r="G292" t="s">
        <v>46</v>
      </c>
      <c r="H292" t="s">
        <v>53</v>
      </c>
    </row>
    <row r="293" spans="1:8" x14ac:dyDescent="0.45">
      <c r="A293" t="s">
        <v>346</v>
      </c>
      <c r="B293" t="s">
        <v>73</v>
      </c>
      <c r="C293" t="s">
        <v>70</v>
      </c>
      <c r="D293">
        <v>1</v>
      </c>
      <c r="E293" s="6">
        <v>200</v>
      </c>
      <c r="F293" s="7">
        <v>45297</v>
      </c>
      <c r="G293" t="s">
        <v>64</v>
      </c>
      <c r="H293" t="s">
        <v>49</v>
      </c>
    </row>
    <row r="294" spans="1:8" x14ac:dyDescent="0.45">
      <c r="A294" t="s">
        <v>347</v>
      </c>
      <c r="B294" t="s">
        <v>73</v>
      </c>
      <c r="C294" t="s">
        <v>70</v>
      </c>
      <c r="D294">
        <v>12</v>
      </c>
      <c r="E294" s="6">
        <v>150</v>
      </c>
      <c r="F294" s="7">
        <v>45112</v>
      </c>
      <c r="G294" t="s">
        <v>42</v>
      </c>
      <c r="H294" t="s">
        <v>38</v>
      </c>
    </row>
    <row r="295" spans="1:8" x14ac:dyDescent="0.45">
      <c r="A295" t="s">
        <v>348</v>
      </c>
      <c r="B295" t="s">
        <v>35</v>
      </c>
      <c r="C295" t="s">
        <v>55</v>
      </c>
      <c r="D295">
        <v>7</v>
      </c>
      <c r="E295" s="6">
        <v>150</v>
      </c>
      <c r="F295" s="7">
        <v>45172</v>
      </c>
      <c r="G295" t="s">
        <v>64</v>
      </c>
      <c r="H295" t="s">
        <v>53</v>
      </c>
    </row>
    <row r="296" spans="1:8" x14ac:dyDescent="0.45">
      <c r="A296" t="s">
        <v>349</v>
      </c>
      <c r="B296" t="s">
        <v>35</v>
      </c>
      <c r="C296" t="s">
        <v>70</v>
      </c>
      <c r="D296">
        <v>1</v>
      </c>
      <c r="E296" s="6">
        <v>100</v>
      </c>
      <c r="F296" s="7">
        <v>45194</v>
      </c>
      <c r="G296" t="s">
        <v>64</v>
      </c>
      <c r="H296" t="s">
        <v>56</v>
      </c>
    </row>
    <row r="297" spans="1:8" x14ac:dyDescent="0.45">
      <c r="A297" t="s">
        <v>350</v>
      </c>
      <c r="B297" t="s">
        <v>40</v>
      </c>
      <c r="C297" t="s">
        <v>55</v>
      </c>
      <c r="D297">
        <v>3</v>
      </c>
      <c r="E297" s="6">
        <v>75</v>
      </c>
      <c r="F297" s="7">
        <v>45163</v>
      </c>
      <c r="G297" t="s">
        <v>37</v>
      </c>
      <c r="H297" t="s">
        <v>49</v>
      </c>
    </row>
    <row r="298" spans="1:8" x14ac:dyDescent="0.45">
      <c r="A298" t="s">
        <v>351</v>
      </c>
      <c r="B298" t="s">
        <v>40</v>
      </c>
      <c r="C298" t="s">
        <v>55</v>
      </c>
      <c r="D298">
        <v>0</v>
      </c>
      <c r="E298" s="6">
        <v>150</v>
      </c>
      <c r="F298" s="7">
        <v>45456</v>
      </c>
      <c r="G298" t="s">
        <v>64</v>
      </c>
      <c r="H298" t="s">
        <v>38</v>
      </c>
    </row>
    <row r="299" spans="1:8" x14ac:dyDescent="0.45">
      <c r="A299" t="s">
        <v>352</v>
      </c>
      <c r="B299" t="s">
        <v>44</v>
      </c>
      <c r="C299" t="s">
        <v>41</v>
      </c>
      <c r="D299">
        <v>14</v>
      </c>
      <c r="E299" s="6">
        <v>100</v>
      </c>
      <c r="F299" s="7">
        <v>44947</v>
      </c>
      <c r="G299" t="s">
        <v>37</v>
      </c>
      <c r="H299" t="s">
        <v>53</v>
      </c>
    </row>
    <row r="300" spans="1:8" x14ac:dyDescent="0.45">
      <c r="A300" t="s">
        <v>353</v>
      </c>
      <c r="B300" t="s">
        <v>35</v>
      </c>
      <c r="C300" t="s">
        <v>48</v>
      </c>
      <c r="D300">
        <v>4</v>
      </c>
      <c r="E300" s="6">
        <v>200</v>
      </c>
      <c r="F300" s="7">
        <v>45446</v>
      </c>
      <c r="G300" t="s">
        <v>60</v>
      </c>
      <c r="H300" t="s">
        <v>56</v>
      </c>
    </row>
    <row r="301" spans="1:8" x14ac:dyDescent="0.45">
      <c r="A301" t="s">
        <v>354</v>
      </c>
      <c r="B301" t="s">
        <v>73</v>
      </c>
      <c r="C301" t="s">
        <v>55</v>
      </c>
      <c r="D301">
        <v>8</v>
      </c>
      <c r="E301" s="6">
        <v>150</v>
      </c>
      <c r="F301" s="7">
        <v>45026</v>
      </c>
      <c r="G301" t="s">
        <v>37</v>
      </c>
      <c r="H301" t="s">
        <v>38</v>
      </c>
    </row>
    <row r="302" spans="1:8" x14ac:dyDescent="0.45">
      <c r="A302" t="s">
        <v>355</v>
      </c>
      <c r="B302" t="s">
        <v>40</v>
      </c>
      <c r="C302" t="s">
        <v>36</v>
      </c>
      <c r="D302">
        <v>0</v>
      </c>
      <c r="E302" s="6">
        <v>100</v>
      </c>
      <c r="F302" s="7">
        <v>45404</v>
      </c>
      <c r="G302" t="s">
        <v>42</v>
      </c>
      <c r="H302" t="s">
        <v>38</v>
      </c>
    </row>
    <row r="303" spans="1:8" x14ac:dyDescent="0.45">
      <c r="A303" t="s">
        <v>356</v>
      </c>
      <c r="B303" t="s">
        <v>40</v>
      </c>
      <c r="C303" t="s">
        <v>45</v>
      </c>
      <c r="D303">
        <v>8</v>
      </c>
      <c r="E303" s="6">
        <v>100</v>
      </c>
      <c r="F303" s="7">
        <v>45224</v>
      </c>
      <c r="G303" t="s">
        <v>37</v>
      </c>
      <c r="H303" t="s">
        <v>49</v>
      </c>
    </row>
    <row r="304" spans="1:8" x14ac:dyDescent="0.45">
      <c r="A304" t="s">
        <v>357</v>
      </c>
      <c r="B304" t="s">
        <v>73</v>
      </c>
      <c r="C304" t="s">
        <v>59</v>
      </c>
      <c r="D304">
        <v>10</v>
      </c>
      <c r="E304" s="6">
        <v>50</v>
      </c>
      <c r="F304" s="7">
        <v>45452</v>
      </c>
      <c r="G304" t="s">
        <v>60</v>
      </c>
      <c r="H304" t="s">
        <v>38</v>
      </c>
    </row>
    <row r="305" spans="1:8" x14ac:dyDescent="0.45">
      <c r="A305" t="s">
        <v>358</v>
      </c>
      <c r="B305" t="s">
        <v>40</v>
      </c>
      <c r="C305" t="s">
        <v>48</v>
      </c>
      <c r="D305">
        <v>14</v>
      </c>
      <c r="E305" s="6">
        <v>200</v>
      </c>
      <c r="F305" s="7">
        <v>45260</v>
      </c>
      <c r="G305" t="s">
        <v>42</v>
      </c>
      <c r="H305" t="s">
        <v>49</v>
      </c>
    </row>
    <row r="306" spans="1:8" x14ac:dyDescent="0.45">
      <c r="A306" t="s">
        <v>359</v>
      </c>
      <c r="B306" t="s">
        <v>44</v>
      </c>
      <c r="C306" t="s">
        <v>48</v>
      </c>
      <c r="D306">
        <v>7</v>
      </c>
      <c r="E306" s="6">
        <v>50</v>
      </c>
      <c r="F306" s="7">
        <v>44928</v>
      </c>
      <c r="G306" t="s">
        <v>46</v>
      </c>
      <c r="H306" t="s">
        <v>53</v>
      </c>
    </row>
    <row r="307" spans="1:8" x14ac:dyDescent="0.45">
      <c r="A307" t="s">
        <v>360</v>
      </c>
      <c r="B307" t="s">
        <v>35</v>
      </c>
      <c r="C307" t="s">
        <v>48</v>
      </c>
      <c r="D307">
        <v>5</v>
      </c>
      <c r="E307" s="6">
        <v>75</v>
      </c>
      <c r="F307" s="7">
        <v>45301</v>
      </c>
      <c r="G307" t="s">
        <v>46</v>
      </c>
      <c r="H307" t="s">
        <v>49</v>
      </c>
    </row>
    <row r="308" spans="1:8" x14ac:dyDescent="0.45">
      <c r="A308" t="s">
        <v>361</v>
      </c>
      <c r="B308" t="s">
        <v>73</v>
      </c>
      <c r="C308" t="s">
        <v>41</v>
      </c>
      <c r="D308">
        <v>6</v>
      </c>
      <c r="E308" s="6">
        <v>50</v>
      </c>
      <c r="F308" s="7">
        <v>45219</v>
      </c>
      <c r="G308" t="s">
        <v>37</v>
      </c>
      <c r="H308" t="s">
        <v>56</v>
      </c>
    </row>
    <row r="309" spans="1:8" x14ac:dyDescent="0.45">
      <c r="A309" t="s">
        <v>362</v>
      </c>
      <c r="B309" t="s">
        <v>35</v>
      </c>
      <c r="C309" t="s">
        <v>55</v>
      </c>
      <c r="D309">
        <v>2</v>
      </c>
      <c r="E309" s="6">
        <v>50</v>
      </c>
      <c r="F309" s="7">
        <v>45244</v>
      </c>
      <c r="G309" t="s">
        <v>37</v>
      </c>
      <c r="H309" t="s">
        <v>49</v>
      </c>
    </row>
    <row r="310" spans="1:8" x14ac:dyDescent="0.45">
      <c r="A310" t="s">
        <v>363</v>
      </c>
      <c r="B310" t="s">
        <v>40</v>
      </c>
      <c r="C310" t="s">
        <v>41</v>
      </c>
      <c r="D310">
        <v>13</v>
      </c>
      <c r="E310" s="6">
        <v>150</v>
      </c>
      <c r="F310" s="7">
        <v>45428</v>
      </c>
      <c r="G310" t="s">
        <v>60</v>
      </c>
      <c r="H310" t="s">
        <v>56</v>
      </c>
    </row>
    <row r="311" spans="1:8" x14ac:dyDescent="0.45">
      <c r="A311" t="s">
        <v>364</v>
      </c>
      <c r="B311" t="s">
        <v>40</v>
      </c>
      <c r="C311" t="s">
        <v>55</v>
      </c>
      <c r="D311">
        <v>14</v>
      </c>
      <c r="E311" s="6">
        <v>100</v>
      </c>
      <c r="F311" s="7">
        <v>45307</v>
      </c>
      <c r="G311" t="s">
        <v>60</v>
      </c>
      <c r="H311" t="s">
        <v>49</v>
      </c>
    </row>
    <row r="312" spans="1:8" x14ac:dyDescent="0.45">
      <c r="A312" t="s">
        <v>365</v>
      </c>
      <c r="B312" t="s">
        <v>73</v>
      </c>
      <c r="C312" t="s">
        <v>41</v>
      </c>
      <c r="D312">
        <v>0</v>
      </c>
      <c r="E312" s="6">
        <v>200</v>
      </c>
      <c r="F312" s="7">
        <v>44940</v>
      </c>
      <c r="G312" t="s">
        <v>64</v>
      </c>
      <c r="H312" t="s">
        <v>38</v>
      </c>
    </row>
    <row r="313" spans="1:8" x14ac:dyDescent="0.45">
      <c r="A313" t="s">
        <v>366</v>
      </c>
      <c r="B313" t="s">
        <v>44</v>
      </c>
      <c r="C313" t="s">
        <v>41</v>
      </c>
      <c r="D313">
        <v>4</v>
      </c>
      <c r="E313" s="6">
        <v>50</v>
      </c>
      <c r="F313" s="7">
        <v>45430</v>
      </c>
      <c r="G313" t="s">
        <v>60</v>
      </c>
      <c r="H313" t="s">
        <v>53</v>
      </c>
    </row>
    <row r="314" spans="1:8" x14ac:dyDescent="0.45">
      <c r="A314" t="s">
        <v>367</v>
      </c>
      <c r="B314" t="s">
        <v>52</v>
      </c>
      <c r="C314" t="s">
        <v>45</v>
      </c>
      <c r="D314">
        <v>13</v>
      </c>
      <c r="E314" s="6">
        <v>200</v>
      </c>
      <c r="F314" s="7">
        <v>45157</v>
      </c>
      <c r="G314" t="s">
        <v>64</v>
      </c>
      <c r="H314" t="s">
        <v>56</v>
      </c>
    </row>
    <row r="315" spans="1:8" x14ac:dyDescent="0.45">
      <c r="A315" t="s">
        <v>368</v>
      </c>
      <c r="B315" t="s">
        <v>73</v>
      </c>
      <c r="C315" t="s">
        <v>36</v>
      </c>
      <c r="D315">
        <v>11</v>
      </c>
      <c r="E315" s="6">
        <v>50</v>
      </c>
      <c r="F315" s="7">
        <v>45010</v>
      </c>
      <c r="G315" t="s">
        <v>42</v>
      </c>
      <c r="H315" t="s">
        <v>49</v>
      </c>
    </row>
    <row r="316" spans="1:8" x14ac:dyDescent="0.45">
      <c r="A316" t="s">
        <v>369</v>
      </c>
      <c r="B316" t="s">
        <v>52</v>
      </c>
      <c r="C316" t="s">
        <v>41</v>
      </c>
      <c r="D316">
        <v>11</v>
      </c>
      <c r="E316" s="6">
        <v>75</v>
      </c>
      <c r="F316" s="7">
        <v>45056</v>
      </c>
      <c r="G316" t="s">
        <v>37</v>
      </c>
      <c r="H316" t="s">
        <v>49</v>
      </c>
    </row>
    <row r="317" spans="1:8" x14ac:dyDescent="0.45">
      <c r="A317" t="s">
        <v>370</v>
      </c>
      <c r="B317" t="s">
        <v>52</v>
      </c>
      <c r="C317" t="s">
        <v>45</v>
      </c>
      <c r="D317">
        <v>1</v>
      </c>
      <c r="E317" s="6">
        <v>50</v>
      </c>
      <c r="F317" s="7">
        <v>45071</v>
      </c>
      <c r="G317" t="s">
        <v>42</v>
      </c>
      <c r="H317" t="s">
        <v>49</v>
      </c>
    </row>
    <row r="318" spans="1:8" x14ac:dyDescent="0.45">
      <c r="A318" t="s">
        <v>371</v>
      </c>
      <c r="B318" t="s">
        <v>44</v>
      </c>
      <c r="C318" t="s">
        <v>70</v>
      </c>
      <c r="D318">
        <v>13</v>
      </c>
      <c r="E318" s="6">
        <v>150</v>
      </c>
      <c r="F318" s="7">
        <v>44954</v>
      </c>
      <c r="G318" t="s">
        <v>60</v>
      </c>
      <c r="H318" t="s">
        <v>38</v>
      </c>
    </row>
    <row r="319" spans="1:8" x14ac:dyDescent="0.45">
      <c r="A319" t="s">
        <v>372</v>
      </c>
      <c r="B319" t="s">
        <v>52</v>
      </c>
      <c r="C319" t="s">
        <v>36</v>
      </c>
      <c r="D319">
        <v>4</v>
      </c>
      <c r="E319" s="6">
        <v>100</v>
      </c>
      <c r="F319" s="7">
        <v>44992</v>
      </c>
      <c r="G319" t="s">
        <v>42</v>
      </c>
      <c r="H319" t="s">
        <v>38</v>
      </c>
    </row>
    <row r="320" spans="1:8" x14ac:dyDescent="0.45">
      <c r="A320" t="s">
        <v>373</v>
      </c>
      <c r="B320" t="s">
        <v>52</v>
      </c>
      <c r="C320" t="s">
        <v>41</v>
      </c>
      <c r="D320">
        <v>7</v>
      </c>
      <c r="E320" s="6">
        <v>75</v>
      </c>
      <c r="F320" s="7">
        <v>45089</v>
      </c>
      <c r="G320" t="s">
        <v>42</v>
      </c>
      <c r="H320" t="s">
        <v>56</v>
      </c>
    </row>
    <row r="321" spans="1:8" x14ac:dyDescent="0.45">
      <c r="A321" t="s">
        <v>374</v>
      </c>
      <c r="B321" t="s">
        <v>44</v>
      </c>
      <c r="C321" t="s">
        <v>59</v>
      </c>
      <c r="D321">
        <v>10</v>
      </c>
      <c r="E321" s="6">
        <v>50</v>
      </c>
      <c r="F321" s="7">
        <v>45155</v>
      </c>
      <c r="G321" t="s">
        <v>42</v>
      </c>
      <c r="H321" t="s">
        <v>56</v>
      </c>
    </row>
    <row r="322" spans="1:8" x14ac:dyDescent="0.45">
      <c r="A322" t="s">
        <v>375</v>
      </c>
      <c r="B322" t="s">
        <v>52</v>
      </c>
      <c r="C322" t="s">
        <v>48</v>
      </c>
      <c r="D322">
        <v>8</v>
      </c>
      <c r="E322" s="6">
        <v>200</v>
      </c>
      <c r="F322" s="7">
        <v>45187</v>
      </c>
      <c r="G322" t="s">
        <v>60</v>
      </c>
      <c r="H322" t="s">
        <v>38</v>
      </c>
    </row>
    <row r="323" spans="1:8" x14ac:dyDescent="0.45">
      <c r="A323" t="s">
        <v>376</v>
      </c>
      <c r="B323" t="s">
        <v>52</v>
      </c>
      <c r="C323" t="s">
        <v>70</v>
      </c>
      <c r="D323">
        <v>1</v>
      </c>
      <c r="E323" s="6">
        <v>75</v>
      </c>
      <c r="F323" s="7">
        <v>45375</v>
      </c>
      <c r="G323" t="s">
        <v>42</v>
      </c>
      <c r="H323" t="s">
        <v>56</v>
      </c>
    </row>
    <row r="324" spans="1:8" x14ac:dyDescent="0.45">
      <c r="A324" t="s">
        <v>377</v>
      </c>
      <c r="B324" t="s">
        <v>52</v>
      </c>
      <c r="C324" t="s">
        <v>70</v>
      </c>
      <c r="D324">
        <v>11</v>
      </c>
      <c r="E324" s="6">
        <v>75</v>
      </c>
      <c r="F324" s="7">
        <v>45350</v>
      </c>
      <c r="G324" t="s">
        <v>64</v>
      </c>
      <c r="H324" t="s">
        <v>53</v>
      </c>
    </row>
    <row r="325" spans="1:8" x14ac:dyDescent="0.45">
      <c r="A325" t="s">
        <v>378</v>
      </c>
      <c r="B325" t="s">
        <v>73</v>
      </c>
      <c r="C325" t="s">
        <v>45</v>
      </c>
      <c r="D325">
        <v>2</v>
      </c>
      <c r="E325" s="6">
        <v>50</v>
      </c>
      <c r="F325" s="7">
        <v>45386</v>
      </c>
      <c r="G325" t="s">
        <v>60</v>
      </c>
      <c r="H325" t="s">
        <v>53</v>
      </c>
    </row>
    <row r="326" spans="1:8" x14ac:dyDescent="0.45">
      <c r="A326" t="s">
        <v>379</v>
      </c>
      <c r="B326" t="s">
        <v>73</v>
      </c>
      <c r="C326" t="s">
        <v>70</v>
      </c>
      <c r="D326">
        <v>2</v>
      </c>
      <c r="E326" s="6">
        <v>75</v>
      </c>
      <c r="F326" s="7">
        <v>45227</v>
      </c>
      <c r="G326" t="s">
        <v>42</v>
      </c>
      <c r="H326" t="s">
        <v>38</v>
      </c>
    </row>
    <row r="327" spans="1:8" x14ac:dyDescent="0.45">
      <c r="A327" t="s">
        <v>380</v>
      </c>
      <c r="B327" t="s">
        <v>73</v>
      </c>
      <c r="C327" t="s">
        <v>36</v>
      </c>
      <c r="D327">
        <v>0</v>
      </c>
      <c r="E327" s="6">
        <v>200</v>
      </c>
      <c r="F327" s="7">
        <v>45229</v>
      </c>
      <c r="G327" t="s">
        <v>60</v>
      </c>
      <c r="H327" t="s">
        <v>56</v>
      </c>
    </row>
    <row r="328" spans="1:8" x14ac:dyDescent="0.45">
      <c r="A328" t="s">
        <v>381</v>
      </c>
      <c r="B328" t="s">
        <v>44</v>
      </c>
      <c r="C328" t="s">
        <v>41</v>
      </c>
      <c r="D328">
        <v>7</v>
      </c>
      <c r="E328" s="6">
        <v>75</v>
      </c>
      <c r="F328" s="7">
        <v>45213</v>
      </c>
      <c r="G328" t="s">
        <v>46</v>
      </c>
      <c r="H328" t="s">
        <v>49</v>
      </c>
    </row>
    <row r="329" spans="1:8" x14ac:dyDescent="0.45">
      <c r="A329" t="s">
        <v>382</v>
      </c>
      <c r="B329" t="s">
        <v>40</v>
      </c>
      <c r="C329" t="s">
        <v>41</v>
      </c>
      <c r="D329">
        <v>5</v>
      </c>
      <c r="E329" s="6">
        <v>200</v>
      </c>
      <c r="F329" s="7">
        <v>45321</v>
      </c>
      <c r="G329" t="s">
        <v>64</v>
      </c>
      <c r="H329" t="s">
        <v>53</v>
      </c>
    </row>
    <row r="330" spans="1:8" x14ac:dyDescent="0.45">
      <c r="A330" t="s">
        <v>383</v>
      </c>
      <c r="B330" t="s">
        <v>52</v>
      </c>
      <c r="C330" t="s">
        <v>59</v>
      </c>
      <c r="D330">
        <v>11</v>
      </c>
      <c r="E330" s="6">
        <v>50</v>
      </c>
      <c r="F330" s="7">
        <v>44936</v>
      </c>
      <c r="G330" t="s">
        <v>42</v>
      </c>
      <c r="H330" t="s">
        <v>38</v>
      </c>
    </row>
    <row r="331" spans="1:8" x14ac:dyDescent="0.45">
      <c r="A331" t="s">
        <v>384</v>
      </c>
      <c r="B331" t="s">
        <v>52</v>
      </c>
      <c r="C331" t="s">
        <v>48</v>
      </c>
      <c r="D331">
        <v>12</v>
      </c>
      <c r="E331" s="6">
        <v>100</v>
      </c>
      <c r="F331" s="7">
        <v>45196</v>
      </c>
      <c r="G331" t="s">
        <v>46</v>
      </c>
      <c r="H331" t="s">
        <v>56</v>
      </c>
    </row>
    <row r="332" spans="1:8" x14ac:dyDescent="0.45">
      <c r="A332" t="s">
        <v>385</v>
      </c>
      <c r="B332" t="s">
        <v>44</v>
      </c>
      <c r="C332" t="s">
        <v>45</v>
      </c>
      <c r="D332">
        <v>7</v>
      </c>
      <c r="E332" s="6">
        <v>75</v>
      </c>
      <c r="F332" s="7">
        <v>45287</v>
      </c>
      <c r="G332" t="s">
        <v>46</v>
      </c>
      <c r="H332" t="s">
        <v>38</v>
      </c>
    </row>
    <row r="333" spans="1:8" x14ac:dyDescent="0.45">
      <c r="A333" t="s">
        <v>386</v>
      </c>
      <c r="B333" t="s">
        <v>52</v>
      </c>
      <c r="C333" t="s">
        <v>48</v>
      </c>
      <c r="D333">
        <v>10</v>
      </c>
      <c r="E333" s="6">
        <v>100</v>
      </c>
      <c r="F333" s="7">
        <v>45183</v>
      </c>
      <c r="G333" t="s">
        <v>60</v>
      </c>
      <c r="H333" t="s">
        <v>49</v>
      </c>
    </row>
    <row r="334" spans="1:8" x14ac:dyDescent="0.45">
      <c r="A334" t="s">
        <v>387</v>
      </c>
      <c r="B334" t="s">
        <v>73</v>
      </c>
      <c r="C334" t="s">
        <v>70</v>
      </c>
      <c r="D334">
        <v>8</v>
      </c>
      <c r="E334" s="6">
        <v>200</v>
      </c>
      <c r="F334" s="7">
        <v>45059</v>
      </c>
      <c r="G334" t="s">
        <v>46</v>
      </c>
      <c r="H334" t="s">
        <v>53</v>
      </c>
    </row>
    <row r="335" spans="1:8" x14ac:dyDescent="0.45">
      <c r="A335" t="s">
        <v>388</v>
      </c>
      <c r="B335" t="s">
        <v>40</v>
      </c>
      <c r="C335" t="s">
        <v>59</v>
      </c>
      <c r="D335">
        <v>4</v>
      </c>
      <c r="E335" s="6">
        <v>75</v>
      </c>
      <c r="F335" s="7">
        <v>45202</v>
      </c>
      <c r="G335" t="s">
        <v>64</v>
      </c>
      <c r="H335" t="s">
        <v>38</v>
      </c>
    </row>
    <row r="336" spans="1:8" x14ac:dyDescent="0.45">
      <c r="A336" t="s">
        <v>389</v>
      </c>
      <c r="B336" t="s">
        <v>35</v>
      </c>
      <c r="C336" t="s">
        <v>48</v>
      </c>
      <c r="D336">
        <v>13</v>
      </c>
      <c r="E336" s="6">
        <v>150</v>
      </c>
      <c r="F336" s="7">
        <v>45439</v>
      </c>
      <c r="G336" t="s">
        <v>64</v>
      </c>
      <c r="H336" t="s">
        <v>38</v>
      </c>
    </row>
    <row r="337" spans="1:8" x14ac:dyDescent="0.45">
      <c r="A337" t="s">
        <v>390</v>
      </c>
      <c r="B337" t="s">
        <v>52</v>
      </c>
      <c r="C337" t="s">
        <v>36</v>
      </c>
      <c r="D337">
        <v>11</v>
      </c>
      <c r="E337" s="6">
        <v>100</v>
      </c>
      <c r="F337" s="7">
        <v>45239</v>
      </c>
      <c r="G337" t="s">
        <v>37</v>
      </c>
      <c r="H337" t="s">
        <v>38</v>
      </c>
    </row>
    <row r="338" spans="1:8" x14ac:dyDescent="0.45">
      <c r="A338" t="s">
        <v>391</v>
      </c>
      <c r="B338" t="s">
        <v>73</v>
      </c>
      <c r="C338" t="s">
        <v>41</v>
      </c>
      <c r="D338">
        <v>13</v>
      </c>
      <c r="E338" s="6">
        <v>75</v>
      </c>
      <c r="F338" s="7">
        <v>45210</v>
      </c>
      <c r="G338" t="s">
        <v>64</v>
      </c>
      <c r="H338" t="s">
        <v>49</v>
      </c>
    </row>
    <row r="339" spans="1:8" x14ac:dyDescent="0.45">
      <c r="A339" t="s">
        <v>392</v>
      </c>
      <c r="B339" t="s">
        <v>35</v>
      </c>
      <c r="C339" t="s">
        <v>70</v>
      </c>
      <c r="D339">
        <v>2</v>
      </c>
      <c r="E339" s="6">
        <v>100</v>
      </c>
      <c r="F339" s="7">
        <v>45047</v>
      </c>
      <c r="G339" t="s">
        <v>46</v>
      </c>
      <c r="H339" t="s">
        <v>38</v>
      </c>
    </row>
    <row r="340" spans="1:8" x14ac:dyDescent="0.45">
      <c r="A340" t="s">
        <v>393</v>
      </c>
      <c r="B340" t="s">
        <v>40</v>
      </c>
      <c r="C340" t="s">
        <v>59</v>
      </c>
      <c r="D340">
        <v>4</v>
      </c>
      <c r="E340" s="6">
        <v>75</v>
      </c>
      <c r="F340" s="7">
        <v>45033</v>
      </c>
      <c r="G340" t="s">
        <v>64</v>
      </c>
      <c r="H340" t="s">
        <v>49</v>
      </c>
    </row>
    <row r="341" spans="1:8" x14ac:dyDescent="0.45">
      <c r="A341" t="s">
        <v>394</v>
      </c>
      <c r="B341" t="s">
        <v>35</v>
      </c>
      <c r="C341" t="s">
        <v>48</v>
      </c>
      <c r="D341">
        <v>4</v>
      </c>
      <c r="E341" s="6">
        <v>50</v>
      </c>
      <c r="F341" s="7">
        <v>45130</v>
      </c>
      <c r="G341" t="s">
        <v>60</v>
      </c>
      <c r="H341" t="s">
        <v>49</v>
      </c>
    </row>
    <row r="342" spans="1:8" x14ac:dyDescent="0.45">
      <c r="A342" t="s">
        <v>395</v>
      </c>
      <c r="B342" t="s">
        <v>73</v>
      </c>
      <c r="C342" t="s">
        <v>45</v>
      </c>
      <c r="D342">
        <v>4</v>
      </c>
      <c r="E342" s="6">
        <v>100</v>
      </c>
      <c r="F342" s="7">
        <v>45091</v>
      </c>
      <c r="G342" t="s">
        <v>37</v>
      </c>
      <c r="H342" t="s">
        <v>49</v>
      </c>
    </row>
    <row r="343" spans="1:8" x14ac:dyDescent="0.45">
      <c r="A343" t="s">
        <v>396</v>
      </c>
      <c r="B343" t="s">
        <v>35</v>
      </c>
      <c r="C343" t="s">
        <v>36</v>
      </c>
      <c r="D343">
        <v>2</v>
      </c>
      <c r="E343" s="6">
        <v>150</v>
      </c>
      <c r="F343" s="7">
        <v>45231</v>
      </c>
      <c r="G343" t="s">
        <v>46</v>
      </c>
      <c r="H343" t="s">
        <v>53</v>
      </c>
    </row>
    <row r="344" spans="1:8" x14ac:dyDescent="0.45">
      <c r="A344" t="s">
        <v>397</v>
      </c>
      <c r="B344" t="s">
        <v>44</v>
      </c>
      <c r="C344" t="s">
        <v>36</v>
      </c>
      <c r="D344">
        <v>10</v>
      </c>
      <c r="E344" s="6">
        <v>150</v>
      </c>
      <c r="F344" s="7">
        <v>45423</v>
      </c>
      <c r="G344" t="s">
        <v>37</v>
      </c>
      <c r="H344" t="s">
        <v>53</v>
      </c>
    </row>
    <row r="345" spans="1:8" x14ac:dyDescent="0.45">
      <c r="A345" t="s">
        <v>398</v>
      </c>
      <c r="B345" t="s">
        <v>35</v>
      </c>
      <c r="C345" t="s">
        <v>48</v>
      </c>
      <c r="D345">
        <v>13</v>
      </c>
      <c r="E345" s="6">
        <v>200</v>
      </c>
      <c r="F345" s="7">
        <v>45082</v>
      </c>
      <c r="G345" t="s">
        <v>46</v>
      </c>
      <c r="H345" t="s">
        <v>38</v>
      </c>
    </row>
    <row r="346" spans="1:8" x14ac:dyDescent="0.45">
      <c r="A346" t="s">
        <v>399</v>
      </c>
      <c r="B346" t="s">
        <v>52</v>
      </c>
      <c r="C346" t="s">
        <v>41</v>
      </c>
      <c r="D346">
        <v>9</v>
      </c>
      <c r="E346" s="6">
        <v>75</v>
      </c>
      <c r="F346" s="7">
        <v>45293</v>
      </c>
      <c r="G346" t="s">
        <v>60</v>
      </c>
      <c r="H346" t="s">
        <v>38</v>
      </c>
    </row>
    <row r="347" spans="1:8" x14ac:dyDescent="0.45">
      <c r="A347" t="s">
        <v>400</v>
      </c>
      <c r="B347" t="s">
        <v>52</v>
      </c>
      <c r="C347" t="s">
        <v>48</v>
      </c>
      <c r="D347">
        <v>13</v>
      </c>
      <c r="E347" s="6">
        <v>100</v>
      </c>
      <c r="F347" s="7">
        <v>45177</v>
      </c>
      <c r="G347" t="s">
        <v>37</v>
      </c>
      <c r="H347" t="s">
        <v>53</v>
      </c>
    </row>
    <row r="348" spans="1:8" x14ac:dyDescent="0.45">
      <c r="A348" t="s">
        <v>401</v>
      </c>
      <c r="B348" t="s">
        <v>44</v>
      </c>
      <c r="C348" t="s">
        <v>70</v>
      </c>
      <c r="D348">
        <v>3</v>
      </c>
      <c r="E348" s="6">
        <v>200</v>
      </c>
      <c r="F348" s="7">
        <v>45260</v>
      </c>
      <c r="G348" t="s">
        <v>42</v>
      </c>
      <c r="H348" t="s">
        <v>56</v>
      </c>
    </row>
    <row r="349" spans="1:8" x14ac:dyDescent="0.45">
      <c r="A349" t="s">
        <v>402</v>
      </c>
      <c r="B349" t="s">
        <v>73</v>
      </c>
      <c r="C349" t="s">
        <v>48</v>
      </c>
      <c r="D349">
        <v>8</v>
      </c>
      <c r="E349" s="6">
        <v>100</v>
      </c>
      <c r="F349" s="7">
        <v>45437</v>
      </c>
      <c r="G349" t="s">
        <v>46</v>
      </c>
      <c r="H349" t="s">
        <v>53</v>
      </c>
    </row>
    <row r="350" spans="1:8" x14ac:dyDescent="0.45">
      <c r="A350" t="s">
        <v>403</v>
      </c>
      <c r="B350" t="s">
        <v>52</v>
      </c>
      <c r="C350" t="s">
        <v>36</v>
      </c>
      <c r="D350">
        <v>12</v>
      </c>
      <c r="E350" s="6">
        <v>75</v>
      </c>
      <c r="F350" s="7">
        <v>45219</v>
      </c>
      <c r="G350" t="s">
        <v>42</v>
      </c>
      <c r="H350" t="s">
        <v>49</v>
      </c>
    </row>
    <row r="351" spans="1:8" x14ac:dyDescent="0.45">
      <c r="A351" t="s">
        <v>404</v>
      </c>
      <c r="B351" t="s">
        <v>40</v>
      </c>
      <c r="C351" t="s">
        <v>59</v>
      </c>
      <c r="D351">
        <v>9</v>
      </c>
      <c r="E351" s="6">
        <v>150</v>
      </c>
      <c r="F351" s="7">
        <v>44946</v>
      </c>
      <c r="G351" t="s">
        <v>37</v>
      </c>
      <c r="H351" t="s">
        <v>53</v>
      </c>
    </row>
    <row r="352" spans="1:8" x14ac:dyDescent="0.45">
      <c r="A352" t="s">
        <v>405</v>
      </c>
      <c r="B352" t="s">
        <v>52</v>
      </c>
      <c r="C352" t="s">
        <v>48</v>
      </c>
      <c r="D352">
        <v>8</v>
      </c>
      <c r="E352" s="6">
        <v>50</v>
      </c>
      <c r="F352" s="7">
        <v>45208</v>
      </c>
      <c r="G352" t="s">
        <v>42</v>
      </c>
      <c r="H352" t="s">
        <v>49</v>
      </c>
    </row>
    <row r="353" spans="1:8" x14ac:dyDescent="0.45">
      <c r="A353" t="s">
        <v>406</v>
      </c>
      <c r="B353" t="s">
        <v>52</v>
      </c>
      <c r="C353" t="s">
        <v>41</v>
      </c>
      <c r="D353">
        <v>1</v>
      </c>
      <c r="E353" s="6">
        <v>150</v>
      </c>
      <c r="F353" s="7">
        <v>44927</v>
      </c>
      <c r="G353" t="s">
        <v>42</v>
      </c>
      <c r="H353" t="s">
        <v>38</v>
      </c>
    </row>
    <row r="354" spans="1:8" x14ac:dyDescent="0.45">
      <c r="A354" t="s">
        <v>407</v>
      </c>
      <c r="B354" t="s">
        <v>73</v>
      </c>
      <c r="C354" t="s">
        <v>59</v>
      </c>
      <c r="D354">
        <v>7</v>
      </c>
      <c r="E354" s="6">
        <v>200</v>
      </c>
      <c r="F354" s="7">
        <v>45045</v>
      </c>
      <c r="G354" t="s">
        <v>37</v>
      </c>
      <c r="H354" t="s">
        <v>56</v>
      </c>
    </row>
    <row r="355" spans="1:8" x14ac:dyDescent="0.45">
      <c r="A355" t="s">
        <v>408</v>
      </c>
      <c r="B355" t="s">
        <v>35</v>
      </c>
      <c r="C355" t="s">
        <v>45</v>
      </c>
      <c r="D355">
        <v>7</v>
      </c>
      <c r="E355" s="6">
        <v>50</v>
      </c>
      <c r="F355" s="7">
        <v>44961</v>
      </c>
      <c r="G355" t="s">
        <v>60</v>
      </c>
      <c r="H355" t="s">
        <v>38</v>
      </c>
    </row>
    <row r="356" spans="1:8" x14ac:dyDescent="0.45">
      <c r="A356" t="s">
        <v>409</v>
      </c>
      <c r="B356" t="s">
        <v>52</v>
      </c>
      <c r="C356" t="s">
        <v>55</v>
      </c>
      <c r="D356">
        <v>6</v>
      </c>
      <c r="E356" s="6">
        <v>200</v>
      </c>
      <c r="F356" s="7">
        <v>45124</v>
      </c>
      <c r="G356" t="s">
        <v>42</v>
      </c>
      <c r="H356" t="s">
        <v>49</v>
      </c>
    </row>
    <row r="357" spans="1:8" x14ac:dyDescent="0.45">
      <c r="A357" t="s">
        <v>410</v>
      </c>
      <c r="B357" t="s">
        <v>44</v>
      </c>
      <c r="C357" t="s">
        <v>48</v>
      </c>
      <c r="D357">
        <v>7</v>
      </c>
      <c r="E357" s="6">
        <v>75</v>
      </c>
      <c r="F357" s="7">
        <v>45411</v>
      </c>
      <c r="G357" t="s">
        <v>42</v>
      </c>
      <c r="H357" t="s">
        <v>49</v>
      </c>
    </row>
    <row r="358" spans="1:8" x14ac:dyDescent="0.45">
      <c r="A358" t="s">
        <v>411</v>
      </c>
      <c r="B358" t="s">
        <v>35</v>
      </c>
      <c r="C358" t="s">
        <v>41</v>
      </c>
      <c r="D358">
        <v>13</v>
      </c>
      <c r="E358" s="6">
        <v>50</v>
      </c>
      <c r="F358" s="7">
        <v>44985</v>
      </c>
      <c r="G358" t="s">
        <v>60</v>
      </c>
      <c r="H358" t="s">
        <v>49</v>
      </c>
    </row>
    <row r="359" spans="1:8" x14ac:dyDescent="0.45">
      <c r="A359" t="s">
        <v>412</v>
      </c>
      <c r="B359" t="s">
        <v>40</v>
      </c>
      <c r="C359" t="s">
        <v>59</v>
      </c>
      <c r="D359">
        <v>2</v>
      </c>
      <c r="E359" s="6">
        <v>200</v>
      </c>
      <c r="F359" s="7">
        <v>45087</v>
      </c>
      <c r="G359" t="s">
        <v>42</v>
      </c>
      <c r="H359" t="s">
        <v>56</v>
      </c>
    </row>
    <row r="360" spans="1:8" x14ac:dyDescent="0.45">
      <c r="A360" t="s">
        <v>413</v>
      </c>
      <c r="B360" t="s">
        <v>73</v>
      </c>
      <c r="C360" t="s">
        <v>41</v>
      </c>
      <c r="D360">
        <v>12</v>
      </c>
      <c r="E360" s="6">
        <v>75</v>
      </c>
      <c r="F360" s="7">
        <v>45132</v>
      </c>
      <c r="G360" t="s">
        <v>42</v>
      </c>
      <c r="H360" t="s">
        <v>53</v>
      </c>
    </row>
    <row r="361" spans="1:8" x14ac:dyDescent="0.45">
      <c r="A361" t="s">
        <v>414</v>
      </c>
      <c r="B361" t="s">
        <v>40</v>
      </c>
      <c r="C361" t="s">
        <v>45</v>
      </c>
      <c r="D361">
        <v>5</v>
      </c>
      <c r="E361" s="6">
        <v>150</v>
      </c>
      <c r="F361" s="7">
        <v>44938</v>
      </c>
      <c r="G361" t="s">
        <v>42</v>
      </c>
      <c r="H361" t="s">
        <v>38</v>
      </c>
    </row>
    <row r="362" spans="1:8" x14ac:dyDescent="0.45">
      <c r="A362" t="s">
        <v>415</v>
      </c>
      <c r="B362" t="s">
        <v>35</v>
      </c>
      <c r="C362" t="s">
        <v>36</v>
      </c>
      <c r="D362">
        <v>0</v>
      </c>
      <c r="E362" s="6">
        <v>75</v>
      </c>
      <c r="F362" s="7">
        <v>45416</v>
      </c>
      <c r="G362" t="s">
        <v>64</v>
      </c>
      <c r="H362" t="s">
        <v>38</v>
      </c>
    </row>
    <row r="363" spans="1:8" x14ac:dyDescent="0.45">
      <c r="A363" t="s">
        <v>416</v>
      </c>
      <c r="B363" t="s">
        <v>35</v>
      </c>
      <c r="C363" t="s">
        <v>41</v>
      </c>
      <c r="D363">
        <v>6</v>
      </c>
      <c r="E363" s="6">
        <v>100</v>
      </c>
      <c r="F363" s="7">
        <v>45202</v>
      </c>
      <c r="G363" t="s">
        <v>60</v>
      </c>
      <c r="H363" t="s">
        <v>53</v>
      </c>
    </row>
    <row r="364" spans="1:8" x14ac:dyDescent="0.45">
      <c r="A364" t="s">
        <v>417</v>
      </c>
      <c r="B364" t="s">
        <v>35</v>
      </c>
      <c r="C364" t="s">
        <v>59</v>
      </c>
      <c r="D364">
        <v>14</v>
      </c>
      <c r="E364" s="6">
        <v>75</v>
      </c>
      <c r="F364" s="7">
        <v>45168</v>
      </c>
      <c r="G364" t="s">
        <v>42</v>
      </c>
      <c r="H364" t="s">
        <v>38</v>
      </c>
    </row>
    <row r="365" spans="1:8" x14ac:dyDescent="0.45">
      <c r="A365" t="s">
        <v>418</v>
      </c>
      <c r="B365" t="s">
        <v>40</v>
      </c>
      <c r="C365" t="s">
        <v>41</v>
      </c>
      <c r="D365">
        <v>14</v>
      </c>
      <c r="E365" s="6">
        <v>75</v>
      </c>
      <c r="F365" s="7">
        <v>45142</v>
      </c>
      <c r="G365" t="s">
        <v>60</v>
      </c>
      <c r="H365" t="s">
        <v>56</v>
      </c>
    </row>
    <row r="366" spans="1:8" x14ac:dyDescent="0.45">
      <c r="A366" t="s">
        <v>419</v>
      </c>
      <c r="B366" t="s">
        <v>35</v>
      </c>
      <c r="C366" t="s">
        <v>41</v>
      </c>
      <c r="D366">
        <v>0</v>
      </c>
      <c r="E366" s="6">
        <v>100</v>
      </c>
      <c r="F366" s="7">
        <v>45177</v>
      </c>
      <c r="G366" t="s">
        <v>46</v>
      </c>
      <c r="H366" t="s">
        <v>38</v>
      </c>
    </row>
    <row r="367" spans="1:8" x14ac:dyDescent="0.45">
      <c r="A367" t="s">
        <v>420</v>
      </c>
      <c r="B367" t="s">
        <v>40</v>
      </c>
      <c r="C367" t="s">
        <v>41</v>
      </c>
      <c r="D367">
        <v>8</v>
      </c>
      <c r="E367" s="6">
        <v>200</v>
      </c>
      <c r="F367" s="7">
        <v>45052</v>
      </c>
      <c r="G367" t="s">
        <v>46</v>
      </c>
      <c r="H367" t="s">
        <v>49</v>
      </c>
    </row>
    <row r="368" spans="1:8" x14ac:dyDescent="0.45">
      <c r="A368" t="s">
        <v>421</v>
      </c>
      <c r="B368" t="s">
        <v>35</v>
      </c>
      <c r="C368" t="s">
        <v>70</v>
      </c>
      <c r="D368">
        <v>0</v>
      </c>
      <c r="E368" s="6">
        <v>200</v>
      </c>
      <c r="F368" s="7">
        <v>45143</v>
      </c>
      <c r="G368" t="s">
        <v>42</v>
      </c>
      <c r="H368" t="s">
        <v>53</v>
      </c>
    </row>
    <row r="369" spans="1:8" x14ac:dyDescent="0.45">
      <c r="A369" t="s">
        <v>422</v>
      </c>
      <c r="B369" t="s">
        <v>44</v>
      </c>
      <c r="C369" t="s">
        <v>70</v>
      </c>
      <c r="D369">
        <v>0</v>
      </c>
      <c r="E369" s="6">
        <v>75</v>
      </c>
      <c r="F369" s="7">
        <v>45232</v>
      </c>
      <c r="G369" t="s">
        <v>60</v>
      </c>
      <c r="H369" t="s">
        <v>56</v>
      </c>
    </row>
    <row r="370" spans="1:8" x14ac:dyDescent="0.45">
      <c r="A370" t="s">
        <v>423</v>
      </c>
      <c r="B370" t="s">
        <v>35</v>
      </c>
      <c r="C370" t="s">
        <v>36</v>
      </c>
      <c r="D370">
        <v>14</v>
      </c>
      <c r="E370" s="6">
        <v>100</v>
      </c>
      <c r="F370" s="7">
        <v>45111</v>
      </c>
      <c r="G370" t="s">
        <v>60</v>
      </c>
      <c r="H370" t="s">
        <v>53</v>
      </c>
    </row>
    <row r="371" spans="1:8" x14ac:dyDescent="0.45">
      <c r="A371" t="s">
        <v>424</v>
      </c>
      <c r="B371" t="s">
        <v>40</v>
      </c>
      <c r="C371" t="s">
        <v>48</v>
      </c>
      <c r="D371">
        <v>6</v>
      </c>
      <c r="E371" s="6">
        <v>100</v>
      </c>
      <c r="F371" s="7">
        <v>44965</v>
      </c>
      <c r="G371" t="s">
        <v>60</v>
      </c>
      <c r="H371" t="s">
        <v>56</v>
      </c>
    </row>
    <row r="372" spans="1:8" x14ac:dyDescent="0.45">
      <c r="A372" t="s">
        <v>425</v>
      </c>
      <c r="B372" t="s">
        <v>52</v>
      </c>
      <c r="C372" t="s">
        <v>41</v>
      </c>
      <c r="D372">
        <v>1</v>
      </c>
      <c r="E372" s="6">
        <v>150</v>
      </c>
      <c r="F372" s="7">
        <v>45149</v>
      </c>
      <c r="G372" t="s">
        <v>64</v>
      </c>
      <c r="H372" t="s">
        <v>49</v>
      </c>
    </row>
    <row r="373" spans="1:8" x14ac:dyDescent="0.45">
      <c r="A373" t="s">
        <v>426</v>
      </c>
      <c r="B373" t="s">
        <v>35</v>
      </c>
      <c r="C373" t="s">
        <v>45</v>
      </c>
      <c r="D373">
        <v>13</v>
      </c>
      <c r="E373" s="6">
        <v>200</v>
      </c>
      <c r="F373" s="7">
        <v>45110</v>
      </c>
      <c r="G373" t="s">
        <v>46</v>
      </c>
      <c r="H373" t="s">
        <v>53</v>
      </c>
    </row>
    <row r="374" spans="1:8" x14ac:dyDescent="0.45">
      <c r="A374" t="s">
        <v>427</v>
      </c>
      <c r="B374" t="s">
        <v>52</v>
      </c>
      <c r="C374" t="s">
        <v>48</v>
      </c>
      <c r="D374">
        <v>4</v>
      </c>
      <c r="E374" s="6">
        <v>50</v>
      </c>
      <c r="F374" s="7">
        <v>45421</v>
      </c>
      <c r="G374" t="s">
        <v>60</v>
      </c>
      <c r="H374" t="s">
        <v>38</v>
      </c>
    </row>
    <row r="375" spans="1:8" x14ac:dyDescent="0.45">
      <c r="A375" t="s">
        <v>428</v>
      </c>
      <c r="B375" t="s">
        <v>44</v>
      </c>
      <c r="C375" t="s">
        <v>45</v>
      </c>
      <c r="D375">
        <v>7</v>
      </c>
      <c r="E375" s="6">
        <v>200</v>
      </c>
      <c r="F375" s="7">
        <v>45353</v>
      </c>
      <c r="G375" t="s">
        <v>60</v>
      </c>
      <c r="H375" t="s">
        <v>56</v>
      </c>
    </row>
    <row r="376" spans="1:8" x14ac:dyDescent="0.45">
      <c r="A376" t="s">
        <v>429</v>
      </c>
      <c r="B376" t="s">
        <v>73</v>
      </c>
      <c r="C376" t="s">
        <v>48</v>
      </c>
      <c r="D376">
        <v>7</v>
      </c>
      <c r="E376" s="6">
        <v>200</v>
      </c>
      <c r="F376" s="7">
        <v>45104</v>
      </c>
      <c r="G376" t="s">
        <v>64</v>
      </c>
      <c r="H376" t="s">
        <v>53</v>
      </c>
    </row>
    <row r="377" spans="1:8" x14ac:dyDescent="0.45">
      <c r="A377" t="s">
        <v>430</v>
      </c>
      <c r="B377" t="s">
        <v>44</v>
      </c>
      <c r="C377" t="s">
        <v>36</v>
      </c>
      <c r="D377">
        <v>2</v>
      </c>
      <c r="E377" s="6">
        <v>150</v>
      </c>
      <c r="F377" s="7">
        <v>45354</v>
      </c>
      <c r="G377" t="s">
        <v>64</v>
      </c>
      <c r="H377" t="s">
        <v>38</v>
      </c>
    </row>
    <row r="378" spans="1:8" x14ac:dyDescent="0.45">
      <c r="A378" t="s">
        <v>431</v>
      </c>
      <c r="B378" t="s">
        <v>35</v>
      </c>
      <c r="C378" t="s">
        <v>41</v>
      </c>
      <c r="D378">
        <v>6</v>
      </c>
      <c r="E378" s="6">
        <v>50</v>
      </c>
      <c r="F378" s="7">
        <v>45220</v>
      </c>
      <c r="G378" t="s">
        <v>60</v>
      </c>
      <c r="H378" t="s">
        <v>53</v>
      </c>
    </row>
    <row r="379" spans="1:8" x14ac:dyDescent="0.45">
      <c r="A379" t="s">
        <v>432</v>
      </c>
      <c r="B379" t="s">
        <v>52</v>
      </c>
      <c r="C379" t="s">
        <v>41</v>
      </c>
      <c r="D379">
        <v>2</v>
      </c>
      <c r="E379" s="6">
        <v>150</v>
      </c>
      <c r="F379" s="7">
        <v>45077</v>
      </c>
      <c r="G379" t="s">
        <v>37</v>
      </c>
      <c r="H379" t="s">
        <v>53</v>
      </c>
    </row>
    <row r="380" spans="1:8" x14ac:dyDescent="0.45">
      <c r="A380" t="s">
        <v>433</v>
      </c>
      <c r="B380" t="s">
        <v>52</v>
      </c>
      <c r="C380" t="s">
        <v>55</v>
      </c>
      <c r="D380">
        <v>5</v>
      </c>
      <c r="E380" s="6">
        <v>50</v>
      </c>
      <c r="F380" s="7">
        <v>45310</v>
      </c>
      <c r="G380" t="s">
        <v>60</v>
      </c>
      <c r="H380" t="s">
        <v>53</v>
      </c>
    </row>
    <row r="381" spans="1:8" x14ac:dyDescent="0.45">
      <c r="A381" t="s">
        <v>434</v>
      </c>
      <c r="B381" t="s">
        <v>40</v>
      </c>
      <c r="C381" t="s">
        <v>45</v>
      </c>
      <c r="D381">
        <v>5</v>
      </c>
      <c r="E381" s="6">
        <v>75</v>
      </c>
      <c r="F381" s="7">
        <v>45234</v>
      </c>
      <c r="G381" t="s">
        <v>60</v>
      </c>
      <c r="H381" t="s">
        <v>56</v>
      </c>
    </row>
    <row r="382" spans="1:8" x14ac:dyDescent="0.45">
      <c r="A382" t="s">
        <v>435</v>
      </c>
      <c r="B382" t="s">
        <v>52</v>
      </c>
      <c r="C382" t="s">
        <v>48</v>
      </c>
      <c r="D382">
        <v>2</v>
      </c>
      <c r="E382" s="6">
        <v>50</v>
      </c>
      <c r="F382" s="7">
        <v>45262</v>
      </c>
      <c r="G382" t="s">
        <v>64</v>
      </c>
      <c r="H382" t="s">
        <v>38</v>
      </c>
    </row>
    <row r="383" spans="1:8" x14ac:dyDescent="0.45">
      <c r="A383" t="s">
        <v>436</v>
      </c>
      <c r="B383" t="s">
        <v>40</v>
      </c>
      <c r="C383" t="s">
        <v>48</v>
      </c>
      <c r="D383">
        <v>6</v>
      </c>
      <c r="E383" s="6">
        <v>150</v>
      </c>
      <c r="F383" s="7">
        <v>45301</v>
      </c>
      <c r="G383" t="s">
        <v>64</v>
      </c>
      <c r="H383" t="s">
        <v>49</v>
      </c>
    </row>
    <row r="384" spans="1:8" x14ac:dyDescent="0.45">
      <c r="A384" t="s">
        <v>437</v>
      </c>
      <c r="B384" t="s">
        <v>73</v>
      </c>
      <c r="C384" t="s">
        <v>70</v>
      </c>
      <c r="D384">
        <v>2</v>
      </c>
      <c r="E384" s="6">
        <v>200</v>
      </c>
      <c r="F384" s="7">
        <v>44934</v>
      </c>
      <c r="G384" t="s">
        <v>60</v>
      </c>
      <c r="H384" t="s">
        <v>56</v>
      </c>
    </row>
    <row r="385" spans="1:8" x14ac:dyDescent="0.45">
      <c r="A385" t="s">
        <v>438</v>
      </c>
      <c r="B385" t="s">
        <v>35</v>
      </c>
      <c r="C385" t="s">
        <v>55</v>
      </c>
      <c r="D385">
        <v>7</v>
      </c>
      <c r="E385" s="6">
        <v>50</v>
      </c>
      <c r="F385" s="7">
        <v>45267</v>
      </c>
      <c r="G385" t="s">
        <v>60</v>
      </c>
      <c r="H385" t="s">
        <v>56</v>
      </c>
    </row>
    <row r="386" spans="1:8" x14ac:dyDescent="0.45">
      <c r="A386" t="s">
        <v>439</v>
      </c>
      <c r="B386" t="s">
        <v>40</v>
      </c>
      <c r="C386" t="s">
        <v>59</v>
      </c>
      <c r="D386">
        <v>9</v>
      </c>
      <c r="E386" s="6">
        <v>50</v>
      </c>
      <c r="F386" s="7">
        <v>45055</v>
      </c>
      <c r="G386" t="s">
        <v>60</v>
      </c>
      <c r="H386" t="s">
        <v>56</v>
      </c>
    </row>
    <row r="387" spans="1:8" x14ac:dyDescent="0.45">
      <c r="A387" t="s">
        <v>440</v>
      </c>
      <c r="B387" t="s">
        <v>73</v>
      </c>
      <c r="C387" t="s">
        <v>59</v>
      </c>
      <c r="D387">
        <v>3</v>
      </c>
      <c r="E387" s="6">
        <v>100</v>
      </c>
      <c r="F387" s="7">
        <v>45278</v>
      </c>
      <c r="G387" t="s">
        <v>64</v>
      </c>
      <c r="H387" t="s">
        <v>49</v>
      </c>
    </row>
    <row r="388" spans="1:8" x14ac:dyDescent="0.45">
      <c r="A388" t="s">
        <v>441</v>
      </c>
      <c r="B388" t="s">
        <v>52</v>
      </c>
      <c r="C388" t="s">
        <v>70</v>
      </c>
      <c r="D388">
        <v>14</v>
      </c>
      <c r="E388" s="6">
        <v>200</v>
      </c>
      <c r="F388" s="7">
        <v>45284</v>
      </c>
      <c r="G388" t="s">
        <v>60</v>
      </c>
      <c r="H388" t="s">
        <v>38</v>
      </c>
    </row>
    <row r="389" spans="1:8" x14ac:dyDescent="0.45">
      <c r="A389" t="s">
        <v>442</v>
      </c>
      <c r="B389" t="s">
        <v>52</v>
      </c>
      <c r="C389" t="s">
        <v>70</v>
      </c>
      <c r="D389">
        <v>14</v>
      </c>
      <c r="E389" s="6">
        <v>75</v>
      </c>
      <c r="F389" s="7">
        <v>45443</v>
      </c>
      <c r="G389" t="s">
        <v>60</v>
      </c>
      <c r="H389" t="s">
        <v>38</v>
      </c>
    </row>
    <row r="390" spans="1:8" x14ac:dyDescent="0.45">
      <c r="A390" t="s">
        <v>443</v>
      </c>
      <c r="B390" t="s">
        <v>73</v>
      </c>
      <c r="C390" t="s">
        <v>70</v>
      </c>
      <c r="D390">
        <v>12</v>
      </c>
      <c r="E390" s="6">
        <v>150</v>
      </c>
      <c r="F390" s="7">
        <v>45421</v>
      </c>
      <c r="G390" t="s">
        <v>42</v>
      </c>
      <c r="H390" t="s">
        <v>38</v>
      </c>
    </row>
    <row r="391" spans="1:8" x14ac:dyDescent="0.45">
      <c r="A391" t="s">
        <v>444</v>
      </c>
      <c r="B391" t="s">
        <v>52</v>
      </c>
      <c r="C391" t="s">
        <v>45</v>
      </c>
      <c r="D391">
        <v>0</v>
      </c>
      <c r="E391" s="6">
        <v>75</v>
      </c>
      <c r="F391" s="7">
        <v>45012</v>
      </c>
      <c r="G391" t="s">
        <v>37</v>
      </c>
      <c r="H391" t="s">
        <v>53</v>
      </c>
    </row>
    <row r="392" spans="1:8" x14ac:dyDescent="0.45">
      <c r="A392" t="s">
        <v>445</v>
      </c>
      <c r="B392" t="s">
        <v>73</v>
      </c>
      <c r="C392" t="s">
        <v>45</v>
      </c>
      <c r="D392">
        <v>3</v>
      </c>
      <c r="E392" s="6">
        <v>200</v>
      </c>
      <c r="F392" s="7">
        <v>45101</v>
      </c>
      <c r="G392" t="s">
        <v>46</v>
      </c>
      <c r="H392" t="s">
        <v>53</v>
      </c>
    </row>
    <row r="393" spans="1:8" x14ac:dyDescent="0.45">
      <c r="A393" t="s">
        <v>446</v>
      </c>
      <c r="B393" t="s">
        <v>40</v>
      </c>
      <c r="C393" t="s">
        <v>36</v>
      </c>
      <c r="D393">
        <v>13</v>
      </c>
      <c r="E393" s="6">
        <v>50</v>
      </c>
      <c r="F393" s="7">
        <v>45119</v>
      </c>
      <c r="G393" t="s">
        <v>37</v>
      </c>
      <c r="H393" t="s">
        <v>53</v>
      </c>
    </row>
    <row r="394" spans="1:8" x14ac:dyDescent="0.45">
      <c r="A394" t="s">
        <v>447</v>
      </c>
      <c r="B394" t="s">
        <v>40</v>
      </c>
      <c r="C394" t="s">
        <v>36</v>
      </c>
      <c r="D394">
        <v>6</v>
      </c>
      <c r="E394" s="6">
        <v>50</v>
      </c>
      <c r="F394" s="7">
        <v>45237</v>
      </c>
      <c r="G394" t="s">
        <v>42</v>
      </c>
      <c r="H394" t="s">
        <v>49</v>
      </c>
    </row>
    <row r="395" spans="1:8" x14ac:dyDescent="0.45">
      <c r="A395" t="s">
        <v>448</v>
      </c>
      <c r="B395" t="s">
        <v>73</v>
      </c>
      <c r="C395" t="s">
        <v>70</v>
      </c>
      <c r="D395">
        <v>10</v>
      </c>
      <c r="E395" s="6">
        <v>200</v>
      </c>
      <c r="F395" s="7">
        <v>45045</v>
      </c>
      <c r="G395" t="s">
        <v>46</v>
      </c>
      <c r="H395" t="s">
        <v>53</v>
      </c>
    </row>
    <row r="396" spans="1:8" x14ac:dyDescent="0.45">
      <c r="A396" t="s">
        <v>449</v>
      </c>
      <c r="B396" t="s">
        <v>40</v>
      </c>
      <c r="C396" t="s">
        <v>55</v>
      </c>
      <c r="D396">
        <v>3</v>
      </c>
      <c r="E396" s="6">
        <v>50</v>
      </c>
      <c r="F396" s="7">
        <v>45144</v>
      </c>
      <c r="G396" t="s">
        <v>60</v>
      </c>
      <c r="H396" t="s">
        <v>49</v>
      </c>
    </row>
    <row r="397" spans="1:8" x14ac:dyDescent="0.45">
      <c r="A397" t="s">
        <v>450</v>
      </c>
      <c r="B397" t="s">
        <v>40</v>
      </c>
      <c r="C397" t="s">
        <v>48</v>
      </c>
      <c r="D397">
        <v>12</v>
      </c>
      <c r="E397" s="6">
        <v>50</v>
      </c>
      <c r="F397" s="7">
        <v>45353</v>
      </c>
      <c r="G397" t="s">
        <v>42</v>
      </c>
      <c r="H397" t="s">
        <v>38</v>
      </c>
    </row>
    <row r="398" spans="1:8" x14ac:dyDescent="0.45">
      <c r="A398" t="s">
        <v>451</v>
      </c>
      <c r="B398" t="s">
        <v>40</v>
      </c>
      <c r="C398" t="s">
        <v>45</v>
      </c>
      <c r="D398">
        <v>5</v>
      </c>
      <c r="E398" s="6">
        <v>50</v>
      </c>
      <c r="F398" s="7">
        <v>45340</v>
      </c>
      <c r="G398" t="s">
        <v>60</v>
      </c>
      <c r="H398" t="s">
        <v>53</v>
      </c>
    </row>
    <row r="399" spans="1:8" x14ac:dyDescent="0.45">
      <c r="A399" t="s">
        <v>452</v>
      </c>
      <c r="B399" t="s">
        <v>44</v>
      </c>
      <c r="C399" t="s">
        <v>55</v>
      </c>
      <c r="D399">
        <v>8</v>
      </c>
      <c r="E399" s="6">
        <v>150</v>
      </c>
      <c r="F399" s="7">
        <v>45040</v>
      </c>
      <c r="G399" t="s">
        <v>64</v>
      </c>
      <c r="H399" t="s">
        <v>53</v>
      </c>
    </row>
    <row r="400" spans="1:8" x14ac:dyDescent="0.45">
      <c r="A400" t="s">
        <v>453</v>
      </c>
      <c r="B400" t="s">
        <v>35</v>
      </c>
      <c r="C400" t="s">
        <v>41</v>
      </c>
      <c r="D400">
        <v>0</v>
      </c>
      <c r="E400" s="6">
        <v>150</v>
      </c>
      <c r="F400" s="7">
        <v>45071</v>
      </c>
      <c r="G400" t="s">
        <v>42</v>
      </c>
      <c r="H400" t="s">
        <v>56</v>
      </c>
    </row>
    <row r="401" spans="1:8" x14ac:dyDescent="0.45">
      <c r="A401" t="s">
        <v>454</v>
      </c>
      <c r="B401" t="s">
        <v>52</v>
      </c>
      <c r="C401" t="s">
        <v>45</v>
      </c>
      <c r="D401">
        <v>12</v>
      </c>
      <c r="E401" s="6">
        <v>100</v>
      </c>
      <c r="F401" s="7">
        <v>45464</v>
      </c>
      <c r="G401" t="s">
        <v>64</v>
      </c>
      <c r="H401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25" x14ac:dyDescent="0.45"/>
  <cols>
    <col min="1" max="1" width="18" customWidth="1"/>
    <col min="2" max="2" width="40" customWidth="1"/>
  </cols>
  <sheetData>
    <row r="1" spans="1:2" ht="18" x14ac:dyDescent="0.55000000000000004">
      <c r="A1" s="1" t="s">
        <v>1</v>
      </c>
    </row>
    <row r="3" spans="1:2" x14ac:dyDescent="0.45">
      <c r="A3" s="3" t="s">
        <v>455</v>
      </c>
      <c r="B3" s="4" t="s">
        <v>456</v>
      </c>
    </row>
    <row r="5" spans="1:2" x14ac:dyDescent="0.45">
      <c r="A5" s="8" t="s">
        <v>27</v>
      </c>
    </row>
    <row r="6" spans="1:2" x14ac:dyDescent="0.45">
      <c r="A6" t="str" cm="1">
        <f t="array" ref="A6:A10">_xlfn.UNIQUE(shelter_data!B2:B401)</f>
        <v>Bird</v>
      </c>
    </row>
    <row r="7" spans="1:2" x14ac:dyDescent="0.45">
      <c r="A7" t="str">
        <v>Guinea Pig</v>
      </c>
    </row>
    <row r="8" spans="1:2" x14ac:dyDescent="0.45">
      <c r="A8" t="str">
        <v>Rabbit</v>
      </c>
    </row>
    <row r="9" spans="1:2" x14ac:dyDescent="0.45">
      <c r="A9" t="str">
        <v>Cat</v>
      </c>
    </row>
    <row r="10" spans="1:2" x14ac:dyDescent="0.45">
      <c r="A10" t="str">
        <v>Dog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ht="18" x14ac:dyDescent="0.55000000000000004">
      <c r="A1" s="1" t="s">
        <v>6</v>
      </c>
    </row>
    <row r="3" spans="1:8" x14ac:dyDescent="0.45">
      <c r="A3" s="3" t="s">
        <v>455</v>
      </c>
      <c r="B3" s="4" t="s">
        <v>457</v>
      </c>
    </row>
    <row r="5" spans="1:8" x14ac:dyDescent="0.4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</row>
    <row r="6" spans="1:8" x14ac:dyDescent="0.45">
      <c r="A6" t="str" cm="1">
        <f t="array" ref="A6:H15">_xlfn.TAKE(_xlfn._xlws.SORT(shelter_data!A2:H401,5,-1),10)</f>
        <v>A0001</v>
      </c>
      <c r="B6" t="str">
        <v>Bird</v>
      </c>
      <c r="C6" t="str">
        <v>Holland Lop</v>
      </c>
      <c r="D6">
        <v>13</v>
      </c>
      <c r="E6" s="6">
        <v>200</v>
      </c>
      <c r="F6" s="7">
        <v>44987</v>
      </c>
      <c r="G6" t="str">
        <v>Toronto</v>
      </c>
      <c r="H6" t="str">
        <v>Online Transfer</v>
      </c>
    </row>
    <row r="7" spans="1:8" x14ac:dyDescent="0.45">
      <c r="A7" t="str">
        <v>A0007</v>
      </c>
      <c r="B7" t="str">
        <v>Rabbit</v>
      </c>
      <c r="C7" t="str">
        <v>Cockatiel</v>
      </c>
      <c r="D7">
        <v>6</v>
      </c>
      <c r="E7" s="6">
        <v>200</v>
      </c>
      <c r="F7" s="7">
        <v>44937</v>
      </c>
      <c r="G7" t="str">
        <v>Toronto</v>
      </c>
      <c r="H7" t="str">
        <v>Credit Card</v>
      </c>
    </row>
    <row r="8" spans="1:8" x14ac:dyDescent="0.45">
      <c r="A8" t="str">
        <v>A0011</v>
      </c>
      <c r="B8" t="str">
        <v>Bird</v>
      </c>
      <c r="C8" t="str">
        <v>Persian</v>
      </c>
      <c r="D8">
        <v>13</v>
      </c>
      <c r="E8" s="6">
        <v>200</v>
      </c>
      <c r="F8" s="7">
        <v>45236</v>
      </c>
      <c r="G8" t="str">
        <v>Toronto</v>
      </c>
      <c r="H8" t="str">
        <v>Debit</v>
      </c>
    </row>
    <row r="9" spans="1:8" x14ac:dyDescent="0.45">
      <c r="A9" t="str">
        <v>A0013</v>
      </c>
      <c r="B9" t="str">
        <v>Guinea Pig</v>
      </c>
      <c r="C9" t="str">
        <v>Persian</v>
      </c>
      <c r="D9">
        <v>10</v>
      </c>
      <c r="E9" s="6">
        <v>200</v>
      </c>
      <c r="F9" s="7">
        <v>45419</v>
      </c>
      <c r="G9" t="str">
        <v>Ottawa</v>
      </c>
      <c r="H9" t="str">
        <v>Credit Card</v>
      </c>
    </row>
    <row r="10" spans="1:8" x14ac:dyDescent="0.45">
      <c r="A10" t="str">
        <v>A0015</v>
      </c>
      <c r="B10" t="str">
        <v>Bird</v>
      </c>
      <c r="C10" t="str">
        <v>American</v>
      </c>
      <c r="D10">
        <v>6</v>
      </c>
      <c r="E10" s="6">
        <v>200</v>
      </c>
      <c r="F10" s="7">
        <v>45256</v>
      </c>
      <c r="G10" t="str">
        <v>Vancouver</v>
      </c>
      <c r="H10" t="str">
        <v>Credit Card</v>
      </c>
    </row>
    <row r="11" spans="1:8" x14ac:dyDescent="0.45">
      <c r="A11" t="str">
        <v>A0016</v>
      </c>
      <c r="B11" t="str">
        <v>Cat</v>
      </c>
      <c r="C11" t="str">
        <v>Cockatiel</v>
      </c>
      <c r="D11">
        <v>5</v>
      </c>
      <c r="E11" s="6">
        <v>200</v>
      </c>
      <c r="F11" s="7">
        <v>45033</v>
      </c>
      <c r="G11" t="str">
        <v>Toronto</v>
      </c>
      <c r="H11" t="str">
        <v>Credit Card</v>
      </c>
    </row>
    <row r="12" spans="1:8" x14ac:dyDescent="0.45">
      <c r="A12" t="str">
        <v>A0017</v>
      </c>
      <c r="B12" t="str">
        <v>Bird</v>
      </c>
      <c r="C12" t="str">
        <v>Siamese</v>
      </c>
      <c r="D12">
        <v>11</v>
      </c>
      <c r="E12" s="6">
        <v>200</v>
      </c>
      <c r="F12" s="7">
        <v>45152</v>
      </c>
      <c r="G12" t="str">
        <v>Toronto</v>
      </c>
      <c r="H12" t="str">
        <v>Credit Card</v>
      </c>
    </row>
    <row r="13" spans="1:8" x14ac:dyDescent="0.45">
      <c r="A13" t="str">
        <v>A0020</v>
      </c>
      <c r="B13" t="str">
        <v>Bird</v>
      </c>
      <c r="C13" t="str">
        <v>Bulldog</v>
      </c>
      <c r="D13">
        <v>1</v>
      </c>
      <c r="E13" s="6">
        <v>200</v>
      </c>
      <c r="F13" s="7">
        <v>45185</v>
      </c>
      <c r="G13" t="str">
        <v>Montreal</v>
      </c>
      <c r="H13" t="str">
        <v>Online Transfer</v>
      </c>
    </row>
    <row r="14" spans="1:8" x14ac:dyDescent="0.45">
      <c r="A14" t="str">
        <v>A0030</v>
      </c>
      <c r="B14" t="str">
        <v>Bird</v>
      </c>
      <c r="C14" t="str">
        <v>American</v>
      </c>
      <c r="D14">
        <v>8</v>
      </c>
      <c r="E14" s="6">
        <v>200</v>
      </c>
      <c r="F14" s="7">
        <v>45071</v>
      </c>
      <c r="G14" t="str">
        <v>Calgary</v>
      </c>
      <c r="H14" t="str">
        <v>Debit</v>
      </c>
    </row>
    <row r="15" spans="1:8" x14ac:dyDescent="0.45">
      <c r="A15" t="str">
        <v>A0038</v>
      </c>
      <c r="B15" t="str">
        <v>Guinea Pig</v>
      </c>
      <c r="C15" t="str">
        <v>Siamese</v>
      </c>
      <c r="D15">
        <v>9</v>
      </c>
      <c r="E15" s="6">
        <v>200</v>
      </c>
      <c r="F15" s="7">
        <v>45193</v>
      </c>
      <c r="G15" t="str">
        <v>Toronto</v>
      </c>
      <c r="H15" t="str">
        <v>Cash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ht="18" x14ac:dyDescent="0.55000000000000004">
      <c r="A1" s="1" t="s">
        <v>10</v>
      </c>
    </row>
    <row r="3" spans="1:8" x14ac:dyDescent="0.45">
      <c r="A3" s="3" t="s">
        <v>455</v>
      </c>
      <c r="B3" s="4" t="s">
        <v>458</v>
      </c>
    </row>
    <row r="5" spans="1:8" x14ac:dyDescent="0.4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</row>
    <row r="6" spans="1:8" x14ac:dyDescent="0.45">
      <c r="A6" t="str" cm="1">
        <f t="array" ref="A6:H19">_xlfn._xlws.FILTER(shelter_data!A2:H401,(shelter_data!G2:G401="Toronto")*(shelter_data!H2:H401="Credit Card"))</f>
        <v>A0007</v>
      </c>
      <c r="B6" t="str">
        <v>Rabbit</v>
      </c>
      <c r="C6" t="str">
        <v>Cockatiel</v>
      </c>
      <c r="D6">
        <v>6</v>
      </c>
      <c r="E6" s="6">
        <v>200</v>
      </c>
      <c r="F6" s="7">
        <v>44937</v>
      </c>
      <c r="G6" t="str">
        <v>Toronto</v>
      </c>
      <c r="H6" t="str">
        <v>Credit Card</v>
      </c>
    </row>
    <row r="7" spans="1:8" x14ac:dyDescent="0.45">
      <c r="A7" t="str">
        <v>A0016</v>
      </c>
      <c r="B7" t="str">
        <v>Cat</v>
      </c>
      <c r="C7" t="str">
        <v>Cockatiel</v>
      </c>
      <c r="D7">
        <v>5</v>
      </c>
      <c r="E7" s="6">
        <v>200</v>
      </c>
      <c r="F7" s="7">
        <v>45033</v>
      </c>
      <c r="G7" t="str">
        <v>Toronto</v>
      </c>
      <c r="H7" t="str">
        <v>Credit Card</v>
      </c>
    </row>
    <row r="8" spans="1:8" x14ac:dyDescent="0.45">
      <c r="A8" t="str">
        <v>A0017</v>
      </c>
      <c r="B8" t="str">
        <v>Bird</v>
      </c>
      <c r="C8" t="str">
        <v>Siamese</v>
      </c>
      <c r="D8">
        <v>11</v>
      </c>
      <c r="E8" s="6">
        <v>200</v>
      </c>
      <c r="F8" s="7">
        <v>45152</v>
      </c>
      <c r="G8" t="str">
        <v>Toronto</v>
      </c>
      <c r="H8" t="str">
        <v>Credit Card</v>
      </c>
    </row>
    <row r="9" spans="1:8" x14ac:dyDescent="0.45">
      <c r="A9" t="str">
        <v>A0019</v>
      </c>
      <c r="B9" t="str">
        <v>Dog</v>
      </c>
      <c r="C9" t="str">
        <v>American</v>
      </c>
      <c r="D9">
        <v>5</v>
      </c>
      <c r="E9" s="6">
        <v>150</v>
      </c>
      <c r="F9" s="7">
        <v>45432</v>
      </c>
      <c r="G9" t="str">
        <v>Toronto</v>
      </c>
      <c r="H9" t="str">
        <v>Credit Card</v>
      </c>
    </row>
    <row r="10" spans="1:8" x14ac:dyDescent="0.45">
      <c r="A10" t="str">
        <v>A0021</v>
      </c>
      <c r="B10" t="str">
        <v>Cat</v>
      </c>
      <c r="C10" t="str">
        <v>Cockatiel</v>
      </c>
      <c r="D10">
        <v>1</v>
      </c>
      <c r="E10" s="6">
        <v>75</v>
      </c>
      <c r="F10" s="7">
        <v>45443</v>
      </c>
      <c r="G10" t="str">
        <v>Toronto</v>
      </c>
      <c r="H10" t="str">
        <v>Credit Card</v>
      </c>
    </row>
    <row r="11" spans="1:8" x14ac:dyDescent="0.45">
      <c r="A11" t="str">
        <v>A0050</v>
      </c>
      <c r="B11" t="str">
        <v>Bird</v>
      </c>
      <c r="C11" t="str">
        <v>Siamese</v>
      </c>
      <c r="D11">
        <v>3</v>
      </c>
      <c r="E11" s="6">
        <v>75</v>
      </c>
      <c r="F11" s="7">
        <v>45152</v>
      </c>
      <c r="G11" t="str">
        <v>Toronto</v>
      </c>
      <c r="H11" t="str">
        <v>Credit Card</v>
      </c>
    </row>
    <row r="12" spans="1:8" x14ac:dyDescent="0.45">
      <c r="A12" t="str">
        <v>A0059</v>
      </c>
      <c r="B12" t="str">
        <v>Bird</v>
      </c>
      <c r="C12" t="str">
        <v>Cockatiel</v>
      </c>
      <c r="D12">
        <v>10</v>
      </c>
      <c r="E12" s="6">
        <v>50</v>
      </c>
      <c r="F12" s="7">
        <v>45040</v>
      </c>
      <c r="G12" t="str">
        <v>Toronto</v>
      </c>
      <c r="H12" t="str">
        <v>Credit Card</v>
      </c>
    </row>
    <row r="13" spans="1:8" x14ac:dyDescent="0.45">
      <c r="A13" t="str">
        <v>A0135</v>
      </c>
      <c r="B13" t="str">
        <v>Rabbit</v>
      </c>
      <c r="C13" t="str">
        <v>American</v>
      </c>
      <c r="D13">
        <v>6</v>
      </c>
      <c r="E13" s="6">
        <v>100</v>
      </c>
      <c r="F13" s="7">
        <v>44933</v>
      </c>
      <c r="G13" t="str">
        <v>Toronto</v>
      </c>
      <c r="H13" t="str">
        <v>Credit Card</v>
      </c>
    </row>
    <row r="14" spans="1:8" x14ac:dyDescent="0.45">
      <c r="A14" t="str">
        <v>A0168</v>
      </c>
      <c r="B14" t="str">
        <v>Rabbit</v>
      </c>
      <c r="C14" t="str">
        <v>Siamese</v>
      </c>
      <c r="D14">
        <v>6</v>
      </c>
      <c r="E14" s="6">
        <v>200</v>
      </c>
      <c r="F14" s="7">
        <v>45089</v>
      </c>
      <c r="G14" t="str">
        <v>Toronto</v>
      </c>
      <c r="H14" t="str">
        <v>Credit Card</v>
      </c>
    </row>
    <row r="15" spans="1:8" x14ac:dyDescent="0.45">
      <c r="A15" t="str">
        <v>A0200</v>
      </c>
      <c r="B15" t="str">
        <v>Bird</v>
      </c>
      <c r="C15" t="str">
        <v>Labrador</v>
      </c>
      <c r="D15">
        <v>9</v>
      </c>
      <c r="E15" s="6">
        <v>50</v>
      </c>
      <c r="F15" s="7">
        <v>45264</v>
      </c>
      <c r="G15" t="str">
        <v>Toronto</v>
      </c>
      <c r="H15" t="str">
        <v>Credit Card</v>
      </c>
    </row>
    <row r="16" spans="1:8" x14ac:dyDescent="0.45">
      <c r="A16" t="str">
        <v>A0231</v>
      </c>
      <c r="B16" t="str">
        <v>Cat</v>
      </c>
      <c r="C16" t="str">
        <v>Cockatiel</v>
      </c>
      <c r="D16">
        <v>4</v>
      </c>
      <c r="E16" s="6">
        <v>100</v>
      </c>
      <c r="F16" s="7">
        <v>45243</v>
      </c>
      <c r="G16" t="str">
        <v>Toronto</v>
      </c>
      <c r="H16" t="str">
        <v>Credit Card</v>
      </c>
    </row>
    <row r="17" spans="1:8" x14ac:dyDescent="0.45">
      <c r="A17" t="str">
        <v>A0285</v>
      </c>
      <c r="B17" t="str">
        <v>Dog</v>
      </c>
      <c r="C17" t="str">
        <v>Persian</v>
      </c>
      <c r="D17">
        <v>1</v>
      </c>
      <c r="E17" s="6">
        <v>200</v>
      </c>
      <c r="F17" s="7">
        <v>45346</v>
      </c>
      <c r="G17" t="str">
        <v>Toronto</v>
      </c>
      <c r="H17" t="str">
        <v>Credit Card</v>
      </c>
    </row>
    <row r="18" spans="1:8" x14ac:dyDescent="0.45">
      <c r="A18" t="str">
        <v>A0307</v>
      </c>
      <c r="B18" t="str">
        <v>Dog</v>
      </c>
      <c r="C18" t="str">
        <v>American</v>
      </c>
      <c r="D18">
        <v>6</v>
      </c>
      <c r="E18" s="6">
        <v>50</v>
      </c>
      <c r="F18" s="7">
        <v>45219</v>
      </c>
      <c r="G18" t="str">
        <v>Toronto</v>
      </c>
      <c r="H18" t="str">
        <v>Credit Card</v>
      </c>
    </row>
    <row r="19" spans="1:8" x14ac:dyDescent="0.45">
      <c r="A19" t="str">
        <v>A0353</v>
      </c>
      <c r="B19" t="str">
        <v>Dog</v>
      </c>
      <c r="C19" t="str">
        <v>Bulldog</v>
      </c>
      <c r="D19">
        <v>7</v>
      </c>
      <c r="E19" s="6">
        <v>200</v>
      </c>
      <c r="F19" s="7">
        <v>45045</v>
      </c>
      <c r="G19" t="str">
        <v>Toronto</v>
      </c>
      <c r="H19" t="str">
        <v>Credit Card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/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3" customWidth="1"/>
    <col min="6" max="6" width="14" customWidth="1"/>
    <col min="7" max="7" width="12" customWidth="1"/>
    <col min="8" max="8" width="16" customWidth="1"/>
  </cols>
  <sheetData>
    <row r="1" spans="1:8" ht="18" x14ac:dyDescent="0.55000000000000004">
      <c r="A1" s="1" t="s">
        <v>13</v>
      </c>
    </row>
    <row r="3" spans="1:8" x14ac:dyDescent="0.45">
      <c r="A3" s="3" t="s">
        <v>455</v>
      </c>
      <c r="B3" s="4" t="s">
        <v>459</v>
      </c>
    </row>
    <row r="5" spans="1:8" x14ac:dyDescent="0.4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</row>
    <row r="6" spans="1:8" x14ac:dyDescent="0.45">
      <c r="A6" t="str" cm="1">
        <f t="array" ref="A6:H20">_xlfn.TAKE(_xlfn._xlws.SORT(shelter_data!A2:H401,6,-1),15)</f>
        <v>A0204</v>
      </c>
      <c r="B6" t="str">
        <v>Dog</v>
      </c>
      <c r="C6" t="str">
        <v>Bulldog</v>
      </c>
      <c r="D6">
        <v>10</v>
      </c>
      <c r="E6" s="6">
        <v>50</v>
      </c>
      <c r="F6" s="7">
        <v>45470</v>
      </c>
      <c r="G6" t="str">
        <v>Montreal</v>
      </c>
      <c r="H6" t="str">
        <v>Credit Card</v>
      </c>
    </row>
    <row r="7" spans="1:8" x14ac:dyDescent="0.45">
      <c r="A7" t="str">
        <v>A0040</v>
      </c>
      <c r="B7" t="str">
        <v>Cat</v>
      </c>
      <c r="C7" t="str">
        <v>American</v>
      </c>
      <c r="D7">
        <v>0</v>
      </c>
      <c r="E7" s="6">
        <v>50</v>
      </c>
      <c r="F7" s="7">
        <v>45467</v>
      </c>
      <c r="G7" t="str">
        <v>Montreal</v>
      </c>
      <c r="H7" t="str">
        <v>Online Transfer</v>
      </c>
    </row>
    <row r="8" spans="1:8" x14ac:dyDescent="0.45">
      <c r="A8" t="str">
        <v>A0156</v>
      </c>
      <c r="B8" t="str">
        <v>Dog</v>
      </c>
      <c r="C8" t="str">
        <v>Cockatiel</v>
      </c>
      <c r="D8">
        <v>5</v>
      </c>
      <c r="E8" s="6">
        <v>75</v>
      </c>
      <c r="F8" s="7">
        <v>45465</v>
      </c>
      <c r="G8" t="str">
        <v>Toronto</v>
      </c>
      <c r="H8" t="str">
        <v>Debit</v>
      </c>
    </row>
    <row r="9" spans="1:8" x14ac:dyDescent="0.45">
      <c r="A9" t="str">
        <v>A0173</v>
      </c>
      <c r="B9" t="str">
        <v>Cat</v>
      </c>
      <c r="C9" t="str">
        <v>Holland Lop</v>
      </c>
      <c r="D9">
        <v>8</v>
      </c>
      <c r="E9" s="6">
        <v>75</v>
      </c>
      <c r="F9" s="7">
        <v>45465</v>
      </c>
      <c r="G9" t="str">
        <v>Vancouver</v>
      </c>
      <c r="H9" t="str">
        <v>Online Transfer</v>
      </c>
    </row>
    <row r="10" spans="1:8" x14ac:dyDescent="0.45">
      <c r="A10" t="str">
        <v>A0140</v>
      </c>
      <c r="B10" t="str">
        <v>Guinea Pig</v>
      </c>
      <c r="C10" t="str">
        <v>Bulldog</v>
      </c>
      <c r="D10">
        <v>9</v>
      </c>
      <c r="E10" s="6">
        <v>150</v>
      </c>
      <c r="F10" s="7">
        <v>45464</v>
      </c>
      <c r="G10" t="str">
        <v>Calgary</v>
      </c>
      <c r="H10" t="str">
        <v>Online Transfer</v>
      </c>
    </row>
    <row r="11" spans="1:8" x14ac:dyDescent="0.45">
      <c r="A11" t="str">
        <v>A0400</v>
      </c>
      <c r="B11" t="str">
        <v>Cat</v>
      </c>
      <c r="C11" t="str">
        <v>Persian</v>
      </c>
      <c r="D11">
        <v>12</v>
      </c>
      <c r="E11" s="6">
        <v>100</v>
      </c>
      <c r="F11" s="7">
        <v>45464</v>
      </c>
      <c r="G11" t="str">
        <v>Vancouver</v>
      </c>
      <c r="H11" t="str">
        <v>Debit</v>
      </c>
    </row>
    <row r="12" spans="1:8" x14ac:dyDescent="0.45">
      <c r="A12" t="str">
        <v>A0047</v>
      </c>
      <c r="B12" t="str">
        <v>Cat</v>
      </c>
      <c r="C12" t="str">
        <v>Holland Lop</v>
      </c>
      <c r="D12">
        <v>9</v>
      </c>
      <c r="E12" s="6">
        <v>150</v>
      </c>
      <c r="F12" s="7">
        <v>45463</v>
      </c>
      <c r="G12" t="str">
        <v>Montreal</v>
      </c>
      <c r="H12" t="str">
        <v>Online Transfer</v>
      </c>
    </row>
    <row r="13" spans="1:8" x14ac:dyDescent="0.45">
      <c r="A13" t="str">
        <v>A0259</v>
      </c>
      <c r="B13" t="str">
        <v>Cat</v>
      </c>
      <c r="C13" t="str">
        <v>American</v>
      </c>
      <c r="D13">
        <v>4</v>
      </c>
      <c r="E13" s="6">
        <v>100</v>
      </c>
      <c r="F13" s="7">
        <v>45463</v>
      </c>
      <c r="G13" t="str">
        <v>Vancouver</v>
      </c>
      <c r="H13" t="str">
        <v>Debit</v>
      </c>
    </row>
    <row r="14" spans="1:8" x14ac:dyDescent="0.45">
      <c r="A14" t="str">
        <v>A0182</v>
      </c>
      <c r="B14" t="str">
        <v>Rabbit</v>
      </c>
      <c r="C14" t="str">
        <v>Labrador</v>
      </c>
      <c r="D14">
        <v>12</v>
      </c>
      <c r="E14" s="6">
        <v>150</v>
      </c>
      <c r="F14" s="7">
        <v>45462</v>
      </c>
      <c r="G14" t="str">
        <v>Calgary</v>
      </c>
      <c r="H14" t="str">
        <v>Credit Card</v>
      </c>
    </row>
    <row r="15" spans="1:8" x14ac:dyDescent="0.45">
      <c r="A15" t="str">
        <v>A0086</v>
      </c>
      <c r="B15" t="str">
        <v>Dog</v>
      </c>
      <c r="C15" t="str">
        <v>Labrador</v>
      </c>
      <c r="D15">
        <v>4</v>
      </c>
      <c r="E15" s="6">
        <v>100</v>
      </c>
      <c r="F15" s="7">
        <v>45461</v>
      </c>
      <c r="G15" t="str">
        <v>Ottawa</v>
      </c>
      <c r="H15" t="str">
        <v>Cash</v>
      </c>
    </row>
    <row r="16" spans="1:8" x14ac:dyDescent="0.45">
      <c r="A16" t="str">
        <v>A0283</v>
      </c>
      <c r="B16" t="str">
        <v>Dog</v>
      </c>
      <c r="C16" t="str">
        <v>Cockatiel</v>
      </c>
      <c r="D16">
        <v>0</v>
      </c>
      <c r="E16" s="6">
        <v>50</v>
      </c>
      <c r="F16" s="7">
        <v>45458</v>
      </c>
      <c r="G16" t="str">
        <v>Calgary</v>
      </c>
      <c r="H16" t="str">
        <v>Debit</v>
      </c>
    </row>
    <row r="17" spans="1:8" x14ac:dyDescent="0.45">
      <c r="A17" t="str">
        <v>A0297</v>
      </c>
      <c r="B17" t="str">
        <v>Guinea Pig</v>
      </c>
      <c r="C17" t="str">
        <v>Cockatiel</v>
      </c>
      <c r="D17">
        <v>0</v>
      </c>
      <c r="E17" s="6">
        <v>150</v>
      </c>
      <c r="F17" s="7">
        <v>45456</v>
      </c>
      <c r="G17" t="str">
        <v>Vancouver</v>
      </c>
      <c r="H17" t="str">
        <v>Online Transfer</v>
      </c>
    </row>
    <row r="18" spans="1:8" x14ac:dyDescent="0.45">
      <c r="A18" t="str">
        <v>A0166</v>
      </c>
      <c r="B18" t="str">
        <v>Cat</v>
      </c>
      <c r="C18" t="str">
        <v>Persian</v>
      </c>
      <c r="D18">
        <v>8</v>
      </c>
      <c r="E18" s="6">
        <v>200</v>
      </c>
      <c r="F18" s="7">
        <v>45453</v>
      </c>
      <c r="G18" t="str">
        <v>Calgary</v>
      </c>
      <c r="H18" t="str">
        <v>Cash</v>
      </c>
    </row>
    <row r="19" spans="1:8" x14ac:dyDescent="0.45">
      <c r="A19" t="str">
        <v>A0184</v>
      </c>
      <c r="B19" t="str">
        <v>Cat</v>
      </c>
      <c r="C19" t="str">
        <v>Persian</v>
      </c>
      <c r="D19">
        <v>14</v>
      </c>
      <c r="E19" s="6">
        <v>200</v>
      </c>
      <c r="F19" s="7">
        <v>45453</v>
      </c>
      <c r="G19" t="str">
        <v>Calgary</v>
      </c>
      <c r="H19" t="str">
        <v>Debit</v>
      </c>
    </row>
    <row r="20" spans="1:8" x14ac:dyDescent="0.45">
      <c r="A20" t="str">
        <v>A0303</v>
      </c>
      <c r="B20" t="str">
        <v>Dog</v>
      </c>
      <c r="C20" t="str">
        <v>Bulldog</v>
      </c>
      <c r="D20">
        <v>10</v>
      </c>
      <c r="E20" s="6">
        <v>50</v>
      </c>
      <c r="F20" s="7">
        <v>45452</v>
      </c>
      <c r="G20" t="str">
        <v>Montreal</v>
      </c>
      <c r="H20" t="str">
        <v>Online Transfer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05"/>
  <sheetViews>
    <sheetView workbookViewId="0"/>
  </sheetViews>
  <sheetFormatPr defaultRowHeight="14.25" x14ac:dyDescent="0.45"/>
  <cols>
    <col min="1" max="1" width="18" customWidth="1"/>
    <col min="2" max="2" width="16" customWidth="1"/>
  </cols>
  <sheetData>
    <row r="1" spans="1:2" ht="18" x14ac:dyDescent="0.55000000000000004">
      <c r="A1" s="1" t="s">
        <v>17</v>
      </c>
    </row>
    <row r="3" spans="1:2" x14ac:dyDescent="0.45">
      <c r="A3" s="3" t="s">
        <v>455</v>
      </c>
      <c r="B3" s="4" t="s">
        <v>460</v>
      </c>
    </row>
    <row r="5" spans="1:2" x14ac:dyDescent="0.45">
      <c r="A5" s="8" t="s">
        <v>27</v>
      </c>
      <c r="B5" s="8" t="s">
        <v>30</v>
      </c>
    </row>
    <row r="6" spans="1:2" x14ac:dyDescent="0.45">
      <c r="A6" t="str" cm="1">
        <f t="array" ref="A6:B405">_xlfn.CHOOSECOLS(shelter_data!A2:H401,2,5)</f>
        <v>Bird</v>
      </c>
      <c r="B6" s="6">
        <v>200</v>
      </c>
    </row>
    <row r="7" spans="1:2" x14ac:dyDescent="0.45">
      <c r="A7" t="str">
        <v>Guinea Pig</v>
      </c>
      <c r="B7" s="6">
        <v>100</v>
      </c>
    </row>
    <row r="8" spans="1:2" x14ac:dyDescent="0.45">
      <c r="A8" t="str">
        <v>Rabbit</v>
      </c>
      <c r="B8" s="6">
        <v>50</v>
      </c>
    </row>
    <row r="9" spans="1:2" x14ac:dyDescent="0.45">
      <c r="A9" t="str">
        <v>Guinea Pig</v>
      </c>
      <c r="B9" s="6">
        <v>150</v>
      </c>
    </row>
    <row r="10" spans="1:2" x14ac:dyDescent="0.45">
      <c r="A10" t="str">
        <v>Guinea Pig</v>
      </c>
      <c r="B10" s="6">
        <v>75</v>
      </c>
    </row>
    <row r="11" spans="1:2" x14ac:dyDescent="0.45">
      <c r="A11" t="str">
        <v>Cat</v>
      </c>
      <c r="B11" s="6">
        <v>75</v>
      </c>
    </row>
    <row r="12" spans="1:2" x14ac:dyDescent="0.45">
      <c r="A12" t="str">
        <v>Rabbit</v>
      </c>
      <c r="B12" s="6">
        <v>200</v>
      </c>
    </row>
    <row r="13" spans="1:2" x14ac:dyDescent="0.45">
      <c r="A13" t="str">
        <v>Rabbit</v>
      </c>
      <c r="B13" s="6">
        <v>100</v>
      </c>
    </row>
    <row r="14" spans="1:2" x14ac:dyDescent="0.45">
      <c r="A14" t="str">
        <v>Rabbit</v>
      </c>
      <c r="B14" s="6">
        <v>75</v>
      </c>
    </row>
    <row r="15" spans="1:2" x14ac:dyDescent="0.45">
      <c r="A15" t="str">
        <v>Guinea Pig</v>
      </c>
      <c r="B15" s="6">
        <v>50</v>
      </c>
    </row>
    <row r="16" spans="1:2" x14ac:dyDescent="0.45">
      <c r="A16" t="str">
        <v>Bird</v>
      </c>
      <c r="B16" s="6">
        <v>200</v>
      </c>
    </row>
    <row r="17" spans="1:2" x14ac:dyDescent="0.45">
      <c r="A17" t="str">
        <v>Rabbit</v>
      </c>
      <c r="B17" s="6">
        <v>150</v>
      </c>
    </row>
    <row r="18" spans="1:2" x14ac:dyDescent="0.45">
      <c r="A18" t="str">
        <v>Guinea Pig</v>
      </c>
      <c r="B18" s="6">
        <v>200</v>
      </c>
    </row>
    <row r="19" spans="1:2" x14ac:dyDescent="0.45">
      <c r="A19" t="str">
        <v>Cat</v>
      </c>
      <c r="B19" s="6">
        <v>150</v>
      </c>
    </row>
    <row r="20" spans="1:2" x14ac:dyDescent="0.45">
      <c r="A20" t="str">
        <v>Bird</v>
      </c>
      <c r="B20" s="6">
        <v>200</v>
      </c>
    </row>
    <row r="21" spans="1:2" x14ac:dyDescent="0.45">
      <c r="A21" t="str">
        <v>Cat</v>
      </c>
      <c r="B21" s="6">
        <v>200</v>
      </c>
    </row>
    <row r="22" spans="1:2" x14ac:dyDescent="0.45">
      <c r="A22" t="str">
        <v>Bird</v>
      </c>
      <c r="B22" s="6">
        <v>200</v>
      </c>
    </row>
    <row r="23" spans="1:2" x14ac:dyDescent="0.45">
      <c r="A23" t="str">
        <v>Guinea Pig</v>
      </c>
      <c r="B23" s="6">
        <v>150</v>
      </c>
    </row>
    <row r="24" spans="1:2" x14ac:dyDescent="0.45">
      <c r="A24" t="str">
        <v>Dog</v>
      </c>
      <c r="B24" s="6">
        <v>150</v>
      </c>
    </row>
    <row r="25" spans="1:2" x14ac:dyDescent="0.45">
      <c r="A25" t="str">
        <v>Bird</v>
      </c>
      <c r="B25" s="6">
        <v>200</v>
      </c>
    </row>
    <row r="26" spans="1:2" x14ac:dyDescent="0.45">
      <c r="A26" t="str">
        <v>Cat</v>
      </c>
      <c r="B26" s="6">
        <v>75</v>
      </c>
    </row>
    <row r="27" spans="1:2" x14ac:dyDescent="0.45">
      <c r="A27" t="str">
        <v>Guinea Pig</v>
      </c>
      <c r="B27" s="6">
        <v>100</v>
      </c>
    </row>
    <row r="28" spans="1:2" x14ac:dyDescent="0.45">
      <c r="A28" t="str">
        <v>Bird</v>
      </c>
      <c r="B28" s="6">
        <v>100</v>
      </c>
    </row>
    <row r="29" spans="1:2" x14ac:dyDescent="0.45">
      <c r="A29" t="str">
        <v>Dog</v>
      </c>
      <c r="B29" s="6">
        <v>100</v>
      </c>
    </row>
    <row r="30" spans="1:2" x14ac:dyDescent="0.45">
      <c r="A30" t="str">
        <v>Dog</v>
      </c>
      <c r="B30" s="6">
        <v>150</v>
      </c>
    </row>
    <row r="31" spans="1:2" x14ac:dyDescent="0.45">
      <c r="A31" t="str">
        <v>Rabbit</v>
      </c>
      <c r="B31" s="6">
        <v>150</v>
      </c>
    </row>
    <row r="32" spans="1:2" x14ac:dyDescent="0.45">
      <c r="A32" t="str">
        <v>Rabbit</v>
      </c>
      <c r="B32" s="6">
        <v>75</v>
      </c>
    </row>
    <row r="33" spans="1:2" x14ac:dyDescent="0.45">
      <c r="A33" t="str">
        <v>Cat</v>
      </c>
      <c r="B33" s="6">
        <v>100</v>
      </c>
    </row>
    <row r="34" spans="1:2" x14ac:dyDescent="0.45">
      <c r="A34" t="str">
        <v>Bird</v>
      </c>
      <c r="B34" s="6">
        <v>100</v>
      </c>
    </row>
    <row r="35" spans="1:2" x14ac:dyDescent="0.45">
      <c r="A35" t="str">
        <v>Bird</v>
      </c>
      <c r="B35" s="6">
        <v>200</v>
      </c>
    </row>
    <row r="36" spans="1:2" x14ac:dyDescent="0.45">
      <c r="A36" t="str">
        <v>Rabbit</v>
      </c>
      <c r="B36" s="6">
        <v>150</v>
      </c>
    </row>
    <row r="37" spans="1:2" x14ac:dyDescent="0.45">
      <c r="A37" t="str">
        <v>Bird</v>
      </c>
      <c r="B37" s="6">
        <v>100</v>
      </c>
    </row>
    <row r="38" spans="1:2" x14ac:dyDescent="0.45">
      <c r="A38" t="str">
        <v>Bird</v>
      </c>
      <c r="B38" s="6">
        <v>75</v>
      </c>
    </row>
    <row r="39" spans="1:2" x14ac:dyDescent="0.45">
      <c r="A39" t="str">
        <v>Dog</v>
      </c>
      <c r="B39" s="6">
        <v>75</v>
      </c>
    </row>
    <row r="40" spans="1:2" x14ac:dyDescent="0.45">
      <c r="A40" t="str">
        <v>Rabbit</v>
      </c>
      <c r="B40" s="6">
        <v>100</v>
      </c>
    </row>
    <row r="41" spans="1:2" x14ac:dyDescent="0.45">
      <c r="A41" t="str">
        <v>Guinea Pig</v>
      </c>
      <c r="B41" s="6">
        <v>150</v>
      </c>
    </row>
    <row r="42" spans="1:2" x14ac:dyDescent="0.45">
      <c r="A42" t="str">
        <v>Rabbit</v>
      </c>
      <c r="B42" s="6">
        <v>75</v>
      </c>
    </row>
    <row r="43" spans="1:2" x14ac:dyDescent="0.45">
      <c r="A43" t="str">
        <v>Guinea Pig</v>
      </c>
      <c r="B43" s="6">
        <v>200</v>
      </c>
    </row>
    <row r="44" spans="1:2" x14ac:dyDescent="0.45">
      <c r="A44" t="str">
        <v>Dog</v>
      </c>
      <c r="B44" s="6">
        <v>75</v>
      </c>
    </row>
    <row r="45" spans="1:2" x14ac:dyDescent="0.45">
      <c r="A45" t="str">
        <v>Cat</v>
      </c>
      <c r="B45" s="6">
        <v>50</v>
      </c>
    </row>
    <row r="46" spans="1:2" x14ac:dyDescent="0.45">
      <c r="A46" t="str">
        <v>Bird</v>
      </c>
      <c r="B46" s="6">
        <v>50</v>
      </c>
    </row>
    <row r="47" spans="1:2" x14ac:dyDescent="0.45">
      <c r="A47" t="str">
        <v>Dog</v>
      </c>
      <c r="B47" s="6">
        <v>150</v>
      </c>
    </row>
    <row r="48" spans="1:2" x14ac:dyDescent="0.45">
      <c r="A48" t="str">
        <v>Bird</v>
      </c>
      <c r="B48" s="6">
        <v>100</v>
      </c>
    </row>
    <row r="49" spans="1:2" x14ac:dyDescent="0.45">
      <c r="A49" t="str">
        <v>Cat</v>
      </c>
      <c r="B49" s="6">
        <v>150</v>
      </c>
    </row>
    <row r="50" spans="1:2" x14ac:dyDescent="0.45">
      <c r="A50" t="str">
        <v>Cat</v>
      </c>
      <c r="B50" s="6">
        <v>150</v>
      </c>
    </row>
    <row r="51" spans="1:2" x14ac:dyDescent="0.45">
      <c r="A51" t="str">
        <v>Dog</v>
      </c>
      <c r="B51" s="6">
        <v>150</v>
      </c>
    </row>
    <row r="52" spans="1:2" x14ac:dyDescent="0.45">
      <c r="A52" t="str">
        <v>Cat</v>
      </c>
      <c r="B52" s="6">
        <v>150</v>
      </c>
    </row>
    <row r="53" spans="1:2" x14ac:dyDescent="0.45">
      <c r="A53" t="str">
        <v>Guinea Pig</v>
      </c>
      <c r="B53" s="6">
        <v>200</v>
      </c>
    </row>
    <row r="54" spans="1:2" x14ac:dyDescent="0.45">
      <c r="A54" t="str">
        <v>Cat</v>
      </c>
      <c r="B54" s="6">
        <v>200</v>
      </c>
    </row>
    <row r="55" spans="1:2" x14ac:dyDescent="0.45">
      <c r="A55" t="str">
        <v>Bird</v>
      </c>
      <c r="B55" s="6">
        <v>75</v>
      </c>
    </row>
    <row r="56" spans="1:2" x14ac:dyDescent="0.45">
      <c r="A56" t="str">
        <v>Bird</v>
      </c>
      <c r="B56" s="6">
        <v>50</v>
      </c>
    </row>
    <row r="57" spans="1:2" x14ac:dyDescent="0.45">
      <c r="A57" t="str">
        <v>Bird</v>
      </c>
      <c r="B57" s="6">
        <v>150</v>
      </c>
    </row>
    <row r="58" spans="1:2" x14ac:dyDescent="0.45">
      <c r="A58" t="str">
        <v>Bird</v>
      </c>
      <c r="B58" s="6">
        <v>75</v>
      </c>
    </row>
    <row r="59" spans="1:2" x14ac:dyDescent="0.45">
      <c r="A59" t="str">
        <v>Guinea Pig</v>
      </c>
      <c r="B59" s="6">
        <v>50</v>
      </c>
    </row>
    <row r="60" spans="1:2" x14ac:dyDescent="0.45">
      <c r="A60" t="str">
        <v>Rabbit</v>
      </c>
      <c r="B60" s="6">
        <v>100</v>
      </c>
    </row>
    <row r="61" spans="1:2" x14ac:dyDescent="0.45">
      <c r="A61" t="str">
        <v>Dog</v>
      </c>
      <c r="B61" s="6">
        <v>200</v>
      </c>
    </row>
    <row r="62" spans="1:2" x14ac:dyDescent="0.45">
      <c r="A62" t="str">
        <v>Bird</v>
      </c>
      <c r="B62" s="6">
        <v>50</v>
      </c>
    </row>
    <row r="63" spans="1:2" x14ac:dyDescent="0.45">
      <c r="A63" t="str">
        <v>Cat</v>
      </c>
      <c r="B63" s="6">
        <v>100</v>
      </c>
    </row>
    <row r="64" spans="1:2" x14ac:dyDescent="0.45">
      <c r="A64" t="str">
        <v>Bird</v>
      </c>
      <c r="B64" s="6">
        <v>50</v>
      </c>
    </row>
    <row r="65" spans="1:2" x14ac:dyDescent="0.45">
      <c r="A65" t="str">
        <v>Cat</v>
      </c>
      <c r="B65" s="6">
        <v>200</v>
      </c>
    </row>
    <row r="66" spans="1:2" x14ac:dyDescent="0.45">
      <c r="A66" t="str">
        <v>Cat</v>
      </c>
      <c r="B66" s="6">
        <v>200</v>
      </c>
    </row>
    <row r="67" spans="1:2" x14ac:dyDescent="0.45">
      <c r="A67" t="str">
        <v>Bird</v>
      </c>
      <c r="B67" s="6">
        <v>75</v>
      </c>
    </row>
    <row r="68" spans="1:2" x14ac:dyDescent="0.45">
      <c r="A68" t="str">
        <v>Guinea Pig</v>
      </c>
      <c r="B68" s="6">
        <v>150</v>
      </c>
    </row>
    <row r="69" spans="1:2" x14ac:dyDescent="0.45">
      <c r="A69" t="str">
        <v>Cat</v>
      </c>
      <c r="B69" s="6">
        <v>50</v>
      </c>
    </row>
    <row r="70" spans="1:2" x14ac:dyDescent="0.45">
      <c r="A70" t="str">
        <v>Cat</v>
      </c>
      <c r="B70" s="6">
        <v>50</v>
      </c>
    </row>
    <row r="71" spans="1:2" x14ac:dyDescent="0.45">
      <c r="A71" t="str">
        <v>Bird</v>
      </c>
      <c r="B71" s="6">
        <v>100</v>
      </c>
    </row>
    <row r="72" spans="1:2" x14ac:dyDescent="0.45">
      <c r="A72" t="str">
        <v>Cat</v>
      </c>
      <c r="B72" s="6">
        <v>200</v>
      </c>
    </row>
    <row r="73" spans="1:2" x14ac:dyDescent="0.45">
      <c r="A73" t="str">
        <v>Cat</v>
      </c>
      <c r="B73" s="6">
        <v>50</v>
      </c>
    </row>
    <row r="74" spans="1:2" x14ac:dyDescent="0.45">
      <c r="A74" t="str">
        <v>Bird</v>
      </c>
      <c r="B74" s="6">
        <v>200</v>
      </c>
    </row>
    <row r="75" spans="1:2" x14ac:dyDescent="0.45">
      <c r="A75" t="str">
        <v>Bird</v>
      </c>
      <c r="B75" s="6">
        <v>50</v>
      </c>
    </row>
    <row r="76" spans="1:2" x14ac:dyDescent="0.45">
      <c r="A76" t="str">
        <v>Dog</v>
      </c>
      <c r="B76" s="6">
        <v>75</v>
      </c>
    </row>
    <row r="77" spans="1:2" x14ac:dyDescent="0.45">
      <c r="A77" t="str">
        <v>Guinea Pig</v>
      </c>
      <c r="B77" s="6">
        <v>150</v>
      </c>
    </row>
    <row r="78" spans="1:2" x14ac:dyDescent="0.45">
      <c r="A78" t="str">
        <v>Guinea Pig</v>
      </c>
      <c r="B78" s="6">
        <v>50</v>
      </c>
    </row>
    <row r="79" spans="1:2" x14ac:dyDescent="0.45">
      <c r="A79" t="str">
        <v>Cat</v>
      </c>
      <c r="B79" s="6">
        <v>200</v>
      </c>
    </row>
    <row r="80" spans="1:2" x14ac:dyDescent="0.45">
      <c r="A80" t="str">
        <v>Guinea Pig</v>
      </c>
      <c r="B80" s="6">
        <v>75</v>
      </c>
    </row>
    <row r="81" spans="1:2" x14ac:dyDescent="0.45">
      <c r="A81" t="str">
        <v>Cat</v>
      </c>
      <c r="B81" s="6">
        <v>50</v>
      </c>
    </row>
    <row r="82" spans="1:2" x14ac:dyDescent="0.45">
      <c r="A82" t="str">
        <v>Dog</v>
      </c>
      <c r="B82" s="6">
        <v>100</v>
      </c>
    </row>
    <row r="83" spans="1:2" x14ac:dyDescent="0.45">
      <c r="A83" t="str">
        <v>Bird</v>
      </c>
      <c r="B83" s="6">
        <v>150</v>
      </c>
    </row>
    <row r="84" spans="1:2" x14ac:dyDescent="0.45">
      <c r="A84" t="str">
        <v>Bird</v>
      </c>
      <c r="B84" s="6">
        <v>50</v>
      </c>
    </row>
    <row r="85" spans="1:2" x14ac:dyDescent="0.45">
      <c r="A85" t="str">
        <v>Bird</v>
      </c>
      <c r="B85" s="6">
        <v>75</v>
      </c>
    </row>
    <row r="86" spans="1:2" x14ac:dyDescent="0.45">
      <c r="A86" t="str">
        <v>Guinea Pig</v>
      </c>
      <c r="B86" s="6">
        <v>100</v>
      </c>
    </row>
    <row r="87" spans="1:2" x14ac:dyDescent="0.45">
      <c r="A87" t="str">
        <v>Dog</v>
      </c>
      <c r="B87" s="6">
        <v>75</v>
      </c>
    </row>
    <row r="88" spans="1:2" x14ac:dyDescent="0.45">
      <c r="A88" t="str">
        <v>Guinea Pig</v>
      </c>
      <c r="B88" s="6">
        <v>75</v>
      </c>
    </row>
    <row r="89" spans="1:2" x14ac:dyDescent="0.45">
      <c r="A89" t="str">
        <v>Guinea Pig</v>
      </c>
      <c r="B89" s="6">
        <v>100</v>
      </c>
    </row>
    <row r="90" spans="1:2" x14ac:dyDescent="0.45">
      <c r="A90" t="str">
        <v>Dog</v>
      </c>
      <c r="B90" s="6">
        <v>75</v>
      </c>
    </row>
    <row r="91" spans="1:2" x14ac:dyDescent="0.45">
      <c r="A91" t="str">
        <v>Dog</v>
      </c>
      <c r="B91" s="6">
        <v>100</v>
      </c>
    </row>
    <row r="92" spans="1:2" x14ac:dyDescent="0.45">
      <c r="A92" t="str">
        <v>Dog</v>
      </c>
      <c r="B92" s="6">
        <v>50</v>
      </c>
    </row>
    <row r="93" spans="1:2" x14ac:dyDescent="0.45">
      <c r="A93" t="str">
        <v>Dog</v>
      </c>
      <c r="B93" s="6">
        <v>100</v>
      </c>
    </row>
    <row r="94" spans="1:2" x14ac:dyDescent="0.45">
      <c r="A94" t="str">
        <v>Bird</v>
      </c>
      <c r="B94" s="6">
        <v>100</v>
      </c>
    </row>
    <row r="95" spans="1:2" x14ac:dyDescent="0.45">
      <c r="A95" t="str">
        <v>Rabbit</v>
      </c>
      <c r="B95" s="6">
        <v>150</v>
      </c>
    </row>
    <row r="96" spans="1:2" x14ac:dyDescent="0.45">
      <c r="A96" t="str">
        <v>Rabbit</v>
      </c>
      <c r="B96" s="6">
        <v>100</v>
      </c>
    </row>
    <row r="97" spans="1:2" x14ac:dyDescent="0.45">
      <c r="A97" t="str">
        <v>Dog</v>
      </c>
      <c r="B97" s="6">
        <v>100</v>
      </c>
    </row>
    <row r="98" spans="1:2" x14ac:dyDescent="0.45">
      <c r="A98" t="str">
        <v>Rabbit</v>
      </c>
      <c r="B98" s="6">
        <v>50</v>
      </c>
    </row>
    <row r="99" spans="1:2" x14ac:dyDescent="0.45">
      <c r="A99" t="str">
        <v>Rabbit</v>
      </c>
      <c r="B99" s="6">
        <v>150</v>
      </c>
    </row>
    <row r="100" spans="1:2" x14ac:dyDescent="0.45">
      <c r="A100" t="str">
        <v>Dog</v>
      </c>
      <c r="B100" s="6">
        <v>200</v>
      </c>
    </row>
    <row r="101" spans="1:2" x14ac:dyDescent="0.45">
      <c r="A101" t="str">
        <v>Rabbit</v>
      </c>
      <c r="B101" s="6">
        <v>50</v>
      </c>
    </row>
    <row r="102" spans="1:2" x14ac:dyDescent="0.45">
      <c r="A102" t="str">
        <v>Guinea Pig</v>
      </c>
      <c r="B102" s="6">
        <v>50</v>
      </c>
    </row>
    <row r="103" spans="1:2" x14ac:dyDescent="0.45">
      <c r="A103" t="str">
        <v>Cat</v>
      </c>
      <c r="B103" s="6">
        <v>200</v>
      </c>
    </row>
    <row r="104" spans="1:2" x14ac:dyDescent="0.45">
      <c r="A104" t="str">
        <v>Cat</v>
      </c>
      <c r="B104" s="6">
        <v>100</v>
      </c>
    </row>
    <row r="105" spans="1:2" x14ac:dyDescent="0.45">
      <c r="A105" t="str">
        <v>Dog</v>
      </c>
      <c r="B105" s="6">
        <v>75</v>
      </c>
    </row>
    <row r="106" spans="1:2" x14ac:dyDescent="0.45">
      <c r="A106" t="str">
        <v>Bird</v>
      </c>
      <c r="B106" s="6">
        <v>150</v>
      </c>
    </row>
    <row r="107" spans="1:2" x14ac:dyDescent="0.45">
      <c r="A107" t="str">
        <v>Dog</v>
      </c>
      <c r="B107" s="6">
        <v>75</v>
      </c>
    </row>
    <row r="108" spans="1:2" x14ac:dyDescent="0.45">
      <c r="A108" t="str">
        <v>Bird</v>
      </c>
      <c r="B108" s="6">
        <v>200</v>
      </c>
    </row>
    <row r="109" spans="1:2" x14ac:dyDescent="0.45">
      <c r="A109" t="str">
        <v>Cat</v>
      </c>
      <c r="B109" s="6">
        <v>50</v>
      </c>
    </row>
    <row r="110" spans="1:2" x14ac:dyDescent="0.45">
      <c r="A110" t="str">
        <v>Dog</v>
      </c>
      <c r="B110" s="6">
        <v>50</v>
      </c>
    </row>
    <row r="111" spans="1:2" x14ac:dyDescent="0.45">
      <c r="A111" t="str">
        <v>Guinea Pig</v>
      </c>
      <c r="B111" s="6">
        <v>150</v>
      </c>
    </row>
    <row r="112" spans="1:2" x14ac:dyDescent="0.45">
      <c r="A112" t="str">
        <v>Rabbit</v>
      </c>
      <c r="B112" s="6">
        <v>50</v>
      </c>
    </row>
    <row r="113" spans="1:2" x14ac:dyDescent="0.45">
      <c r="A113" t="str">
        <v>Bird</v>
      </c>
      <c r="B113" s="6">
        <v>50</v>
      </c>
    </row>
    <row r="114" spans="1:2" x14ac:dyDescent="0.45">
      <c r="A114" t="str">
        <v>Rabbit</v>
      </c>
      <c r="B114" s="6">
        <v>150</v>
      </c>
    </row>
    <row r="115" spans="1:2" x14ac:dyDescent="0.45">
      <c r="A115" t="str">
        <v>Rabbit</v>
      </c>
      <c r="B115" s="6">
        <v>150</v>
      </c>
    </row>
    <row r="116" spans="1:2" x14ac:dyDescent="0.45">
      <c r="A116" t="str">
        <v>Dog</v>
      </c>
      <c r="B116" s="6">
        <v>200</v>
      </c>
    </row>
    <row r="117" spans="1:2" x14ac:dyDescent="0.45">
      <c r="A117" t="str">
        <v>Rabbit</v>
      </c>
      <c r="B117" s="6">
        <v>50</v>
      </c>
    </row>
    <row r="118" spans="1:2" x14ac:dyDescent="0.45">
      <c r="A118" t="str">
        <v>Guinea Pig</v>
      </c>
      <c r="B118" s="6">
        <v>50</v>
      </c>
    </row>
    <row r="119" spans="1:2" x14ac:dyDescent="0.45">
      <c r="A119" t="str">
        <v>Rabbit</v>
      </c>
      <c r="B119" s="6">
        <v>200</v>
      </c>
    </row>
    <row r="120" spans="1:2" x14ac:dyDescent="0.45">
      <c r="A120" t="str">
        <v>Dog</v>
      </c>
      <c r="B120" s="6">
        <v>100</v>
      </c>
    </row>
    <row r="121" spans="1:2" x14ac:dyDescent="0.45">
      <c r="A121" t="str">
        <v>Guinea Pig</v>
      </c>
      <c r="B121" s="6">
        <v>100</v>
      </c>
    </row>
    <row r="122" spans="1:2" x14ac:dyDescent="0.45">
      <c r="A122" t="str">
        <v>Cat</v>
      </c>
      <c r="B122" s="6">
        <v>100</v>
      </c>
    </row>
    <row r="123" spans="1:2" x14ac:dyDescent="0.45">
      <c r="A123" t="str">
        <v>Rabbit</v>
      </c>
      <c r="B123" s="6">
        <v>200</v>
      </c>
    </row>
    <row r="124" spans="1:2" x14ac:dyDescent="0.45">
      <c r="A124" t="str">
        <v>Dog</v>
      </c>
      <c r="B124" s="6">
        <v>50</v>
      </c>
    </row>
    <row r="125" spans="1:2" x14ac:dyDescent="0.45">
      <c r="A125" t="str">
        <v>Cat</v>
      </c>
      <c r="B125" s="6">
        <v>200</v>
      </c>
    </row>
    <row r="126" spans="1:2" x14ac:dyDescent="0.45">
      <c r="A126" t="str">
        <v>Cat</v>
      </c>
      <c r="B126" s="6">
        <v>200</v>
      </c>
    </row>
    <row r="127" spans="1:2" x14ac:dyDescent="0.45">
      <c r="A127" t="str">
        <v>Bird</v>
      </c>
      <c r="B127" s="6">
        <v>100</v>
      </c>
    </row>
    <row r="128" spans="1:2" x14ac:dyDescent="0.45">
      <c r="A128" t="str">
        <v>Guinea Pig</v>
      </c>
      <c r="B128" s="6">
        <v>75</v>
      </c>
    </row>
    <row r="129" spans="1:2" x14ac:dyDescent="0.45">
      <c r="A129" t="str">
        <v>Rabbit</v>
      </c>
      <c r="B129" s="6">
        <v>50</v>
      </c>
    </row>
    <row r="130" spans="1:2" x14ac:dyDescent="0.45">
      <c r="A130" t="str">
        <v>Dog</v>
      </c>
      <c r="B130" s="6">
        <v>100</v>
      </c>
    </row>
    <row r="131" spans="1:2" x14ac:dyDescent="0.45">
      <c r="A131" t="str">
        <v>Bird</v>
      </c>
      <c r="B131" s="6">
        <v>75</v>
      </c>
    </row>
    <row r="132" spans="1:2" x14ac:dyDescent="0.45">
      <c r="A132" t="str">
        <v>Guinea Pig</v>
      </c>
      <c r="B132" s="6">
        <v>75</v>
      </c>
    </row>
    <row r="133" spans="1:2" x14ac:dyDescent="0.45">
      <c r="A133" t="str">
        <v>Bird</v>
      </c>
      <c r="B133" s="6">
        <v>150</v>
      </c>
    </row>
    <row r="134" spans="1:2" x14ac:dyDescent="0.45">
      <c r="A134" t="str">
        <v>Guinea Pig</v>
      </c>
      <c r="B134" s="6">
        <v>50</v>
      </c>
    </row>
    <row r="135" spans="1:2" x14ac:dyDescent="0.45">
      <c r="A135" t="str">
        <v>Guinea Pig</v>
      </c>
      <c r="B135" s="6">
        <v>75</v>
      </c>
    </row>
    <row r="136" spans="1:2" x14ac:dyDescent="0.45">
      <c r="A136" t="str">
        <v>Rabbit</v>
      </c>
      <c r="B136" s="6">
        <v>100</v>
      </c>
    </row>
    <row r="137" spans="1:2" x14ac:dyDescent="0.45">
      <c r="A137" t="str">
        <v>Guinea Pig</v>
      </c>
      <c r="B137" s="6">
        <v>150</v>
      </c>
    </row>
    <row r="138" spans="1:2" x14ac:dyDescent="0.45">
      <c r="A138" t="str">
        <v>Bird</v>
      </c>
      <c r="B138" s="6">
        <v>50</v>
      </c>
    </row>
    <row r="139" spans="1:2" x14ac:dyDescent="0.45">
      <c r="A139" t="str">
        <v>Guinea Pig</v>
      </c>
      <c r="B139" s="6">
        <v>200</v>
      </c>
    </row>
    <row r="140" spans="1:2" x14ac:dyDescent="0.45">
      <c r="A140" t="str">
        <v>Rabbit</v>
      </c>
      <c r="B140" s="6">
        <v>100</v>
      </c>
    </row>
    <row r="141" spans="1:2" x14ac:dyDescent="0.45">
      <c r="A141" t="str">
        <v>Rabbit</v>
      </c>
      <c r="B141" s="6">
        <v>75</v>
      </c>
    </row>
    <row r="142" spans="1:2" x14ac:dyDescent="0.45">
      <c r="A142" t="str">
        <v>Bird</v>
      </c>
      <c r="B142" s="6">
        <v>75</v>
      </c>
    </row>
    <row r="143" spans="1:2" x14ac:dyDescent="0.45">
      <c r="A143" t="str">
        <v>Cat</v>
      </c>
      <c r="B143" s="6">
        <v>100</v>
      </c>
    </row>
    <row r="144" spans="1:2" x14ac:dyDescent="0.45">
      <c r="A144" t="str">
        <v>Cat</v>
      </c>
      <c r="B144" s="6">
        <v>75</v>
      </c>
    </row>
    <row r="145" spans="1:2" x14ac:dyDescent="0.45">
      <c r="A145" t="str">
        <v>Guinea Pig</v>
      </c>
      <c r="B145" s="6">
        <v>150</v>
      </c>
    </row>
    <row r="146" spans="1:2" x14ac:dyDescent="0.45">
      <c r="A146" t="str">
        <v>Dog</v>
      </c>
      <c r="B146" s="6">
        <v>50</v>
      </c>
    </row>
    <row r="147" spans="1:2" x14ac:dyDescent="0.45">
      <c r="A147" t="str">
        <v>Guinea Pig</v>
      </c>
      <c r="B147" s="6">
        <v>150</v>
      </c>
    </row>
    <row r="148" spans="1:2" x14ac:dyDescent="0.45">
      <c r="A148" t="str">
        <v>Bird</v>
      </c>
      <c r="B148" s="6">
        <v>75</v>
      </c>
    </row>
    <row r="149" spans="1:2" x14ac:dyDescent="0.45">
      <c r="A149" t="str">
        <v>Bird</v>
      </c>
      <c r="B149" s="6">
        <v>200</v>
      </c>
    </row>
    <row r="150" spans="1:2" x14ac:dyDescent="0.45">
      <c r="A150" t="str">
        <v>Bird</v>
      </c>
      <c r="B150" s="6">
        <v>50</v>
      </c>
    </row>
    <row r="151" spans="1:2" x14ac:dyDescent="0.45">
      <c r="A151" t="str">
        <v>Bird</v>
      </c>
      <c r="B151" s="6">
        <v>50</v>
      </c>
    </row>
    <row r="152" spans="1:2" x14ac:dyDescent="0.45">
      <c r="A152" t="str">
        <v>Bird</v>
      </c>
      <c r="B152" s="6">
        <v>100</v>
      </c>
    </row>
    <row r="153" spans="1:2" x14ac:dyDescent="0.45">
      <c r="A153" t="str">
        <v>Rabbit</v>
      </c>
      <c r="B153" s="6">
        <v>100</v>
      </c>
    </row>
    <row r="154" spans="1:2" x14ac:dyDescent="0.45">
      <c r="A154" t="str">
        <v>Cat</v>
      </c>
      <c r="B154" s="6">
        <v>200</v>
      </c>
    </row>
    <row r="155" spans="1:2" x14ac:dyDescent="0.45">
      <c r="A155" t="str">
        <v>Bird</v>
      </c>
      <c r="B155" s="6">
        <v>50</v>
      </c>
    </row>
    <row r="156" spans="1:2" x14ac:dyDescent="0.45">
      <c r="A156" t="str">
        <v>Dog</v>
      </c>
      <c r="B156" s="6">
        <v>200</v>
      </c>
    </row>
    <row r="157" spans="1:2" x14ac:dyDescent="0.45">
      <c r="A157" t="str">
        <v>Dog</v>
      </c>
      <c r="B157" s="6">
        <v>100</v>
      </c>
    </row>
    <row r="158" spans="1:2" x14ac:dyDescent="0.45">
      <c r="A158" t="str">
        <v>Dog</v>
      </c>
      <c r="B158" s="6">
        <v>100</v>
      </c>
    </row>
    <row r="159" spans="1:2" x14ac:dyDescent="0.45">
      <c r="A159" t="str">
        <v>Dog</v>
      </c>
      <c r="B159" s="6">
        <v>50</v>
      </c>
    </row>
    <row r="160" spans="1:2" x14ac:dyDescent="0.45">
      <c r="A160" t="str">
        <v>Rabbit</v>
      </c>
      <c r="B160" s="6">
        <v>150</v>
      </c>
    </row>
    <row r="161" spans="1:2" x14ac:dyDescent="0.45">
      <c r="A161" t="str">
        <v>Dog</v>
      </c>
      <c r="B161" s="6">
        <v>75</v>
      </c>
    </row>
    <row r="162" spans="1:2" x14ac:dyDescent="0.45">
      <c r="A162" t="str">
        <v>Bird</v>
      </c>
      <c r="B162" s="6">
        <v>100</v>
      </c>
    </row>
    <row r="163" spans="1:2" x14ac:dyDescent="0.45">
      <c r="A163" t="str">
        <v>Guinea Pig</v>
      </c>
      <c r="B163" s="6">
        <v>100</v>
      </c>
    </row>
    <row r="164" spans="1:2" x14ac:dyDescent="0.45">
      <c r="A164" t="str">
        <v>Dog</v>
      </c>
      <c r="B164" s="6">
        <v>150</v>
      </c>
    </row>
    <row r="165" spans="1:2" x14ac:dyDescent="0.45">
      <c r="A165" t="str">
        <v>Rabbit</v>
      </c>
      <c r="B165" s="6">
        <v>150</v>
      </c>
    </row>
    <row r="166" spans="1:2" x14ac:dyDescent="0.45">
      <c r="A166" t="str">
        <v>Rabbit</v>
      </c>
      <c r="B166" s="6">
        <v>200</v>
      </c>
    </row>
    <row r="167" spans="1:2" x14ac:dyDescent="0.45">
      <c r="A167" t="str">
        <v>Dog</v>
      </c>
      <c r="B167" s="6">
        <v>200</v>
      </c>
    </row>
    <row r="168" spans="1:2" x14ac:dyDescent="0.45">
      <c r="A168" t="str">
        <v>Guinea Pig</v>
      </c>
      <c r="B168" s="6">
        <v>75</v>
      </c>
    </row>
    <row r="169" spans="1:2" x14ac:dyDescent="0.45">
      <c r="A169" t="str">
        <v>Dog</v>
      </c>
      <c r="B169" s="6">
        <v>75</v>
      </c>
    </row>
    <row r="170" spans="1:2" x14ac:dyDescent="0.45">
      <c r="A170" t="str">
        <v>Rabbit</v>
      </c>
      <c r="B170" s="6">
        <v>50</v>
      </c>
    </row>
    <row r="171" spans="1:2" x14ac:dyDescent="0.45">
      <c r="A171" t="str">
        <v>Cat</v>
      </c>
      <c r="B171" s="6">
        <v>200</v>
      </c>
    </row>
    <row r="172" spans="1:2" x14ac:dyDescent="0.45">
      <c r="A172" t="str">
        <v>Bird</v>
      </c>
      <c r="B172" s="6">
        <v>100</v>
      </c>
    </row>
    <row r="173" spans="1:2" x14ac:dyDescent="0.45">
      <c r="A173" t="str">
        <v>Rabbit</v>
      </c>
      <c r="B173" s="6">
        <v>200</v>
      </c>
    </row>
    <row r="174" spans="1:2" x14ac:dyDescent="0.45">
      <c r="A174" t="str">
        <v>Dog</v>
      </c>
      <c r="B174" s="6">
        <v>100</v>
      </c>
    </row>
    <row r="175" spans="1:2" x14ac:dyDescent="0.45">
      <c r="A175" t="str">
        <v>Bird</v>
      </c>
      <c r="B175" s="6">
        <v>150</v>
      </c>
    </row>
    <row r="176" spans="1:2" x14ac:dyDescent="0.45">
      <c r="A176" t="str">
        <v>Dog</v>
      </c>
      <c r="B176" s="6">
        <v>200</v>
      </c>
    </row>
    <row r="177" spans="1:2" x14ac:dyDescent="0.45">
      <c r="A177" t="str">
        <v>Dog</v>
      </c>
      <c r="B177" s="6">
        <v>150</v>
      </c>
    </row>
    <row r="178" spans="1:2" x14ac:dyDescent="0.45">
      <c r="A178" t="str">
        <v>Cat</v>
      </c>
      <c r="B178" s="6">
        <v>75</v>
      </c>
    </row>
    <row r="179" spans="1:2" x14ac:dyDescent="0.45">
      <c r="A179" t="str">
        <v>Bird</v>
      </c>
      <c r="B179" s="6">
        <v>75</v>
      </c>
    </row>
    <row r="180" spans="1:2" x14ac:dyDescent="0.45">
      <c r="A180" t="str">
        <v>Bird</v>
      </c>
      <c r="B180" s="6">
        <v>50</v>
      </c>
    </row>
    <row r="181" spans="1:2" x14ac:dyDescent="0.45">
      <c r="A181" t="str">
        <v>Cat</v>
      </c>
      <c r="B181" s="6">
        <v>200</v>
      </c>
    </row>
    <row r="182" spans="1:2" x14ac:dyDescent="0.45">
      <c r="A182" t="str">
        <v>Rabbit</v>
      </c>
      <c r="B182" s="6">
        <v>150</v>
      </c>
    </row>
    <row r="183" spans="1:2" x14ac:dyDescent="0.45">
      <c r="A183" t="str">
        <v>Dog</v>
      </c>
      <c r="B183" s="6">
        <v>100</v>
      </c>
    </row>
    <row r="184" spans="1:2" x14ac:dyDescent="0.45">
      <c r="A184" t="str">
        <v>Guinea Pig</v>
      </c>
      <c r="B184" s="6">
        <v>75</v>
      </c>
    </row>
    <row r="185" spans="1:2" x14ac:dyDescent="0.45">
      <c r="A185" t="str">
        <v>Dog</v>
      </c>
      <c r="B185" s="6">
        <v>75</v>
      </c>
    </row>
    <row r="186" spans="1:2" x14ac:dyDescent="0.45">
      <c r="A186" t="str">
        <v>Dog</v>
      </c>
      <c r="B186" s="6">
        <v>100</v>
      </c>
    </row>
    <row r="187" spans="1:2" x14ac:dyDescent="0.45">
      <c r="A187" t="str">
        <v>Rabbit</v>
      </c>
      <c r="B187" s="6">
        <v>150</v>
      </c>
    </row>
    <row r="188" spans="1:2" x14ac:dyDescent="0.45">
      <c r="A188" t="str">
        <v>Dog</v>
      </c>
      <c r="B188" s="6">
        <v>150</v>
      </c>
    </row>
    <row r="189" spans="1:2" x14ac:dyDescent="0.45">
      <c r="A189" t="str">
        <v>Cat</v>
      </c>
      <c r="B189" s="6">
        <v>200</v>
      </c>
    </row>
    <row r="190" spans="1:2" x14ac:dyDescent="0.45">
      <c r="A190" t="str">
        <v>Cat</v>
      </c>
      <c r="B190" s="6">
        <v>200</v>
      </c>
    </row>
    <row r="191" spans="1:2" x14ac:dyDescent="0.45">
      <c r="A191" t="str">
        <v>Bird</v>
      </c>
      <c r="B191" s="6">
        <v>50</v>
      </c>
    </row>
    <row r="192" spans="1:2" x14ac:dyDescent="0.45">
      <c r="A192" t="str">
        <v>Guinea Pig</v>
      </c>
      <c r="B192" s="6">
        <v>75</v>
      </c>
    </row>
    <row r="193" spans="1:2" x14ac:dyDescent="0.45">
      <c r="A193" t="str">
        <v>Dog</v>
      </c>
      <c r="B193" s="6">
        <v>200</v>
      </c>
    </row>
    <row r="194" spans="1:2" x14ac:dyDescent="0.45">
      <c r="A194" t="str">
        <v>Dog</v>
      </c>
      <c r="B194" s="6">
        <v>150</v>
      </c>
    </row>
    <row r="195" spans="1:2" x14ac:dyDescent="0.45">
      <c r="A195" t="str">
        <v>Rabbit</v>
      </c>
      <c r="B195" s="6">
        <v>100</v>
      </c>
    </row>
    <row r="196" spans="1:2" x14ac:dyDescent="0.45">
      <c r="A196" t="str">
        <v>Cat</v>
      </c>
      <c r="B196" s="6">
        <v>150</v>
      </c>
    </row>
    <row r="197" spans="1:2" x14ac:dyDescent="0.45">
      <c r="A197" t="str">
        <v>Guinea Pig</v>
      </c>
      <c r="B197" s="6">
        <v>75</v>
      </c>
    </row>
    <row r="198" spans="1:2" x14ac:dyDescent="0.45">
      <c r="A198" t="str">
        <v>Bird</v>
      </c>
      <c r="B198" s="6">
        <v>150</v>
      </c>
    </row>
    <row r="199" spans="1:2" x14ac:dyDescent="0.45">
      <c r="A199" t="str">
        <v>Cat</v>
      </c>
      <c r="B199" s="6">
        <v>50</v>
      </c>
    </row>
    <row r="200" spans="1:2" x14ac:dyDescent="0.45">
      <c r="A200" t="str">
        <v>Bird</v>
      </c>
      <c r="B200" s="6">
        <v>75</v>
      </c>
    </row>
    <row r="201" spans="1:2" x14ac:dyDescent="0.45">
      <c r="A201" t="str">
        <v>Rabbit</v>
      </c>
      <c r="B201" s="6">
        <v>100</v>
      </c>
    </row>
    <row r="202" spans="1:2" x14ac:dyDescent="0.45">
      <c r="A202" t="str">
        <v>Rabbit</v>
      </c>
      <c r="B202" s="6">
        <v>50</v>
      </c>
    </row>
    <row r="203" spans="1:2" x14ac:dyDescent="0.45">
      <c r="A203" t="str">
        <v>Dog</v>
      </c>
      <c r="B203" s="6">
        <v>75</v>
      </c>
    </row>
    <row r="204" spans="1:2" x14ac:dyDescent="0.45">
      <c r="A204" t="str">
        <v>Guinea Pig</v>
      </c>
      <c r="B204" s="6">
        <v>100</v>
      </c>
    </row>
    <row r="205" spans="1:2" x14ac:dyDescent="0.45">
      <c r="A205" t="str">
        <v>Bird</v>
      </c>
      <c r="B205" s="6">
        <v>50</v>
      </c>
    </row>
    <row r="206" spans="1:2" x14ac:dyDescent="0.45">
      <c r="A206" t="str">
        <v>Cat</v>
      </c>
      <c r="B206" s="6">
        <v>50</v>
      </c>
    </row>
    <row r="207" spans="1:2" x14ac:dyDescent="0.45">
      <c r="A207" t="str">
        <v>Rabbit</v>
      </c>
      <c r="B207" s="6">
        <v>75</v>
      </c>
    </row>
    <row r="208" spans="1:2" x14ac:dyDescent="0.45">
      <c r="A208" t="str">
        <v>Dog</v>
      </c>
      <c r="B208" s="6">
        <v>200</v>
      </c>
    </row>
    <row r="209" spans="1:2" x14ac:dyDescent="0.45">
      <c r="A209" t="str">
        <v>Dog</v>
      </c>
      <c r="B209" s="6">
        <v>50</v>
      </c>
    </row>
    <row r="210" spans="1:2" x14ac:dyDescent="0.45">
      <c r="A210" t="str">
        <v>Bird</v>
      </c>
      <c r="B210" s="6">
        <v>50</v>
      </c>
    </row>
    <row r="211" spans="1:2" x14ac:dyDescent="0.45">
      <c r="A211" t="str">
        <v>Rabbit</v>
      </c>
      <c r="B211" s="6">
        <v>100</v>
      </c>
    </row>
    <row r="212" spans="1:2" x14ac:dyDescent="0.45">
      <c r="A212" t="str">
        <v>Guinea Pig</v>
      </c>
      <c r="B212" s="6">
        <v>150</v>
      </c>
    </row>
    <row r="213" spans="1:2" x14ac:dyDescent="0.45">
      <c r="A213" t="str">
        <v>Rabbit</v>
      </c>
      <c r="B213" s="6">
        <v>75</v>
      </c>
    </row>
    <row r="214" spans="1:2" x14ac:dyDescent="0.45">
      <c r="A214" t="str">
        <v>Bird</v>
      </c>
      <c r="B214" s="6">
        <v>75</v>
      </c>
    </row>
    <row r="215" spans="1:2" x14ac:dyDescent="0.45">
      <c r="A215" t="str">
        <v>Bird</v>
      </c>
      <c r="B215" s="6">
        <v>200</v>
      </c>
    </row>
    <row r="216" spans="1:2" x14ac:dyDescent="0.45">
      <c r="A216" t="str">
        <v>Rabbit</v>
      </c>
      <c r="B216" s="6">
        <v>200</v>
      </c>
    </row>
    <row r="217" spans="1:2" x14ac:dyDescent="0.45">
      <c r="A217" t="str">
        <v>Bird</v>
      </c>
      <c r="B217" s="6">
        <v>75</v>
      </c>
    </row>
    <row r="218" spans="1:2" x14ac:dyDescent="0.45">
      <c r="A218" t="str">
        <v>Rabbit</v>
      </c>
      <c r="B218" s="6">
        <v>200</v>
      </c>
    </row>
    <row r="219" spans="1:2" x14ac:dyDescent="0.45">
      <c r="A219" t="str">
        <v>Cat</v>
      </c>
      <c r="B219" s="6">
        <v>100</v>
      </c>
    </row>
    <row r="220" spans="1:2" x14ac:dyDescent="0.45">
      <c r="A220" t="str">
        <v>Rabbit</v>
      </c>
      <c r="B220" s="6">
        <v>75</v>
      </c>
    </row>
    <row r="221" spans="1:2" x14ac:dyDescent="0.45">
      <c r="A221" t="str">
        <v>Rabbit</v>
      </c>
      <c r="B221" s="6">
        <v>200</v>
      </c>
    </row>
    <row r="222" spans="1:2" x14ac:dyDescent="0.45">
      <c r="A222" t="str">
        <v>Bird</v>
      </c>
      <c r="B222" s="6">
        <v>75</v>
      </c>
    </row>
    <row r="223" spans="1:2" x14ac:dyDescent="0.45">
      <c r="A223" t="str">
        <v>Bird</v>
      </c>
      <c r="B223" s="6">
        <v>150</v>
      </c>
    </row>
    <row r="224" spans="1:2" x14ac:dyDescent="0.45">
      <c r="A224" t="str">
        <v>Dog</v>
      </c>
      <c r="B224" s="6">
        <v>50</v>
      </c>
    </row>
    <row r="225" spans="1:2" x14ac:dyDescent="0.45">
      <c r="A225" t="str">
        <v>Dog</v>
      </c>
      <c r="B225" s="6">
        <v>75</v>
      </c>
    </row>
    <row r="226" spans="1:2" x14ac:dyDescent="0.45">
      <c r="A226" t="str">
        <v>Cat</v>
      </c>
      <c r="B226" s="6">
        <v>50</v>
      </c>
    </row>
    <row r="227" spans="1:2" x14ac:dyDescent="0.45">
      <c r="A227" t="str">
        <v>Dog</v>
      </c>
      <c r="B227" s="6">
        <v>200</v>
      </c>
    </row>
    <row r="228" spans="1:2" x14ac:dyDescent="0.45">
      <c r="A228" t="str">
        <v>Rabbit</v>
      </c>
      <c r="B228" s="6">
        <v>50</v>
      </c>
    </row>
    <row r="229" spans="1:2" x14ac:dyDescent="0.45">
      <c r="A229" t="str">
        <v>Bird</v>
      </c>
      <c r="B229" s="6">
        <v>75</v>
      </c>
    </row>
    <row r="230" spans="1:2" x14ac:dyDescent="0.45">
      <c r="A230" t="str">
        <v>Dog</v>
      </c>
      <c r="B230" s="6">
        <v>150</v>
      </c>
    </row>
    <row r="231" spans="1:2" x14ac:dyDescent="0.45">
      <c r="A231" t="str">
        <v>Dog</v>
      </c>
      <c r="B231" s="6">
        <v>200</v>
      </c>
    </row>
    <row r="232" spans="1:2" x14ac:dyDescent="0.45">
      <c r="A232" t="str">
        <v>Cat</v>
      </c>
      <c r="B232" s="6">
        <v>75</v>
      </c>
    </row>
    <row r="233" spans="1:2" x14ac:dyDescent="0.45">
      <c r="A233" t="str">
        <v>Cat</v>
      </c>
      <c r="B233" s="6">
        <v>200</v>
      </c>
    </row>
    <row r="234" spans="1:2" x14ac:dyDescent="0.45">
      <c r="A234" t="str">
        <v>Rabbit</v>
      </c>
      <c r="B234" s="6">
        <v>100</v>
      </c>
    </row>
    <row r="235" spans="1:2" x14ac:dyDescent="0.45">
      <c r="A235" t="str">
        <v>Bird</v>
      </c>
      <c r="B235" s="6">
        <v>50</v>
      </c>
    </row>
    <row r="236" spans="1:2" x14ac:dyDescent="0.45">
      <c r="A236" t="str">
        <v>Cat</v>
      </c>
      <c r="B236" s="6">
        <v>100</v>
      </c>
    </row>
    <row r="237" spans="1:2" x14ac:dyDescent="0.45">
      <c r="A237" t="str">
        <v>Dog</v>
      </c>
      <c r="B237" s="6">
        <v>75</v>
      </c>
    </row>
    <row r="238" spans="1:2" x14ac:dyDescent="0.45">
      <c r="A238" t="str">
        <v>Bird</v>
      </c>
      <c r="B238" s="6">
        <v>150</v>
      </c>
    </row>
    <row r="239" spans="1:2" x14ac:dyDescent="0.45">
      <c r="A239" t="str">
        <v>Bird</v>
      </c>
      <c r="B239" s="6">
        <v>200</v>
      </c>
    </row>
    <row r="240" spans="1:2" x14ac:dyDescent="0.45">
      <c r="A240" t="str">
        <v>Dog</v>
      </c>
      <c r="B240" s="6">
        <v>50</v>
      </c>
    </row>
    <row r="241" spans="1:2" x14ac:dyDescent="0.45">
      <c r="A241" t="str">
        <v>Cat</v>
      </c>
      <c r="B241" s="6">
        <v>200</v>
      </c>
    </row>
    <row r="242" spans="1:2" x14ac:dyDescent="0.45">
      <c r="A242" t="str">
        <v>Dog</v>
      </c>
      <c r="B242" s="6">
        <v>75</v>
      </c>
    </row>
    <row r="243" spans="1:2" x14ac:dyDescent="0.45">
      <c r="A243" t="str">
        <v>Bird</v>
      </c>
      <c r="B243" s="6">
        <v>200</v>
      </c>
    </row>
    <row r="244" spans="1:2" x14ac:dyDescent="0.45">
      <c r="A244" t="str">
        <v>Guinea Pig</v>
      </c>
      <c r="B244" s="6">
        <v>50</v>
      </c>
    </row>
    <row r="245" spans="1:2" x14ac:dyDescent="0.45">
      <c r="A245" t="str">
        <v>Guinea Pig</v>
      </c>
      <c r="B245" s="6">
        <v>75</v>
      </c>
    </row>
    <row r="246" spans="1:2" x14ac:dyDescent="0.45">
      <c r="A246" t="str">
        <v>Rabbit</v>
      </c>
      <c r="B246" s="6">
        <v>200</v>
      </c>
    </row>
    <row r="247" spans="1:2" x14ac:dyDescent="0.45">
      <c r="A247" t="str">
        <v>Dog</v>
      </c>
      <c r="B247" s="6">
        <v>150</v>
      </c>
    </row>
    <row r="248" spans="1:2" x14ac:dyDescent="0.45">
      <c r="A248" t="str">
        <v>Dog</v>
      </c>
      <c r="B248" s="6">
        <v>75</v>
      </c>
    </row>
    <row r="249" spans="1:2" x14ac:dyDescent="0.45">
      <c r="A249" t="str">
        <v>Rabbit</v>
      </c>
      <c r="B249" s="6">
        <v>75</v>
      </c>
    </row>
    <row r="250" spans="1:2" x14ac:dyDescent="0.45">
      <c r="A250" t="str">
        <v>Rabbit</v>
      </c>
      <c r="B250" s="6">
        <v>150</v>
      </c>
    </row>
    <row r="251" spans="1:2" x14ac:dyDescent="0.45">
      <c r="A251" t="str">
        <v>Rabbit</v>
      </c>
      <c r="B251" s="6">
        <v>100</v>
      </c>
    </row>
    <row r="252" spans="1:2" x14ac:dyDescent="0.45">
      <c r="A252" t="str">
        <v>Bird</v>
      </c>
      <c r="B252" s="6">
        <v>50</v>
      </c>
    </row>
    <row r="253" spans="1:2" x14ac:dyDescent="0.45">
      <c r="A253" t="str">
        <v>Dog</v>
      </c>
      <c r="B253" s="6">
        <v>100</v>
      </c>
    </row>
    <row r="254" spans="1:2" x14ac:dyDescent="0.45">
      <c r="A254" t="str">
        <v>Bird</v>
      </c>
      <c r="B254" s="6">
        <v>200</v>
      </c>
    </row>
    <row r="255" spans="1:2" x14ac:dyDescent="0.45">
      <c r="A255" t="str">
        <v>Rabbit</v>
      </c>
      <c r="B255" s="6">
        <v>150</v>
      </c>
    </row>
    <row r="256" spans="1:2" x14ac:dyDescent="0.45">
      <c r="A256" t="str">
        <v>Dog</v>
      </c>
      <c r="B256" s="6">
        <v>100</v>
      </c>
    </row>
    <row r="257" spans="1:2" x14ac:dyDescent="0.45">
      <c r="A257" t="str">
        <v>Bird</v>
      </c>
      <c r="B257" s="6">
        <v>75</v>
      </c>
    </row>
    <row r="258" spans="1:2" x14ac:dyDescent="0.45">
      <c r="A258" t="str">
        <v>Bird</v>
      </c>
      <c r="B258" s="6">
        <v>200</v>
      </c>
    </row>
    <row r="259" spans="1:2" x14ac:dyDescent="0.45">
      <c r="A259" t="str">
        <v>Rabbit</v>
      </c>
      <c r="B259" s="6">
        <v>200</v>
      </c>
    </row>
    <row r="260" spans="1:2" x14ac:dyDescent="0.45">
      <c r="A260" t="str">
        <v>Dog</v>
      </c>
      <c r="B260" s="6">
        <v>100</v>
      </c>
    </row>
    <row r="261" spans="1:2" x14ac:dyDescent="0.45">
      <c r="A261" t="str">
        <v>Rabbit</v>
      </c>
      <c r="B261" s="6">
        <v>100</v>
      </c>
    </row>
    <row r="262" spans="1:2" x14ac:dyDescent="0.45">
      <c r="A262" t="str">
        <v>Dog</v>
      </c>
      <c r="B262" s="6">
        <v>150</v>
      </c>
    </row>
    <row r="263" spans="1:2" x14ac:dyDescent="0.45">
      <c r="A263" t="str">
        <v>Guinea Pig</v>
      </c>
      <c r="B263" s="6">
        <v>50</v>
      </c>
    </row>
    <row r="264" spans="1:2" x14ac:dyDescent="0.45">
      <c r="A264" t="str">
        <v>Cat</v>
      </c>
      <c r="B264" s="6">
        <v>100</v>
      </c>
    </row>
    <row r="265" spans="1:2" x14ac:dyDescent="0.45">
      <c r="A265" t="str">
        <v>Cat</v>
      </c>
      <c r="B265" s="6">
        <v>100</v>
      </c>
    </row>
    <row r="266" spans="1:2" x14ac:dyDescent="0.45">
      <c r="A266" t="str">
        <v>Cat</v>
      </c>
      <c r="B266" s="6">
        <v>75</v>
      </c>
    </row>
    <row r="267" spans="1:2" x14ac:dyDescent="0.45">
      <c r="A267" t="str">
        <v>Rabbit</v>
      </c>
      <c r="B267" s="6">
        <v>200</v>
      </c>
    </row>
    <row r="268" spans="1:2" x14ac:dyDescent="0.45">
      <c r="A268" t="str">
        <v>Guinea Pig</v>
      </c>
      <c r="B268" s="6">
        <v>50</v>
      </c>
    </row>
    <row r="269" spans="1:2" x14ac:dyDescent="0.45">
      <c r="A269" t="str">
        <v>Dog</v>
      </c>
      <c r="B269" s="6">
        <v>75</v>
      </c>
    </row>
    <row r="270" spans="1:2" x14ac:dyDescent="0.45">
      <c r="A270" t="str">
        <v>Bird</v>
      </c>
      <c r="B270" s="6">
        <v>150</v>
      </c>
    </row>
    <row r="271" spans="1:2" x14ac:dyDescent="0.45">
      <c r="A271" t="str">
        <v>Dog</v>
      </c>
      <c r="B271" s="6">
        <v>150</v>
      </c>
    </row>
    <row r="272" spans="1:2" x14ac:dyDescent="0.45">
      <c r="A272" t="str">
        <v>Bird</v>
      </c>
      <c r="B272" s="6">
        <v>100</v>
      </c>
    </row>
    <row r="273" spans="1:2" x14ac:dyDescent="0.45">
      <c r="A273" t="str">
        <v>Dog</v>
      </c>
      <c r="B273" s="6">
        <v>100</v>
      </c>
    </row>
    <row r="274" spans="1:2" x14ac:dyDescent="0.45">
      <c r="A274" t="str">
        <v>Guinea Pig</v>
      </c>
      <c r="B274" s="6">
        <v>150</v>
      </c>
    </row>
    <row r="275" spans="1:2" x14ac:dyDescent="0.45">
      <c r="A275" t="str">
        <v>Bird</v>
      </c>
      <c r="B275" s="6">
        <v>100</v>
      </c>
    </row>
    <row r="276" spans="1:2" x14ac:dyDescent="0.45">
      <c r="A276" t="str">
        <v>Rabbit</v>
      </c>
      <c r="B276" s="6">
        <v>50</v>
      </c>
    </row>
    <row r="277" spans="1:2" x14ac:dyDescent="0.45">
      <c r="A277" t="str">
        <v>Dog</v>
      </c>
      <c r="B277" s="6">
        <v>100</v>
      </c>
    </row>
    <row r="278" spans="1:2" x14ac:dyDescent="0.45">
      <c r="A278" t="str">
        <v>Dog</v>
      </c>
      <c r="B278" s="6">
        <v>200</v>
      </c>
    </row>
    <row r="279" spans="1:2" x14ac:dyDescent="0.45">
      <c r="A279" t="str">
        <v>Bird</v>
      </c>
      <c r="B279" s="6">
        <v>100</v>
      </c>
    </row>
    <row r="280" spans="1:2" x14ac:dyDescent="0.45">
      <c r="A280" t="str">
        <v>Rabbit</v>
      </c>
      <c r="B280" s="6">
        <v>75</v>
      </c>
    </row>
    <row r="281" spans="1:2" x14ac:dyDescent="0.45">
      <c r="A281" t="str">
        <v>Rabbit</v>
      </c>
      <c r="B281" s="6">
        <v>50</v>
      </c>
    </row>
    <row r="282" spans="1:2" x14ac:dyDescent="0.45">
      <c r="A282" t="str">
        <v>Guinea Pig</v>
      </c>
      <c r="B282" s="6">
        <v>75</v>
      </c>
    </row>
    <row r="283" spans="1:2" x14ac:dyDescent="0.45">
      <c r="A283" t="str">
        <v>Rabbit</v>
      </c>
      <c r="B283" s="6">
        <v>75</v>
      </c>
    </row>
    <row r="284" spans="1:2" x14ac:dyDescent="0.45">
      <c r="A284" t="str">
        <v>Rabbit</v>
      </c>
      <c r="B284" s="6">
        <v>200</v>
      </c>
    </row>
    <row r="285" spans="1:2" x14ac:dyDescent="0.45">
      <c r="A285" t="str">
        <v>Rabbit</v>
      </c>
      <c r="B285" s="6">
        <v>50</v>
      </c>
    </row>
    <row r="286" spans="1:2" x14ac:dyDescent="0.45">
      <c r="A286" t="str">
        <v>Cat</v>
      </c>
      <c r="B286" s="6">
        <v>50</v>
      </c>
    </row>
    <row r="287" spans="1:2" x14ac:dyDescent="0.45">
      <c r="A287" t="str">
        <v>Guinea Pig</v>
      </c>
      <c r="B287" s="6">
        <v>50</v>
      </c>
    </row>
    <row r="288" spans="1:2" x14ac:dyDescent="0.45">
      <c r="A288" t="str">
        <v>Dog</v>
      </c>
      <c r="B288" s="6">
        <v>50</v>
      </c>
    </row>
    <row r="289" spans="1:2" x14ac:dyDescent="0.45">
      <c r="A289" t="str">
        <v>Bird</v>
      </c>
      <c r="B289" s="6">
        <v>50</v>
      </c>
    </row>
    <row r="290" spans="1:2" x14ac:dyDescent="0.45">
      <c r="A290" t="str">
        <v>Dog</v>
      </c>
      <c r="B290" s="6">
        <v>200</v>
      </c>
    </row>
    <row r="291" spans="1:2" x14ac:dyDescent="0.45">
      <c r="A291" t="str">
        <v>Guinea Pig</v>
      </c>
      <c r="B291" s="6">
        <v>100</v>
      </c>
    </row>
    <row r="292" spans="1:2" x14ac:dyDescent="0.45">
      <c r="A292" t="str">
        <v>Bird</v>
      </c>
      <c r="B292" s="6">
        <v>75</v>
      </c>
    </row>
    <row r="293" spans="1:2" x14ac:dyDescent="0.45">
      <c r="A293" t="str">
        <v>Guinea Pig</v>
      </c>
      <c r="B293" s="6">
        <v>50</v>
      </c>
    </row>
    <row r="294" spans="1:2" x14ac:dyDescent="0.45">
      <c r="A294" t="str">
        <v>Rabbit</v>
      </c>
      <c r="B294" s="6">
        <v>100</v>
      </c>
    </row>
    <row r="295" spans="1:2" x14ac:dyDescent="0.45">
      <c r="A295" t="str">
        <v>Bird</v>
      </c>
      <c r="B295" s="6">
        <v>100</v>
      </c>
    </row>
    <row r="296" spans="1:2" x14ac:dyDescent="0.45">
      <c r="A296" t="str">
        <v>Rabbit</v>
      </c>
      <c r="B296" s="6">
        <v>75</v>
      </c>
    </row>
    <row r="297" spans="1:2" x14ac:dyDescent="0.45">
      <c r="A297" t="str">
        <v>Dog</v>
      </c>
      <c r="B297" s="6">
        <v>200</v>
      </c>
    </row>
    <row r="298" spans="1:2" x14ac:dyDescent="0.45">
      <c r="A298" t="str">
        <v>Dog</v>
      </c>
      <c r="B298" s="6">
        <v>150</v>
      </c>
    </row>
    <row r="299" spans="1:2" x14ac:dyDescent="0.45">
      <c r="A299" t="str">
        <v>Bird</v>
      </c>
      <c r="B299" s="6">
        <v>150</v>
      </c>
    </row>
    <row r="300" spans="1:2" x14ac:dyDescent="0.45">
      <c r="A300" t="str">
        <v>Bird</v>
      </c>
      <c r="B300" s="6">
        <v>100</v>
      </c>
    </row>
    <row r="301" spans="1:2" x14ac:dyDescent="0.45">
      <c r="A301" t="str">
        <v>Guinea Pig</v>
      </c>
      <c r="B301" s="6">
        <v>75</v>
      </c>
    </row>
    <row r="302" spans="1:2" x14ac:dyDescent="0.45">
      <c r="A302" t="str">
        <v>Guinea Pig</v>
      </c>
      <c r="B302" s="6">
        <v>150</v>
      </c>
    </row>
    <row r="303" spans="1:2" x14ac:dyDescent="0.45">
      <c r="A303" t="str">
        <v>Rabbit</v>
      </c>
      <c r="B303" s="6">
        <v>100</v>
      </c>
    </row>
    <row r="304" spans="1:2" x14ac:dyDescent="0.45">
      <c r="A304" t="str">
        <v>Bird</v>
      </c>
      <c r="B304" s="6">
        <v>200</v>
      </c>
    </row>
    <row r="305" spans="1:2" x14ac:dyDescent="0.45">
      <c r="A305" t="str">
        <v>Dog</v>
      </c>
      <c r="B305" s="6">
        <v>150</v>
      </c>
    </row>
    <row r="306" spans="1:2" x14ac:dyDescent="0.45">
      <c r="A306" t="str">
        <v>Guinea Pig</v>
      </c>
      <c r="B306" s="6">
        <v>100</v>
      </c>
    </row>
    <row r="307" spans="1:2" x14ac:dyDescent="0.45">
      <c r="A307" t="str">
        <v>Guinea Pig</v>
      </c>
      <c r="B307" s="6">
        <v>100</v>
      </c>
    </row>
    <row r="308" spans="1:2" x14ac:dyDescent="0.45">
      <c r="A308" t="str">
        <v>Dog</v>
      </c>
      <c r="B308" s="6">
        <v>50</v>
      </c>
    </row>
    <row r="309" spans="1:2" x14ac:dyDescent="0.45">
      <c r="A309" t="str">
        <v>Guinea Pig</v>
      </c>
      <c r="B309" s="6">
        <v>200</v>
      </c>
    </row>
    <row r="310" spans="1:2" x14ac:dyDescent="0.45">
      <c r="A310" t="str">
        <v>Rabbit</v>
      </c>
      <c r="B310" s="6">
        <v>50</v>
      </c>
    </row>
    <row r="311" spans="1:2" x14ac:dyDescent="0.45">
      <c r="A311" t="str">
        <v>Bird</v>
      </c>
      <c r="B311" s="6">
        <v>75</v>
      </c>
    </row>
    <row r="312" spans="1:2" x14ac:dyDescent="0.45">
      <c r="A312" t="str">
        <v>Dog</v>
      </c>
      <c r="B312" s="6">
        <v>50</v>
      </c>
    </row>
    <row r="313" spans="1:2" x14ac:dyDescent="0.45">
      <c r="A313" t="str">
        <v>Bird</v>
      </c>
      <c r="B313" s="6">
        <v>50</v>
      </c>
    </row>
    <row r="314" spans="1:2" x14ac:dyDescent="0.45">
      <c r="A314" t="str">
        <v>Guinea Pig</v>
      </c>
      <c r="B314" s="6">
        <v>150</v>
      </c>
    </row>
    <row r="315" spans="1:2" x14ac:dyDescent="0.45">
      <c r="A315" t="str">
        <v>Guinea Pig</v>
      </c>
      <c r="B315" s="6">
        <v>100</v>
      </c>
    </row>
    <row r="316" spans="1:2" x14ac:dyDescent="0.45">
      <c r="A316" t="str">
        <v>Dog</v>
      </c>
      <c r="B316" s="6">
        <v>200</v>
      </c>
    </row>
    <row r="317" spans="1:2" x14ac:dyDescent="0.45">
      <c r="A317" t="str">
        <v>Rabbit</v>
      </c>
      <c r="B317" s="6">
        <v>50</v>
      </c>
    </row>
    <row r="318" spans="1:2" x14ac:dyDescent="0.45">
      <c r="A318" t="str">
        <v>Cat</v>
      </c>
      <c r="B318" s="6">
        <v>200</v>
      </c>
    </row>
    <row r="319" spans="1:2" x14ac:dyDescent="0.45">
      <c r="A319" t="str">
        <v>Dog</v>
      </c>
      <c r="B319" s="6">
        <v>50</v>
      </c>
    </row>
    <row r="320" spans="1:2" x14ac:dyDescent="0.45">
      <c r="A320" t="str">
        <v>Cat</v>
      </c>
      <c r="B320" s="6">
        <v>75</v>
      </c>
    </row>
    <row r="321" spans="1:2" x14ac:dyDescent="0.45">
      <c r="A321" t="str">
        <v>Cat</v>
      </c>
      <c r="B321" s="6">
        <v>50</v>
      </c>
    </row>
    <row r="322" spans="1:2" x14ac:dyDescent="0.45">
      <c r="A322" t="str">
        <v>Rabbit</v>
      </c>
      <c r="B322" s="6">
        <v>150</v>
      </c>
    </row>
    <row r="323" spans="1:2" x14ac:dyDescent="0.45">
      <c r="A323" t="str">
        <v>Cat</v>
      </c>
      <c r="B323" s="6">
        <v>100</v>
      </c>
    </row>
    <row r="324" spans="1:2" x14ac:dyDescent="0.45">
      <c r="A324" t="str">
        <v>Cat</v>
      </c>
      <c r="B324" s="6">
        <v>75</v>
      </c>
    </row>
    <row r="325" spans="1:2" x14ac:dyDescent="0.45">
      <c r="A325" t="str">
        <v>Rabbit</v>
      </c>
      <c r="B325" s="6">
        <v>50</v>
      </c>
    </row>
    <row r="326" spans="1:2" x14ac:dyDescent="0.45">
      <c r="A326" t="str">
        <v>Cat</v>
      </c>
      <c r="B326" s="6">
        <v>200</v>
      </c>
    </row>
    <row r="327" spans="1:2" x14ac:dyDescent="0.45">
      <c r="A327" t="str">
        <v>Cat</v>
      </c>
      <c r="B327" s="6">
        <v>75</v>
      </c>
    </row>
    <row r="328" spans="1:2" x14ac:dyDescent="0.45">
      <c r="A328" t="str">
        <v>Cat</v>
      </c>
      <c r="B328" s="6">
        <v>75</v>
      </c>
    </row>
    <row r="329" spans="1:2" x14ac:dyDescent="0.45">
      <c r="A329" t="str">
        <v>Dog</v>
      </c>
      <c r="B329" s="6">
        <v>50</v>
      </c>
    </row>
    <row r="330" spans="1:2" x14ac:dyDescent="0.45">
      <c r="A330" t="str">
        <v>Dog</v>
      </c>
      <c r="B330" s="6">
        <v>75</v>
      </c>
    </row>
    <row r="331" spans="1:2" x14ac:dyDescent="0.45">
      <c r="A331" t="str">
        <v>Dog</v>
      </c>
      <c r="B331" s="6">
        <v>200</v>
      </c>
    </row>
    <row r="332" spans="1:2" x14ac:dyDescent="0.45">
      <c r="A332" t="str">
        <v>Rabbit</v>
      </c>
      <c r="B332" s="6">
        <v>75</v>
      </c>
    </row>
    <row r="333" spans="1:2" x14ac:dyDescent="0.45">
      <c r="A333" t="str">
        <v>Guinea Pig</v>
      </c>
      <c r="B333" s="6">
        <v>200</v>
      </c>
    </row>
    <row r="334" spans="1:2" x14ac:dyDescent="0.45">
      <c r="A334" t="str">
        <v>Cat</v>
      </c>
      <c r="B334" s="6">
        <v>50</v>
      </c>
    </row>
    <row r="335" spans="1:2" x14ac:dyDescent="0.45">
      <c r="A335" t="str">
        <v>Cat</v>
      </c>
      <c r="B335" s="6">
        <v>100</v>
      </c>
    </row>
    <row r="336" spans="1:2" x14ac:dyDescent="0.45">
      <c r="A336" t="str">
        <v>Rabbit</v>
      </c>
      <c r="B336" s="6">
        <v>75</v>
      </c>
    </row>
    <row r="337" spans="1:2" x14ac:dyDescent="0.45">
      <c r="A337" t="str">
        <v>Cat</v>
      </c>
      <c r="B337" s="6">
        <v>100</v>
      </c>
    </row>
    <row r="338" spans="1:2" x14ac:dyDescent="0.45">
      <c r="A338" t="str">
        <v>Dog</v>
      </c>
      <c r="B338" s="6">
        <v>200</v>
      </c>
    </row>
    <row r="339" spans="1:2" x14ac:dyDescent="0.45">
      <c r="A339" t="str">
        <v>Guinea Pig</v>
      </c>
      <c r="B339" s="6">
        <v>75</v>
      </c>
    </row>
    <row r="340" spans="1:2" x14ac:dyDescent="0.45">
      <c r="A340" t="str">
        <v>Bird</v>
      </c>
      <c r="B340" s="6">
        <v>150</v>
      </c>
    </row>
    <row r="341" spans="1:2" x14ac:dyDescent="0.45">
      <c r="A341" t="str">
        <v>Cat</v>
      </c>
      <c r="B341" s="6">
        <v>100</v>
      </c>
    </row>
    <row r="342" spans="1:2" x14ac:dyDescent="0.45">
      <c r="A342" t="str">
        <v>Dog</v>
      </c>
      <c r="B342" s="6">
        <v>75</v>
      </c>
    </row>
    <row r="343" spans="1:2" x14ac:dyDescent="0.45">
      <c r="A343" t="str">
        <v>Bird</v>
      </c>
      <c r="B343" s="6">
        <v>100</v>
      </c>
    </row>
    <row r="344" spans="1:2" x14ac:dyDescent="0.45">
      <c r="A344" t="str">
        <v>Guinea Pig</v>
      </c>
      <c r="B344" s="6">
        <v>75</v>
      </c>
    </row>
    <row r="345" spans="1:2" x14ac:dyDescent="0.45">
      <c r="A345" t="str">
        <v>Bird</v>
      </c>
      <c r="B345" s="6">
        <v>50</v>
      </c>
    </row>
    <row r="346" spans="1:2" x14ac:dyDescent="0.45">
      <c r="A346" t="str">
        <v>Dog</v>
      </c>
      <c r="B346" s="6">
        <v>100</v>
      </c>
    </row>
    <row r="347" spans="1:2" x14ac:dyDescent="0.45">
      <c r="A347" t="str">
        <v>Bird</v>
      </c>
      <c r="B347" s="6">
        <v>150</v>
      </c>
    </row>
    <row r="348" spans="1:2" x14ac:dyDescent="0.45">
      <c r="A348" t="str">
        <v>Rabbit</v>
      </c>
      <c r="B348" s="6">
        <v>150</v>
      </c>
    </row>
    <row r="349" spans="1:2" x14ac:dyDescent="0.45">
      <c r="A349" t="str">
        <v>Bird</v>
      </c>
      <c r="B349" s="6">
        <v>200</v>
      </c>
    </row>
    <row r="350" spans="1:2" x14ac:dyDescent="0.45">
      <c r="A350" t="str">
        <v>Cat</v>
      </c>
      <c r="B350" s="6">
        <v>75</v>
      </c>
    </row>
    <row r="351" spans="1:2" x14ac:dyDescent="0.45">
      <c r="A351" t="str">
        <v>Cat</v>
      </c>
      <c r="B351" s="6">
        <v>100</v>
      </c>
    </row>
    <row r="352" spans="1:2" x14ac:dyDescent="0.45">
      <c r="A352" t="str">
        <v>Rabbit</v>
      </c>
      <c r="B352" s="6">
        <v>200</v>
      </c>
    </row>
    <row r="353" spans="1:2" x14ac:dyDescent="0.45">
      <c r="A353" t="str">
        <v>Dog</v>
      </c>
      <c r="B353" s="6">
        <v>100</v>
      </c>
    </row>
    <row r="354" spans="1:2" x14ac:dyDescent="0.45">
      <c r="A354" t="str">
        <v>Cat</v>
      </c>
      <c r="B354" s="6">
        <v>75</v>
      </c>
    </row>
    <row r="355" spans="1:2" x14ac:dyDescent="0.45">
      <c r="A355" t="str">
        <v>Guinea Pig</v>
      </c>
      <c r="B355" s="6">
        <v>150</v>
      </c>
    </row>
    <row r="356" spans="1:2" x14ac:dyDescent="0.45">
      <c r="A356" t="str">
        <v>Cat</v>
      </c>
      <c r="B356" s="6">
        <v>50</v>
      </c>
    </row>
    <row r="357" spans="1:2" x14ac:dyDescent="0.45">
      <c r="A357" t="str">
        <v>Cat</v>
      </c>
      <c r="B357" s="6">
        <v>150</v>
      </c>
    </row>
    <row r="358" spans="1:2" x14ac:dyDescent="0.45">
      <c r="A358" t="str">
        <v>Dog</v>
      </c>
      <c r="B358" s="6">
        <v>200</v>
      </c>
    </row>
    <row r="359" spans="1:2" x14ac:dyDescent="0.45">
      <c r="A359" t="str">
        <v>Bird</v>
      </c>
      <c r="B359" s="6">
        <v>50</v>
      </c>
    </row>
    <row r="360" spans="1:2" x14ac:dyDescent="0.45">
      <c r="A360" t="str">
        <v>Cat</v>
      </c>
      <c r="B360" s="6">
        <v>200</v>
      </c>
    </row>
    <row r="361" spans="1:2" x14ac:dyDescent="0.45">
      <c r="A361" t="str">
        <v>Rabbit</v>
      </c>
      <c r="B361" s="6">
        <v>75</v>
      </c>
    </row>
    <row r="362" spans="1:2" x14ac:dyDescent="0.45">
      <c r="A362" t="str">
        <v>Bird</v>
      </c>
      <c r="B362" s="6">
        <v>50</v>
      </c>
    </row>
    <row r="363" spans="1:2" x14ac:dyDescent="0.45">
      <c r="A363" t="str">
        <v>Guinea Pig</v>
      </c>
      <c r="B363" s="6">
        <v>200</v>
      </c>
    </row>
    <row r="364" spans="1:2" x14ac:dyDescent="0.45">
      <c r="A364" t="str">
        <v>Dog</v>
      </c>
      <c r="B364" s="6">
        <v>75</v>
      </c>
    </row>
    <row r="365" spans="1:2" x14ac:dyDescent="0.45">
      <c r="A365" t="str">
        <v>Guinea Pig</v>
      </c>
      <c r="B365" s="6">
        <v>150</v>
      </c>
    </row>
    <row r="366" spans="1:2" x14ac:dyDescent="0.45">
      <c r="A366" t="str">
        <v>Bird</v>
      </c>
      <c r="B366" s="6">
        <v>75</v>
      </c>
    </row>
    <row r="367" spans="1:2" x14ac:dyDescent="0.45">
      <c r="A367" t="str">
        <v>Bird</v>
      </c>
      <c r="B367" s="6">
        <v>100</v>
      </c>
    </row>
    <row r="368" spans="1:2" x14ac:dyDescent="0.45">
      <c r="A368" t="str">
        <v>Bird</v>
      </c>
      <c r="B368" s="6">
        <v>75</v>
      </c>
    </row>
    <row r="369" spans="1:2" x14ac:dyDescent="0.45">
      <c r="A369" t="str">
        <v>Guinea Pig</v>
      </c>
      <c r="B369" s="6">
        <v>75</v>
      </c>
    </row>
    <row r="370" spans="1:2" x14ac:dyDescent="0.45">
      <c r="A370" t="str">
        <v>Bird</v>
      </c>
      <c r="B370" s="6">
        <v>100</v>
      </c>
    </row>
    <row r="371" spans="1:2" x14ac:dyDescent="0.45">
      <c r="A371" t="str">
        <v>Guinea Pig</v>
      </c>
      <c r="B371" s="6">
        <v>200</v>
      </c>
    </row>
    <row r="372" spans="1:2" x14ac:dyDescent="0.45">
      <c r="A372" t="str">
        <v>Bird</v>
      </c>
      <c r="B372" s="6">
        <v>200</v>
      </c>
    </row>
    <row r="373" spans="1:2" x14ac:dyDescent="0.45">
      <c r="A373" t="str">
        <v>Rabbit</v>
      </c>
      <c r="B373" s="6">
        <v>75</v>
      </c>
    </row>
    <row r="374" spans="1:2" x14ac:dyDescent="0.45">
      <c r="A374" t="str">
        <v>Bird</v>
      </c>
      <c r="B374" s="6">
        <v>100</v>
      </c>
    </row>
    <row r="375" spans="1:2" x14ac:dyDescent="0.45">
      <c r="A375" t="str">
        <v>Guinea Pig</v>
      </c>
      <c r="B375" s="6">
        <v>100</v>
      </c>
    </row>
    <row r="376" spans="1:2" x14ac:dyDescent="0.45">
      <c r="A376" t="str">
        <v>Cat</v>
      </c>
      <c r="B376" s="6">
        <v>150</v>
      </c>
    </row>
    <row r="377" spans="1:2" x14ac:dyDescent="0.45">
      <c r="A377" t="str">
        <v>Bird</v>
      </c>
      <c r="B377" s="6">
        <v>200</v>
      </c>
    </row>
    <row r="378" spans="1:2" x14ac:dyDescent="0.45">
      <c r="A378" t="str">
        <v>Cat</v>
      </c>
      <c r="B378" s="6">
        <v>50</v>
      </c>
    </row>
    <row r="379" spans="1:2" x14ac:dyDescent="0.45">
      <c r="A379" t="str">
        <v>Rabbit</v>
      </c>
      <c r="B379" s="6">
        <v>200</v>
      </c>
    </row>
    <row r="380" spans="1:2" x14ac:dyDescent="0.45">
      <c r="A380" t="str">
        <v>Dog</v>
      </c>
      <c r="B380" s="6">
        <v>200</v>
      </c>
    </row>
    <row r="381" spans="1:2" x14ac:dyDescent="0.45">
      <c r="A381" t="str">
        <v>Rabbit</v>
      </c>
      <c r="B381" s="6">
        <v>150</v>
      </c>
    </row>
    <row r="382" spans="1:2" x14ac:dyDescent="0.45">
      <c r="A382" t="str">
        <v>Bird</v>
      </c>
      <c r="B382" s="6">
        <v>50</v>
      </c>
    </row>
    <row r="383" spans="1:2" x14ac:dyDescent="0.45">
      <c r="A383" t="str">
        <v>Cat</v>
      </c>
      <c r="B383" s="6">
        <v>150</v>
      </c>
    </row>
    <row r="384" spans="1:2" x14ac:dyDescent="0.45">
      <c r="A384" t="str">
        <v>Cat</v>
      </c>
      <c r="B384" s="6">
        <v>50</v>
      </c>
    </row>
    <row r="385" spans="1:2" x14ac:dyDescent="0.45">
      <c r="A385" t="str">
        <v>Guinea Pig</v>
      </c>
      <c r="B385" s="6">
        <v>75</v>
      </c>
    </row>
    <row r="386" spans="1:2" x14ac:dyDescent="0.45">
      <c r="A386" t="str">
        <v>Cat</v>
      </c>
      <c r="B386" s="6">
        <v>50</v>
      </c>
    </row>
    <row r="387" spans="1:2" x14ac:dyDescent="0.45">
      <c r="A387" t="str">
        <v>Guinea Pig</v>
      </c>
      <c r="B387" s="6">
        <v>150</v>
      </c>
    </row>
    <row r="388" spans="1:2" x14ac:dyDescent="0.45">
      <c r="A388" t="str">
        <v>Dog</v>
      </c>
      <c r="B388" s="6">
        <v>200</v>
      </c>
    </row>
    <row r="389" spans="1:2" x14ac:dyDescent="0.45">
      <c r="A389" t="str">
        <v>Bird</v>
      </c>
      <c r="B389" s="6">
        <v>50</v>
      </c>
    </row>
    <row r="390" spans="1:2" x14ac:dyDescent="0.45">
      <c r="A390" t="str">
        <v>Guinea Pig</v>
      </c>
      <c r="B390" s="6">
        <v>50</v>
      </c>
    </row>
    <row r="391" spans="1:2" x14ac:dyDescent="0.45">
      <c r="A391" t="str">
        <v>Dog</v>
      </c>
      <c r="B391" s="6">
        <v>100</v>
      </c>
    </row>
    <row r="392" spans="1:2" x14ac:dyDescent="0.45">
      <c r="A392" t="str">
        <v>Cat</v>
      </c>
      <c r="B392" s="6">
        <v>200</v>
      </c>
    </row>
    <row r="393" spans="1:2" x14ac:dyDescent="0.45">
      <c r="A393" t="str">
        <v>Cat</v>
      </c>
      <c r="B393" s="6">
        <v>75</v>
      </c>
    </row>
    <row r="394" spans="1:2" x14ac:dyDescent="0.45">
      <c r="A394" t="str">
        <v>Dog</v>
      </c>
      <c r="B394" s="6">
        <v>150</v>
      </c>
    </row>
    <row r="395" spans="1:2" x14ac:dyDescent="0.45">
      <c r="A395" t="str">
        <v>Cat</v>
      </c>
      <c r="B395" s="6">
        <v>75</v>
      </c>
    </row>
    <row r="396" spans="1:2" x14ac:dyDescent="0.45">
      <c r="A396" t="str">
        <v>Dog</v>
      </c>
      <c r="B396" s="6">
        <v>200</v>
      </c>
    </row>
    <row r="397" spans="1:2" x14ac:dyDescent="0.45">
      <c r="A397" t="str">
        <v>Guinea Pig</v>
      </c>
      <c r="B397" s="6">
        <v>50</v>
      </c>
    </row>
    <row r="398" spans="1:2" x14ac:dyDescent="0.45">
      <c r="A398" t="str">
        <v>Guinea Pig</v>
      </c>
      <c r="B398" s="6">
        <v>50</v>
      </c>
    </row>
    <row r="399" spans="1:2" x14ac:dyDescent="0.45">
      <c r="A399" t="str">
        <v>Dog</v>
      </c>
      <c r="B399" s="6">
        <v>200</v>
      </c>
    </row>
    <row r="400" spans="1:2" x14ac:dyDescent="0.45">
      <c r="A400" t="str">
        <v>Guinea Pig</v>
      </c>
      <c r="B400" s="6">
        <v>50</v>
      </c>
    </row>
    <row r="401" spans="1:2" x14ac:dyDescent="0.45">
      <c r="A401" t="str">
        <v>Guinea Pig</v>
      </c>
      <c r="B401" s="6">
        <v>50</v>
      </c>
    </row>
    <row r="402" spans="1:2" x14ac:dyDescent="0.45">
      <c r="A402" t="str">
        <v>Guinea Pig</v>
      </c>
      <c r="B402" s="6">
        <v>50</v>
      </c>
    </row>
    <row r="403" spans="1:2" x14ac:dyDescent="0.45">
      <c r="A403" t="str">
        <v>Rabbit</v>
      </c>
      <c r="B403" s="6">
        <v>150</v>
      </c>
    </row>
    <row r="404" spans="1:2" x14ac:dyDescent="0.45">
      <c r="A404" t="str">
        <v>Bird</v>
      </c>
      <c r="B404" s="6">
        <v>150</v>
      </c>
    </row>
    <row r="405" spans="1:2" x14ac:dyDescent="0.45">
      <c r="A405" t="str">
        <v>Cat</v>
      </c>
      <c r="B405" s="6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405"/>
  <sheetViews>
    <sheetView workbookViewId="0"/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3" customWidth="1"/>
    <col min="6" max="6" width="14" customWidth="1"/>
    <col min="7" max="7" width="12" customWidth="1"/>
    <col min="8" max="8" width="16" customWidth="1"/>
    <col min="11" max="11" width="12" customWidth="1"/>
    <col min="12" max="12" width="14" customWidth="1"/>
    <col min="13" max="13" width="11" customWidth="1"/>
    <col min="14" max="14" width="13" customWidth="1"/>
    <col min="15" max="15" width="14" customWidth="1"/>
    <col min="16" max="16" width="12" customWidth="1"/>
    <col min="17" max="17" width="16" customWidth="1"/>
    <col min="31" max="32" width="16" customWidth="1"/>
    <col min="51" max="52" width="12" customWidth="1"/>
    <col min="53" max="53" width="14" customWidth="1"/>
    <col min="54" max="54" width="11" customWidth="1"/>
    <col min="55" max="55" width="13" customWidth="1"/>
    <col min="56" max="56" width="14" customWidth="1"/>
    <col min="57" max="57" width="12" customWidth="1"/>
    <col min="58" max="58" width="16" customWidth="1"/>
  </cols>
  <sheetData>
    <row r="1" spans="1:58" ht="18" x14ac:dyDescent="0.55000000000000004">
      <c r="A1" s="1" t="s">
        <v>461</v>
      </c>
    </row>
    <row r="2" spans="1:58" ht="15.75" x14ac:dyDescent="0.5">
      <c r="A2" s="2" t="s">
        <v>462</v>
      </c>
      <c r="K2" s="2" t="s">
        <v>463</v>
      </c>
      <c r="AE2" s="2" t="s">
        <v>464</v>
      </c>
      <c r="AY2" s="2" t="s">
        <v>465</v>
      </c>
    </row>
    <row r="3" spans="1:58" x14ac:dyDescent="0.45">
      <c r="A3" s="3" t="s">
        <v>455</v>
      </c>
      <c r="B3" s="4" t="s">
        <v>466</v>
      </c>
      <c r="K3" s="3" t="s">
        <v>455</v>
      </c>
      <c r="L3" s="4" t="s">
        <v>467</v>
      </c>
      <c r="AE3" s="3" t="s">
        <v>455</v>
      </c>
      <c r="AF3" s="4" t="s">
        <v>468</v>
      </c>
      <c r="AY3" s="3" t="s">
        <v>455</v>
      </c>
      <c r="AZ3" s="4" t="s">
        <v>469</v>
      </c>
    </row>
    <row r="5" spans="1:58" x14ac:dyDescent="0.4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AE5" s="5" t="s">
        <v>28</v>
      </c>
      <c r="AF5" s="5" t="s">
        <v>32</v>
      </c>
      <c r="AY5" s="5" t="s">
        <v>26</v>
      </c>
      <c r="AZ5" s="5" t="s">
        <v>27</v>
      </c>
      <c r="BA5" s="5" t="s">
        <v>28</v>
      </c>
      <c r="BB5" s="5" t="s">
        <v>29</v>
      </c>
      <c r="BC5" s="5" t="s">
        <v>30</v>
      </c>
      <c r="BD5" s="5" t="s">
        <v>31</v>
      </c>
      <c r="BE5" s="5" t="s">
        <v>32</v>
      </c>
      <c r="BF5" s="5" t="s">
        <v>33</v>
      </c>
    </row>
    <row r="6" spans="1:58" x14ac:dyDescent="0.45">
      <c r="A6" t="str" cm="1">
        <f t="array" ref="A6:H10">_xlfn.TAKE(_xlfn._xlws.SORT(shelter_data!A2:H401,5,-1),5)</f>
        <v>A0001</v>
      </c>
      <c r="B6" t="str">
        <v>Bird</v>
      </c>
      <c r="C6" t="str">
        <v>Holland Lop</v>
      </c>
      <c r="D6">
        <v>13</v>
      </c>
      <c r="E6" s="6">
        <v>200</v>
      </c>
      <c r="F6" s="7">
        <v>44987</v>
      </c>
      <c r="G6" t="str">
        <v>Toronto</v>
      </c>
      <c r="H6" t="str">
        <v>Online Transfer</v>
      </c>
      <c r="K6" t="str" cm="1">
        <f t="array" ref="K6:Q405">_xlfn.DROP(shelter_data!A2:H401,0,1)</f>
        <v>Bird</v>
      </c>
      <c r="L6" t="str">
        <v>Holland Lop</v>
      </c>
      <c r="M6">
        <v>13</v>
      </c>
      <c r="N6" s="6">
        <v>200</v>
      </c>
      <c r="O6" s="7">
        <v>44987</v>
      </c>
      <c r="P6" t="str">
        <v>Toronto</v>
      </c>
      <c r="Q6" t="str">
        <v>Online Transfer</v>
      </c>
      <c r="AE6" t="str" cm="1">
        <f t="array" ref="AE6:AF405">_xlfn.CHOOSECOLS(shelter_data!A2:H401,3,7)</f>
        <v>Holland Lop</v>
      </c>
      <c r="AF6" t="str">
        <v>Toronto</v>
      </c>
      <c r="AY6" t="str" cm="1">
        <f t="array" ref="AY6:BF8">_xlfn.CHOOSEROWS(shelter_data!A2:H401,1,200,400)</f>
        <v>A0001</v>
      </c>
      <c r="AZ6" t="str">
        <v>Bird</v>
      </c>
      <c r="BA6" t="str">
        <v>Holland Lop</v>
      </c>
      <c r="BB6">
        <v>13</v>
      </c>
      <c r="BC6" s="6">
        <v>200</v>
      </c>
      <c r="BD6" s="7">
        <v>44987</v>
      </c>
      <c r="BE6" t="str">
        <v>Toronto</v>
      </c>
      <c r="BF6" t="str">
        <v>Online Transfer</v>
      </c>
    </row>
    <row r="7" spans="1:58" x14ac:dyDescent="0.45">
      <c r="A7" t="str">
        <v>A0007</v>
      </c>
      <c r="B7" t="str">
        <v>Rabbit</v>
      </c>
      <c r="C7" t="str">
        <v>Cockatiel</v>
      </c>
      <c r="D7">
        <v>6</v>
      </c>
      <c r="E7" s="6">
        <v>200</v>
      </c>
      <c r="F7" s="7">
        <v>44937</v>
      </c>
      <c r="G7" t="str">
        <v>Toronto</v>
      </c>
      <c r="H7" t="str">
        <v>Credit Card</v>
      </c>
      <c r="K7" t="str">
        <v>Guinea Pig</v>
      </c>
      <c r="L7" t="str">
        <v>American</v>
      </c>
      <c r="M7">
        <v>10</v>
      </c>
      <c r="N7" s="6">
        <v>100</v>
      </c>
      <c r="O7" s="7">
        <v>45306</v>
      </c>
      <c r="P7" t="str">
        <v>Ottawa</v>
      </c>
      <c r="Q7" t="str">
        <v>Online Transfer</v>
      </c>
      <c r="AE7" t="str">
        <v>American</v>
      </c>
      <c r="AF7" t="str">
        <v>Ottawa</v>
      </c>
      <c r="AY7" t="str">
        <v>A0200</v>
      </c>
      <c r="AZ7" t="str">
        <v>Bird</v>
      </c>
      <c r="BA7" t="str">
        <v>Labrador</v>
      </c>
      <c r="BB7">
        <v>9</v>
      </c>
      <c r="BC7" s="6">
        <v>50</v>
      </c>
      <c r="BD7" s="7">
        <v>45264</v>
      </c>
      <c r="BE7" t="str">
        <v>Toronto</v>
      </c>
      <c r="BF7" t="str">
        <v>Credit Card</v>
      </c>
    </row>
    <row r="8" spans="1:58" x14ac:dyDescent="0.45">
      <c r="A8" t="str">
        <v>A0011</v>
      </c>
      <c r="B8" t="str">
        <v>Bird</v>
      </c>
      <c r="C8" t="str">
        <v>Persian</v>
      </c>
      <c r="D8">
        <v>13</v>
      </c>
      <c r="E8" s="6">
        <v>200</v>
      </c>
      <c r="F8" s="7">
        <v>45236</v>
      </c>
      <c r="G8" t="str">
        <v>Toronto</v>
      </c>
      <c r="H8" t="str">
        <v>Debit</v>
      </c>
      <c r="K8" t="str">
        <v>Rabbit</v>
      </c>
      <c r="L8" t="str">
        <v>Persian</v>
      </c>
      <c r="M8">
        <v>8</v>
      </c>
      <c r="N8" s="6">
        <v>50</v>
      </c>
      <c r="O8" s="7">
        <v>45366</v>
      </c>
      <c r="P8" t="str">
        <v>Calgary</v>
      </c>
      <c r="Q8" t="str">
        <v>Online Transfer</v>
      </c>
      <c r="AE8" t="str">
        <v>Persian</v>
      </c>
      <c r="AF8" t="str">
        <v>Calgary</v>
      </c>
      <c r="AY8" t="str">
        <v>A0400</v>
      </c>
      <c r="AZ8" t="str">
        <v>Cat</v>
      </c>
      <c r="BA8" t="str">
        <v>Persian</v>
      </c>
      <c r="BB8">
        <v>12</v>
      </c>
      <c r="BC8" s="6">
        <v>100</v>
      </c>
      <c r="BD8" s="7">
        <v>45464</v>
      </c>
      <c r="BE8" t="str">
        <v>Vancouver</v>
      </c>
      <c r="BF8" t="str">
        <v>Debit</v>
      </c>
    </row>
    <row r="9" spans="1:58" x14ac:dyDescent="0.45">
      <c r="A9" t="str">
        <v>A0013</v>
      </c>
      <c r="B9" t="str">
        <v>Guinea Pig</v>
      </c>
      <c r="C9" t="str">
        <v>Persian</v>
      </c>
      <c r="D9">
        <v>10</v>
      </c>
      <c r="E9" s="6">
        <v>200</v>
      </c>
      <c r="F9" s="7">
        <v>45419</v>
      </c>
      <c r="G9" t="str">
        <v>Ottawa</v>
      </c>
      <c r="H9" t="str">
        <v>Credit Card</v>
      </c>
      <c r="K9" t="str">
        <v>Guinea Pig</v>
      </c>
      <c r="L9" t="str">
        <v>Labrador</v>
      </c>
      <c r="M9">
        <v>0</v>
      </c>
      <c r="N9" s="6">
        <v>150</v>
      </c>
      <c r="O9" s="7">
        <v>45245</v>
      </c>
      <c r="P9" t="str">
        <v>Toronto</v>
      </c>
      <c r="Q9" t="str">
        <v>Debit</v>
      </c>
      <c r="AE9" t="str">
        <v>Labrador</v>
      </c>
      <c r="AF9" t="str">
        <v>Toronto</v>
      </c>
      <c r="BC9" s="6"/>
      <c r="BD9" s="7"/>
    </row>
    <row r="10" spans="1:58" x14ac:dyDescent="0.45">
      <c r="A10" t="str">
        <v>A0015</v>
      </c>
      <c r="B10" t="str">
        <v>Bird</v>
      </c>
      <c r="C10" t="str">
        <v>American</v>
      </c>
      <c r="D10">
        <v>6</v>
      </c>
      <c r="E10" s="6">
        <v>200</v>
      </c>
      <c r="F10" s="7">
        <v>45256</v>
      </c>
      <c r="G10" t="str">
        <v>Vancouver</v>
      </c>
      <c r="H10" t="str">
        <v>Credit Card</v>
      </c>
      <c r="K10" t="str">
        <v>Guinea Pig</v>
      </c>
      <c r="L10" t="str">
        <v>American</v>
      </c>
      <c r="M10">
        <v>14</v>
      </c>
      <c r="N10" s="6">
        <v>75</v>
      </c>
      <c r="O10" s="7">
        <v>45228</v>
      </c>
      <c r="P10" t="str">
        <v>Ottawa</v>
      </c>
      <c r="Q10" t="str">
        <v>Online Transfer</v>
      </c>
      <c r="AE10" t="str">
        <v>American</v>
      </c>
      <c r="AF10" t="str">
        <v>Ottawa</v>
      </c>
      <c r="BC10" s="6"/>
      <c r="BD10" s="7"/>
    </row>
    <row r="11" spans="1:58" x14ac:dyDescent="0.45">
      <c r="E11" s="6"/>
      <c r="F11" s="7"/>
      <c r="K11" t="str">
        <v>Cat</v>
      </c>
      <c r="L11" t="str">
        <v>Persian</v>
      </c>
      <c r="M11">
        <v>14</v>
      </c>
      <c r="N11" s="6">
        <v>75</v>
      </c>
      <c r="O11" s="7">
        <v>45270</v>
      </c>
      <c r="P11" t="str">
        <v>Toronto</v>
      </c>
      <c r="Q11" t="str">
        <v>Cash</v>
      </c>
      <c r="AE11" t="str">
        <v>Persian</v>
      </c>
      <c r="AF11" t="str">
        <v>Toronto</v>
      </c>
      <c r="BC11" s="6"/>
      <c r="BD11" s="7"/>
    </row>
    <row r="12" spans="1:58" x14ac:dyDescent="0.45">
      <c r="E12" s="6"/>
      <c r="F12" s="7"/>
      <c r="K12" t="str">
        <v>Rabbit</v>
      </c>
      <c r="L12" t="str">
        <v>Cockatiel</v>
      </c>
      <c r="M12">
        <v>6</v>
      </c>
      <c r="N12" s="6">
        <v>200</v>
      </c>
      <c r="O12" s="7">
        <v>44937</v>
      </c>
      <c r="P12" t="str">
        <v>Toronto</v>
      </c>
      <c r="Q12" t="str">
        <v>Credit Card</v>
      </c>
      <c r="AE12" t="str">
        <v>Cockatiel</v>
      </c>
      <c r="AF12" t="str">
        <v>Toronto</v>
      </c>
      <c r="BC12" s="6"/>
      <c r="BD12" s="7"/>
    </row>
    <row r="13" spans="1:58" x14ac:dyDescent="0.45">
      <c r="E13" s="6"/>
      <c r="F13" s="7"/>
      <c r="K13" t="str">
        <v>Rabbit</v>
      </c>
      <c r="L13" t="str">
        <v>American</v>
      </c>
      <c r="M13">
        <v>14</v>
      </c>
      <c r="N13" s="6">
        <v>100</v>
      </c>
      <c r="O13" s="7">
        <v>44988</v>
      </c>
      <c r="P13" t="str">
        <v>Calgary</v>
      </c>
      <c r="Q13" t="str">
        <v>Credit Card</v>
      </c>
      <c r="AE13" t="str">
        <v>American</v>
      </c>
      <c r="AF13" t="str">
        <v>Calgary</v>
      </c>
      <c r="BC13" s="6"/>
      <c r="BD13" s="7"/>
    </row>
    <row r="14" spans="1:58" x14ac:dyDescent="0.45">
      <c r="E14" s="6"/>
      <c r="F14" s="7"/>
      <c r="K14" t="str">
        <v>Rabbit</v>
      </c>
      <c r="L14" t="str">
        <v>Bulldog</v>
      </c>
      <c r="M14">
        <v>4</v>
      </c>
      <c r="N14" s="6">
        <v>75</v>
      </c>
      <c r="O14" s="7">
        <v>45152</v>
      </c>
      <c r="P14" t="str">
        <v>Montreal</v>
      </c>
      <c r="Q14" t="str">
        <v>Online Transfer</v>
      </c>
      <c r="AE14" t="str">
        <v>Bulldog</v>
      </c>
      <c r="AF14" t="str">
        <v>Montreal</v>
      </c>
      <c r="BC14" s="6"/>
      <c r="BD14" s="7"/>
    </row>
    <row r="15" spans="1:58" x14ac:dyDescent="0.45">
      <c r="E15" s="6"/>
      <c r="F15" s="7"/>
      <c r="K15" t="str">
        <v>Guinea Pig</v>
      </c>
      <c r="L15" t="str">
        <v>Labrador</v>
      </c>
      <c r="M15">
        <v>4</v>
      </c>
      <c r="N15" s="6">
        <v>50</v>
      </c>
      <c r="O15" s="7">
        <v>45079</v>
      </c>
      <c r="P15" t="str">
        <v>Montreal</v>
      </c>
      <c r="Q15" t="str">
        <v>Credit Card</v>
      </c>
      <c r="AE15" t="str">
        <v>Labrador</v>
      </c>
      <c r="AF15" t="str">
        <v>Montreal</v>
      </c>
      <c r="BC15" s="6"/>
      <c r="BD15" s="7"/>
    </row>
    <row r="16" spans="1:58" x14ac:dyDescent="0.45">
      <c r="E16" s="6"/>
      <c r="F16" s="7"/>
      <c r="K16" t="str">
        <v>Bird</v>
      </c>
      <c r="L16" t="str">
        <v>Persian</v>
      </c>
      <c r="M16">
        <v>13</v>
      </c>
      <c r="N16" s="6">
        <v>200</v>
      </c>
      <c r="O16" s="7">
        <v>45236</v>
      </c>
      <c r="P16" t="str">
        <v>Toronto</v>
      </c>
      <c r="Q16" t="str">
        <v>Debit</v>
      </c>
      <c r="AE16" t="str">
        <v>Persian</v>
      </c>
      <c r="AF16" t="str">
        <v>Toronto</v>
      </c>
      <c r="BC16" s="6"/>
      <c r="BD16" s="7"/>
    </row>
    <row r="17" spans="5:56" x14ac:dyDescent="0.45">
      <c r="E17" s="6"/>
      <c r="F17" s="7"/>
      <c r="K17" t="str">
        <v>Rabbit</v>
      </c>
      <c r="L17" t="str">
        <v>Persian</v>
      </c>
      <c r="M17">
        <v>1</v>
      </c>
      <c r="N17" s="6">
        <v>150</v>
      </c>
      <c r="O17" s="7">
        <v>45169</v>
      </c>
      <c r="P17" t="str">
        <v>Vancouver</v>
      </c>
      <c r="Q17" t="str">
        <v>Debit</v>
      </c>
      <c r="AE17" t="str">
        <v>Persian</v>
      </c>
      <c r="AF17" t="str">
        <v>Vancouver</v>
      </c>
      <c r="BC17" s="6"/>
      <c r="BD17" s="7"/>
    </row>
    <row r="18" spans="5:56" x14ac:dyDescent="0.45">
      <c r="E18" s="6"/>
      <c r="F18" s="7"/>
      <c r="K18" t="str">
        <v>Guinea Pig</v>
      </c>
      <c r="L18" t="str">
        <v>Persian</v>
      </c>
      <c r="M18">
        <v>10</v>
      </c>
      <c r="N18" s="6">
        <v>200</v>
      </c>
      <c r="O18" s="7">
        <v>45419</v>
      </c>
      <c r="P18" t="str">
        <v>Ottawa</v>
      </c>
      <c r="Q18" t="str">
        <v>Credit Card</v>
      </c>
      <c r="AE18" t="str">
        <v>Persian</v>
      </c>
      <c r="AF18" t="str">
        <v>Ottawa</v>
      </c>
      <c r="BC18" s="6"/>
      <c r="BD18" s="7"/>
    </row>
    <row r="19" spans="5:56" x14ac:dyDescent="0.45">
      <c r="E19" s="6"/>
      <c r="F19" s="7"/>
      <c r="K19" t="str">
        <v>Cat</v>
      </c>
      <c r="L19" t="str">
        <v>Cockatiel</v>
      </c>
      <c r="M19">
        <v>2</v>
      </c>
      <c r="N19" s="6">
        <v>150</v>
      </c>
      <c r="O19" s="7">
        <v>45292</v>
      </c>
      <c r="P19" t="str">
        <v>Vancouver</v>
      </c>
      <c r="Q19" t="str">
        <v>Debit</v>
      </c>
      <c r="AE19" t="str">
        <v>Cockatiel</v>
      </c>
      <c r="AF19" t="str">
        <v>Vancouver</v>
      </c>
      <c r="BC19" s="6"/>
      <c r="BD19" s="7"/>
    </row>
    <row r="20" spans="5:56" x14ac:dyDescent="0.45">
      <c r="E20" s="6"/>
      <c r="F20" s="7"/>
      <c r="K20" t="str">
        <v>Bird</v>
      </c>
      <c r="L20" t="str">
        <v>American</v>
      </c>
      <c r="M20">
        <v>6</v>
      </c>
      <c r="N20" s="6">
        <v>200</v>
      </c>
      <c r="O20" s="7">
        <v>45256</v>
      </c>
      <c r="P20" t="str">
        <v>Vancouver</v>
      </c>
      <c r="Q20" t="str">
        <v>Credit Card</v>
      </c>
      <c r="AE20" t="str">
        <v>American</v>
      </c>
      <c r="AF20" t="str">
        <v>Vancouver</v>
      </c>
      <c r="BC20" s="6"/>
      <c r="BD20" s="7"/>
    </row>
    <row r="21" spans="5:56" x14ac:dyDescent="0.45">
      <c r="E21" s="6"/>
      <c r="F21" s="7"/>
      <c r="K21" t="str">
        <v>Cat</v>
      </c>
      <c r="L21" t="str">
        <v>Cockatiel</v>
      </c>
      <c r="M21">
        <v>5</v>
      </c>
      <c r="N21" s="6">
        <v>200</v>
      </c>
      <c r="O21" s="7">
        <v>45033</v>
      </c>
      <c r="P21" t="str">
        <v>Toronto</v>
      </c>
      <c r="Q21" t="str">
        <v>Credit Card</v>
      </c>
      <c r="AE21" t="str">
        <v>Cockatiel</v>
      </c>
      <c r="AF21" t="str">
        <v>Toronto</v>
      </c>
      <c r="BC21" s="6"/>
      <c r="BD21" s="7"/>
    </row>
    <row r="22" spans="5:56" x14ac:dyDescent="0.45">
      <c r="E22" s="6"/>
      <c r="F22" s="7"/>
      <c r="K22" t="str">
        <v>Bird</v>
      </c>
      <c r="L22" t="str">
        <v>Siamese</v>
      </c>
      <c r="M22">
        <v>11</v>
      </c>
      <c r="N22" s="6">
        <v>200</v>
      </c>
      <c r="O22" s="7">
        <v>45152</v>
      </c>
      <c r="P22" t="str">
        <v>Toronto</v>
      </c>
      <c r="Q22" t="str">
        <v>Credit Card</v>
      </c>
      <c r="AE22" t="str">
        <v>Siamese</v>
      </c>
      <c r="AF22" t="str">
        <v>Toronto</v>
      </c>
      <c r="BC22" s="6"/>
      <c r="BD22" s="7"/>
    </row>
    <row r="23" spans="5:56" x14ac:dyDescent="0.45">
      <c r="E23" s="6"/>
      <c r="F23" s="7"/>
      <c r="K23" t="str">
        <v>Guinea Pig</v>
      </c>
      <c r="L23" t="str">
        <v>Siamese</v>
      </c>
      <c r="M23">
        <v>1</v>
      </c>
      <c r="N23" s="6">
        <v>150</v>
      </c>
      <c r="O23" s="7">
        <v>45144</v>
      </c>
      <c r="P23" t="str">
        <v>Toronto</v>
      </c>
      <c r="Q23" t="str">
        <v>Online Transfer</v>
      </c>
      <c r="AE23" t="str">
        <v>Siamese</v>
      </c>
      <c r="AF23" t="str">
        <v>Toronto</v>
      </c>
      <c r="BC23" s="6"/>
      <c r="BD23" s="7"/>
    </row>
    <row r="24" spans="5:56" x14ac:dyDescent="0.45">
      <c r="E24" s="6"/>
      <c r="F24" s="7"/>
      <c r="K24" t="str">
        <v>Dog</v>
      </c>
      <c r="L24" t="str">
        <v>American</v>
      </c>
      <c r="M24">
        <v>5</v>
      </c>
      <c r="N24" s="6">
        <v>150</v>
      </c>
      <c r="O24" s="7">
        <v>45432</v>
      </c>
      <c r="P24" t="str">
        <v>Toronto</v>
      </c>
      <c r="Q24" t="str">
        <v>Credit Card</v>
      </c>
      <c r="AE24" t="str">
        <v>American</v>
      </c>
      <c r="AF24" t="str">
        <v>Toronto</v>
      </c>
      <c r="BC24" s="6"/>
      <c r="BD24" s="7"/>
    </row>
    <row r="25" spans="5:56" x14ac:dyDescent="0.45">
      <c r="E25" s="6"/>
      <c r="F25" s="7"/>
      <c r="K25" t="str">
        <v>Bird</v>
      </c>
      <c r="L25" t="str">
        <v>Bulldog</v>
      </c>
      <c r="M25">
        <v>1</v>
      </c>
      <c r="N25" s="6">
        <v>200</v>
      </c>
      <c r="O25" s="7">
        <v>45185</v>
      </c>
      <c r="P25" t="str">
        <v>Montreal</v>
      </c>
      <c r="Q25" t="str">
        <v>Online Transfer</v>
      </c>
      <c r="AE25" t="str">
        <v>Bulldog</v>
      </c>
      <c r="AF25" t="str">
        <v>Montreal</v>
      </c>
      <c r="BC25" s="6"/>
      <c r="BD25" s="7"/>
    </row>
    <row r="26" spans="5:56" x14ac:dyDescent="0.45">
      <c r="E26" s="6"/>
      <c r="F26" s="7"/>
      <c r="K26" t="str">
        <v>Cat</v>
      </c>
      <c r="L26" t="str">
        <v>Cockatiel</v>
      </c>
      <c r="M26">
        <v>1</v>
      </c>
      <c r="N26" s="6">
        <v>75</v>
      </c>
      <c r="O26" s="7">
        <v>45443</v>
      </c>
      <c r="P26" t="str">
        <v>Toronto</v>
      </c>
      <c r="Q26" t="str">
        <v>Credit Card</v>
      </c>
      <c r="AE26" t="str">
        <v>Cockatiel</v>
      </c>
      <c r="AF26" t="str">
        <v>Toronto</v>
      </c>
      <c r="BC26" s="6"/>
      <c r="BD26" s="7"/>
    </row>
    <row r="27" spans="5:56" x14ac:dyDescent="0.45">
      <c r="E27" s="6"/>
      <c r="F27" s="7"/>
      <c r="K27" t="str">
        <v>Guinea Pig</v>
      </c>
      <c r="L27" t="str">
        <v>Labrador</v>
      </c>
      <c r="M27">
        <v>1</v>
      </c>
      <c r="N27" s="6">
        <v>100</v>
      </c>
      <c r="O27" s="7">
        <v>44980</v>
      </c>
      <c r="P27" t="str">
        <v>Montreal</v>
      </c>
      <c r="Q27" t="str">
        <v>Credit Card</v>
      </c>
      <c r="AE27" t="str">
        <v>Labrador</v>
      </c>
      <c r="AF27" t="str">
        <v>Montreal</v>
      </c>
      <c r="BC27" s="6"/>
      <c r="BD27" s="7"/>
    </row>
    <row r="28" spans="5:56" x14ac:dyDescent="0.45">
      <c r="E28" s="6"/>
      <c r="F28" s="7"/>
      <c r="K28" t="str">
        <v>Bird</v>
      </c>
      <c r="L28" t="str">
        <v>Persian</v>
      </c>
      <c r="M28">
        <v>13</v>
      </c>
      <c r="N28" s="6">
        <v>100</v>
      </c>
      <c r="O28" s="7">
        <v>44973</v>
      </c>
      <c r="P28" t="str">
        <v>Montreal</v>
      </c>
      <c r="Q28" t="str">
        <v>Credit Card</v>
      </c>
      <c r="AE28" t="str">
        <v>Persian</v>
      </c>
      <c r="AF28" t="str">
        <v>Montreal</v>
      </c>
      <c r="BC28" s="6"/>
      <c r="BD28" s="7"/>
    </row>
    <row r="29" spans="5:56" x14ac:dyDescent="0.45">
      <c r="E29" s="6"/>
      <c r="F29" s="7"/>
      <c r="K29" t="str">
        <v>Dog</v>
      </c>
      <c r="L29" t="str">
        <v>Persian</v>
      </c>
      <c r="M29">
        <v>14</v>
      </c>
      <c r="N29" s="6">
        <v>100</v>
      </c>
      <c r="O29" s="7">
        <v>45447</v>
      </c>
      <c r="P29" t="str">
        <v>Toronto</v>
      </c>
      <c r="Q29" t="str">
        <v>Debit</v>
      </c>
      <c r="AE29" t="str">
        <v>Persian</v>
      </c>
      <c r="AF29" t="str">
        <v>Toronto</v>
      </c>
      <c r="BC29" s="6"/>
      <c r="BD29" s="7"/>
    </row>
    <row r="30" spans="5:56" x14ac:dyDescent="0.45">
      <c r="E30" s="6"/>
      <c r="F30" s="7"/>
      <c r="K30" t="str">
        <v>Dog</v>
      </c>
      <c r="L30" t="str">
        <v>American</v>
      </c>
      <c r="M30">
        <v>10</v>
      </c>
      <c r="N30" s="6">
        <v>150</v>
      </c>
      <c r="O30" s="7">
        <v>45025</v>
      </c>
      <c r="P30" t="str">
        <v>Calgary</v>
      </c>
      <c r="Q30" t="str">
        <v>Online Transfer</v>
      </c>
      <c r="AE30" t="str">
        <v>American</v>
      </c>
      <c r="AF30" t="str">
        <v>Calgary</v>
      </c>
      <c r="BC30" s="6"/>
      <c r="BD30" s="7"/>
    </row>
    <row r="31" spans="5:56" x14ac:dyDescent="0.45">
      <c r="E31" s="6"/>
      <c r="F31" s="7"/>
      <c r="K31" t="str">
        <v>Rabbit</v>
      </c>
      <c r="L31" t="str">
        <v>Bulldog</v>
      </c>
      <c r="M31">
        <v>2</v>
      </c>
      <c r="N31" s="6">
        <v>150</v>
      </c>
      <c r="O31" s="7">
        <v>44946</v>
      </c>
      <c r="P31" t="str">
        <v>Ottawa</v>
      </c>
      <c r="Q31" t="str">
        <v>Online Transfer</v>
      </c>
      <c r="AE31" t="str">
        <v>Bulldog</v>
      </c>
      <c r="AF31" t="str">
        <v>Ottawa</v>
      </c>
      <c r="BC31" s="6"/>
      <c r="BD31" s="7"/>
    </row>
    <row r="32" spans="5:56" x14ac:dyDescent="0.45">
      <c r="E32" s="6"/>
      <c r="F32" s="7"/>
      <c r="K32" t="str">
        <v>Rabbit</v>
      </c>
      <c r="L32" t="str">
        <v>Siamese</v>
      </c>
      <c r="M32">
        <v>14</v>
      </c>
      <c r="N32" s="6">
        <v>75</v>
      </c>
      <c r="O32" s="7">
        <v>45416</v>
      </c>
      <c r="P32" t="str">
        <v>Vancouver</v>
      </c>
      <c r="Q32" t="str">
        <v>Credit Card</v>
      </c>
      <c r="AE32" t="str">
        <v>Siamese</v>
      </c>
      <c r="AF32" t="str">
        <v>Vancouver</v>
      </c>
      <c r="BC32" s="6"/>
      <c r="BD32" s="7"/>
    </row>
    <row r="33" spans="5:56" x14ac:dyDescent="0.45">
      <c r="E33" s="6"/>
      <c r="F33" s="7"/>
      <c r="K33" t="str">
        <v>Cat</v>
      </c>
      <c r="L33" t="str">
        <v>Siamese</v>
      </c>
      <c r="M33">
        <v>1</v>
      </c>
      <c r="N33" s="6">
        <v>100</v>
      </c>
      <c r="O33" s="7">
        <v>45345</v>
      </c>
      <c r="P33" t="str">
        <v>Montreal</v>
      </c>
      <c r="Q33" t="str">
        <v>Credit Card</v>
      </c>
      <c r="AE33" t="str">
        <v>Siamese</v>
      </c>
      <c r="AF33" t="str">
        <v>Montreal</v>
      </c>
      <c r="BC33" s="6"/>
      <c r="BD33" s="7"/>
    </row>
    <row r="34" spans="5:56" x14ac:dyDescent="0.45">
      <c r="E34" s="6"/>
      <c r="F34" s="7"/>
      <c r="K34" t="str">
        <v>Bird</v>
      </c>
      <c r="L34" t="str">
        <v>Persian</v>
      </c>
      <c r="M34">
        <v>3</v>
      </c>
      <c r="N34" s="6">
        <v>100</v>
      </c>
      <c r="O34" s="7">
        <v>44988</v>
      </c>
      <c r="P34" t="str">
        <v>Ottawa</v>
      </c>
      <c r="Q34" t="str">
        <v>Debit</v>
      </c>
      <c r="AE34" t="str">
        <v>Persian</v>
      </c>
      <c r="AF34" t="str">
        <v>Ottawa</v>
      </c>
      <c r="BC34" s="6"/>
      <c r="BD34" s="7"/>
    </row>
    <row r="35" spans="5:56" x14ac:dyDescent="0.45">
      <c r="E35" s="6"/>
      <c r="F35" s="7"/>
      <c r="K35" t="str">
        <v>Bird</v>
      </c>
      <c r="L35" t="str">
        <v>American</v>
      </c>
      <c r="M35">
        <v>8</v>
      </c>
      <c r="N35" s="6">
        <v>200</v>
      </c>
      <c r="O35" s="7">
        <v>45071</v>
      </c>
      <c r="P35" t="str">
        <v>Calgary</v>
      </c>
      <c r="Q35" t="str">
        <v>Debit</v>
      </c>
      <c r="AE35" t="str">
        <v>American</v>
      </c>
      <c r="AF35" t="str">
        <v>Calgary</v>
      </c>
      <c r="BC35" s="6"/>
      <c r="BD35" s="7"/>
    </row>
    <row r="36" spans="5:56" x14ac:dyDescent="0.45">
      <c r="E36" s="6"/>
      <c r="F36" s="7"/>
      <c r="K36" t="str">
        <v>Rabbit</v>
      </c>
      <c r="L36" t="str">
        <v>Cockatiel</v>
      </c>
      <c r="M36">
        <v>5</v>
      </c>
      <c r="N36" s="6">
        <v>150</v>
      </c>
      <c r="O36" s="7">
        <v>45142</v>
      </c>
      <c r="P36" t="str">
        <v>Vancouver</v>
      </c>
      <c r="Q36" t="str">
        <v>Debit</v>
      </c>
      <c r="AE36" t="str">
        <v>Cockatiel</v>
      </c>
      <c r="AF36" t="str">
        <v>Vancouver</v>
      </c>
      <c r="BC36" s="6"/>
      <c r="BD36" s="7"/>
    </row>
    <row r="37" spans="5:56" x14ac:dyDescent="0.45">
      <c r="E37" s="6"/>
      <c r="F37" s="7"/>
      <c r="K37" t="str">
        <v>Bird</v>
      </c>
      <c r="L37" t="str">
        <v>Siamese</v>
      </c>
      <c r="M37">
        <v>0</v>
      </c>
      <c r="N37" s="6">
        <v>100</v>
      </c>
      <c r="O37" s="7">
        <v>44929</v>
      </c>
      <c r="P37" t="str">
        <v>Vancouver</v>
      </c>
      <c r="Q37" t="str">
        <v>Online Transfer</v>
      </c>
      <c r="AE37" t="str">
        <v>Siamese</v>
      </c>
      <c r="AF37" t="str">
        <v>Vancouver</v>
      </c>
      <c r="BC37" s="6"/>
      <c r="BD37" s="7"/>
    </row>
    <row r="38" spans="5:56" x14ac:dyDescent="0.45">
      <c r="E38" s="6"/>
      <c r="F38" s="7"/>
      <c r="K38" t="str">
        <v>Bird</v>
      </c>
      <c r="L38" t="str">
        <v>Cockatiel</v>
      </c>
      <c r="M38">
        <v>7</v>
      </c>
      <c r="N38" s="6">
        <v>75</v>
      </c>
      <c r="O38" s="7">
        <v>45086</v>
      </c>
      <c r="P38" t="str">
        <v>Montreal</v>
      </c>
      <c r="Q38" t="str">
        <v>Online Transfer</v>
      </c>
      <c r="AE38" t="str">
        <v>Cockatiel</v>
      </c>
      <c r="AF38" t="str">
        <v>Montreal</v>
      </c>
      <c r="BC38" s="6"/>
      <c r="BD38" s="7"/>
    </row>
    <row r="39" spans="5:56" x14ac:dyDescent="0.45">
      <c r="E39" s="6"/>
      <c r="F39" s="7"/>
      <c r="K39" t="str">
        <v>Dog</v>
      </c>
      <c r="L39" t="str">
        <v>Bulldog</v>
      </c>
      <c r="M39">
        <v>14</v>
      </c>
      <c r="N39" s="6">
        <v>75</v>
      </c>
      <c r="O39" s="7">
        <v>45046</v>
      </c>
      <c r="P39" t="str">
        <v>Toronto</v>
      </c>
      <c r="Q39" t="str">
        <v>Online Transfer</v>
      </c>
      <c r="AE39" t="str">
        <v>Bulldog</v>
      </c>
      <c r="AF39" t="str">
        <v>Toronto</v>
      </c>
      <c r="BC39" s="6"/>
      <c r="BD39" s="7"/>
    </row>
    <row r="40" spans="5:56" x14ac:dyDescent="0.45">
      <c r="E40" s="6"/>
      <c r="F40" s="7"/>
      <c r="K40" t="str">
        <v>Rabbit</v>
      </c>
      <c r="L40" t="str">
        <v>Siamese</v>
      </c>
      <c r="M40">
        <v>11</v>
      </c>
      <c r="N40" s="6">
        <v>100</v>
      </c>
      <c r="O40" s="7">
        <v>45015</v>
      </c>
      <c r="P40" t="str">
        <v>Calgary</v>
      </c>
      <c r="Q40" t="str">
        <v>Credit Card</v>
      </c>
      <c r="AE40" t="str">
        <v>Siamese</v>
      </c>
      <c r="AF40" t="str">
        <v>Calgary</v>
      </c>
      <c r="BC40" s="6"/>
      <c r="BD40" s="7"/>
    </row>
    <row r="41" spans="5:56" x14ac:dyDescent="0.45">
      <c r="E41" s="6"/>
      <c r="F41" s="7"/>
      <c r="K41" t="str">
        <v>Guinea Pig</v>
      </c>
      <c r="L41" t="str">
        <v>Siamese</v>
      </c>
      <c r="M41">
        <v>13</v>
      </c>
      <c r="N41" s="6">
        <v>150</v>
      </c>
      <c r="O41" s="7">
        <v>45255</v>
      </c>
      <c r="P41" t="str">
        <v>Montreal</v>
      </c>
      <c r="Q41" t="str">
        <v>Online Transfer</v>
      </c>
      <c r="AE41" t="str">
        <v>Siamese</v>
      </c>
      <c r="AF41" t="str">
        <v>Montreal</v>
      </c>
      <c r="BC41" s="6"/>
      <c r="BD41" s="7"/>
    </row>
    <row r="42" spans="5:56" x14ac:dyDescent="0.45">
      <c r="E42" s="6"/>
      <c r="F42" s="7"/>
      <c r="K42" t="str">
        <v>Rabbit</v>
      </c>
      <c r="L42" t="str">
        <v>Holland Lop</v>
      </c>
      <c r="M42">
        <v>6</v>
      </c>
      <c r="N42" s="6">
        <v>75</v>
      </c>
      <c r="O42" s="7">
        <v>45283</v>
      </c>
      <c r="P42" t="str">
        <v>Calgary</v>
      </c>
      <c r="Q42" t="str">
        <v>Cash</v>
      </c>
      <c r="AE42" t="str">
        <v>Holland Lop</v>
      </c>
      <c r="AF42" t="str">
        <v>Calgary</v>
      </c>
      <c r="BC42" s="6"/>
      <c r="BD42" s="7"/>
    </row>
    <row r="43" spans="5:56" x14ac:dyDescent="0.45">
      <c r="E43" s="6"/>
      <c r="F43" s="7"/>
      <c r="K43" t="str">
        <v>Guinea Pig</v>
      </c>
      <c r="L43" t="str">
        <v>Siamese</v>
      </c>
      <c r="M43">
        <v>9</v>
      </c>
      <c r="N43" s="6">
        <v>200</v>
      </c>
      <c r="O43" s="7">
        <v>45193</v>
      </c>
      <c r="P43" t="str">
        <v>Toronto</v>
      </c>
      <c r="Q43" t="str">
        <v>Cash</v>
      </c>
      <c r="AE43" t="str">
        <v>Siamese</v>
      </c>
      <c r="AF43" t="str">
        <v>Toronto</v>
      </c>
      <c r="BC43" s="6"/>
      <c r="BD43" s="7"/>
    </row>
    <row r="44" spans="5:56" x14ac:dyDescent="0.45">
      <c r="E44" s="6"/>
      <c r="F44" s="7"/>
      <c r="K44" t="str">
        <v>Dog</v>
      </c>
      <c r="L44" t="str">
        <v>Labrador</v>
      </c>
      <c r="M44">
        <v>2</v>
      </c>
      <c r="N44" s="6">
        <v>75</v>
      </c>
      <c r="O44" s="7">
        <v>45249</v>
      </c>
      <c r="P44" t="str">
        <v>Toronto</v>
      </c>
      <c r="Q44" t="str">
        <v>Debit</v>
      </c>
      <c r="AE44" t="str">
        <v>Labrador</v>
      </c>
      <c r="AF44" t="str">
        <v>Toronto</v>
      </c>
      <c r="BC44" s="6"/>
      <c r="BD44" s="7"/>
    </row>
    <row r="45" spans="5:56" x14ac:dyDescent="0.45">
      <c r="E45" s="6"/>
      <c r="F45" s="7"/>
      <c r="K45" t="str">
        <v>Cat</v>
      </c>
      <c r="L45" t="str">
        <v>American</v>
      </c>
      <c r="M45">
        <v>0</v>
      </c>
      <c r="N45" s="6">
        <v>50</v>
      </c>
      <c r="O45" s="7">
        <v>45467</v>
      </c>
      <c r="P45" t="str">
        <v>Montreal</v>
      </c>
      <c r="Q45" t="str">
        <v>Online Transfer</v>
      </c>
      <c r="AE45" t="str">
        <v>American</v>
      </c>
      <c r="AF45" t="str">
        <v>Montreal</v>
      </c>
      <c r="BC45" s="6"/>
      <c r="BD45" s="7"/>
    </row>
    <row r="46" spans="5:56" x14ac:dyDescent="0.45">
      <c r="E46" s="6"/>
      <c r="F46" s="7"/>
      <c r="K46" t="str">
        <v>Bird</v>
      </c>
      <c r="L46" t="str">
        <v>American</v>
      </c>
      <c r="M46">
        <v>4</v>
      </c>
      <c r="N46" s="6">
        <v>50</v>
      </c>
      <c r="O46" s="7">
        <v>45121</v>
      </c>
      <c r="P46" t="str">
        <v>Toronto</v>
      </c>
      <c r="Q46" t="str">
        <v>Cash</v>
      </c>
      <c r="AE46" t="str">
        <v>American</v>
      </c>
      <c r="AF46" t="str">
        <v>Toronto</v>
      </c>
      <c r="BC46" s="6"/>
      <c r="BD46" s="7"/>
    </row>
    <row r="47" spans="5:56" x14ac:dyDescent="0.45">
      <c r="E47" s="6"/>
      <c r="F47" s="7"/>
      <c r="K47" t="str">
        <v>Dog</v>
      </c>
      <c r="L47" t="str">
        <v>Cockatiel</v>
      </c>
      <c r="M47">
        <v>12</v>
      </c>
      <c r="N47" s="6">
        <v>150</v>
      </c>
      <c r="O47" s="7">
        <v>45258</v>
      </c>
      <c r="P47" t="str">
        <v>Ottawa</v>
      </c>
      <c r="Q47" t="str">
        <v>Debit</v>
      </c>
      <c r="AE47" t="str">
        <v>Cockatiel</v>
      </c>
      <c r="AF47" t="str">
        <v>Ottawa</v>
      </c>
      <c r="BC47" s="6"/>
      <c r="BD47" s="7"/>
    </row>
    <row r="48" spans="5:56" x14ac:dyDescent="0.45">
      <c r="E48" s="6"/>
      <c r="F48" s="7"/>
      <c r="K48" t="str">
        <v>Bird</v>
      </c>
      <c r="L48" t="str">
        <v>Bulldog</v>
      </c>
      <c r="M48">
        <v>3</v>
      </c>
      <c r="N48" s="6">
        <v>100</v>
      </c>
      <c r="O48" s="7">
        <v>45096</v>
      </c>
      <c r="P48" t="str">
        <v>Vancouver</v>
      </c>
      <c r="Q48" t="str">
        <v>Online Transfer</v>
      </c>
      <c r="AE48" t="str">
        <v>Bulldog</v>
      </c>
      <c r="AF48" t="str">
        <v>Vancouver</v>
      </c>
      <c r="BC48" s="6"/>
      <c r="BD48" s="7"/>
    </row>
    <row r="49" spans="5:56" x14ac:dyDescent="0.45">
      <c r="E49" s="6"/>
      <c r="F49" s="7"/>
      <c r="K49" t="str">
        <v>Cat</v>
      </c>
      <c r="L49" t="str">
        <v>Siamese</v>
      </c>
      <c r="M49">
        <v>9</v>
      </c>
      <c r="N49" s="6">
        <v>150</v>
      </c>
      <c r="O49" s="7">
        <v>45447</v>
      </c>
      <c r="P49" t="str">
        <v>Montreal</v>
      </c>
      <c r="Q49" t="str">
        <v>Credit Card</v>
      </c>
      <c r="AE49" t="str">
        <v>Siamese</v>
      </c>
      <c r="AF49" t="str">
        <v>Montreal</v>
      </c>
      <c r="BC49" s="6"/>
      <c r="BD49" s="7"/>
    </row>
    <row r="50" spans="5:56" x14ac:dyDescent="0.45">
      <c r="E50" s="6"/>
      <c r="F50" s="7"/>
      <c r="K50" t="str">
        <v>Cat</v>
      </c>
      <c r="L50" t="str">
        <v>Labrador</v>
      </c>
      <c r="M50">
        <v>7</v>
      </c>
      <c r="N50" s="6">
        <v>150</v>
      </c>
      <c r="O50" s="7">
        <v>45389</v>
      </c>
      <c r="P50" t="str">
        <v>Calgary</v>
      </c>
      <c r="Q50" t="str">
        <v>Cash</v>
      </c>
      <c r="AE50" t="str">
        <v>Labrador</v>
      </c>
      <c r="AF50" t="str">
        <v>Calgary</v>
      </c>
      <c r="BC50" s="6"/>
      <c r="BD50" s="7"/>
    </row>
    <row r="51" spans="5:56" x14ac:dyDescent="0.45">
      <c r="E51" s="6"/>
      <c r="F51" s="7"/>
      <c r="K51" t="str">
        <v>Dog</v>
      </c>
      <c r="L51" t="str">
        <v>Cockatiel</v>
      </c>
      <c r="M51">
        <v>0</v>
      </c>
      <c r="N51" s="6">
        <v>150</v>
      </c>
      <c r="O51" s="7">
        <v>44966</v>
      </c>
      <c r="P51" t="str">
        <v>Ottawa</v>
      </c>
      <c r="Q51" t="str">
        <v>Credit Card</v>
      </c>
      <c r="AE51" t="str">
        <v>Cockatiel</v>
      </c>
      <c r="AF51" t="str">
        <v>Ottawa</v>
      </c>
      <c r="BC51" s="6"/>
      <c r="BD51" s="7"/>
    </row>
    <row r="52" spans="5:56" x14ac:dyDescent="0.45">
      <c r="E52" s="6"/>
      <c r="F52" s="7"/>
      <c r="K52" t="str">
        <v>Cat</v>
      </c>
      <c r="L52" t="str">
        <v>Holland Lop</v>
      </c>
      <c r="M52">
        <v>9</v>
      </c>
      <c r="N52" s="6">
        <v>150</v>
      </c>
      <c r="O52" s="7">
        <v>45463</v>
      </c>
      <c r="P52" t="str">
        <v>Montreal</v>
      </c>
      <c r="Q52" t="str">
        <v>Online Transfer</v>
      </c>
      <c r="AE52" t="str">
        <v>Holland Lop</v>
      </c>
      <c r="AF52" t="str">
        <v>Montreal</v>
      </c>
      <c r="BC52" s="6"/>
      <c r="BD52" s="7"/>
    </row>
    <row r="53" spans="5:56" x14ac:dyDescent="0.45">
      <c r="E53" s="6"/>
      <c r="F53" s="7"/>
      <c r="K53" t="str">
        <v>Guinea Pig</v>
      </c>
      <c r="L53" t="str">
        <v>Cockatiel</v>
      </c>
      <c r="M53">
        <v>0</v>
      </c>
      <c r="N53" s="6">
        <v>200</v>
      </c>
      <c r="O53" s="7">
        <v>45187</v>
      </c>
      <c r="P53" t="str">
        <v>Toronto</v>
      </c>
      <c r="Q53" t="str">
        <v>Cash</v>
      </c>
      <c r="AE53" t="str">
        <v>Cockatiel</v>
      </c>
      <c r="AF53" t="str">
        <v>Toronto</v>
      </c>
      <c r="BC53" s="6"/>
      <c r="BD53" s="7"/>
    </row>
    <row r="54" spans="5:56" x14ac:dyDescent="0.45">
      <c r="E54" s="6"/>
      <c r="F54" s="7"/>
      <c r="K54" t="str">
        <v>Cat</v>
      </c>
      <c r="L54" t="str">
        <v>Cockatiel</v>
      </c>
      <c r="M54">
        <v>11</v>
      </c>
      <c r="N54" s="6">
        <v>200</v>
      </c>
      <c r="O54" s="7">
        <v>45321</v>
      </c>
      <c r="P54" t="str">
        <v>Toronto</v>
      </c>
      <c r="Q54" t="str">
        <v>Online Transfer</v>
      </c>
      <c r="AE54" t="str">
        <v>Cockatiel</v>
      </c>
      <c r="AF54" t="str">
        <v>Toronto</v>
      </c>
      <c r="BC54" s="6"/>
      <c r="BD54" s="7"/>
    </row>
    <row r="55" spans="5:56" x14ac:dyDescent="0.45">
      <c r="E55" s="6"/>
      <c r="F55" s="7"/>
      <c r="K55" t="str">
        <v>Bird</v>
      </c>
      <c r="L55" t="str">
        <v>Siamese</v>
      </c>
      <c r="M55">
        <v>3</v>
      </c>
      <c r="N55" s="6">
        <v>75</v>
      </c>
      <c r="O55" s="7">
        <v>45152</v>
      </c>
      <c r="P55" t="str">
        <v>Toronto</v>
      </c>
      <c r="Q55" t="str">
        <v>Credit Card</v>
      </c>
      <c r="AE55" t="str">
        <v>Siamese</v>
      </c>
      <c r="AF55" t="str">
        <v>Toronto</v>
      </c>
      <c r="BC55" s="6"/>
      <c r="BD55" s="7"/>
    </row>
    <row r="56" spans="5:56" x14ac:dyDescent="0.45">
      <c r="E56" s="6"/>
      <c r="F56" s="7"/>
      <c r="K56" t="str">
        <v>Bird</v>
      </c>
      <c r="L56" t="str">
        <v>Holland Lop</v>
      </c>
      <c r="M56">
        <v>7</v>
      </c>
      <c r="N56" s="6">
        <v>50</v>
      </c>
      <c r="O56" s="7">
        <v>45050</v>
      </c>
      <c r="P56" t="str">
        <v>Toronto</v>
      </c>
      <c r="Q56" t="str">
        <v>Cash</v>
      </c>
      <c r="AE56" t="str">
        <v>Holland Lop</v>
      </c>
      <c r="AF56" t="str">
        <v>Toronto</v>
      </c>
      <c r="BC56" s="6"/>
      <c r="BD56" s="7"/>
    </row>
    <row r="57" spans="5:56" x14ac:dyDescent="0.45">
      <c r="E57" s="6"/>
      <c r="F57" s="7"/>
      <c r="K57" t="str">
        <v>Bird</v>
      </c>
      <c r="L57" t="str">
        <v>Cockatiel</v>
      </c>
      <c r="M57">
        <v>4</v>
      </c>
      <c r="N57" s="6">
        <v>150</v>
      </c>
      <c r="O57" s="7">
        <v>44964</v>
      </c>
      <c r="P57" t="str">
        <v>Calgary</v>
      </c>
      <c r="Q57" t="str">
        <v>Credit Card</v>
      </c>
      <c r="AE57" t="str">
        <v>Cockatiel</v>
      </c>
      <c r="AF57" t="str">
        <v>Calgary</v>
      </c>
      <c r="BC57" s="6"/>
      <c r="BD57" s="7"/>
    </row>
    <row r="58" spans="5:56" x14ac:dyDescent="0.45">
      <c r="E58" s="6"/>
      <c r="F58" s="7"/>
      <c r="K58" t="str">
        <v>Bird</v>
      </c>
      <c r="L58" t="str">
        <v>Labrador</v>
      </c>
      <c r="M58">
        <v>1</v>
      </c>
      <c r="N58" s="6">
        <v>75</v>
      </c>
      <c r="O58" s="7">
        <v>45254</v>
      </c>
      <c r="P58" t="str">
        <v>Ottawa</v>
      </c>
      <c r="Q58" t="str">
        <v>Online Transfer</v>
      </c>
      <c r="AE58" t="str">
        <v>Labrador</v>
      </c>
      <c r="AF58" t="str">
        <v>Ottawa</v>
      </c>
      <c r="BC58" s="6"/>
      <c r="BD58" s="7"/>
    </row>
    <row r="59" spans="5:56" x14ac:dyDescent="0.45">
      <c r="E59" s="6"/>
      <c r="F59" s="7"/>
      <c r="K59" t="str">
        <v>Guinea Pig</v>
      </c>
      <c r="L59" t="str">
        <v>Labrador</v>
      </c>
      <c r="M59">
        <v>5</v>
      </c>
      <c r="N59" s="6">
        <v>50</v>
      </c>
      <c r="O59" s="7">
        <v>45177</v>
      </c>
      <c r="P59" t="str">
        <v>Vancouver</v>
      </c>
      <c r="Q59" t="str">
        <v>Online Transfer</v>
      </c>
      <c r="AE59" t="str">
        <v>Labrador</v>
      </c>
      <c r="AF59" t="str">
        <v>Vancouver</v>
      </c>
      <c r="BC59" s="6"/>
      <c r="BD59" s="7"/>
    </row>
    <row r="60" spans="5:56" x14ac:dyDescent="0.45">
      <c r="E60" s="6"/>
      <c r="F60" s="7"/>
      <c r="K60" t="str">
        <v>Rabbit</v>
      </c>
      <c r="L60" t="str">
        <v>American</v>
      </c>
      <c r="M60">
        <v>4</v>
      </c>
      <c r="N60" s="6">
        <v>100</v>
      </c>
      <c r="O60" s="7">
        <v>45102</v>
      </c>
      <c r="P60" t="str">
        <v>Calgary</v>
      </c>
      <c r="Q60" t="str">
        <v>Credit Card</v>
      </c>
      <c r="AE60" t="str">
        <v>American</v>
      </c>
      <c r="AF60" t="str">
        <v>Calgary</v>
      </c>
      <c r="BC60" s="6"/>
      <c r="BD60" s="7"/>
    </row>
    <row r="61" spans="5:56" x14ac:dyDescent="0.45">
      <c r="E61" s="6"/>
      <c r="F61" s="7"/>
      <c r="K61" t="str">
        <v>Dog</v>
      </c>
      <c r="L61" t="str">
        <v>Holland Lop</v>
      </c>
      <c r="M61">
        <v>1</v>
      </c>
      <c r="N61" s="6">
        <v>200</v>
      </c>
      <c r="O61" s="7">
        <v>45380</v>
      </c>
      <c r="P61" t="str">
        <v>Calgary</v>
      </c>
      <c r="Q61" t="str">
        <v>Cash</v>
      </c>
      <c r="AE61" t="str">
        <v>Holland Lop</v>
      </c>
      <c r="AF61" t="str">
        <v>Calgary</v>
      </c>
      <c r="BC61" s="6"/>
      <c r="BD61" s="7"/>
    </row>
    <row r="62" spans="5:56" x14ac:dyDescent="0.45">
      <c r="E62" s="6"/>
      <c r="F62" s="7"/>
      <c r="K62" t="str">
        <v>Bird</v>
      </c>
      <c r="L62" t="str">
        <v>Holland Lop</v>
      </c>
      <c r="M62">
        <v>12</v>
      </c>
      <c r="N62" s="6">
        <v>50</v>
      </c>
      <c r="O62" s="7">
        <v>44963</v>
      </c>
      <c r="P62" t="str">
        <v>Vancouver</v>
      </c>
      <c r="Q62" t="str">
        <v>Credit Card</v>
      </c>
      <c r="AE62" t="str">
        <v>Holland Lop</v>
      </c>
      <c r="AF62" t="str">
        <v>Vancouver</v>
      </c>
      <c r="BC62" s="6"/>
      <c r="BD62" s="7"/>
    </row>
    <row r="63" spans="5:56" x14ac:dyDescent="0.45">
      <c r="E63" s="6"/>
      <c r="F63" s="7"/>
      <c r="K63" t="str">
        <v>Cat</v>
      </c>
      <c r="L63" t="str">
        <v>American</v>
      </c>
      <c r="M63">
        <v>13</v>
      </c>
      <c r="N63" s="6">
        <v>100</v>
      </c>
      <c r="O63" s="7">
        <v>45242</v>
      </c>
      <c r="P63" t="str">
        <v>Vancouver</v>
      </c>
      <c r="Q63" t="str">
        <v>Online Transfer</v>
      </c>
      <c r="AE63" t="str">
        <v>American</v>
      </c>
      <c r="AF63" t="str">
        <v>Vancouver</v>
      </c>
      <c r="BC63" s="6"/>
      <c r="BD63" s="7"/>
    </row>
    <row r="64" spans="5:56" x14ac:dyDescent="0.45">
      <c r="E64" s="6"/>
      <c r="F64" s="7"/>
      <c r="K64" t="str">
        <v>Bird</v>
      </c>
      <c r="L64" t="str">
        <v>Cockatiel</v>
      </c>
      <c r="M64">
        <v>10</v>
      </c>
      <c r="N64" s="6">
        <v>50</v>
      </c>
      <c r="O64" s="7">
        <v>45040</v>
      </c>
      <c r="P64" t="str">
        <v>Toronto</v>
      </c>
      <c r="Q64" t="str">
        <v>Credit Card</v>
      </c>
      <c r="AE64" t="str">
        <v>Cockatiel</v>
      </c>
      <c r="AF64" t="str">
        <v>Toronto</v>
      </c>
      <c r="BC64" s="6"/>
      <c r="BD64" s="7"/>
    </row>
    <row r="65" spans="5:56" x14ac:dyDescent="0.45">
      <c r="E65" s="6"/>
      <c r="F65" s="7"/>
      <c r="K65" t="str">
        <v>Cat</v>
      </c>
      <c r="L65" t="str">
        <v>Holland Lop</v>
      </c>
      <c r="M65">
        <v>10</v>
      </c>
      <c r="N65" s="6">
        <v>200</v>
      </c>
      <c r="O65" s="7">
        <v>44966</v>
      </c>
      <c r="P65" t="str">
        <v>Calgary</v>
      </c>
      <c r="Q65" t="str">
        <v>Online Transfer</v>
      </c>
      <c r="AE65" t="str">
        <v>Holland Lop</v>
      </c>
      <c r="AF65" t="str">
        <v>Calgary</v>
      </c>
      <c r="BC65" s="6"/>
      <c r="BD65" s="7"/>
    </row>
    <row r="66" spans="5:56" x14ac:dyDescent="0.45">
      <c r="E66" s="6"/>
      <c r="F66" s="7"/>
      <c r="K66" t="str">
        <v>Cat</v>
      </c>
      <c r="L66" t="str">
        <v>Labrador</v>
      </c>
      <c r="M66">
        <v>10</v>
      </c>
      <c r="N66" s="6">
        <v>200</v>
      </c>
      <c r="O66" s="7">
        <v>45227</v>
      </c>
      <c r="P66" t="str">
        <v>Montreal</v>
      </c>
      <c r="Q66" t="str">
        <v>Credit Card</v>
      </c>
      <c r="AE66" t="str">
        <v>Labrador</v>
      </c>
      <c r="AF66" t="str">
        <v>Montreal</v>
      </c>
      <c r="BC66" s="6"/>
      <c r="BD66" s="7"/>
    </row>
    <row r="67" spans="5:56" x14ac:dyDescent="0.45">
      <c r="E67" s="6"/>
      <c r="F67" s="7"/>
      <c r="K67" t="str">
        <v>Bird</v>
      </c>
      <c r="L67" t="str">
        <v>Labrador</v>
      </c>
      <c r="M67">
        <v>2</v>
      </c>
      <c r="N67" s="6">
        <v>75</v>
      </c>
      <c r="O67" s="7">
        <v>45150</v>
      </c>
      <c r="P67" t="str">
        <v>Vancouver</v>
      </c>
      <c r="Q67" t="str">
        <v>Cash</v>
      </c>
      <c r="AE67" t="str">
        <v>Labrador</v>
      </c>
      <c r="AF67" t="str">
        <v>Vancouver</v>
      </c>
      <c r="BC67" s="6"/>
      <c r="BD67" s="7"/>
    </row>
    <row r="68" spans="5:56" x14ac:dyDescent="0.45">
      <c r="E68" s="6"/>
      <c r="F68" s="7"/>
      <c r="K68" t="str">
        <v>Guinea Pig</v>
      </c>
      <c r="L68" t="str">
        <v>Siamese</v>
      </c>
      <c r="M68">
        <v>14</v>
      </c>
      <c r="N68" s="6">
        <v>150</v>
      </c>
      <c r="O68" s="7">
        <v>45244</v>
      </c>
      <c r="P68" t="str">
        <v>Vancouver</v>
      </c>
      <c r="Q68" t="str">
        <v>Cash</v>
      </c>
      <c r="AE68" t="str">
        <v>Siamese</v>
      </c>
      <c r="AF68" t="str">
        <v>Vancouver</v>
      </c>
      <c r="BC68" s="6"/>
      <c r="BD68" s="7"/>
    </row>
    <row r="69" spans="5:56" x14ac:dyDescent="0.45">
      <c r="E69" s="6"/>
      <c r="F69" s="7"/>
      <c r="K69" t="str">
        <v>Cat</v>
      </c>
      <c r="L69" t="str">
        <v>Holland Lop</v>
      </c>
      <c r="M69">
        <v>8</v>
      </c>
      <c r="N69" s="6">
        <v>50</v>
      </c>
      <c r="O69" s="7">
        <v>45275</v>
      </c>
      <c r="P69" t="str">
        <v>Ottawa</v>
      </c>
      <c r="Q69" t="str">
        <v>Credit Card</v>
      </c>
      <c r="AE69" t="str">
        <v>Holland Lop</v>
      </c>
      <c r="AF69" t="str">
        <v>Ottawa</v>
      </c>
      <c r="BC69" s="6"/>
      <c r="BD69" s="7"/>
    </row>
    <row r="70" spans="5:56" x14ac:dyDescent="0.45">
      <c r="E70" s="6"/>
      <c r="F70" s="7"/>
      <c r="K70" t="str">
        <v>Cat</v>
      </c>
      <c r="L70" t="str">
        <v>Cockatiel</v>
      </c>
      <c r="M70">
        <v>6</v>
      </c>
      <c r="N70" s="6">
        <v>50</v>
      </c>
      <c r="O70" s="7">
        <v>45041</v>
      </c>
      <c r="P70" t="str">
        <v>Montreal</v>
      </c>
      <c r="Q70" t="str">
        <v>Credit Card</v>
      </c>
      <c r="AE70" t="str">
        <v>Cockatiel</v>
      </c>
      <c r="AF70" t="str">
        <v>Montreal</v>
      </c>
      <c r="BC70" s="6"/>
      <c r="BD70" s="7"/>
    </row>
    <row r="71" spans="5:56" x14ac:dyDescent="0.45">
      <c r="E71" s="6"/>
      <c r="F71" s="7"/>
      <c r="K71" t="str">
        <v>Bird</v>
      </c>
      <c r="L71" t="str">
        <v>American</v>
      </c>
      <c r="M71">
        <v>6</v>
      </c>
      <c r="N71" s="6">
        <v>100</v>
      </c>
      <c r="O71" s="7">
        <v>45249</v>
      </c>
      <c r="P71" t="str">
        <v>Montreal</v>
      </c>
      <c r="Q71" t="str">
        <v>Cash</v>
      </c>
      <c r="AE71" t="str">
        <v>American</v>
      </c>
      <c r="AF71" t="str">
        <v>Montreal</v>
      </c>
      <c r="BC71" s="6"/>
      <c r="BD71" s="7"/>
    </row>
    <row r="72" spans="5:56" x14ac:dyDescent="0.45">
      <c r="E72" s="6"/>
      <c r="F72" s="7"/>
      <c r="K72" t="str">
        <v>Cat</v>
      </c>
      <c r="L72" t="str">
        <v>American</v>
      </c>
      <c r="M72">
        <v>14</v>
      </c>
      <c r="N72" s="6">
        <v>200</v>
      </c>
      <c r="O72" s="7">
        <v>44966</v>
      </c>
      <c r="P72" t="str">
        <v>Vancouver</v>
      </c>
      <c r="Q72" t="str">
        <v>Online Transfer</v>
      </c>
      <c r="AE72" t="str">
        <v>American</v>
      </c>
      <c r="AF72" t="str">
        <v>Vancouver</v>
      </c>
      <c r="BC72" s="6"/>
      <c r="BD72" s="7"/>
    </row>
    <row r="73" spans="5:56" x14ac:dyDescent="0.45">
      <c r="E73" s="6"/>
      <c r="F73" s="7"/>
      <c r="K73" t="str">
        <v>Cat</v>
      </c>
      <c r="L73" t="str">
        <v>Cockatiel</v>
      </c>
      <c r="M73">
        <v>10</v>
      </c>
      <c r="N73" s="6">
        <v>50</v>
      </c>
      <c r="O73" s="7">
        <v>44966</v>
      </c>
      <c r="P73" t="str">
        <v>Toronto</v>
      </c>
      <c r="Q73" t="str">
        <v>Cash</v>
      </c>
      <c r="AE73" t="str">
        <v>Cockatiel</v>
      </c>
      <c r="AF73" t="str">
        <v>Toronto</v>
      </c>
      <c r="BC73" s="6"/>
      <c r="BD73" s="7"/>
    </row>
    <row r="74" spans="5:56" x14ac:dyDescent="0.45">
      <c r="E74" s="6"/>
      <c r="F74" s="7"/>
      <c r="K74" t="str">
        <v>Bird</v>
      </c>
      <c r="L74" t="str">
        <v>Bulldog</v>
      </c>
      <c r="M74">
        <v>5</v>
      </c>
      <c r="N74" s="6">
        <v>200</v>
      </c>
      <c r="O74" s="7">
        <v>45215</v>
      </c>
      <c r="P74" t="str">
        <v>Ottawa</v>
      </c>
      <c r="Q74" t="str">
        <v>Online Transfer</v>
      </c>
      <c r="AE74" t="str">
        <v>Bulldog</v>
      </c>
      <c r="AF74" t="str">
        <v>Ottawa</v>
      </c>
      <c r="BC74" s="6"/>
      <c r="BD74" s="7"/>
    </row>
    <row r="75" spans="5:56" x14ac:dyDescent="0.45">
      <c r="E75" s="6"/>
      <c r="F75" s="7"/>
      <c r="K75" t="str">
        <v>Bird</v>
      </c>
      <c r="L75" t="str">
        <v>Persian</v>
      </c>
      <c r="M75">
        <v>7</v>
      </c>
      <c r="N75" s="6">
        <v>50</v>
      </c>
      <c r="O75" s="7">
        <v>45188</v>
      </c>
      <c r="P75" t="str">
        <v>Montreal</v>
      </c>
      <c r="Q75" t="str">
        <v>Credit Card</v>
      </c>
      <c r="AE75" t="str">
        <v>Persian</v>
      </c>
      <c r="AF75" t="str">
        <v>Montreal</v>
      </c>
      <c r="BC75" s="6"/>
      <c r="BD75" s="7"/>
    </row>
    <row r="76" spans="5:56" x14ac:dyDescent="0.45">
      <c r="E76" s="6"/>
      <c r="F76" s="7"/>
      <c r="K76" t="str">
        <v>Dog</v>
      </c>
      <c r="L76" t="str">
        <v>Siamese</v>
      </c>
      <c r="M76">
        <v>3</v>
      </c>
      <c r="N76" s="6">
        <v>75</v>
      </c>
      <c r="O76" s="7">
        <v>45142</v>
      </c>
      <c r="P76" t="str">
        <v>Vancouver</v>
      </c>
      <c r="Q76" t="str">
        <v>Credit Card</v>
      </c>
      <c r="AE76" t="str">
        <v>Siamese</v>
      </c>
      <c r="AF76" t="str">
        <v>Vancouver</v>
      </c>
      <c r="BC76" s="6"/>
      <c r="BD76" s="7"/>
    </row>
    <row r="77" spans="5:56" x14ac:dyDescent="0.45">
      <c r="E77" s="6"/>
      <c r="F77" s="7"/>
      <c r="K77" t="str">
        <v>Guinea Pig</v>
      </c>
      <c r="L77" t="str">
        <v>American</v>
      </c>
      <c r="M77">
        <v>7</v>
      </c>
      <c r="N77" s="6">
        <v>150</v>
      </c>
      <c r="O77" s="7">
        <v>45073</v>
      </c>
      <c r="P77" t="str">
        <v>Montreal</v>
      </c>
      <c r="Q77" t="str">
        <v>Online Transfer</v>
      </c>
      <c r="AE77" t="str">
        <v>American</v>
      </c>
      <c r="AF77" t="str">
        <v>Montreal</v>
      </c>
      <c r="BC77" s="6"/>
      <c r="BD77" s="7"/>
    </row>
    <row r="78" spans="5:56" x14ac:dyDescent="0.45">
      <c r="E78" s="6"/>
      <c r="F78" s="7"/>
      <c r="K78" t="str">
        <v>Guinea Pig</v>
      </c>
      <c r="L78" t="str">
        <v>Holland Lop</v>
      </c>
      <c r="M78">
        <v>3</v>
      </c>
      <c r="N78" s="6">
        <v>50</v>
      </c>
      <c r="O78" s="7">
        <v>45262</v>
      </c>
      <c r="P78" t="str">
        <v>Ottawa</v>
      </c>
      <c r="Q78" t="str">
        <v>Credit Card</v>
      </c>
      <c r="AE78" t="str">
        <v>Holland Lop</v>
      </c>
      <c r="AF78" t="str">
        <v>Ottawa</v>
      </c>
      <c r="BC78" s="6"/>
      <c r="BD78" s="7"/>
    </row>
    <row r="79" spans="5:56" x14ac:dyDescent="0.45">
      <c r="E79" s="6"/>
      <c r="F79" s="7"/>
      <c r="K79" t="str">
        <v>Cat</v>
      </c>
      <c r="L79" t="str">
        <v>Siamese</v>
      </c>
      <c r="M79">
        <v>7</v>
      </c>
      <c r="N79" s="6">
        <v>200</v>
      </c>
      <c r="O79" s="7">
        <v>45094</v>
      </c>
      <c r="P79" t="str">
        <v>Ottawa</v>
      </c>
      <c r="Q79" t="str">
        <v>Online Transfer</v>
      </c>
      <c r="AE79" t="str">
        <v>Siamese</v>
      </c>
      <c r="AF79" t="str">
        <v>Ottawa</v>
      </c>
      <c r="BC79" s="6"/>
      <c r="BD79" s="7"/>
    </row>
    <row r="80" spans="5:56" x14ac:dyDescent="0.45">
      <c r="E80" s="6"/>
      <c r="F80" s="7"/>
      <c r="K80" t="str">
        <v>Guinea Pig</v>
      </c>
      <c r="L80" t="str">
        <v>Holland Lop</v>
      </c>
      <c r="M80">
        <v>8</v>
      </c>
      <c r="N80" s="6">
        <v>75</v>
      </c>
      <c r="O80" s="7">
        <v>45018</v>
      </c>
      <c r="P80" t="str">
        <v>Calgary</v>
      </c>
      <c r="Q80" t="str">
        <v>Debit</v>
      </c>
      <c r="AE80" t="str">
        <v>Holland Lop</v>
      </c>
      <c r="AF80" t="str">
        <v>Calgary</v>
      </c>
      <c r="BC80" s="6"/>
      <c r="BD80" s="7"/>
    </row>
    <row r="81" spans="5:56" x14ac:dyDescent="0.45">
      <c r="E81" s="6"/>
      <c r="F81" s="7"/>
      <c r="K81" t="str">
        <v>Cat</v>
      </c>
      <c r="L81" t="str">
        <v>Bulldog</v>
      </c>
      <c r="M81">
        <v>2</v>
      </c>
      <c r="N81" s="6">
        <v>50</v>
      </c>
      <c r="O81" s="7">
        <v>45279</v>
      </c>
      <c r="P81" t="str">
        <v>Vancouver</v>
      </c>
      <c r="Q81" t="str">
        <v>Cash</v>
      </c>
      <c r="AE81" t="str">
        <v>Bulldog</v>
      </c>
      <c r="AF81" t="str">
        <v>Vancouver</v>
      </c>
      <c r="BC81" s="6"/>
      <c r="BD81" s="7"/>
    </row>
    <row r="82" spans="5:56" x14ac:dyDescent="0.45">
      <c r="E82" s="6"/>
      <c r="F82" s="7"/>
      <c r="K82" t="str">
        <v>Dog</v>
      </c>
      <c r="L82" t="str">
        <v>Labrador</v>
      </c>
      <c r="M82">
        <v>2</v>
      </c>
      <c r="N82" s="6">
        <v>100</v>
      </c>
      <c r="O82" s="7">
        <v>45289</v>
      </c>
      <c r="P82" t="str">
        <v>Ottawa</v>
      </c>
      <c r="Q82" t="str">
        <v>Debit</v>
      </c>
      <c r="AE82" t="str">
        <v>Labrador</v>
      </c>
      <c r="AF82" t="str">
        <v>Ottawa</v>
      </c>
      <c r="BC82" s="6"/>
      <c r="BD82" s="7"/>
    </row>
    <row r="83" spans="5:56" x14ac:dyDescent="0.45">
      <c r="E83" s="6"/>
      <c r="F83" s="7"/>
      <c r="K83" t="str">
        <v>Bird</v>
      </c>
      <c r="L83" t="str">
        <v>Siamese</v>
      </c>
      <c r="M83">
        <v>10</v>
      </c>
      <c r="N83" s="6">
        <v>150</v>
      </c>
      <c r="O83" s="7">
        <v>45271</v>
      </c>
      <c r="P83" t="str">
        <v>Calgary</v>
      </c>
      <c r="Q83" t="str">
        <v>Online Transfer</v>
      </c>
      <c r="AE83" t="str">
        <v>Siamese</v>
      </c>
      <c r="AF83" t="str">
        <v>Calgary</v>
      </c>
      <c r="BC83" s="6"/>
      <c r="BD83" s="7"/>
    </row>
    <row r="84" spans="5:56" x14ac:dyDescent="0.45">
      <c r="E84" s="6"/>
      <c r="F84" s="7"/>
      <c r="K84" t="str">
        <v>Bird</v>
      </c>
      <c r="L84" t="str">
        <v>American</v>
      </c>
      <c r="M84">
        <v>12</v>
      </c>
      <c r="N84" s="6">
        <v>50</v>
      </c>
      <c r="O84" s="7">
        <v>45096</v>
      </c>
      <c r="P84" t="str">
        <v>Calgary</v>
      </c>
      <c r="Q84" t="str">
        <v>Cash</v>
      </c>
      <c r="AE84" t="str">
        <v>American</v>
      </c>
      <c r="AF84" t="str">
        <v>Calgary</v>
      </c>
      <c r="BC84" s="6"/>
      <c r="BD84" s="7"/>
    </row>
    <row r="85" spans="5:56" x14ac:dyDescent="0.45">
      <c r="E85" s="6"/>
      <c r="F85" s="7"/>
      <c r="K85" t="str">
        <v>Bird</v>
      </c>
      <c r="L85" t="str">
        <v>Siamese</v>
      </c>
      <c r="M85">
        <v>1</v>
      </c>
      <c r="N85" s="6">
        <v>75</v>
      </c>
      <c r="O85" s="7">
        <v>45282</v>
      </c>
      <c r="P85" t="str">
        <v>Montreal</v>
      </c>
      <c r="Q85" t="str">
        <v>Online Transfer</v>
      </c>
      <c r="AE85" t="str">
        <v>Siamese</v>
      </c>
      <c r="AF85" t="str">
        <v>Montreal</v>
      </c>
      <c r="BC85" s="6"/>
      <c r="BD85" s="7"/>
    </row>
    <row r="86" spans="5:56" x14ac:dyDescent="0.45">
      <c r="E86" s="6"/>
      <c r="F86" s="7"/>
      <c r="K86" t="str">
        <v>Guinea Pig</v>
      </c>
      <c r="L86" t="str">
        <v>Siamese</v>
      </c>
      <c r="M86">
        <v>12</v>
      </c>
      <c r="N86" s="6">
        <v>100</v>
      </c>
      <c r="O86" s="7">
        <v>45117</v>
      </c>
      <c r="P86" t="str">
        <v>Montreal</v>
      </c>
      <c r="Q86" t="str">
        <v>Cash</v>
      </c>
      <c r="AE86" t="str">
        <v>Siamese</v>
      </c>
      <c r="AF86" t="str">
        <v>Montreal</v>
      </c>
      <c r="BC86" s="6"/>
      <c r="BD86" s="7"/>
    </row>
    <row r="87" spans="5:56" x14ac:dyDescent="0.45">
      <c r="E87" s="6"/>
      <c r="F87" s="7"/>
      <c r="K87" t="str">
        <v>Dog</v>
      </c>
      <c r="L87" t="str">
        <v>Siamese</v>
      </c>
      <c r="M87">
        <v>9</v>
      </c>
      <c r="N87" s="6">
        <v>75</v>
      </c>
      <c r="O87" s="7">
        <v>45348</v>
      </c>
      <c r="P87" t="str">
        <v>Calgary</v>
      </c>
      <c r="Q87" t="str">
        <v>Cash</v>
      </c>
      <c r="AE87" t="str">
        <v>Siamese</v>
      </c>
      <c r="AF87" t="str">
        <v>Calgary</v>
      </c>
      <c r="BC87" s="6"/>
      <c r="BD87" s="7"/>
    </row>
    <row r="88" spans="5:56" x14ac:dyDescent="0.45">
      <c r="E88" s="6"/>
      <c r="F88" s="7"/>
      <c r="K88" t="str">
        <v>Guinea Pig</v>
      </c>
      <c r="L88" t="str">
        <v>Persian</v>
      </c>
      <c r="M88">
        <v>2</v>
      </c>
      <c r="N88" s="6">
        <v>75</v>
      </c>
      <c r="O88" s="7">
        <v>44933</v>
      </c>
      <c r="P88" t="str">
        <v>Montreal</v>
      </c>
      <c r="Q88" t="str">
        <v>Cash</v>
      </c>
      <c r="AE88" t="str">
        <v>Persian</v>
      </c>
      <c r="AF88" t="str">
        <v>Montreal</v>
      </c>
      <c r="BC88" s="6"/>
      <c r="BD88" s="7"/>
    </row>
    <row r="89" spans="5:56" x14ac:dyDescent="0.45">
      <c r="E89" s="6"/>
      <c r="F89" s="7"/>
      <c r="K89" t="str">
        <v>Guinea Pig</v>
      </c>
      <c r="L89" t="str">
        <v>Siamese</v>
      </c>
      <c r="M89">
        <v>2</v>
      </c>
      <c r="N89" s="6">
        <v>100</v>
      </c>
      <c r="O89" s="7">
        <v>45059</v>
      </c>
      <c r="P89" t="str">
        <v>Ottawa</v>
      </c>
      <c r="Q89" t="str">
        <v>Cash</v>
      </c>
      <c r="AE89" t="str">
        <v>Siamese</v>
      </c>
      <c r="AF89" t="str">
        <v>Ottawa</v>
      </c>
      <c r="BC89" s="6"/>
      <c r="BD89" s="7"/>
    </row>
    <row r="90" spans="5:56" x14ac:dyDescent="0.45">
      <c r="E90" s="6"/>
      <c r="F90" s="7"/>
      <c r="K90" t="str">
        <v>Dog</v>
      </c>
      <c r="L90" t="str">
        <v>Holland Lop</v>
      </c>
      <c r="M90">
        <v>4</v>
      </c>
      <c r="N90" s="6">
        <v>75</v>
      </c>
      <c r="O90" s="7">
        <v>44957</v>
      </c>
      <c r="P90" t="str">
        <v>Toronto</v>
      </c>
      <c r="Q90" t="str">
        <v>Online Transfer</v>
      </c>
      <c r="AE90" t="str">
        <v>Holland Lop</v>
      </c>
      <c r="AF90" t="str">
        <v>Toronto</v>
      </c>
      <c r="BC90" s="6"/>
      <c r="BD90" s="7"/>
    </row>
    <row r="91" spans="5:56" x14ac:dyDescent="0.45">
      <c r="E91" s="6"/>
      <c r="F91" s="7"/>
      <c r="K91" t="str">
        <v>Dog</v>
      </c>
      <c r="L91" t="str">
        <v>Labrador</v>
      </c>
      <c r="M91">
        <v>4</v>
      </c>
      <c r="N91" s="6">
        <v>100</v>
      </c>
      <c r="O91" s="7">
        <v>45461</v>
      </c>
      <c r="P91" t="str">
        <v>Ottawa</v>
      </c>
      <c r="Q91" t="str">
        <v>Cash</v>
      </c>
      <c r="AE91" t="str">
        <v>Labrador</v>
      </c>
      <c r="AF91" t="str">
        <v>Ottawa</v>
      </c>
      <c r="BC91" s="6"/>
      <c r="BD91" s="7"/>
    </row>
    <row r="92" spans="5:56" x14ac:dyDescent="0.45">
      <c r="E92" s="6"/>
      <c r="F92" s="7"/>
      <c r="K92" t="str">
        <v>Dog</v>
      </c>
      <c r="L92" t="str">
        <v>Bulldog</v>
      </c>
      <c r="M92">
        <v>1</v>
      </c>
      <c r="N92" s="6">
        <v>50</v>
      </c>
      <c r="O92" s="7">
        <v>45352</v>
      </c>
      <c r="P92" t="str">
        <v>Calgary</v>
      </c>
      <c r="Q92" t="str">
        <v>Cash</v>
      </c>
      <c r="AE92" t="str">
        <v>Bulldog</v>
      </c>
      <c r="AF92" t="str">
        <v>Calgary</v>
      </c>
      <c r="BC92" s="6"/>
      <c r="BD92" s="7"/>
    </row>
    <row r="93" spans="5:56" x14ac:dyDescent="0.45">
      <c r="E93" s="6"/>
      <c r="F93" s="7"/>
      <c r="K93" t="str">
        <v>Dog</v>
      </c>
      <c r="L93" t="str">
        <v>Cockatiel</v>
      </c>
      <c r="M93">
        <v>11</v>
      </c>
      <c r="N93" s="6">
        <v>100</v>
      </c>
      <c r="O93" s="7">
        <v>45320</v>
      </c>
      <c r="P93" t="str">
        <v>Calgary</v>
      </c>
      <c r="Q93" t="str">
        <v>Debit</v>
      </c>
      <c r="AE93" t="str">
        <v>Cockatiel</v>
      </c>
      <c r="AF93" t="str">
        <v>Calgary</v>
      </c>
      <c r="BC93" s="6"/>
      <c r="BD93" s="7"/>
    </row>
    <row r="94" spans="5:56" x14ac:dyDescent="0.45">
      <c r="E94" s="6"/>
      <c r="F94" s="7"/>
      <c r="K94" t="str">
        <v>Bird</v>
      </c>
      <c r="L94" t="str">
        <v>Siamese</v>
      </c>
      <c r="M94">
        <v>9</v>
      </c>
      <c r="N94" s="6">
        <v>100</v>
      </c>
      <c r="O94" s="7">
        <v>45289</v>
      </c>
      <c r="P94" t="str">
        <v>Ottawa</v>
      </c>
      <c r="Q94" t="str">
        <v>Credit Card</v>
      </c>
      <c r="AE94" t="str">
        <v>Siamese</v>
      </c>
      <c r="AF94" t="str">
        <v>Ottawa</v>
      </c>
      <c r="BC94" s="6"/>
      <c r="BD94" s="7"/>
    </row>
    <row r="95" spans="5:56" x14ac:dyDescent="0.45">
      <c r="E95" s="6"/>
      <c r="F95" s="7"/>
      <c r="K95" t="str">
        <v>Rabbit</v>
      </c>
      <c r="L95" t="str">
        <v>American</v>
      </c>
      <c r="M95">
        <v>12</v>
      </c>
      <c r="N95" s="6">
        <v>150</v>
      </c>
      <c r="O95" s="7">
        <v>45363</v>
      </c>
      <c r="P95" t="str">
        <v>Montreal</v>
      </c>
      <c r="Q95" t="str">
        <v>Credit Card</v>
      </c>
      <c r="AE95" t="str">
        <v>American</v>
      </c>
      <c r="AF95" t="str">
        <v>Montreal</v>
      </c>
      <c r="BC95" s="6"/>
      <c r="BD95" s="7"/>
    </row>
    <row r="96" spans="5:56" x14ac:dyDescent="0.45">
      <c r="E96" s="6"/>
      <c r="F96" s="7"/>
      <c r="K96" t="str">
        <v>Rabbit</v>
      </c>
      <c r="L96" t="str">
        <v>Siamese</v>
      </c>
      <c r="M96">
        <v>5</v>
      </c>
      <c r="N96" s="6">
        <v>100</v>
      </c>
      <c r="O96" s="7">
        <v>45008</v>
      </c>
      <c r="P96" t="str">
        <v>Montreal</v>
      </c>
      <c r="Q96" t="str">
        <v>Debit</v>
      </c>
      <c r="AE96" t="str">
        <v>Siamese</v>
      </c>
      <c r="AF96" t="str">
        <v>Montreal</v>
      </c>
      <c r="BC96" s="6"/>
      <c r="BD96" s="7"/>
    </row>
    <row r="97" spans="5:56" x14ac:dyDescent="0.45">
      <c r="E97" s="6"/>
      <c r="F97" s="7"/>
      <c r="K97" t="str">
        <v>Dog</v>
      </c>
      <c r="L97" t="str">
        <v>American</v>
      </c>
      <c r="M97">
        <v>4</v>
      </c>
      <c r="N97" s="6">
        <v>100</v>
      </c>
      <c r="O97" s="7">
        <v>45282</v>
      </c>
      <c r="P97" t="str">
        <v>Calgary</v>
      </c>
      <c r="Q97" t="str">
        <v>Debit</v>
      </c>
      <c r="AE97" t="str">
        <v>American</v>
      </c>
      <c r="AF97" t="str">
        <v>Calgary</v>
      </c>
      <c r="BC97" s="6"/>
      <c r="BD97" s="7"/>
    </row>
    <row r="98" spans="5:56" x14ac:dyDescent="0.45">
      <c r="E98" s="6"/>
      <c r="F98" s="7"/>
      <c r="K98" t="str">
        <v>Rabbit</v>
      </c>
      <c r="L98" t="str">
        <v>Holland Lop</v>
      </c>
      <c r="M98">
        <v>5</v>
      </c>
      <c r="N98" s="6">
        <v>50</v>
      </c>
      <c r="O98" s="7">
        <v>45184</v>
      </c>
      <c r="P98" t="str">
        <v>Vancouver</v>
      </c>
      <c r="Q98" t="str">
        <v>Online Transfer</v>
      </c>
      <c r="AE98" t="str">
        <v>Holland Lop</v>
      </c>
      <c r="AF98" t="str">
        <v>Vancouver</v>
      </c>
      <c r="BC98" s="6"/>
      <c r="BD98" s="7"/>
    </row>
    <row r="99" spans="5:56" x14ac:dyDescent="0.45">
      <c r="E99" s="6"/>
      <c r="F99" s="7"/>
      <c r="K99" t="str">
        <v>Rabbit</v>
      </c>
      <c r="L99" t="str">
        <v>American</v>
      </c>
      <c r="M99">
        <v>0</v>
      </c>
      <c r="N99" s="6">
        <v>150</v>
      </c>
      <c r="O99" s="7">
        <v>45450</v>
      </c>
      <c r="P99" t="str">
        <v>Montreal</v>
      </c>
      <c r="Q99" t="str">
        <v>Online Transfer</v>
      </c>
      <c r="AE99" t="str">
        <v>American</v>
      </c>
      <c r="AF99" t="str">
        <v>Montreal</v>
      </c>
      <c r="BC99" s="6"/>
      <c r="BD99" s="7"/>
    </row>
    <row r="100" spans="5:56" x14ac:dyDescent="0.45">
      <c r="E100" s="6"/>
      <c r="F100" s="7"/>
      <c r="K100" t="str">
        <v>Dog</v>
      </c>
      <c r="L100" t="str">
        <v>Cockatiel</v>
      </c>
      <c r="M100">
        <v>4</v>
      </c>
      <c r="N100" s="6">
        <v>200</v>
      </c>
      <c r="O100" s="7">
        <v>45221</v>
      </c>
      <c r="P100" t="str">
        <v>Ottawa</v>
      </c>
      <c r="Q100" t="str">
        <v>Online Transfer</v>
      </c>
      <c r="AE100" t="str">
        <v>Cockatiel</v>
      </c>
      <c r="AF100" t="str">
        <v>Ottawa</v>
      </c>
      <c r="BC100" s="6"/>
      <c r="BD100" s="7"/>
    </row>
    <row r="101" spans="5:56" x14ac:dyDescent="0.45">
      <c r="E101" s="6"/>
      <c r="F101" s="7"/>
      <c r="K101" t="str">
        <v>Rabbit</v>
      </c>
      <c r="L101" t="str">
        <v>Labrador</v>
      </c>
      <c r="M101">
        <v>8</v>
      </c>
      <c r="N101" s="6">
        <v>50</v>
      </c>
      <c r="O101" s="7">
        <v>45150</v>
      </c>
      <c r="P101" t="str">
        <v>Montreal</v>
      </c>
      <c r="Q101" t="str">
        <v>Debit</v>
      </c>
      <c r="AE101" t="str">
        <v>Labrador</v>
      </c>
      <c r="AF101" t="str">
        <v>Montreal</v>
      </c>
      <c r="BC101" s="6"/>
      <c r="BD101" s="7"/>
    </row>
    <row r="102" spans="5:56" x14ac:dyDescent="0.45">
      <c r="E102" s="6"/>
      <c r="F102" s="7"/>
      <c r="K102" t="str">
        <v>Guinea Pig</v>
      </c>
      <c r="L102" t="str">
        <v>American</v>
      </c>
      <c r="M102">
        <v>11</v>
      </c>
      <c r="N102" s="6">
        <v>50</v>
      </c>
      <c r="O102" s="7">
        <v>45451</v>
      </c>
      <c r="P102" t="str">
        <v>Ottawa</v>
      </c>
      <c r="Q102" t="str">
        <v>Debit</v>
      </c>
      <c r="AE102" t="str">
        <v>American</v>
      </c>
      <c r="AF102" t="str">
        <v>Ottawa</v>
      </c>
      <c r="BC102" s="6"/>
      <c r="BD102" s="7"/>
    </row>
    <row r="103" spans="5:56" x14ac:dyDescent="0.45">
      <c r="E103" s="6"/>
      <c r="F103" s="7"/>
      <c r="K103" t="str">
        <v>Cat</v>
      </c>
      <c r="L103" t="str">
        <v>American</v>
      </c>
      <c r="M103">
        <v>9</v>
      </c>
      <c r="N103" s="6">
        <v>200</v>
      </c>
      <c r="O103" s="7">
        <v>44972</v>
      </c>
      <c r="P103" t="str">
        <v>Calgary</v>
      </c>
      <c r="Q103" t="str">
        <v>Cash</v>
      </c>
      <c r="AE103" t="str">
        <v>American</v>
      </c>
      <c r="AF103" t="str">
        <v>Calgary</v>
      </c>
      <c r="BC103" s="6"/>
      <c r="BD103" s="7"/>
    </row>
    <row r="104" spans="5:56" x14ac:dyDescent="0.45">
      <c r="E104" s="6"/>
      <c r="F104" s="7"/>
      <c r="K104" t="str">
        <v>Cat</v>
      </c>
      <c r="L104" t="str">
        <v>Labrador</v>
      </c>
      <c r="M104">
        <v>13</v>
      </c>
      <c r="N104" s="6">
        <v>100</v>
      </c>
      <c r="O104" s="7">
        <v>45039</v>
      </c>
      <c r="P104" t="str">
        <v>Montreal</v>
      </c>
      <c r="Q104" t="str">
        <v>Online Transfer</v>
      </c>
      <c r="AE104" t="str">
        <v>Labrador</v>
      </c>
      <c r="AF104" t="str">
        <v>Montreal</v>
      </c>
      <c r="BC104" s="6"/>
      <c r="BD104" s="7"/>
    </row>
    <row r="105" spans="5:56" x14ac:dyDescent="0.45">
      <c r="E105" s="6"/>
      <c r="F105" s="7"/>
      <c r="K105" t="str">
        <v>Dog</v>
      </c>
      <c r="L105" t="str">
        <v>Cockatiel</v>
      </c>
      <c r="M105">
        <v>1</v>
      </c>
      <c r="N105" s="6">
        <v>75</v>
      </c>
      <c r="O105" s="7">
        <v>45159</v>
      </c>
      <c r="P105" t="str">
        <v>Ottawa</v>
      </c>
      <c r="Q105" t="str">
        <v>Online Transfer</v>
      </c>
      <c r="AE105" t="str">
        <v>Cockatiel</v>
      </c>
      <c r="AF105" t="str">
        <v>Ottawa</v>
      </c>
      <c r="BC105" s="6"/>
      <c r="BD105" s="7"/>
    </row>
    <row r="106" spans="5:56" x14ac:dyDescent="0.45">
      <c r="E106" s="6"/>
      <c r="F106" s="7"/>
      <c r="K106" t="str">
        <v>Bird</v>
      </c>
      <c r="L106" t="str">
        <v>Siamese</v>
      </c>
      <c r="M106">
        <v>0</v>
      </c>
      <c r="N106" s="6">
        <v>150</v>
      </c>
      <c r="O106" s="7">
        <v>44943</v>
      </c>
      <c r="P106" t="str">
        <v>Calgary</v>
      </c>
      <c r="Q106" t="str">
        <v>Online Transfer</v>
      </c>
      <c r="AE106" t="str">
        <v>Siamese</v>
      </c>
      <c r="AF106" t="str">
        <v>Calgary</v>
      </c>
      <c r="BC106" s="6"/>
      <c r="BD106" s="7"/>
    </row>
    <row r="107" spans="5:56" x14ac:dyDescent="0.45">
      <c r="E107" s="6"/>
      <c r="F107" s="7"/>
      <c r="K107" t="str">
        <v>Dog</v>
      </c>
      <c r="L107" t="str">
        <v>American</v>
      </c>
      <c r="M107">
        <v>13</v>
      </c>
      <c r="N107" s="6">
        <v>75</v>
      </c>
      <c r="O107" s="7">
        <v>45286</v>
      </c>
      <c r="P107" t="str">
        <v>Vancouver</v>
      </c>
      <c r="Q107" t="str">
        <v>Credit Card</v>
      </c>
      <c r="AE107" t="str">
        <v>American</v>
      </c>
      <c r="AF107" t="str">
        <v>Vancouver</v>
      </c>
      <c r="BC107" s="6"/>
      <c r="BD107" s="7"/>
    </row>
    <row r="108" spans="5:56" x14ac:dyDescent="0.45">
      <c r="E108" s="6"/>
      <c r="F108" s="7"/>
      <c r="K108" t="str">
        <v>Bird</v>
      </c>
      <c r="L108" t="str">
        <v>Labrador</v>
      </c>
      <c r="M108">
        <v>9</v>
      </c>
      <c r="N108" s="6">
        <v>200</v>
      </c>
      <c r="O108" s="7">
        <v>45149</v>
      </c>
      <c r="P108" t="str">
        <v>Ottawa</v>
      </c>
      <c r="Q108" t="str">
        <v>Cash</v>
      </c>
      <c r="AE108" t="str">
        <v>Labrador</v>
      </c>
      <c r="AF108" t="str">
        <v>Ottawa</v>
      </c>
      <c r="BC108" s="6"/>
      <c r="BD108" s="7"/>
    </row>
    <row r="109" spans="5:56" x14ac:dyDescent="0.45">
      <c r="E109" s="6"/>
      <c r="F109" s="7"/>
      <c r="K109" t="str">
        <v>Cat</v>
      </c>
      <c r="L109" t="str">
        <v>Holland Lop</v>
      </c>
      <c r="M109">
        <v>12</v>
      </c>
      <c r="N109" s="6">
        <v>50</v>
      </c>
      <c r="O109" s="7">
        <v>45374</v>
      </c>
      <c r="P109" t="str">
        <v>Vancouver</v>
      </c>
      <c r="Q109" t="str">
        <v>Online Transfer</v>
      </c>
      <c r="AE109" t="str">
        <v>Holland Lop</v>
      </c>
      <c r="AF109" t="str">
        <v>Vancouver</v>
      </c>
      <c r="BC109" s="6"/>
      <c r="BD109" s="7"/>
    </row>
    <row r="110" spans="5:56" x14ac:dyDescent="0.45">
      <c r="E110" s="6"/>
      <c r="F110" s="7"/>
      <c r="K110" t="str">
        <v>Dog</v>
      </c>
      <c r="L110" t="str">
        <v>Labrador</v>
      </c>
      <c r="M110">
        <v>10</v>
      </c>
      <c r="N110" s="6">
        <v>50</v>
      </c>
      <c r="O110" s="7">
        <v>45291</v>
      </c>
      <c r="P110" t="str">
        <v>Vancouver</v>
      </c>
      <c r="Q110" t="str">
        <v>Online Transfer</v>
      </c>
      <c r="AE110" t="str">
        <v>Labrador</v>
      </c>
      <c r="AF110" t="str">
        <v>Vancouver</v>
      </c>
      <c r="BC110" s="6"/>
      <c r="BD110" s="7"/>
    </row>
    <row r="111" spans="5:56" x14ac:dyDescent="0.45">
      <c r="E111" s="6"/>
      <c r="F111" s="7"/>
      <c r="K111" t="str">
        <v>Guinea Pig</v>
      </c>
      <c r="L111" t="str">
        <v>Holland Lop</v>
      </c>
      <c r="M111">
        <v>8</v>
      </c>
      <c r="N111" s="6">
        <v>150</v>
      </c>
      <c r="O111" s="7">
        <v>45252</v>
      </c>
      <c r="P111" t="str">
        <v>Toronto</v>
      </c>
      <c r="Q111" t="str">
        <v>Online Transfer</v>
      </c>
      <c r="AE111" t="str">
        <v>Holland Lop</v>
      </c>
      <c r="AF111" t="str">
        <v>Toronto</v>
      </c>
      <c r="BC111" s="6"/>
      <c r="BD111" s="7"/>
    </row>
    <row r="112" spans="5:56" x14ac:dyDescent="0.45">
      <c r="E112" s="6"/>
      <c r="F112" s="7"/>
      <c r="K112" t="str">
        <v>Rabbit</v>
      </c>
      <c r="L112" t="str">
        <v>Cockatiel</v>
      </c>
      <c r="M112">
        <v>9</v>
      </c>
      <c r="N112" s="6">
        <v>50</v>
      </c>
      <c r="O112" s="7">
        <v>45393</v>
      </c>
      <c r="P112" t="str">
        <v>Montreal</v>
      </c>
      <c r="Q112" t="str">
        <v>Credit Card</v>
      </c>
      <c r="AE112" t="str">
        <v>Cockatiel</v>
      </c>
      <c r="AF112" t="str">
        <v>Montreal</v>
      </c>
      <c r="BC112" s="6"/>
      <c r="BD112" s="7"/>
    </row>
    <row r="113" spans="5:56" x14ac:dyDescent="0.45">
      <c r="E113" s="6"/>
      <c r="F113" s="7"/>
      <c r="K113" t="str">
        <v>Bird</v>
      </c>
      <c r="L113" t="str">
        <v>Siamese</v>
      </c>
      <c r="M113">
        <v>8</v>
      </c>
      <c r="N113" s="6">
        <v>50</v>
      </c>
      <c r="O113" s="7">
        <v>45340</v>
      </c>
      <c r="P113" t="str">
        <v>Ottawa</v>
      </c>
      <c r="Q113" t="str">
        <v>Credit Card</v>
      </c>
      <c r="AE113" t="str">
        <v>Siamese</v>
      </c>
      <c r="AF113" t="str">
        <v>Ottawa</v>
      </c>
      <c r="BC113" s="6"/>
      <c r="BD113" s="7"/>
    </row>
    <row r="114" spans="5:56" x14ac:dyDescent="0.45">
      <c r="E114" s="6"/>
      <c r="F114" s="7"/>
      <c r="K114" t="str">
        <v>Rabbit</v>
      </c>
      <c r="L114" t="str">
        <v>Labrador</v>
      </c>
      <c r="M114">
        <v>14</v>
      </c>
      <c r="N114" s="6">
        <v>150</v>
      </c>
      <c r="O114" s="7">
        <v>45381</v>
      </c>
      <c r="P114" t="str">
        <v>Vancouver</v>
      </c>
      <c r="Q114" t="str">
        <v>Debit</v>
      </c>
      <c r="AE114" t="str">
        <v>Labrador</v>
      </c>
      <c r="AF114" t="str">
        <v>Vancouver</v>
      </c>
      <c r="BC114" s="6"/>
      <c r="BD114" s="7"/>
    </row>
    <row r="115" spans="5:56" x14ac:dyDescent="0.45">
      <c r="E115" s="6"/>
      <c r="F115" s="7"/>
      <c r="K115" t="str">
        <v>Rabbit</v>
      </c>
      <c r="L115" t="str">
        <v>Bulldog</v>
      </c>
      <c r="M115">
        <v>8</v>
      </c>
      <c r="N115" s="6">
        <v>150</v>
      </c>
      <c r="O115" s="7">
        <v>45159</v>
      </c>
      <c r="P115" t="str">
        <v>Toronto</v>
      </c>
      <c r="Q115" t="str">
        <v>Cash</v>
      </c>
      <c r="AE115" t="str">
        <v>Bulldog</v>
      </c>
      <c r="AF115" t="str">
        <v>Toronto</v>
      </c>
      <c r="BC115" s="6"/>
      <c r="BD115" s="7"/>
    </row>
    <row r="116" spans="5:56" x14ac:dyDescent="0.45">
      <c r="E116" s="6"/>
      <c r="F116" s="7"/>
      <c r="K116" t="str">
        <v>Dog</v>
      </c>
      <c r="L116" t="str">
        <v>Bulldog</v>
      </c>
      <c r="M116">
        <v>5</v>
      </c>
      <c r="N116" s="6">
        <v>200</v>
      </c>
      <c r="O116" s="7">
        <v>45150</v>
      </c>
      <c r="P116" t="str">
        <v>Calgary</v>
      </c>
      <c r="Q116" t="str">
        <v>Debit</v>
      </c>
      <c r="AE116" t="str">
        <v>Bulldog</v>
      </c>
      <c r="AF116" t="str">
        <v>Calgary</v>
      </c>
      <c r="BC116" s="6"/>
      <c r="BD116" s="7"/>
    </row>
    <row r="117" spans="5:56" x14ac:dyDescent="0.45">
      <c r="E117" s="6"/>
      <c r="F117" s="7"/>
      <c r="K117" t="str">
        <v>Rabbit</v>
      </c>
      <c r="L117" t="str">
        <v>Persian</v>
      </c>
      <c r="M117">
        <v>14</v>
      </c>
      <c r="N117" s="6">
        <v>50</v>
      </c>
      <c r="O117" s="7">
        <v>45338</v>
      </c>
      <c r="P117" t="str">
        <v>Ottawa</v>
      </c>
      <c r="Q117" t="str">
        <v>Cash</v>
      </c>
      <c r="AE117" t="str">
        <v>Persian</v>
      </c>
      <c r="AF117" t="str">
        <v>Ottawa</v>
      </c>
      <c r="BC117" s="6"/>
      <c r="BD117" s="7"/>
    </row>
    <row r="118" spans="5:56" x14ac:dyDescent="0.45">
      <c r="E118" s="6"/>
      <c r="F118" s="7"/>
      <c r="K118" t="str">
        <v>Guinea Pig</v>
      </c>
      <c r="L118" t="str">
        <v>American</v>
      </c>
      <c r="M118">
        <v>7</v>
      </c>
      <c r="N118" s="6">
        <v>50</v>
      </c>
      <c r="O118" s="7">
        <v>45261</v>
      </c>
      <c r="P118" t="str">
        <v>Vancouver</v>
      </c>
      <c r="Q118" t="str">
        <v>Credit Card</v>
      </c>
      <c r="AE118" t="str">
        <v>American</v>
      </c>
      <c r="AF118" t="str">
        <v>Vancouver</v>
      </c>
      <c r="BC118" s="6"/>
      <c r="BD118" s="7"/>
    </row>
    <row r="119" spans="5:56" x14ac:dyDescent="0.45">
      <c r="E119" s="6"/>
      <c r="F119" s="7"/>
      <c r="K119" t="str">
        <v>Rabbit</v>
      </c>
      <c r="L119" t="str">
        <v>Cockatiel</v>
      </c>
      <c r="M119">
        <v>13</v>
      </c>
      <c r="N119" s="6">
        <v>200</v>
      </c>
      <c r="O119" s="7">
        <v>45148</v>
      </c>
      <c r="P119" t="str">
        <v>Montreal</v>
      </c>
      <c r="Q119" t="str">
        <v>Online Transfer</v>
      </c>
      <c r="AE119" t="str">
        <v>Cockatiel</v>
      </c>
      <c r="AF119" t="str">
        <v>Montreal</v>
      </c>
      <c r="BC119" s="6"/>
      <c r="BD119" s="7"/>
    </row>
    <row r="120" spans="5:56" x14ac:dyDescent="0.45">
      <c r="E120" s="6"/>
      <c r="F120" s="7"/>
      <c r="K120" t="str">
        <v>Dog</v>
      </c>
      <c r="L120" t="str">
        <v>Labrador</v>
      </c>
      <c r="M120">
        <v>10</v>
      </c>
      <c r="N120" s="6">
        <v>100</v>
      </c>
      <c r="O120" s="7">
        <v>44963</v>
      </c>
      <c r="P120" t="str">
        <v>Toronto</v>
      </c>
      <c r="Q120" t="str">
        <v>Debit</v>
      </c>
      <c r="AE120" t="str">
        <v>Labrador</v>
      </c>
      <c r="AF120" t="str">
        <v>Toronto</v>
      </c>
      <c r="BC120" s="6"/>
      <c r="BD120" s="7"/>
    </row>
    <row r="121" spans="5:56" x14ac:dyDescent="0.45">
      <c r="E121" s="6"/>
      <c r="F121" s="7"/>
      <c r="K121" t="str">
        <v>Guinea Pig</v>
      </c>
      <c r="L121" t="str">
        <v>Bulldog</v>
      </c>
      <c r="M121">
        <v>14</v>
      </c>
      <c r="N121" s="6">
        <v>100</v>
      </c>
      <c r="O121" s="7">
        <v>45204</v>
      </c>
      <c r="P121" t="str">
        <v>Vancouver</v>
      </c>
      <c r="Q121" t="str">
        <v>Online Transfer</v>
      </c>
      <c r="AE121" t="str">
        <v>Bulldog</v>
      </c>
      <c r="AF121" t="str">
        <v>Vancouver</v>
      </c>
      <c r="BC121" s="6"/>
      <c r="BD121" s="7"/>
    </row>
    <row r="122" spans="5:56" x14ac:dyDescent="0.45">
      <c r="E122" s="6"/>
      <c r="F122" s="7"/>
      <c r="K122" t="str">
        <v>Cat</v>
      </c>
      <c r="L122" t="str">
        <v>American</v>
      </c>
      <c r="M122">
        <v>12</v>
      </c>
      <c r="N122" s="6">
        <v>100</v>
      </c>
      <c r="O122" s="7">
        <v>45122</v>
      </c>
      <c r="P122" t="str">
        <v>Montreal</v>
      </c>
      <c r="Q122" t="str">
        <v>Debit</v>
      </c>
      <c r="AE122" t="str">
        <v>American</v>
      </c>
      <c r="AF122" t="str">
        <v>Montreal</v>
      </c>
      <c r="BC122" s="6"/>
      <c r="BD122" s="7"/>
    </row>
    <row r="123" spans="5:56" x14ac:dyDescent="0.45">
      <c r="E123" s="6"/>
      <c r="F123" s="7"/>
      <c r="K123" t="str">
        <v>Rabbit</v>
      </c>
      <c r="L123" t="str">
        <v>Bulldog</v>
      </c>
      <c r="M123">
        <v>0</v>
      </c>
      <c r="N123" s="6">
        <v>200</v>
      </c>
      <c r="O123" s="7">
        <v>45410</v>
      </c>
      <c r="P123" t="str">
        <v>Vancouver</v>
      </c>
      <c r="Q123" t="str">
        <v>Credit Card</v>
      </c>
      <c r="AE123" t="str">
        <v>Bulldog</v>
      </c>
      <c r="AF123" t="str">
        <v>Vancouver</v>
      </c>
      <c r="BC123" s="6"/>
      <c r="BD123" s="7"/>
    </row>
    <row r="124" spans="5:56" x14ac:dyDescent="0.45">
      <c r="E124" s="6"/>
      <c r="F124" s="7"/>
      <c r="K124" t="str">
        <v>Dog</v>
      </c>
      <c r="L124" t="str">
        <v>Labrador</v>
      </c>
      <c r="M124">
        <v>9</v>
      </c>
      <c r="N124" s="6">
        <v>50</v>
      </c>
      <c r="O124" s="7">
        <v>45168</v>
      </c>
      <c r="P124" t="str">
        <v>Ottawa</v>
      </c>
      <c r="Q124" t="str">
        <v>Credit Card</v>
      </c>
      <c r="AE124" t="str">
        <v>Labrador</v>
      </c>
      <c r="AF124" t="str">
        <v>Ottawa</v>
      </c>
      <c r="BC124" s="6"/>
      <c r="BD124" s="7"/>
    </row>
    <row r="125" spans="5:56" x14ac:dyDescent="0.45">
      <c r="E125" s="6"/>
      <c r="F125" s="7"/>
      <c r="K125" t="str">
        <v>Cat</v>
      </c>
      <c r="L125" t="str">
        <v>Holland Lop</v>
      </c>
      <c r="M125">
        <v>3</v>
      </c>
      <c r="N125" s="6">
        <v>200</v>
      </c>
      <c r="O125" s="7">
        <v>45250</v>
      </c>
      <c r="P125" t="str">
        <v>Ottawa</v>
      </c>
      <c r="Q125" t="str">
        <v>Credit Card</v>
      </c>
      <c r="AE125" t="str">
        <v>Holland Lop</v>
      </c>
      <c r="AF125" t="str">
        <v>Ottawa</v>
      </c>
      <c r="BC125" s="6"/>
      <c r="BD125" s="7"/>
    </row>
    <row r="126" spans="5:56" x14ac:dyDescent="0.45">
      <c r="E126" s="6"/>
      <c r="F126" s="7"/>
      <c r="K126" t="str">
        <v>Cat</v>
      </c>
      <c r="L126" t="str">
        <v>Labrador</v>
      </c>
      <c r="M126">
        <v>0</v>
      </c>
      <c r="N126" s="6">
        <v>200</v>
      </c>
      <c r="O126" s="7">
        <v>45118</v>
      </c>
      <c r="P126" t="str">
        <v>Ottawa</v>
      </c>
      <c r="Q126" t="str">
        <v>Debit</v>
      </c>
      <c r="AE126" t="str">
        <v>Labrador</v>
      </c>
      <c r="AF126" t="str">
        <v>Ottawa</v>
      </c>
      <c r="BC126" s="6"/>
      <c r="BD126" s="7"/>
    </row>
    <row r="127" spans="5:56" x14ac:dyDescent="0.45">
      <c r="E127" s="6"/>
      <c r="F127" s="7"/>
      <c r="K127" t="str">
        <v>Bird</v>
      </c>
      <c r="L127" t="str">
        <v>Persian</v>
      </c>
      <c r="M127">
        <v>7</v>
      </c>
      <c r="N127" s="6">
        <v>100</v>
      </c>
      <c r="O127" s="7">
        <v>44943</v>
      </c>
      <c r="P127" t="str">
        <v>Toronto</v>
      </c>
      <c r="Q127" t="str">
        <v>Cash</v>
      </c>
      <c r="AE127" t="str">
        <v>Persian</v>
      </c>
      <c r="AF127" t="str">
        <v>Toronto</v>
      </c>
      <c r="BC127" s="6"/>
      <c r="BD127" s="7"/>
    </row>
    <row r="128" spans="5:56" x14ac:dyDescent="0.45">
      <c r="E128" s="6"/>
      <c r="F128" s="7"/>
      <c r="K128" t="str">
        <v>Guinea Pig</v>
      </c>
      <c r="L128" t="str">
        <v>Labrador</v>
      </c>
      <c r="M128">
        <v>0</v>
      </c>
      <c r="N128" s="6">
        <v>75</v>
      </c>
      <c r="O128" s="7">
        <v>45450</v>
      </c>
      <c r="P128" t="str">
        <v>Ottawa</v>
      </c>
      <c r="Q128" t="str">
        <v>Debit</v>
      </c>
      <c r="AE128" t="str">
        <v>Labrador</v>
      </c>
      <c r="AF128" t="str">
        <v>Ottawa</v>
      </c>
      <c r="BC128" s="6"/>
      <c r="BD128" s="7"/>
    </row>
    <row r="129" spans="5:56" x14ac:dyDescent="0.45">
      <c r="E129" s="6"/>
      <c r="F129" s="7"/>
      <c r="K129" t="str">
        <v>Rabbit</v>
      </c>
      <c r="L129" t="str">
        <v>Labrador</v>
      </c>
      <c r="M129">
        <v>2</v>
      </c>
      <c r="N129" s="6">
        <v>50</v>
      </c>
      <c r="O129" s="7">
        <v>45327</v>
      </c>
      <c r="P129" t="str">
        <v>Montreal</v>
      </c>
      <c r="Q129" t="str">
        <v>Cash</v>
      </c>
      <c r="AE129" t="str">
        <v>Labrador</v>
      </c>
      <c r="AF129" t="str">
        <v>Montreal</v>
      </c>
      <c r="BC129" s="6"/>
      <c r="BD129" s="7"/>
    </row>
    <row r="130" spans="5:56" x14ac:dyDescent="0.45">
      <c r="E130" s="6"/>
      <c r="F130" s="7"/>
      <c r="K130" t="str">
        <v>Dog</v>
      </c>
      <c r="L130" t="str">
        <v>Persian</v>
      </c>
      <c r="M130">
        <v>12</v>
      </c>
      <c r="N130" s="6">
        <v>100</v>
      </c>
      <c r="O130" s="7">
        <v>44948</v>
      </c>
      <c r="P130" t="str">
        <v>Vancouver</v>
      </c>
      <c r="Q130" t="str">
        <v>Debit</v>
      </c>
      <c r="AE130" t="str">
        <v>Persian</v>
      </c>
      <c r="AF130" t="str">
        <v>Vancouver</v>
      </c>
      <c r="BC130" s="6"/>
      <c r="BD130" s="7"/>
    </row>
    <row r="131" spans="5:56" x14ac:dyDescent="0.45">
      <c r="E131" s="6"/>
      <c r="F131" s="7"/>
      <c r="K131" t="str">
        <v>Bird</v>
      </c>
      <c r="L131" t="str">
        <v>Cockatiel</v>
      </c>
      <c r="M131">
        <v>3</v>
      </c>
      <c r="N131" s="6">
        <v>75</v>
      </c>
      <c r="O131" s="7">
        <v>45400</v>
      </c>
      <c r="P131" t="str">
        <v>Calgary</v>
      </c>
      <c r="Q131" t="str">
        <v>Debit</v>
      </c>
      <c r="AE131" t="str">
        <v>Cockatiel</v>
      </c>
      <c r="AF131" t="str">
        <v>Calgary</v>
      </c>
      <c r="BC131" s="6"/>
      <c r="BD131" s="7"/>
    </row>
    <row r="132" spans="5:56" x14ac:dyDescent="0.45">
      <c r="E132" s="6"/>
      <c r="F132" s="7"/>
      <c r="K132" t="str">
        <v>Guinea Pig</v>
      </c>
      <c r="L132" t="str">
        <v>Labrador</v>
      </c>
      <c r="M132">
        <v>14</v>
      </c>
      <c r="N132" s="6">
        <v>75</v>
      </c>
      <c r="O132" s="7">
        <v>45046</v>
      </c>
      <c r="P132" t="str">
        <v>Montreal</v>
      </c>
      <c r="Q132" t="str">
        <v>Credit Card</v>
      </c>
      <c r="AE132" t="str">
        <v>Labrador</v>
      </c>
      <c r="AF132" t="str">
        <v>Montreal</v>
      </c>
      <c r="BC132" s="6"/>
      <c r="BD132" s="7"/>
    </row>
    <row r="133" spans="5:56" x14ac:dyDescent="0.45">
      <c r="E133" s="6"/>
      <c r="F133" s="7"/>
      <c r="K133" t="str">
        <v>Bird</v>
      </c>
      <c r="L133" t="str">
        <v>Persian</v>
      </c>
      <c r="M133">
        <v>14</v>
      </c>
      <c r="N133" s="6">
        <v>150</v>
      </c>
      <c r="O133" s="7">
        <v>45136</v>
      </c>
      <c r="P133" t="str">
        <v>Montreal</v>
      </c>
      <c r="Q133" t="str">
        <v>Online Transfer</v>
      </c>
      <c r="AE133" t="str">
        <v>Persian</v>
      </c>
      <c r="AF133" t="str">
        <v>Montreal</v>
      </c>
      <c r="BC133" s="6"/>
      <c r="BD133" s="7"/>
    </row>
    <row r="134" spans="5:56" x14ac:dyDescent="0.45">
      <c r="E134" s="6"/>
      <c r="F134" s="7"/>
      <c r="K134" t="str">
        <v>Guinea Pig</v>
      </c>
      <c r="L134" t="str">
        <v>American</v>
      </c>
      <c r="M134">
        <v>14</v>
      </c>
      <c r="N134" s="6">
        <v>50</v>
      </c>
      <c r="O134" s="7">
        <v>45232</v>
      </c>
      <c r="P134" t="str">
        <v>Ottawa</v>
      </c>
      <c r="Q134" t="str">
        <v>Online Transfer</v>
      </c>
      <c r="AE134" t="str">
        <v>American</v>
      </c>
      <c r="AF134" t="str">
        <v>Ottawa</v>
      </c>
      <c r="BC134" s="6"/>
      <c r="BD134" s="7"/>
    </row>
    <row r="135" spans="5:56" x14ac:dyDescent="0.45">
      <c r="E135" s="6"/>
      <c r="F135" s="7"/>
      <c r="K135" t="str">
        <v>Guinea Pig</v>
      </c>
      <c r="L135" t="str">
        <v>Holland Lop</v>
      </c>
      <c r="M135">
        <v>7</v>
      </c>
      <c r="N135" s="6">
        <v>75</v>
      </c>
      <c r="O135" s="7">
        <v>45196</v>
      </c>
      <c r="P135" t="str">
        <v>Toronto</v>
      </c>
      <c r="Q135" t="str">
        <v>Cash</v>
      </c>
      <c r="AE135" t="str">
        <v>Holland Lop</v>
      </c>
      <c r="AF135" t="str">
        <v>Toronto</v>
      </c>
      <c r="BC135" s="6"/>
      <c r="BD135" s="7"/>
    </row>
    <row r="136" spans="5:56" x14ac:dyDescent="0.45">
      <c r="E136" s="6"/>
      <c r="F136" s="7"/>
      <c r="K136" t="str">
        <v>Rabbit</v>
      </c>
      <c r="L136" t="str">
        <v>Holland Lop</v>
      </c>
      <c r="M136">
        <v>5</v>
      </c>
      <c r="N136" s="6">
        <v>100</v>
      </c>
      <c r="O136" s="7">
        <v>45211</v>
      </c>
      <c r="P136" t="str">
        <v>Vancouver</v>
      </c>
      <c r="Q136" t="str">
        <v>Online Transfer</v>
      </c>
      <c r="AE136" t="str">
        <v>Holland Lop</v>
      </c>
      <c r="AF136" t="str">
        <v>Vancouver</v>
      </c>
      <c r="BC136" s="6"/>
      <c r="BD136" s="7"/>
    </row>
    <row r="137" spans="5:56" x14ac:dyDescent="0.45">
      <c r="E137" s="6"/>
      <c r="F137" s="7"/>
      <c r="K137" t="str">
        <v>Guinea Pig</v>
      </c>
      <c r="L137" t="str">
        <v>Labrador</v>
      </c>
      <c r="M137">
        <v>13</v>
      </c>
      <c r="N137" s="6">
        <v>150</v>
      </c>
      <c r="O137" s="7">
        <v>45153</v>
      </c>
      <c r="P137" t="str">
        <v>Toronto</v>
      </c>
      <c r="Q137" t="str">
        <v>Debit</v>
      </c>
      <c r="AE137" t="str">
        <v>Labrador</v>
      </c>
      <c r="AF137" t="str">
        <v>Toronto</v>
      </c>
      <c r="BC137" s="6"/>
      <c r="BD137" s="7"/>
    </row>
    <row r="138" spans="5:56" x14ac:dyDescent="0.45">
      <c r="E138" s="6"/>
      <c r="F138" s="7"/>
      <c r="K138" t="str">
        <v>Bird</v>
      </c>
      <c r="L138" t="str">
        <v>Cockatiel</v>
      </c>
      <c r="M138">
        <v>9</v>
      </c>
      <c r="N138" s="6">
        <v>50</v>
      </c>
      <c r="O138" s="7">
        <v>45307</v>
      </c>
      <c r="P138" t="str">
        <v>Vancouver</v>
      </c>
      <c r="Q138" t="str">
        <v>Debit</v>
      </c>
      <c r="AE138" t="str">
        <v>Cockatiel</v>
      </c>
      <c r="AF138" t="str">
        <v>Vancouver</v>
      </c>
      <c r="BC138" s="6"/>
      <c r="BD138" s="7"/>
    </row>
    <row r="139" spans="5:56" x14ac:dyDescent="0.45">
      <c r="E139" s="6"/>
      <c r="F139" s="7"/>
      <c r="K139" t="str">
        <v>Guinea Pig</v>
      </c>
      <c r="L139" t="str">
        <v>Cockatiel</v>
      </c>
      <c r="M139">
        <v>11</v>
      </c>
      <c r="N139" s="6">
        <v>200</v>
      </c>
      <c r="O139" s="7">
        <v>45386</v>
      </c>
      <c r="P139" t="str">
        <v>Vancouver</v>
      </c>
      <c r="Q139" t="str">
        <v>Credit Card</v>
      </c>
      <c r="AE139" t="str">
        <v>Cockatiel</v>
      </c>
      <c r="AF139" t="str">
        <v>Vancouver</v>
      </c>
      <c r="BC139" s="6"/>
      <c r="BD139" s="7"/>
    </row>
    <row r="140" spans="5:56" x14ac:dyDescent="0.45">
      <c r="E140" s="6"/>
      <c r="F140" s="7"/>
      <c r="K140" t="str">
        <v>Rabbit</v>
      </c>
      <c r="L140" t="str">
        <v>American</v>
      </c>
      <c r="M140">
        <v>6</v>
      </c>
      <c r="N140" s="6">
        <v>100</v>
      </c>
      <c r="O140" s="7">
        <v>44933</v>
      </c>
      <c r="P140" t="str">
        <v>Toronto</v>
      </c>
      <c r="Q140" t="str">
        <v>Credit Card</v>
      </c>
      <c r="AE140" t="str">
        <v>American</v>
      </c>
      <c r="AF140" t="str">
        <v>Toronto</v>
      </c>
      <c r="BC140" s="6"/>
      <c r="BD140" s="7"/>
    </row>
    <row r="141" spans="5:56" x14ac:dyDescent="0.45">
      <c r="E141" s="6"/>
      <c r="F141" s="7"/>
      <c r="K141" t="str">
        <v>Rabbit</v>
      </c>
      <c r="L141" t="str">
        <v>Labrador</v>
      </c>
      <c r="M141">
        <v>13</v>
      </c>
      <c r="N141" s="6">
        <v>75</v>
      </c>
      <c r="O141" s="7">
        <v>44955</v>
      </c>
      <c r="P141" t="str">
        <v>Montreal</v>
      </c>
      <c r="Q141" t="str">
        <v>Online Transfer</v>
      </c>
      <c r="AE141" t="str">
        <v>Labrador</v>
      </c>
      <c r="AF141" t="str">
        <v>Montreal</v>
      </c>
      <c r="BC141" s="6"/>
      <c r="BD141" s="7"/>
    </row>
    <row r="142" spans="5:56" x14ac:dyDescent="0.45">
      <c r="E142" s="6"/>
      <c r="F142" s="7"/>
      <c r="K142" t="str">
        <v>Bird</v>
      </c>
      <c r="L142" t="str">
        <v>Holland Lop</v>
      </c>
      <c r="M142">
        <v>7</v>
      </c>
      <c r="N142" s="6">
        <v>75</v>
      </c>
      <c r="O142" s="7">
        <v>44959</v>
      </c>
      <c r="P142" t="str">
        <v>Vancouver</v>
      </c>
      <c r="Q142" t="str">
        <v>Cash</v>
      </c>
      <c r="AE142" t="str">
        <v>Holland Lop</v>
      </c>
      <c r="AF142" t="str">
        <v>Vancouver</v>
      </c>
      <c r="BC142" s="6"/>
      <c r="BD142" s="7"/>
    </row>
    <row r="143" spans="5:56" x14ac:dyDescent="0.45">
      <c r="E143" s="6"/>
      <c r="F143" s="7"/>
      <c r="K143" t="str">
        <v>Cat</v>
      </c>
      <c r="L143" t="str">
        <v>Cockatiel</v>
      </c>
      <c r="M143">
        <v>1</v>
      </c>
      <c r="N143" s="6">
        <v>100</v>
      </c>
      <c r="O143" s="7">
        <v>45005</v>
      </c>
      <c r="P143" t="str">
        <v>Toronto</v>
      </c>
      <c r="Q143" t="str">
        <v>Online Transfer</v>
      </c>
      <c r="AE143" t="str">
        <v>Cockatiel</v>
      </c>
      <c r="AF143" t="str">
        <v>Toronto</v>
      </c>
      <c r="BC143" s="6"/>
      <c r="BD143" s="7"/>
    </row>
    <row r="144" spans="5:56" x14ac:dyDescent="0.45">
      <c r="E144" s="6"/>
      <c r="F144" s="7"/>
      <c r="K144" t="str">
        <v>Cat</v>
      </c>
      <c r="L144" t="str">
        <v>Labrador</v>
      </c>
      <c r="M144">
        <v>12</v>
      </c>
      <c r="N144" s="6">
        <v>75</v>
      </c>
      <c r="O144" s="7">
        <v>45385</v>
      </c>
      <c r="P144" t="str">
        <v>Vancouver</v>
      </c>
      <c r="Q144" t="str">
        <v>Online Transfer</v>
      </c>
      <c r="AE144" t="str">
        <v>Labrador</v>
      </c>
      <c r="AF144" t="str">
        <v>Vancouver</v>
      </c>
      <c r="BC144" s="6"/>
      <c r="BD144" s="7"/>
    </row>
    <row r="145" spans="5:56" x14ac:dyDescent="0.45">
      <c r="E145" s="6"/>
      <c r="F145" s="7"/>
      <c r="K145" t="str">
        <v>Guinea Pig</v>
      </c>
      <c r="L145" t="str">
        <v>Bulldog</v>
      </c>
      <c r="M145">
        <v>9</v>
      </c>
      <c r="N145" s="6">
        <v>150</v>
      </c>
      <c r="O145" s="7">
        <v>45464</v>
      </c>
      <c r="P145" t="str">
        <v>Calgary</v>
      </c>
      <c r="Q145" t="str">
        <v>Online Transfer</v>
      </c>
      <c r="AE145" t="str">
        <v>Bulldog</v>
      </c>
      <c r="AF145" t="str">
        <v>Calgary</v>
      </c>
      <c r="BC145" s="6"/>
      <c r="BD145" s="7"/>
    </row>
    <row r="146" spans="5:56" x14ac:dyDescent="0.45">
      <c r="E146" s="6"/>
      <c r="F146" s="7"/>
      <c r="K146" t="str">
        <v>Dog</v>
      </c>
      <c r="L146" t="str">
        <v>Cockatiel</v>
      </c>
      <c r="M146">
        <v>13</v>
      </c>
      <c r="N146" s="6">
        <v>50</v>
      </c>
      <c r="O146" s="7">
        <v>45408</v>
      </c>
      <c r="P146" t="str">
        <v>Montreal</v>
      </c>
      <c r="Q146" t="str">
        <v>Online Transfer</v>
      </c>
      <c r="AE146" t="str">
        <v>Cockatiel</v>
      </c>
      <c r="AF146" t="str">
        <v>Montreal</v>
      </c>
      <c r="BC146" s="6"/>
      <c r="BD146" s="7"/>
    </row>
    <row r="147" spans="5:56" x14ac:dyDescent="0.45">
      <c r="E147" s="6"/>
      <c r="F147" s="7"/>
      <c r="K147" t="str">
        <v>Guinea Pig</v>
      </c>
      <c r="L147" t="str">
        <v>Persian</v>
      </c>
      <c r="M147">
        <v>10</v>
      </c>
      <c r="N147" s="6">
        <v>150</v>
      </c>
      <c r="O147" s="7">
        <v>45356</v>
      </c>
      <c r="P147" t="str">
        <v>Ottawa</v>
      </c>
      <c r="Q147" t="str">
        <v>Debit</v>
      </c>
      <c r="AE147" t="str">
        <v>Persian</v>
      </c>
      <c r="AF147" t="str">
        <v>Ottawa</v>
      </c>
      <c r="BC147" s="6"/>
      <c r="BD147" s="7"/>
    </row>
    <row r="148" spans="5:56" x14ac:dyDescent="0.45">
      <c r="E148" s="6"/>
      <c r="F148" s="7"/>
      <c r="K148" t="str">
        <v>Bird</v>
      </c>
      <c r="L148" t="str">
        <v>Bulldog</v>
      </c>
      <c r="M148">
        <v>7</v>
      </c>
      <c r="N148" s="6">
        <v>75</v>
      </c>
      <c r="O148" s="7">
        <v>45211</v>
      </c>
      <c r="P148" t="str">
        <v>Vancouver</v>
      </c>
      <c r="Q148" t="str">
        <v>Cash</v>
      </c>
      <c r="AE148" t="str">
        <v>Bulldog</v>
      </c>
      <c r="AF148" t="str">
        <v>Vancouver</v>
      </c>
      <c r="BC148" s="6"/>
      <c r="BD148" s="7"/>
    </row>
    <row r="149" spans="5:56" x14ac:dyDescent="0.45">
      <c r="E149" s="6"/>
      <c r="F149" s="7"/>
      <c r="K149" t="str">
        <v>Bird</v>
      </c>
      <c r="L149" t="str">
        <v>Cockatiel</v>
      </c>
      <c r="M149">
        <v>2</v>
      </c>
      <c r="N149" s="6">
        <v>200</v>
      </c>
      <c r="O149" s="7">
        <v>45442</v>
      </c>
      <c r="P149" t="str">
        <v>Calgary</v>
      </c>
      <c r="Q149" t="str">
        <v>Debit</v>
      </c>
      <c r="AE149" t="str">
        <v>Cockatiel</v>
      </c>
      <c r="AF149" t="str">
        <v>Calgary</v>
      </c>
      <c r="BC149" s="6"/>
      <c r="BD149" s="7"/>
    </row>
    <row r="150" spans="5:56" x14ac:dyDescent="0.45">
      <c r="E150" s="6"/>
      <c r="F150" s="7"/>
      <c r="K150" t="str">
        <v>Bird</v>
      </c>
      <c r="L150" t="str">
        <v>Holland Lop</v>
      </c>
      <c r="M150">
        <v>6</v>
      </c>
      <c r="N150" s="6">
        <v>50</v>
      </c>
      <c r="O150" s="7">
        <v>45025</v>
      </c>
      <c r="P150" t="str">
        <v>Ottawa</v>
      </c>
      <c r="Q150" t="str">
        <v>Cash</v>
      </c>
      <c r="AE150" t="str">
        <v>Holland Lop</v>
      </c>
      <c r="AF150" t="str">
        <v>Ottawa</v>
      </c>
      <c r="BC150" s="6"/>
      <c r="BD150" s="7"/>
    </row>
    <row r="151" spans="5:56" x14ac:dyDescent="0.45">
      <c r="E151" s="6"/>
      <c r="F151" s="7"/>
      <c r="K151" t="str">
        <v>Bird</v>
      </c>
      <c r="L151" t="str">
        <v>Siamese</v>
      </c>
      <c r="M151">
        <v>2</v>
      </c>
      <c r="N151" s="6">
        <v>50</v>
      </c>
      <c r="O151" s="7">
        <v>45323</v>
      </c>
      <c r="P151" t="str">
        <v>Ottawa</v>
      </c>
      <c r="Q151" t="str">
        <v>Credit Card</v>
      </c>
      <c r="AE151" t="str">
        <v>Siamese</v>
      </c>
      <c r="AF151" t="str">
        <v>Ottawa</v>
      </c>
      <c r="BC151" s="6"/>
      <c r="BD151" s="7"/>
    </row>
    <row r="152" spans="5:56" x14ac:dyDescent="0.45">
      <c r="E152" s="6"/>
      <c r="F152" s="7"/>
      <c r="K152" t="str">
        <v>Bird</v>
      </c>
      <c r="L152" t="str">
        <v>Bulldog</v>
      </c>
      <c r="M152">
        <v>14</v>
      </c>
      <c r="N152" s="6">
        <v>100</v>
      </c>
      <c r="O152" s="7">
        <v>45415</v>
      </c>
      <c r="P152" t="str">
        <v>Vancouver</v>
      </c>
      <c r="Q152" t="str">
        <v>Online Transfer</v>
      </c>
      <c r="AE152" t="str">
        <v>Bulldog</v>
      </c>
      <c r="AF152" t="str">
        <v>Vancouver</v>
      </c>
      <c r="BC152" s="6"/>
      <c r="BD152" s="7"/>
    </row>
    <row r="153" spans="5:56" x14ac:dyDescent="0.45">
      <c r="E153" s="6"/>
      <c r="F153" s="7"/>
      <c r="K153" t="str">
        <v>Rabbit</v>
      </c>
      <c r="L153" t="str">
        <v>American</v>
      </c>
      <c r="M153">
        <v>6</v>
      </c>
      <c r="N153" s="6">
        <v>100</v>
      </c>
      <c r="O153" s="7">
        <v>44965</v>
      </c>
      <c r="P153" t="str">
        <v>Toronto</v>
      </c>
      <c r="Q153" t="str">
        <v>Debit</v>
      </c>
      <c r="AE153" t="str">
        <v>American</v>
      </c>
      <c r="AF153" t="str">
        <v>Toronto</v>
      </c>
      <c r="BC153" s="6"/>
      <c r="BD153" s="7"/>
    </row>
    <row r="154" spans="5:56" x14ac:dyDescent="0.45">
      <c r="E154" s="6"/>
      <c r="F154" s="7"/>
      <c r="K154" t="str">
        <v>Cat</v>
      </c>
      <c r="L154" t="str">
        <v>American</v>
      </c>
      <c r="M154">
        <v>13</v>
      </c>
      <c r="N154" s="6">
        <v>200</v>
      </c>
      <c r="O154" s="7">
        <v>45197</v>
      </c>
      <c r="P154" t="str">
        <v>Vancouver</v>
      </c>
      <c r="Q154" t="str">
        <v>Cash</v>
      </c>
      <c r="AE154" t="str">
        <v>American</v>
      </c>
      <c r="AF154" t="str">
        <v>Vancouver</v>
      </c>
      <c r="BC154" s="6"/>
      <c r="BD154" s="7"/>
    </row>
    <row r="155" spans="5:56" x14ac:dyDescent="0.45">
      <c r="E155" s="6"/>
      <c r="F155" s="7"/>
      <c r="K155" t="str">
        <v>Bird</v>
      </c>
      <c r="L155" t="str">
        <v>Holland Lop</v>
      </c>
      <c r="M155">
        <v>10</v>
      </c>
      <c r="N155" s="6">
        <v>50</v>
      </c>
      <c r="O155" s="7">
        <v>45083</v>
      </c>
      <c r="P155" t="str">
        <v>Calgary</v>
      </c>
      <c r="Q155" t="str">
        <v>Credit Card</v>
      </c>
      <c r="AE155" t="str">
        <v>Holland Lop</v>
      </c>
      <c r="AF155" t="str">
        <v>Calgary</v>
      </c>
      <c r="BC155" s="6"/>
      <c r="BD155" s="7"/>
    </row>
    <row r="156" spans="5:56" x14ac:dyDescent="0.45">
      <c r="E156" s="6"/>
      <c r="F156" s="7"/>
      <c r="K156" t="str">
        <v>Dog</v>
      </c>
      <c r="L156" t="str">
        <v>Cockatiel</v>
      </c>
      <c r="M156">
        <v>14</v>
      </c>
      <c r="N156" s="6">
        <v>200</v>
      </c>
      <c r="O156" s="7">
        <v>45001</v>
      </c>
      <c r="P156" t="str">
        <v>Ottawa</v>
      </c>
      <c r="Q156" t="str">
        <v>Credit Card</v>
      </c>
      <c r="AE156" t="str">
        <v>Cockatiel</v>
      </c>
      <c r="AF156" t="str">
        <v>Ottawa</v>
      </c>
      <c r="BC156" s="6"/>
      <c r="BD156" s="7"/>
    </row>
    <row r="157" spans="5:56" x14ac:dyDescent="0.45">
      <c r="E157" s="6"/>
      <c r="F157" s="7"/>
      <c r="K157" t="str">
        <v>Dog</v>
      </c>
      <c r="L157" t="str">
        <v>Labrador</v>
      </c>
      <c r="M157">
        <v>11</v>
      </c>
      <c r="N157" s="6">
        <v>100</v>
      </c>
      <c r="O157" s="7">
        <v>45056</v>
      </c>
      <c r="P157" t="str">
        <v>Vancouver</v>
      </c>
      <c r="Q157" t="str">
        <v>Online Transfer</v>
      </c>
      <c r="AE157" t="str">
        <v>Labrador</v>
      </c>
      <c r="AF157" t="str">
        <v>Vancouver</v>
      </c>
      <c r="BC157" s="6"/>
      <c r="BD157" s="7"/>
    </row>
    <row r="158" spans="5:56" x14ac:dyDescent="0.45">
      <c r="E158" s="6"/>
      <c r="F158" s="7"/>
      <c r="K158" t="str">
        <v>Dog</v>
      </c>
      <c r="L158" t="str">
        <v>Cockatiel</v>
      </c>
      <c r="M158">
        <v>12</v>
      </c>
      <c r="N158" s="6">
        <v>100</v>
      </c>
      <c r="O158" s="7">
        <v>45010</v>
      </c>
      <c r="P158" t="str">
        <v>Toronto</v>
      </c>
      <c r="Q158" t="str">
        <v>Cash</v>
      </c>
      <c r="AE158" t="str">
        <v>Cockatiel</v>
      </c>
      <c r="AF158" t="str">
        <v>Toronto</v>
      </c>
      <c r="BC158" s="6"/>
      <c r="BD158" s="7"/>
    </row>
    <row r="159" spans="5:56" x14ac:dyDescent="0.45">
      <c r="E159" s="6"/>
      <c r="F159" s="7"/>
      <c r="K159" t="str">
        <v>Dog</v>
      </c>
      <c r="L159" t="str">
        <v>Holland Lop</v>
      </c>
      <c r="M159">
        <v>1</v>
      </c>
      <c r="N159" s="6">
        <v>50</v>
      </c>
      <c r="O159" s="7">
        <v>44948</v>
      </c>
      <c r="P159" t="str">
        <v>Vancouver</v>
      </c>
      <c r="Q159" t="str">
        <v>Debit</v>
      </c>
      <c r="AE159" t="str">
        <v>Holland Lop</v>
      </c>
      <c r="AF159" t="str">
        <v>Vancouver</v>
      </c>
      <c r="BC159" s="6"/>
      <c r="BD159" s="7"/>
    </row>
    <row r="160" spans="5:56" x14ac:dyDescent="0.45">
      <c r="E160" s="6"/>
      <c r="F160" s="7"/>
      <c r="K160" t="str">
        <v>Rabbit</v>
      </c>
      <c r="L160" t="str">
        <v>American</v>
      </c>
      <c r="M160">
        <v>9</v>
      </c>
      <c r="N160" s="6">
        <v>150</v>
      </c>
      <c r="O160" s="7">
        <v>45385</v>
      </c>
      <c r="P160" t="str">
        <v>Montreal</v>
      </c>
      <c r="Q160" t="str">
        <v>Online Transfer</v>
      </c>
      <c r="AE160" t="str">
        <v>American</v>
      </c>
      <c r="AF160" t="str">
        <v>Montreal</v>
      </c>
      <c r="BC160" s="6"/>
      <c r="BD160" s="7"/>
    </row>
    <row r="161" spans="5:56" x14ac:dyDescent="0.45">
      <c r="E161" s="6"/>
      <c r="F161" s="7"/>
      <c r="K161" t="str">
        <v>Dog</v>
      </c>
      <c r="L161" t="str">
        <v>Cockatiel</v>
      </c>
      <c r="M161">
        <v>5</v>
      </c>
      <c r="N161" s="6">
        <v>75</v>
      </c>
      <c r="O161" s="7">
        <v>45465</v>
      </c>
      <c r="P161" t="str">
        <v>Toronto</v>
      </c>
      <c r="Q161" t="str">
        <v>Debit</v>
      </c>
      <c r="AE161" t="str">
        <v>Cockatiel</v>
      </c>
      <c r="AF161" t="str">
        <v>Toronto</v>
      </c>
      <c r="BC161" s="6"/>
      <c r="BD161" s="7"/>
    </row>
    <row r="162" spans="5:56" x14ac:dyDescent="0.45">
      <c r="E162" s="6"/>
      <c r="F162" s="7"/>
      <c r="K162" t="str">
        <v>Bird</v>
      </c>
      <c r="L162" t="str">
        <v>American</v>
      </c>
      <c r="M162">
        <v>2</v>
      </c>
      <c r="N162" s="6">
        <v>100</v>
      </c>
      <c r="O162" s="7">
        <v>45308</v>
      </c>
      <c r="P162" t="str">
        <v>Calgary</v>
      </c>
      <c r="Q162" t="str">
        <v>Credit Card</v>
      </c>
      <c r="AE162" t="str">
        <v>American</v>
      </c>
      <c r="AF162" t="str">
        <v>Calgary</v>
      </c>
      <c r="BC162" s="6"/>
      <c r="BD162" s="7"/>
    </row>
    <row r="163" spans="5:56" x14ac:dyDescent="0.45">
      <c r="E163" s="6"/>
      <c r="F163" s="7"/>
      <c r="K163" t="str">
        <v>Guinea Pig</v>
      </c>
      <c r="L163" t="str">
        <v>Bulldog</v>
      </c>
      <c r="M163">
        <v>2</v>
      </c>
      <c r="N163" s="6">
        <v>100</v>
      </c>
      <c r="O163" s="7">
        <v>45366</v>
      </c>
      <c r="P163" t="str">
        <v>Ottawa</v>
      </c>
      <c r="Q163" t="str">
        <v>Debit</v>
      </c>
      <c r="AE163" t="str">
        <v>Bulldog</v>
      </c>
      <c r="AF163" t="str">
        <v>Ottawa</v>
      </c>
      <c r="BC163" s="6"/>
      <c r="BD163" s="7"/>
    </row>
    <row r="164" spans="5:56" x14ac:dyDescent="0.45">
      <c r="E164" s="6"/>
      <c r="F164" s="7"/>
      <c r="K164" t="str">
        <v>Dog</v>
      </c>
      <c r="L164" t="str">
        <v>Labrador</v>
      </c>
      <c r="M164">
        <v>14</v>
      </c>
      <c r="N164" s="6">
        <v>150</v>
      </c>
      <c r="O164" s="7">
        <v>44947</v>
      </c>
      <c r="P164" t="str">
        <v>Vancouver</v>
      </c>
      <c r="Q164" t="str">
        <v>Debit</v>
      </c>
      <c r="AE164" t="str">
        <v>Labrador</v>
      </c>
      <c r="AF164" t="str">
        <v>Vancouver</v>
      </c>
      <c r="BC164" s="6"/>
      <c r="BD164" s="7"/>
    </row>
    <row r="165" spans="5:56" x14ac:dyDescent="0.45">
      <c r="E165" s="6"/>
      <c r="F165" s="7"/>
      <c r="K165" t="str">
        <v>Rabbit</v>
      </c>
      <c r="L165" t="str">
        <v>Bulldog</v>
      </c>
      <c r="M165">
        <v>8</v>
      </c>
      <c r="N165" s="6">
        <v>150</v>
      </c>
      <c r="O165" s="7">
        <v>45229</v>
      </c>
      <c r="P165" t="str">
        <v>Toronto</v>
      </c>
      <c r="Q165" t="str">
        <v>Online Transfer</v>
      </c>
      <c r="AE165" t="str">
        <v>Bulldog</v>
      </c>
      <c r="AF165" t="str">
        <v>Toronto</v>
      </c>
      <c r="BC165" s="6"/>
      <c r="BD165" s="7"/>
    </row>
    <row r="166" spans="5:56" x14ac:dyDescent="0.45">
      <c r="E166" s="6"/>
      <c r="F166" s="7"/>
      <c r="K166" t="str">
        <v>Rabbit</v>
      </c>
      <c r="L166" t="str">
        <v>American</v>
      </c>
      <c r="M166">
        <v>6</v>
      </c>
      <c r="N166" s="6">
        <v>200</v>
      </c>
      <c r="O166" s="7">
        <v>45010</v>
      </c>
      <c r="P166" t="str">
        <v>Montreal</v>
      </c>
      <c r="Q166" t="str">
        <v>Debit</v>
      </c>
      <c r="AE166" t="str">
        <v>American</v>
      </c>
      <c r="AF166" t="str">
        <v>Montreal</v>
      </c>
      <c r="BC166" s="6"/>
      <c r="BD166" s="7"/>
    </row>
    <row r="167" spans="5:56" x14ac:dyDescent="0.45">
      <c r="E167" s="6"/>
      <c r="F167" s="7"/>
      <c r="K167" t="str">
        <v>Dog</v>
      </c>
      <c r="L167" t="str">
        <v>American</v>
      </c>
      <c r="M167">
        <v>4</v>
      </c>
      <c r="N167" s="6">
        <v>200</v>
      </c>
      <c r="O167" s="7">
        <v>45379</v>
      </c>
      <c r="P167" t="str">
        <v>Toronto</v>
      </c>
      <c r="Q167" t="str">
        <v>Online Transfer</v>
      </c>
      <c r="AE167" t="str">
        <v>American</v>
      </c>
      <c r="AF167" t="str">
        <v>Toronto</v>
      </c>
      <c r="BC167" s="6"/>
      <c r="BD167" s="7"/>
    </row>
    <row r="168" spans="5:56" x14ac:dyDescent="0.45">
      <c r="E168" s="6"/>
      <c r="F168" s="7"/>
      <c r="K168" t="str">
        <v>Guinea Pig</v>
      </c>
      <c r="L168" t="str">
        <v>Siamese</v>
      </c>
      <c r="M168">
        <v>11</v>
      </c>
      <c r="N168" s="6">
        <v>75</v>
      </c>
      <c r="O168" s="7">
        <v>45313</v>
      </c>
      <c r="P168" t="str">
        <v>Montreal</v>
      </c>
      <c r="Q168" t="str">
        <v>Credit Card</v>
      </c>
      <c r="AE168" t="str">
        <v>Siamese</v>
      </c>
      <c r="AF168" t="str">
        <v>Montreal</v>
      </c>
      <c r="BC168" s="6"/>
      <c r="BD168" s="7"/>
    </row>
    <row r="169" spans="5:56" x14ac:dyDescent="0.45">
      <c r="E169" s="6"/>
      <c r="F169" s="7"/>
      <c r="K169" t="str">
        <v>Dog</v>
      </c>
      <c r="L169" t="str">
        <v>Siamese</v>
      </c>
      <c r="M169">
        <v>9</v>
      </c>
      <c r="N169" s="6">
        <v>75</v>
      </c>
      <c r="O169" s="7">
        <v>45433</v>
      </c>
      <c r="P169" t="str">
        <v>Calgary</v>
      </c>
      <c r="Q169" t="str">
        <v>Online Transfer</v>
      </c>
      <c r="AE169" t="str">
        <v>Siamese</v>
      </c>
      <c r="AF169" t="str">
        <v>Calgary</v>
      </c>
      <c r="BC169" s="6"/>
      <c r="BD169" s="7"/>
    </row>
    <row r="170" spans="5:56" x14ac:dyDescent="0.45">
      <c r="E170" s="6"/>
      <c r="F170" s="7"/>
      <c r="K170" t="str">
        <v>Rabbit</v>
      </c>
      <c r="L170" t="str">
        <v>Bulldog</v>
      </c>
      <c r="M170">
        <v>6</v>
      </c>
      <c r="N170" s="6">
        <v>50</v>
      </c>
      <c r="O170" s="7">
        <v>45183</v>
      </c>
      <c r="P170" t="str">
        <v>Ottawa</v>
      </c>
      <c r="Q170" t="str">
        <v>Online Transfer</v>
      </c>
      <c r="AE170" t="str">
        <v>Bulldog</v>
      </c>
      <c r="AF170" t="str">
        <v>Ottawa</v>
      </c>
      <c r="BC170" s="6"/>
      <c r="BD170" s="7"/>
    </row>
    <row r="171" spans="5:56" x14ac:dyDescent="0.45">
      <c r="E171" s="6"/>
      <c r="F171" s="7"/>
      <c r="K171" t="str">
        <v>Cat</v>
      </c>
      <c r="L171" t="str">
        <v>Persian</v>
      </c>
      <c r="M171">
        <v>8</v>
      </c>
      <c r="N171" s="6">
        <v>200</v>
      </c>
      <c r="O171" s="7">
        <v>45453</v>
      </c>
      <c r="P171" t="str">
        <v>Calgary</v>
      </c>
      <c r="Q171" t="str">
        <v>Cash</v>
      </c>
      <c r="AE171" t="str">
        <v>Persian</v>
      </c>
      <c r="AF171" t="str">
        <v>Calgary</v>
      </c>
      <c r="BC171" s="6"/>
      <c r="BD171" s="7"/>
    </row>
    <row r="172" spans="5:56" x14ac:dyDescent="0.45">
      <c r="E172" s="6"/>
      <c r="F172" s="7"/>
      <c r="K172" t="str">
        <v>Bird</v>
      </c>
      <c r="L172" t="str">
        <v>Bulldog</v>
      </c>
      <c r="M172">
        <v>0</v>
      </c>
      <c r="N172" s="6">
        <v>100</v>
      </c>
      <c r="O172" s="7">
        <v>45088</v>
      </c>
      <c r="P172" t="str">
        <v>Vancouver</v>
      </c>
      <c r="Q172" t="str">
        <v>Debit</v>
      </c>
      <c r="AE172" t="str">
        <v>Bulldog</v>
      </c>
      <c r="AF172" t="str">
        <v>Vancouver</v>
      </c>
      <c r="BC172" s="6"/>
      <c r="BD172" s="7"/>
    </row>
    <row r="173" spans="5:56" x14ac:dyDescent="0.45">
      <c r="E173" s="6"/>
      <c r="F173" s="7"/>
      <c r="K173" t="str">
        <v>Rabbit</v>
      </c>
      <c r="L173" t="str">
        <v>Siamese</v>
      </c>
      <c r="M173">
        <v>6</v>
      </c>
      <c r="N173" s="6">
        <v>200</v>
      </c>
      <c r="O173" s="7">
        <v>45089</v>
      </c>
      <c r="P173" t="str">
        <v>Toronto</v>
      </c>
      <c r="Q173" t="str">
        <v>Credit Card</v>
      </c>
      <c r="AE173" t="str">
        <v>Siamese</v>
      </c>
      <c r="AF173" t="str">
        <v>Toronto</v>
      </c>
      <c r="BC173" s="6"/>
      <c r="BD173" s="7"/>
    </row>
    <row r="174" spans="5:56" x14ac:dyDescent="0.45">
      <c r="E174" s="6"/>
      <c r="F174" s="7"/>
      <c r="K174" t="str">
        <v>Dog</v>
      </c>
      <c r="L174" t="str">
        <v>American</v>
      </c>
      <c r="M174">
        <v>5</v>
      </c>
      <c r="N174" s="6">
        <v>100</v>
      </c>
      <c r="O174" s="7">
        <v>45450</v>
      </c>
      <c r="P174" t="str">
        <v>Montreal</v>
      </c>
      <c r="Q174" t="str">
        <v>Online Transfer</v>
      </c>
      <c r="AE174" t="str">
        <v>American</v>
      </c>
      <c r="AF174" t="str">
        <v>Montreal</v>
      </c>
      <c r="BC174" s="6"/>
      <c r="BD174" s="7"/>
    </row>
    <row r="175" spans="5:56" x14ac:dyDescent="0.45">
      <c r="E175" s="6"/>
      <c r="F175" s="7"/>
      <c r="K175" t="str">
        <v>Bird</v>
      </c>
      <c r="L175" t="str">
        <v>Holland Lop</v>
      </c>
      <c r="M175">
        <v>9</v>
      </c>
      <c r="N175" s="6">
        <v>150</v>
      </c>
      <c r="O175" s="7">
        <v>45197</v>
      </c>
      <c r="P175" t="str">
        <v>Montreal</v>
      </c>
      <c r="Q175" t="str">
        <v>Credit Card</v>
      </c>
      <c r="AE175" t="str">
        <v>Holland Lop</v>
      </c>
      <c r="AF175" t="str">
        <v>Montreal</v>
      </c>
      <c r="BC175" s="6"/>
      <c r="BD175" s="7"/>
    </row>
    <row r="176" spans="5:56" x14ac:dyDescent="0.45">
      <c r="E176" s="6"/>
      <c r="F176" s="7"/>
      <c r="K176" t="str">
        <v>Dog</v>
      </c>
      <c r="L176" t="str">
        <v>Bulldog</v>
      </c>
      <c r="M176">
        <v>13</v>
      </c>
      <c r="N176" s="6">
        <v>200</v>
      </c>
      <c r="O176" s="7">
        <v>45418</v>
      </c>
      <c r="P176" t="str">
        <v>Toronto</v>
      </c>
      <c r="Q176" t="str">
        <v>Cash</v>
      </c>
      <c r="AE176" t="str">
        <v>Bulldog</v>
      </c>
      <c r="AF176" t="str">
        <v>Toronto</v>
      </c>
      <c r="BC176" s="6"/>
      <c r="BD176" s="7"/>
    </row>
    <row r="177" spans="5:56" x14ac:dyDescent="0.45">
      <c r="E177" s="6"/>
      <c r="F177" s="7"/>
      <c r="K177" t="str">
        <v>Dog</v>
      </c>
      <c r="L177" t="str">
        <v>American</v>
      </c>
      <c r="M177">
        <v>11</v>
      </c>
      <c r="N177" s="6">
        <v>150</v>
      </c>
      <c r="O177" s="7">
        <v>45134</v>
      </c>
      <c r="P177" t="str">
        <v>Toronto</v>
      </c>
      <c r="Q177" t="str">
        <v>Debit</v>
      </c>
      <c r="AE177" t="str">
        <v>American</v>
      </c>
      <c r="AF177" t="str">
        <v>Toronto</v>
      </c>
      <c r="BC177" s="6"/>
      <c r="BD177" s="7"/>
    </row>
    <row r="178" spans="5:56" x14ac:dyDescent="0.45">
      <c r="E178" s="6"/>
      <c r="F178" s="7"/>
      <c r="K178" t="str">
        <v>Cat</v>
      </c>
      <c r="L178" t="str">
        <v>Holland Lop</v>
      </c>
      <c r="M178">
        <v>8</v>
      </c>
      <c r="N178" s="6">
        <v>75</v>
      </c>
      <c r="O178" s="7">
        <v>45465</v>
      </c>
      <c r="P178" t="str">
        <v>Vancouver</v>
      </c>
      <c r="Q178" t="str">
        <v>Online Transfer</v>
      </c>
      <c r="AE178" t="str">
        <v>Holland Lop</v>
      </c>
      <c r="AF178" t="str">
        <v>Vancouver</v>
      </c>
      <c r="BC178" s="6"/>
      <c r="BD178" s="7"/>
    </row>
    <row r="179" spans="5:56" x14ac:dyDescent="0.45">
      <c r="E179" s="6"/>
      <c r="F179" s="7"/>
      <c r="K179" t="str">
        <v>Bird</v>
      </c>
      <c r="L179" t="str">
        <v>Holland Lop</v>
      </c>
      <c r="M179">
        <v>0</v>
      </c>
      <c r="N179" s="6">
        <v>75</v>
      </c>
      <c r="O179" s="7">
        <v>44986</v>
      </c>
      <c r="P179" t="str">
        <v>Calgary</v>
      </c>
      <c r="Q179" t="str">
        <v>Debit</v>
      </c>
      <c r="AE179" t="str">
        <v>Holland Lop</v>
      </c>
      <c r="AF179" t="str">
        <v>Calgary</v>
      </c>
      <c r="BC179" s="6"/>
      <c r="BD179" s="7"/>
    </row>
    <row r="180" spans="5:56" x14ac:dyDescent="0.45">
      <c r="E180" s="6"/>
      <c r="F180" s="7"/>
      <c r="K180" t="str">
        <v>Bird</v>
      </c>
      <c r="L180" t="str">
        <v>Siamese</v>
      </c>
      <c r="M180">
        <v>12</v>
      </c>
      <c r="N180" s="6">
        <v>50</v>
      </c>
      <c r="O180" s="7">
        <v>45356</v>
      </c>
      <c r="P180" t="str">
        <v>Montreal</v>
      </c>
      <c r="Q180" t="str">
        <v>Cash</v>
      </c>
      <c r="AE180" t="str">
        <v>Siamese</v>
      </c>
      <c r="AF180" t="str">
        <v>Montreal</v>
      </c>
      <c r="BC180" s="6"/>
      <c r="BD180" s="7"/>
    </row>
    <row r="181" spans="5:56" x14ac:dyDescent="0.45">
      <c r="E181" s="6"/>
      <c r="F181" s="7"/>
      <c r="K181" t="str">
        <v>Cat</v>
      </c>
      <c r="L181" t="str">
        <v>Bulldog</v>
      </c>
      <c r="M181">
        <v>3</v>
      </c>
      <c r="N181" s="6">
        <v>200</v>
      </c>
      <c r="O181" s="7">
        <v>45235</v>
      </c>
      <c r="P181" t="str">
        <v>Vancouver</v>
      </c>
      <c r="Q181" t="str">
        <v>Cash</v>
      </c>
      <c r="AE181" t="str">
        <v>Bulldog</v>
      </c>
      <c r="AF181" t="str">
        <v>Vancouver</v>
      </c>
      <c r="BC181" s="6"/>
      <c r="BD181" s="7"/>
    </row>
    <row r="182" spans="5:56" x14ac:dyDescent="0.45">
      <c r="E182" s="6"/>
      <c r="F182" s="7"/>
      <c r="K182" t="str">
        <v>Rabbit</v>
      </c>
      <c r="L182" t="str">
        <v>Cockatiel</v>
      </c>
      <c r="M182">
        <v>8</v>
      </c>
      <c r="N182" s="6">
        <v>150</v>
      </c>
      <c r="O182" s="7">
        <v>45446</v>
      </c>
      <c r="P182" t="str">
        <v>Calgary</v>
      </c>
      <c r="Q182" t="str">
        <v>Credit Card</v>
      </c>
      <c r="AE182" t="str">
        <v>Cockatiel</v>
      </c>
      <c r="AF182" t="str">
        <v>Calgary</v>
      </c>
      <c r="BC182" s="6"/>
      <c r="BD182" s="7"/>
    </row>
    <row r="183" spans="5:56" x14ac:dyDescent="0.45">
      <c r="E183" s="6"/>
      <c r="F183" s="7"/>
      <c r="K183" t="str">
        <v>Dog</v>
      </c>
      <c r="L183" t="str">
        <v>Labrador</v>
      </c>
      <c r="M183">
        <v>3</v>
      </c>
      <c r="N183" s="6">
        <v>100</v>
      </c>
      <c r="O183" s="7">
        <v>44953</v>
      </c>
      <c r="P183" t="str">
        <v>Vancouver</v>
      </c>
      <c r="Q183" t="str">
        <v>Online Transfer</v>
      </c>
      <c r="AE183" t="str">
        <v>Labrador</v>
      </c>
      <c r="AF183" t="str">
        <v>Vancouver</v>
      </c>
      <c r="BC183" s="6"/>
      <c r="BD183" s="7"/>
    </row>
    <row r="184" spans="5:56" x14ac:dyDescent="0.45">
      <c r="E184" s="6"/>
      <c r="F184" s="7"/>
      <c r="K184" t="str">
        <v>Guinea Pig</v>
      </c>
      <c r="L184" t="str">
        <v>Siamese</v>
      </c>
      <c r="M184">
        <v>9</v>
      </c>
      <c r="N184" s="6">
        <v>75</v>
      </c>
      <c r="O184" s="7">
        <v>45125</v>
      </c>
      <c r="P184" t="str">
        <v>Montreal</v>
      </c>
      <c r="Q184" t="str">
        <v>Credit Card</v>
      </c>
      <c r="AE184" t="str">
        <v>Siamese</v>
      </c>
      <c r="AF184" t="str">
        <v>Montreal</v>
      </c>
      <c r="BC184" s="6"/>
      <c r="BD184" s="7"/>
    </row>
    <row r="185" spans="5:56" x14ac:dyDescent="0.45">
      <c r="E185" s="6"/>
      <c r="F185" s="7"/>
      <c r="K185" t="str">
        <v>Dog</v>
      </c>
      <c r="L185" t="str">
        <v>Siamese</v>
      </c>
      <c r="M185">
        <v>2</v>
      </c>
      <c r="N185" s="6">
        <v>75</v>
      </c>
      <c r="O185" s="7">
        <v>45313</v>
      </c>
      <c r="P185" t="str">
        <v>Toronto</v>
      </c>
      <c r="Q185" t="str">
        <v>Cash</v>
      </c>
      <c r="AE185" t="str">
        <v>Siamese</v>
      </c>
      <c r="AF185" t="str">
        <v>Toronto</v>
      </c>
      <c r="BC185" s="6"/>
      <c r="BD185" s="7"/>
    </row>
    <row r="186" spans="5:56" x14ac:dyDescent="0.45">
      <c r="E186" s="6"/>
      <c r="F186" s="7"/>
      <c r="K186" t="str">
        <v>Dog</v>
      </c>
      <c r="L186" t="str">
        <v>Cockatiel</v>
      </c>
      <c r="M186">
        <v>8</v>
      </c>
      <c r="N186" s="6">
        <v>100</v>
      </c>
      <c r="O186" s="7">
        <v>45275</v>
      </c>
      <c r="P186" t="str">
        <v>Toronto</v>
      </c>
      <c r="Q186" t="str">
        <v>Debit</v>
      </c>
      <c r="AE186" t="str">
        <v>Cockatiel</v>
      </c>
      <c r="AF186" t="str">
        <v>Toronto</v>
      </c>
      <c r="BC186" s="6"/>
      <c r="BD186" s="7"/>
    </row>
    <row r="187" spans="5:56" x14ac:dyDescent="0.45">
      <c r="E187" s="6"/>
      <c r="F187" s="7"/>
      <c r="K187" t="str">
        <v>Rabbit</v>
      </c>
      <c r="L187" t="str">
        <v>Labrador</v>
      </c>
      <c r="M187">
        <v>12</v>
      </c>
      <c r="N187" s="6">
        <v>150</v>
      </c>
      <c r="O187" s="7">
        <v>45462</v>
      </c>
      <c r="P187" t="str">
        <v>Calgary</v>
      </c>
      <c r="Q187" t="str">
        <v>Credit Card</v>
      </c>
      <c r="AE187" t="str">
        <v>Labrador</v>
      </c>
      <c r="AF187" t="str">
        <v>Calgary</v>
      </c>
      <c r="BC187" s="6"/>
      <c r="BD187" s="7"/>
    </row>
    <row r="188" spans="5:56" x14ac:dyDescent="0.45">
      <c r="E188" s="6"/>
      <c r="F188" s="7"/>
      <c r="K188" t="str">
        <v>Dog</v>
      </c>
      <c r="L188" t="str">
        <v>American</v>
      </c>
      <c r="M188">
        <v>1</v>
      </c>
      <c r="N188" s="6">
        <v>150</v>
      </c>
      <c r="O188" s="7">
        <v>45304</v>
      </c>
      <c r="P188" t="str">
        <v>Ottawa</v>
      </c>
      <c r="Q188" t="str">
        <v>Credit Card</v>
      </c>
      <c r="AE188" t="str">
        <v>American</v>
      </c>
      <c r="AF188" t="str">
        <v>Ottawa</v>
      </c>
      <c r="BC188" s="6"/>
      <c r="BD188" s="7"/>
    </row>
    <row r="189" spans="5:56" x14ac:dyDescent="0.45">
      <c r="E189" s="6"/>
      <c r="F189" s="7"/>
      <c r="K189" t="str">
        <v>Cat</v>
      </c>
      <c r="L189" t="str">
        <v>Persian</v>
      </c>
      <c r="M189">
        <v>14</v>
      </c>
      <c r="N189" s="6">
        <v>200</v>
      </c>
      <c r="O189" s="7">
        <v>45453</v>
      </c>
      <c r="P189" t="str">
        <v>Calgary</v>
      </c>
      <c r="Q189" t="str">
        <v>Debit</v>
      </c>
      <c r="AE189" t="str">
        <v>Persian</v>
      </c>
      <c r="AF189" t="str">
        <v>Calgary</v>
      </c>
      <c r="BC189" s="6"/>
      <c r="BD189" s="7"/>
    </row>
    <row r="190" spans="5:56" x14ac:dyDescent="0.45">
      <c r="E190" s="6"/>
      <c r="F190" s="7"/>
      <c r="K190" t="str">
        <v>Cat</v>
      </c>
      <c r="L190" t="str">
        <v>Bulldog</v>
      </c>
      <c r="M190">
        <v>3</v>
      </c>
      <c r="N190" s="6">
        <v>200</v>
      </c>
      <c r="O190" s="7">
        <v>45079</v>
      </c>
      <c r="P190" t="str">
        <v>Ottawa</v>
      </c>
      <c r="Q190" t="str">
        <v>Credit Card</v>
      </c>
      <c r="AE190" t="str">
        <v>Bulldog</v>
      </c>
      <c r="AF190" t="str">
        <v>Ottawa</v>
      </c>
      <c r="BC190" s="6"/>
      <c r="BD190" s="7"/>
    </row>
    <row r="191" spans="5:56" x14ac:dyDescent="0.45">
      <c r="E191" s="6"/>
      <c r="F191" s="7"/>
      <c r="K191" t="str">
        <v>Bird</v>
      </c>
      <c r="L191" t="str">
        <v>Persian</v>
      </c>
      <c r="M191">
        <v>14</v>
      </c>
      <c r="N191" s="6">
        <v>50</v>
      </c>
      <c r="O191" s="7">
        <v>45132</v>
      </c>
      <c r="P191" t="str">
        <v>Vancouver</v>
      </c>
      <c r="Q191" t="str">
        <v>Debit</v>
      </c>
      <c r="AE191" t="str">
        <v>Persian</v>
      </c>
      <c r="AF191" t="str">
        <v>Vancouver</v>
      </c>
      <c r="BC191" s="6"/>
      <c r="BD191" s="7"/>
    </row>
    <row r="192" spans="5:56" x14ac:dyDescent="0.45">
      <c r="E192" s="6"/>
      <c r="F192" s="7"/>
      <c r="K192" t="str">
        <v>Guinea Pig</v>
      </c>
      <c r="L192" t="str">
        <v>American</v>
      </c>
      <c r="M192">
        <v>5</v>
      </c>
      <c r="N192" s="6">
        <v>75</v>
      </c>
      <c r="O192" s="7">
        <v>45381</v>
      </c>
      <c r="P192" t="str">
        <v>Vancouver</v>
      </c>
      <c r="Q192" t="str">
        <v>Online Transfer</v>
      </c>
      <c r="AE192" t="str">
        <v>American</v>
      </c>
      <c r="AF192" t="str">
        <v>Vancouver</v>
      </c>
      <c r="BC192" s="6"/>
      <c r="BD192" s="7"/>
    </row>
    <row r="193" spans="5:56" x14ac:dyDescent="0.45">
      <c r="E193" s="6"/>
      <c r="F193" s="7"/>
      <c r="K193" t="str">
        <v>Dog</v>
      </c>
      <c r="L193" t="str">
        <v>Siamese</v>
      </c>
      <c r="M193">
        <v>1</v>
      </c>
      <c r="N193" s="6">
        <v>200</v>
      </c>
      <c r="O193" s="7">
        <v>45199</v>
      </c>
      <c r="P193" t="str">
        <v>Montreal</v>
      </c>
      <c r="Q193" t="str">
        <v>Debit</v>
      </c>
      <c r="AE193" t="str">
        <v>Siamese</v>
      </c>
      <c r="AF193" t="str">
        <v>Montreal</v>
      </c>
      <c r="BC193" s="6"/>
      <c r="BD193" s="7"/>
    </row>
    <row r="194" spans="5:56" x14ac:dyDescent="0.45">
      <c r="E194" s="6"/>
      <c r="F194" s="7"/>
      <c r="K194" t="str">
        <v>Dog</v>
      </c>
      <c r="L194" t="str">
        <v>Labrador</v>
      </c>
      <c r="M194">
        <v>14</v>
      </c>
      <c r="N194" s="6">
        <v>150</v>
      </c>
      <c r="O194" s="7">
        <v>45162</v>
      </c>
      <c r="P194" t="str">
        <v>Ottawa</v>
      </c>
      <c r="Q194" t="str">
        <v>Online Transfer</v>
      </c>
      <c r="AE194" t="str">
        <v>Labrador</v>
      </c>
      <c r="AF194" t="str">
        <v>Ottawa</v>
      </c>
      <c r="BC194" s="6"/>
      <c r="BD194" s="7"/>
    </row>
    <row r="195" spans="5:56" x14ac:dyDescent="0.45">
      <c r="E195" s="6"/>
      <c r="F195" s="7"/>
      <c r="K195" t="str">
        <v>Rabbit</v>
      </c>
      <c r="L195" t="str">
        <v>Siamese</v>
      </c>
      <c r="M195">
        <v>7</v>
      </c>
      <c r="N195" s="6">
        <v>100</v>
      </c>
      <c r="O195" s="7">
        <v>45447</v>
      </c>
      <c r="P195" t="str">
        <v>Montreal</v>
      </c>
      <c r="Q195" t="str">
        <v>Debit</v>
      </c>
      <c r="AE195" t="str">
        <v>Siamese</v>
      </c>
      <c r="AF195" t="str">
        <v>Montreal</v>
      </c>
      <c r="BC195" s="6"/>
      <c r="BD195" s="7"/>
    </row>
    <row r="196" spans="5:56" x14ac:dyDescent="0.45">
      <c r="E196" s="6"/>
      <c r="F196" s="7"/>
      <c r="K196" t="str">
        <v>Cat</v>
      </c>
      <c r="L196" t="str">
        <v>Holland Lop</v>
      </c>
      <c r="M196">
        <v>7</v>
      </c>
      <c r="N196" s="6">
        <v>150</v>
      </c>
      <c r="O196" s="7">
        <v>45427</v>
      </c>
      <c r="P196" t="str">
        <v>Toronto</v>
      </c>
      <c r="Q196" t="str">
        <v>Cash</v>
      </c>
      <c r="AE196" t="str">
        <v>Holland Lop</v>
      </c>
      <c r="AF196" t="str">
        <v>Toronto</v>
      </c>
      <c r="BC196" s="6"/>
      <c r="BD196" s="7"/>
    </row>
    <row r="197" spans="5:56" x14ac:dyDescent="0.45">
      <c r="E197" s="6"/>
      <c r="F197" s="7"/>
      <c r="K197" t="str">
        <v>Guinea Pig</v>
      </c>
      <c r="L197" t="str">
        <v>Siamese</v>
      </c>
      <c r="M197">
        <v>0</v>
      </c>
      <c r="N197" s="6">
        <v>75</v>
      </c>
      <c r="O197" s="7">
        <v>45043</v>
      </c>
      <c r="P197" t="str">
        <v>Ottawa</v>
      </c>
      <c r="Q197" t="str">
        <v>Cash</v>
      </c>
      <c r="AE197" t="str">
        <v>Siamese</v>
      </c>
      <c r="AF197" t="str">
        <v>Ottawa</v>
      </c>
      <c r="BC197" s="6"/>
      <c r="BD197" s="7"/>
    </row>
    <row r="198" spans="5:56" x14ac:dyDescent="0.45">
      <c r="E198" s="6"/>
      <c r="F198" s="7"/>
      <c r="K198" t="str">
        <v>Bird</v>
      </c>
      <c r="L198" t="str">
        <v>Siamese</v>
      </c>
      <c r="M198">
        <v>11</v>
      </c>
      <c r="N198" s="6">
        <v>150</v>
      </c>
      <c r="O198" s="7">
        <v>45312</v>
      </c>
      <c r="P198" t="str">
        <v>Calgary</v>
      </c>
      <c r="Q198" t="str">
        <v>Online Transfer</v>
      </c>
      <c r="AE198" t="str">
        <v>Siamese</v>
      </c>
      <c r="AF198" t="str">
        <v>Calgary</v>
      </c>
      <c r="BC198" s="6"/>
      <c r="BD198" s="7"/>
    </row>
    <row r="199" spans="5:56" x14ac:dyDescent="0.45">
      <c r="E199" s="6"/>
      <c r="F199" s="7"/>
      <c r="K199" t="str">
        <v>Cat</v>
      </c>
      <c r="L199" t="str">
        <v>American</v>
      </c>
      <c r="M199">
        <v>2</v>
      </c>
      <c r="N199" s="6">
        <v>50</v>
      </c>
      <c r="O199" s="7">
        <v>45270</v>
      </c>
      <c r="P199" t="str">
        <v>Toronto</v>
      </c>
      <c r="Q199" t="str">
        <v>Online Transfer</v>
      </c>
      <c r="AE199" t="str">
        <v>American</v>
      </c>
      <c r="AF199" t="str">
        <v>Toronto</v>
      </c>
      <c r="BC199" s="6"/>
      <c r="BD199" s="7"/>
    </row>
    <row r="200" spans="5:56" x14ac:dyDescent="0.45">
      <c r="E200" s="6"/>
      <c r="F200" s="7"/>
      <c r="K200" t="str">
        <v>Bird</v>
      </c>
      <c r="L200" t="str">
        <v>American</v>
      </c>
      <c r="M200">
        <v>9</v>
      </c>
      <c r="N200" s="6">
        <v>75</v>
      </c>
      <c r="O200" s="7">
        <v>45321</v>
      </c>
      <c r="P200" t="str">
        <v>Toronto</v>
      </c>
      <c r="Q200" t="str">
        <v>Cash</v>
      </c>
      <c r="AE200" t="str">
        <v>American</v>
      </c>
      <c r="AF200" t="str">
        <v>Toronto</v>
      </c>
      <c r="BC200" s="6"/>
      <c r="BD200" s="7"/>
    </row>
    <row r="201" spans="5:56" x14ac:dyDescent="0.45">
      <c r="E201" s="6"/>
      <c r="F201" s="7"/>
      <c r="K201" t="str">
        <v>Rabbit</v>
      </c>
      <c r="L201" t="str">
        <v>American</v>
      </c>
      <c r="M201">
        <v>8</v>
      </c>
      <c r="N201" s="6">
        <v>100</v>
      </c>
      <c r="O201" s="7">
        <v>44990</v>
      </c>
      <c r="P201" t="str">
        <v>Calgary</v>
      </c>
      <c r="Q201" t="str">
        <v>Online Transfer</v>
      </c>
      <c r="AE201" t="str">
        <v>American</v>
      </c>
      <c r="AF201" t="str">
        <v>Calgary</v>
      </c>
      <c r="BC201" s="6"/>
      <c r="BD201" s="7"/>
    </row>
    <row r="202" spans="5:56" x14ac:dyDescent="0.45">
      <c r="E202" s="6"/>
      <c r="F202" s="7"/>
      <c r="K202" t="str">
        <v>Rabbit</v>
      </c>
      <c r="L202" t="str">
        <v>Persian</v>
      </c>
      <c r="M202">
        <v>4</v>
      </c>
      <c r="N202" s="6">
        <v>50</v>
      </c>
      <c r="O202" s="7">
        <v>44998</v>
      </c>
      <c r="P202" t="str">
        <v>Toronto</v>
      </c>
      <c r="Q202" t="str">
        <v>Debit</v>
      </c>
      <c r="AE202" t="str">
        <v>Persian</v>
      </c>
      <c r="AF202" t="str">
        <v>Toronto</v>
      </c>
      <c r="BC202" s="6"/>
      <c r="BD202" s="7"/>
    </row>
    <row r="203" spans="5:56" x14ac:dyDescent="0.45">
      <c r="E203" s="6"/>
      <c r="F203" s="7"/>
      <c r="K203" t="str">
        <v>Dog</v>
      </c>
      <c r="L203" t="str">
        <v>Holland Lop</v>
      </c>
      <c r="M203">
        <v>5</v>
      </c>
      <c r="N203" s="6">
        <v>75</v>
      </c>
      <c r="O203" s="7">
        <v>45200</v>
      </c>
      <c r="P203" t="str">
        <v>Ottawa</v>
      </c>
      <c r="Q203" t="str">
        <v>Debit</v>
      </c>
      <c r="AE203" t="str">
        <v>Holland Lop</v>
      </c>
      <c r="AF203" t="str">
        <v>Ottawa</v>
      </c>
      <c r="BC203" s="6"/>
      <c r="BD203" s="7"/>
    </row>
    <row r="204" spans="5:56" x14ac:dyDescent="0.45">
      <c r="E204" s="6"/>
      <c r="F204" s="7"/>
      <c r="K204" t="str">
        <v>Guinea Pig</v>
      </c>
      <c r="L204" t="str">
        <v>American</v>
      </c>
      <c r="M204">
        <v>3</v>
      </c>
      <c r="N204" s="6">
        <v>100</v>
      </c>
      <c r="O204" s="7">
        <v>45246</v>
      </c>
      <c r="P204" t="str">
        <v>Montreal</v>
      </c>
      <c r="Q204" t="str">
        <v>Cash</v>
      </c>
      <c r="AE204" t="str">
        <v>American</v>
      </c>
      <c r="AF204" t="str">
        <v>Montreal</v>
      </c>
      <c r="BC204" s="6"/>
      <c r="BD204" s="7"/>
    </row>
    <row r="205" spans="5:56" x14ac:dyDescent="0.45">
      <c r="E205" s="6"/>
      <c r="F205" s="7"/>
      <c r="K205" t="str">
        <v>Bird</v>
      </c>
      <c r="L205" t="str">
        <v>Labrador</v>
      </c>
      <c r="M205">
        <v>9</v>
      </c>
      <c r="N205" s="6">
        <v>50</v>
      </c>
      <c r="O205" s="7">
        <v>45264</v>
      </c>
      <c r="P205" t="str">
        <v>Toronto</v>
      </c>
      <c r="Q205" t="str">
        <v>Credit Card</v>
      </c>
      <c r="AE205" t="str">
        <v>Labrador</v>
      </c>
      <c r="AF205" t="str">
        <v>Toronto</v>
      </c>
      <c r="BC205" s="6"/>
      <c r="BD205" s="7"/>
    </row>
    <row r="206" spans="5:56" x14ac:dyDescent="0.45">
      <c r="E206" s="6"/>
      <c r="F206" s="7"/>
      <c r="K206" t="str">
        <v>Cat</v>
      </c>
      <c r="L206" t="str">
        <v>Persian</v>
      </c>
      <c r="M206">
        <v>1</v>
      </c>
      <c r="N206" s="6">
        <v>50</v>
      </c>
      <c r="O206" s="7">
        <v>45292</v>
      </c>
      <c r="P206" t="str">
        <v>Ottawa</v>
      </c>
      <c r="Q206" t="str">
        <v>Debit</v>
      </c>
      <c r="AE206" t="str">
        <v>Persian</v>
      </c>
      <c r="AF206" t="str">
        <v>Ottawa</v>
      </c>
      <c r="BC206" s="6"/>
      <c r="BD206" s="7"/>
    </row>
    <row r="207" spans="5:56" x14ac:dyDescent="0.45">
      <c r="E207" s="6"/>
      <c r="F207" s="7"/>
      <c r="K207" t="str">
        <v>Rabbit</v>
      </c>
      <c r="L207" t="str">
        <v>Cockatiel</v>
      </c>
      <c r="M207">
        <v>10</v>
      </c>
      <c r="N207" s="6">
        <v>75</v>
      </c>
      <c r="O207" s="7">
        <v>45421</v>
      </c>
      <c r="P207" t="str">
        <v>Vancouver</v>
      </c>
      <c r="Q207" t="str">
        <v>Online Transfer</v>
      </c>
      <c r="AE207" t="str">
        <v>Cockatiel</v>
      </c>
      <c r="AF207" t="str">
        <v>Vancouver</v>
      </c>
      <c r="BC207" s="6"/>
      <c r="BD207" s="7"/>
    </row>
    <row r="208" spans="5:56" x14ac:dyDescent="0.45">
      <c r="E208" s="6"/>
      <c r="F208" s="7"/>
      <c r="K208" t="str">
        <v>Dog</v>
      </c>
      <c r="L208" t="str">
        <v>Labrador</v>
      </c>
      <c r="M208">
        <v>7</v>
      </c>
      <c r="N208" s="6">
        <v>200</v>
      </c>
      <c r="O208" s="7">
        <v>45092</v>
      </c>
      <c r="P208" t="str">
        <v>Ottawa</v>
      </c>
      <c r="Q208" t="str">
        <v>Credit Card</v>
      </c>
      <c r="AE208" t="str">
        <v>Labrador</v>
      </c>
      <c r="AF208" t="str">
        <v>Ottawa</v>
      </c>
      <c r="BC208" s="6"/>
      <c r="BD208" s="7"/>
    </row>
    <row r="209" spans="5:56" x14ac:dyDescent="0.45">
      <c r="E209" s="6"/>
      <c r="F209" s="7"/>
      <c r="K209" t="str">
        <v>Dog</v>
      </c>
      <c r="L209" t="str">
        <v>Bulldog</v>
      </c>
      <c r="M209">
        <v>10</v>
      </c>
      <c r="N209" s="6">
        <v>50</v>
      </c>
      <c r="O209" s="7">
        <v>45470</v>
      </c>
      <c r="P209" t="str">
        <v>Montreal</v>
      </c>
      <c r="Q209" t="str">
        <v>Credit Card</v>
      </c>
      <c r="AE209" t="str">
        <v>Bulldog</v>
      </c>
      <c r="AF209" t="str">
        <v>Montreal</v>
      </c>
      <c r="BC209" s="6"/>
      <c r="BD209" s="7"/>
    </row>
    <row r="210" spans="5:56" x14ac:dyDescent="0.45">
      <c r="E210" s="6"/>
      <c r="F210" s="7"/>
      <c r="K210" t="str">
        <v>Bird</v>
      </c>
      <c r="L210" t="str">
        <v>Bulldog</v>
      </c>
      <c r="M210">
        <v>12</v>
      </c>
      <c r="N210" s="6">
        <v>50</v>
      </c>
      <c r="O210" s="7">
        <v>44937</v>
      </c>
      <c r="P210" t="str">
        <v>Ottawa</v>
      </c>
      <c r="Q210" t="str">
        <v>Debit</v>
      </c>
      <c r="AE210" t="str">
        <v>Bulldog</v>
      </c>
      <c r="AF210" t="str">
        <v>Ottawa</v>
      </c>
      <c r="BC210" s="6"/>
      <c r="BD210" s="7"/>
    </row>
    <row r="211" spans="5:56" x14ac:dyDescent="0.45">
      <c r="E211" s="6"/>
      <c r="F211" s="7"/>
      <c r="K211" t="str">
        <v>Rabbit</v>
      </c>
      <c r="L211" t="str">
        <v>Labrador</v>
      </c>
      <c r="M211">
        <v>5</v>
      </c>
      <c r="N211" s="6">
        <v>100</v>
      </c>
      <c r="O211" s="7">
        <v>45227</v>
      </c>
      <c r="P211" t="str">
        <v>Calgary</v>
      </c>
      <c r="Q211" t="str">
        <v>Debit</v>
      </c>
      <c r="AE211" t="str">
        <v>Labrador</v>
      </c>
      <c r="AF211" t="str">
        <v>Calgary</v>
      </c>
      <c r="BC211" s="6"/>
      <c r="BD211" s="7"/>
    </row>
    <row r="212" spans="5:56" x14ac:dyDescent="0.45">
      <c r="E212" s="6"/>
      <c r="F212" s="7"/>
      <c r="K212" t="str">
        <v>Guinea Pig</v>
      </c>
      <c r="L212" t="str">
        <v>American</v>
      </c>
      <c r="M212">
        <v>4</v>
      </c>
      <c r="N212" s="6">
        <v>150</v>
      </c>
      <c r="O212" s="7">
        <v>45028</v>
      </c>
      <c r="P212" t="str">
        <v>Montreal</v>
      </c>
      <c r="Q212" t="str">
        <v>Credit Card</v>
      </c>
      <c r="AE212" t="str">
        <v>American</v>
      </c>
      <c r="AF212" t="str">
        <v>Montreal</v>
      </c>
      <c r="BC212" s="6"/>
      <c r="BD212" s="7"/>
    </row>
    <row r="213" spans="5:56" x14ac:dyDescent="0.45">
      <c r="E213" s="6"/>
      <c r="F213" s="7"/>
      <c r="K213" t="str">
        <v>Rabbit</v>
      </c>
      <c r="L213" t="str">
        <v>Cockatiel</v>
      </c>
      <c r="M213">
        <v>8</v>
      </c>
      <c r="N213" s="6">
        <v>75</v>
      </c>
      <c r="O213" s="7">
        <v>45351</v>
      </c>
      <c r="P213" t="str">
        <v>Vancouver</v>
      </c>
      <c r="Q213" t="str">
        <v>Credit Card</v>
      </c>
      <c r="AE213" t="str">
        <v>Cockatiel</v>
      </c>
      <c r="AF213" t="str">
        <v>Vancouver</v>
      </c>
      <c r="BC213" s="6"/>
      <c r="BD213" s="7"/>
    </row>
    <row r="214" spans="5:56" x14ac:dyDescent="0.45">
      <c r="E214" s="6"/>
      <c r="F214" s="7"/>
      <c r="K214" t="str">
        <v>Bird</v>
      </c>
      <c r="L214" t="str">
        <v>Cockatiel</v>
      </c>
      <c r="M214">
        <v>0</v>
      </c>
      <c r="N214" s="6">
        <v>75</v>
      </c>
      <c r="O214" s="7">
        <v>45318</v>
      </c>
      <c r="P214" t="str">
        <v>Calgary</v>
      </c>
      <c r="Q214" t="str">
        <v>Cash</v>
      </c>
      <c r="AE214" t="str">
        <v>Cockatiel</v>
      </c>
      <c r="AF214" t="str">
        <v>Calgary</v>
      </c>
      <c r="BC214" s="6"/>
      <c r="BD214" s="7"/>
    </row>
    <row r="215" spans="5:56" x14ac:dyDescent="0.45">
      <c r="E215" s="6"/>
      <c r="F215" s="7"/>
      <c r="K215" t="str">
        <v>Bird</v>
      </c>
      <c r="L215" t="str">
        <v>Persian</v>
      </c>
      <c r="M215">
        <v>4</v>
      </c>
      <c r="N215" s="6">
        <v>200</v>
      </c>
      <c r="O215" s="7">
        <v>45140</v>
      </c>
      <c r="P215" t="str">
        <v>Ottawa</v>
      </c>
      <c r="Q215" t="str">
        <v>Online Transfer</v>
      </c>
      <c r="AE215" t="str">
        <v>Persian</v>
      </c>
      <c r="AF215" t="str">
        <v>Ottawa</v>
      </c>
      <c r="BC215" s="6"/>
      <c r="BD215" s="7"/>
    </row>
    <row r="216" spans="5:56" x14ac:dyDescent="0.45">
      <c r="E216" s="6"/>
      <c r="F216" s="7"/>
      <c r="K216" t="str">
        <v>Rabbit</v>
      </c>
      <c r="L216" t="str">
        <v>Cockatiel</v>
      </c>
      <c r="M216">
        <v>5</v>
      </c>
      <c r="N216" s="6">
        <v>200</v>
      </c>
      <c r="O216" s="7">
        <v>45014</v>
      </c>
      <c r="P216" t="str">
        <v>Montreal</v>
      </c>
      <c r="Q216" t="str">
        <v>Cash</v>
      </c>
      <c r="AE216" t="str">
        <v>Cockatiel</v>
      </c>
      <c r="AF216" t="str">
        <v>Montreal</v>
      </c>
      <c r="BC216" s="6"/>
      <c r="BD216" s="7"/>
    </row>
    <row r="217" spans="5:56" x14ac:dyDescent="0.45">
      <c r="E217" s="6"/>
      <c r="F217" s="7"/>
      <c r="K217" t="str">
        <v>Bird</v>
      </c>
      <c r="L217" t="str">
        <v>Bulldog</v>
      </c>
      <c r="M217">
        <v>4</v>
      </c>
      <c r="N217" s="6">
        <v>75</v>
      </c>
      <c r="O217" s="7">
        <v>45327</v>
      </c>
      <c r="P217" t="str">
        <v>Vancouver</v>
      </c>
      <c r="Q217" t="str">
        <v>Debit</v>
      </c>
      <c r="AE217" t="str">
        <v>Bulldog</v>
      </c>
      <c r="AF217" t="str">
        <v>Vancouver</v>
      </c>
      <c r="BC217" s="6"/>
      <c r="BD217" s="7"/>
    </row>
    <row r="218" spans="5:56" x14ac:dyDescent="0.45">
      <c r="E218" s="6"/>
      <c r="F218" s="7"/>
      <c r="K218" t="str">
        <v>Rabbit</v>
      </c>
      <c r="L218" t="str">
        <v>Holland Lop</v>
      </c>
      <c r="M218">
        <v>5</v>
      </c>
      <c r="N218" s="6">
        <v>200</v>
      </c>
      <c r="O218" s="7">
        <v>44972</v>
      </c>
      <c r="P218" t="str">
        <v>Calgary</v>
      </c>
      <c r="Q218" t="str">
        <v>Cash</v>
      </c>
      <c r="AE218" t="str">
        <v>Holland Lop</v>
      </c>
      <c r="AF218" t="str">
        <v>Calgary</v>
      </c>
      <c r="BC218" s="6"/>
      <c r="BD218" s="7"/>
    </row>
    <row r="219" spans="5:56" x14ac:dyDescent="0.45">
      <c r="E219" s="6"/>
      <c r="F219" s="7"/>
      <c r="K219" t="str">
        <v>Cat</v>
      </c>
      <c r="L219" t="str">
        <v>American</v>
      </c>
      <c r="M219">
        <v>5</v>
      </c>
      <c r="N219" s="6">
        <v>100</v>
      </c>
      <c r="O219" s="7">
        <v>45389</v>
      </c>
      <c r="P219" t="str">
        <v>Vancouver</v>
      </c>
      <c r="Q219" t="str">
        <v>Cash</v>
      </c>
      <c r="AE219" t="str">
        <v>American</v>
      </c>
      <c r="AF219" t="str">
        <v>Vancouver</v>
      </c>
      <c r="BC219" s="6"/>
      <c r="BD219" s="7"/>
    </row>
    <row r="220" spans="5:56" x14ac:dyDescent="0.45">
      <c r="E220" s="6"/>
      <c r="F220" s="7"/>
      <c r="K220" t="str">
        <v>Rabbit</v>
      </c>
      <c r="L220" t="str">
        <v>Cockatiel</v>
      </c>
      <c r="M220">
        <v>6</v>
      </c>
      <c r="N220" s="6">
        <v>75</v>
      </c>
      <c r="O220" s="7">
        <v>45236</v>
      </c>
      <c r="P220" t="str">
        <v>Ottawa</v>
      </c>
      <c r="Q220" t="str">
        <v>Cash</v>
      </c>
      <c r="AE220" t="str">
        <v>Cockatiel</v>
      </c>
      <c r="AF220" t="str">
        <v>Ottawa</v>
      </c>
      <c r="BC220" s="6"/>
      <c r="BD220" s="7"/>
    </row>
    <row r="221" spans="5:56" x14ac:dyDescent="0.45">
      <c r="E221" s="6"/>
      <c r="F221" s="7"/>
      <c r="K221" t="str">
        <v>Rabbit</v>
      </c>
      <c r="L221" t="str">
        <v>Persian</v>
      </c>
      <c r="M221">
        <v>3</v>
      </c>
      <c r="N221" s="6">
        <v>200</v>
      </c>
      <c r="O221" s="7">
        <v>45012</v>
      </c>
      <c r="P221" t="str">
        <v>Vancouver</v>
      </c>
      <c r="Q221" t="str">
        <v>Cash</v>
      </c>
      <c r="AE221" t="str">
        <v>Persian</v>
      </c>
      <c r="AF221" t="str">
        <v>Vancouver</v>
      </c>
      <c r="BC221" s="6"/>
      <c r="BD221" s="7"/>
    </row>
    <row r="222" spans="5:56" x14ac:dyDescent="0.45">
      <c r="E222" s="6"/>
      <c r="F222" s="7"/>
      <c r="K222" t="str">
        <v>Bird</v>
      </c>
      <c r="L222" t="str">
        <v>Bulldog</v>
      </c>
      <c r="M222">
        <v>13</v>
      </c>
      <c r="N222" s="6">
        <v>75</v>
      </c>
      <c r="O222" s="7">
        <v>45018</v>
      </c>
      <c r="P222" t="str">
        <v>Toronto</v>
      </c>
      <c r="Q222" t="str">
        <v>Online Transfer</v>
      </c>
      <c r="AE222" t="str">
        <v>Bulldog</v>
      </c>
      <c r="AF222" t="str">
        <v>Toronto</v>
      </c>
      <c r="BC222" s="6"/>
      <c r="BD222" s="7"/>
    </row>
    <row r="223" spans="5:56" x14ac:dyDescent="0.45">
      <c r="E223" s="6"/>
      <c r="F223" s="7"/>
      <c r="K223" t="str">
        <v>Bird</v>
      </c>
      <c r="L223" t="str">
        <v>Holland Lop</v>
      </c>
      <c r="M223">
        <v>10</v>
      </c>
      <c r="N223" s="6">
        <v>150</v>
      </c>
      <c r="O223" s="7">
        <v>45168</v>
      </c>
      <c r="P223" t="str">
        <v>Calgary</v>
      </c>
      <c r="Q223" t="str">
        <v>Online Transfer</v>
      </c>
      <c r="AE223" t="str">
        <v>Holland Lop</v>
      </c>
      <c r="AF223" t="str">
        <v>Calgary</v>
      </c>
      <c r="BC223" s="6"/>
      <c r="BD223" s="7"/>
    </row>
    <row r="224" spans="5:56" x14ac:dyDescent="0.45">
      <c r="E224" s="6"/>
      <c r="F224" s="7"/>
      <c r="K224" t="str">
        <v>Dog</v>
      </c>
      <c r="L224" t="str">
        <v>Siamese</v>
      </c>
      <c r="M224">
        <v>13</v>
      </c>
      <c r="N224" s="6">
        <v>50</v>
      </c>
      <c r="O224" s="7">
        <v>44928</v>
      </c>
      <c r="P224" t="str">
        <v>Vancouver</v>
      </c>
      <c r="Q224" t="str">
        <v>Credit Card</v>
      </c>
      <c r="AE224" t="str">
        <v>Siamese</v>
      </c>
      <c r="AF224" t="str">
        <v>Vancouver</v>
      </c>
      <c r="BC224" s="6"/>
      <c r="BD224" s="7"/>
    </row>
    <row r="225" spans="5:56" x14ac:dyDescent="0.45">
      <c r="E225" s="6"/>
      <c r="F225" s="7"/>
      <c r="K225" t="str">
        <v>Dog</v>
      </c>
      <c r="L225" t="str">
        <v>Siamese</v>
      </c>
      <c r="M225">
        <v>13</v>
      </c>
      <c r="N225" s="6">
        <v>75</v>
      </c>
      <c r="O225" s="7">
        <v>45151</v>
      </c>
      <c r="P225" t="str">
        <v>Ottawa</v>
      </c>
      <c r="Q225" t="str">
        <v>Debit</v>
      </c>
      <c r="AE225" t="str">
        <v>Siamese</v>
      </c>
      <c r="AF225" t="str">
        <v>Ottawa</v>
      </c>
      <c r="BC225" s="6"/>
      <c r="BD225" s="7"/>
    </row>
    <row r="226" spans="5:56" x14ac:dyDescent="0.45">
      <c r="E226" s="6"/>
      <c r="F226" s="7"/>
      <c r="K226" t="str">
        <v>Cat</v>
      </c>
      <c r="L226" t="str">
        <v>Holland Lop</v>
      </c>
      <c r="M226">
        <v>13</v>
      </c>
      <c r="N226" s="6">
        <v>50</v>
      </c>
      <c r="O226" s="7">
        <v>45042</v>
      </c>
      <c r="P226" t="str">
        <v>Ottawa</v>
      </c>
      <c r="Q226" t="str">
        <v>Cash</v>
      </c>
      <c r="AE226" t="str">
        <v>Holland Lop</v>
      </c>
      <c r="AF226" t="str">
        <v>Ottawa</v>
      </c>
      <c r="BC226" s="6"/>
      <c r="BD226" s="7"/>
    </row>
    <row r="227" spans="5:56" x14ac:dyDescent="0.45">
      <c r="E227" s="6"/>
      <c r="F227" s="7"/>
      <c r="K227" t="str">
        <v>Dog</v>
      </c>
      <c r="L227" t="str">
        <v>Bulldog</v>
      </c>
      <c r="M227">
        <v>14</v>
      </c>
      <c r="N227" s="6">
        <v>200</v>
      </c>
      <c r="O227" s="7">
        <v>45029</v>
      </c>
      <c r="P227" t="str">
        <v>Vancouver</v>
      </c>
      <c r="Q227" t="str">
        <v>Credit Card</v>
      </c>
      <c r="AE227" t="str">
        <v>Bulldog</v>
      </c>
      <c r="AF227" t="str">
        <v>Vancouver</v>
      </c>
      <c r="BC227" s="6"/>
      <c r="BD227" s="7"/>
    </row>
    <row r="228" spans="5:56" x14ac:dyDescent="0.45">
      <c r="E228" s="6"/>
      <c r="F228" s="7"/>
      <c r="K228" t="str">
        <v>Rabbit</v>
      </c>
      <c r="L228" t="str">
        <v>Persian</v>
      </c>
      <c r="M228">
        <v>7</v>
      </c>
      <c r="N228" s="6">
        <v>50</v>
      </c>
      <c r="O228" s="7">
        <v>45120</v>
      </c>
      <c r="P228" t="str">
        <v>Ottawa</v>
      </c>
      <c r="Q228" t="str">
        <v>Credit Card</v>
      </c>
      <c r="AE228" t="str">
        <v>Persian</v>
      </c>
      <c r="AF228" t="str">
        <v>Ottawa</v>
      </c>
      <c r="BC228" s="6"/>
      <c r="BD228" s="7"/>
    </row>
    <row r="229" spans="5:56" x14ac:dyDescent="0.45">
      <c r="E229" s="6"/>
      <c r="F229" s="7"/>
      <c r="K229" t="str">
        <v>Bird</v>
      </c>
      <c r="L229" t="str">
        <v>Holland Lop</v>
      </c>
      <c r="M229">
        <v>6</v>
      </c>
      <c r="N229" s="6">
        <v>75</v>
      </c>
      <c r="O229" s="7">
        <v>45092</v>
      </c>
      <c r="P229" t="str">
        <v>Montreal</v>
      </c>
      <c r="Q229" t="str">
        <v>Credit Card</v>
      </c>
      <c r="AE229" t="str">
        <v>Holland Lop</v>
      </c>
      <c r="AF229" t="str">
        <v>Montreal</v>
      </c>
      <c r="BC229" s="6"/>
      <c r="BD229" s="7"/>
    </row>
    <row r="230" spans="5:56" x14ac:dyDescent="0.45">
      <c r="E230" s="6"/>
      <c r="F230" s="7"/>
      <c r="K230" t="str">
        <v>Dog</v>
      </c>
      <c r="L230" t="str">
        <v>American</v>
      </c>
      <c r="M230">
        <v>8</v>
      </c>
      <c r="N230" s="6">
        <v>150</v>
      </c>
      <c r="O230" s="7">
        <v>45016</v>
      </c>
      <c r="P230" t="str">
        <v>Montreal</v>
      </c>
      <c r="Q230" t="str">
        <v>Online Transfer</v>
      </c>
      <c r="AE230" t="str">
        <v>American</v>
      </c>
      <c r="AF230" t="str">
        <v>Montreal</v>
      </c>
      <c r="BC230" s="6"/>
      <c r="BD230" s="7"/>
    </row>
    <row r="231" spans="5:56" x14ac:dyDescent="0.45">
      <c r="E231" s="6"/>
      <c r="F231" s="7"/>
      <c r="K231" t="str">
        <v>Dog</v>
      </c>
      <c r="L231" t="str">
        <v>American</v>
      </c>
      <c r="M231">
        <v>6</v>
      </c>
      <c r="N231" s="6">
        <v>200</v>
      </c>
      <c r="O231" s="7">
        <v>45048</v>
      </c>
      <c r="P231" t="str">
        <v>Montreal</v>
      </c>
      <c r="Q231" t="str">
        <v>Cash</v>
      </c>
      <c r="AE231" t="str">
        <v>American</v>
      </c>
      <c r="AF231" t="str">
        <v>Montreal</v>
      </c>
      <c r="BC231" s="6"/>
      <c r="BD231" s="7"/>
    </row>
    <row r="232" spans="5:56" x14ac:dyDescent="0.45">
      <c r="E232" s="6"/>
      <c r="F232" s="7"/>
      <c r="K232" t="str">
        <v>Cat</v>
      </c>
      <c r="L232" t="str">
        <v>Siamese</v>
      </c>
      <c r="M232">
        <v>2</v>
      </c>
      <c r="N232" s="6">
        <v>75</v>
      </c>
      <c r="O232" s="7">
        <v>45069</v>
      </c>
      <c r="P232" t="str">
        <v>Toronto</v>
      </c>
      <c r="Q232" t="str">
        <v>Cash</v>
      </c>
      <c r="AE232" t="str">
        <v>Siamese</v>
      </c>
      <c r="AF232" t="str">
        <v>Toronto</v>
      </c>
      <c r="BC232" s="6"/>
      <c r="BD232" s="7"/>
    </row>
    <row r="233" spans="5:56" x14ac:dyDescent="0.45">
      <c r="E233" s="6"/>
      <c r="F233" s="7"/>
      <c r="K233" t="str">
        <v>Cat</v>
      </c>
      <c r="L233" t="str">
        <v>Cockatiel</v>
      </c>
      <c r="M233">
        <v>2</v>
      </c>
      <c r="N233" s="6">
        <v>200</v>
      </c>
      <c r="O233" s="7">
        <v>45032</v>
      </c>
      <c r="P233" t="str">
        <v>Vancouver</v>
      </c>
      <c r="Q233" t="str">
        <v>Debit</v>
      </c>
      <c r="AE233" t="str">
        <v>Cockatiel</v>
      </c>
      <c r="AF233" t="str">
        <v>Vancouver</v>
      </c>
      <c r="BC233" s="6"/>
      <c r="BD233" s="7"/>
    </row>
    <row r="234" spans="5:56" x14ac:dyDescent="0.45">
      <c r="E234" s="6"/>
      <c r="F234" s="7"/>
      <c r="K234" t="str">
        <v>Rabbit</v>
      </c>
      <c r="L234" t="str">
        <v>Persian</v>
      </c>
      <c r="M234">
        <v>14</v>
      </c>
      <c r="N234" s="6">
        <v>100</v>
      </c>
      <c r="O234" s="7">
        <v>45354</v>
      </c>
      <c r="P234" t="str">
        <v>Toronto</v>
      </c>
      <c r="Q234" t="str">
        <v>Cash</v>
      </c>
      <c r="AE234" t="str">
        <v>Persian</v>
      </c>
      <c r="AF234" t="str">
        <v>Toronto</v>
      </c>
      <c r="BC234" s="6"/>
      <c r="BD234" s="7"/>
    </row>
    <row r="235" spans="5:56" x14ac:dyDescent="0.45">
      <c r="E235" s="6"/>
      <c r="F235" s="7"/>
      <c r="K235" t="str">
        <v>Bird</v>
      </c>
      <c r="L235" t="str">
        <v>Siamese</v>
      </c>
      <c r="M235">
        <v>7</v>
      </c>
      <c r="N235" s="6">
        <v>50</v>
      </c>
      <c r="O235" s="7">
        <v>45231</v>
      </c>
      <c r="P235" t="str">
        <v>Ottawa</v>
      </c>
      <c r="Q235" t="str">
        <v>Cash</v>
      </c>
      <c r="AE235" t="str">
        <v>Siamese</v>
      </c>
      <c r="AF235" t="str">
        <v>Ottawa</v>
      </c>
      <c r="BC235" s="6"/>
      <c r="BD235" s="7"/>
    </row>
    <row r="236" spans="5:56" x14ac:dyDescent="0.45">
      <c r="E236" s="6"/>
      <c r="F236" s="7"/>
      <c r="K236" t="str">
        <v>Cat</v>
      </c>
      <c r="L236" t="str">
        <v>Cockatiel</v>
      </c>
      <c r="M236">
        <v>4</v>
      </c>
      <c r="N236" s="6">
        <v>100</v>
      </c>
      <c r="O236" s="7">
        <v>45243</v>
      </c>
      <c r="P236" t="str">
        <v>Toronto</v>
      </c>
      <c r="Q236" t="str">
        <v>Credit Card</v>
      </c>
      <c r="AE236" t="str">
        <v>Cockatiel</v>
      </c>
      <c r="AF236" t="str">
        <v>Toronto</v>
      </c>
      <c r="BC236" s="6"/>
      <c r="BD236" s="7"/>
    </row>
    <row r="237" spans="5:56" x14ac:dyDescent="0.45">
      <c r="E237" s="6"/>
      <c r="F237" s="7"/>
      <c r="K237" t="str">
        <v>Dog</v>
      </c>
      <c r="L237" t="str">
        <v>Cockatiel</v>
      </c>
      <c r="M237">
        <v>3</v>
      </c>
      <c r="N237" s="6">
        <v>75</v>
      </c>
      <c r="O237" s="7">
        <v>44935</v>
      </c>
      <c r="P237" t="str">
        <v>Ottawa</v>
      </c>
      <c r="Q237" t="str">
        <v>Debit</v>
      </c>
      <c r="AE237" t="str">
        <v>Cockatiel</v>
      </c>
      <c r="AF237" t="str">
        <v>Ottawa</v>
      </c>
      <c r="BC237" s="6"/>
      <c r="BD237" s="7"/>
    </row>
    <row r="238" spans="5:56" x14ac:dyDescent="0.45">
      <c r="E238" s="6"/>
      <c r="F238" s="7"/>
      <c r="K238" t="str">
        <v>Bird</v>
      </c>
      <c r="L238" t="str">
        <v>American</v>
      </c>
      <c r="M238">
        <v>7</v>
      </c>
      <c r="N238" s="6">
        <v>150</v>
      </c>
      <c r="O238" s="7">
        <v>44999</v>
      </c>
      <c r="P238" t="str">
        <v>Ottawa</v>
      </c>
      <c r="Q238" t="str">
        <v>Cash</v>
      </c>
      <c r="AE238" t="str">
        <v>American</v>
      </c>
      <c r="AF238" t="str">
        <v>Ottawa</v>
      </c>
      <c r="BC238" s="6"/>
      <c r="BD238" s="7"/>
    </row>
    <row r="239" spans="5:56" x14ac:dyDescent="0.45">
      <c r="E239" s="6"/>
      <c r="F239" s="7"/>
      <c r="K239" t="str">
        <v>Bird</v>
      </c>
      <c r="L239" t="str">
        <v>Bulldog</v>
      </c>
      <c r="M239">
        <v>14</v>
      </c>
      <c r="N239" s="6">
        <v>200</v>
      </c>
      <c r="O239" s="7">
        <v>45285</v>
      </c>
      <c r="P239" t="str">
        <v>Calgary</v>
      </c>
      <c r="Q239" t="str">
        <v>Online Transfer</v>
      </c>
      <c r="AE239" t="str">
        <v>Bulldog</v>
      </c>
      <c r="AF239" t="str">
        <v>Calgary</v>
      </c>
      <c r="BC239" s="6"/>
      <c r="BD239" s="7"/>
    </row>
    <row r="240" spans="5:56" x14ac:dyDescent="0.45">
      <c r="E240" s="6"/>
      <c r="F240" s="7"/>
      <c r="K240" t="str">
        <v>Dog</v>
      </c>
      <c r="L240" t="str">
        <v>Labrador</v>
      </c>
      <c r="M240">
        <v>5</v>
      </c>
      <c r="N240" s="6">
        <v>50</v>
      </c>
      <c r="O240" s="7">
        <v>45149</v>
      </c>
      <c r="P240" t="str">
        <v>Montreal</v>
      </c>
      <c r="Q240" t="str">
        <v>Cash</v>
      </c>
      <c r="AE240" t="str">
        <v>Labrador</v>
      </c>
      <c r="AF240" t="str">
        <v>Montreal</v>
      </c>
      <c r="BC240" s="6"/>
      <c r="BD240" s="7"/>
    </row>
    <row r="241" spans="5:56" x14ac:dyDescent="0.45">
      <c r="E241" s="6"/>
      <c r="F241" s="7"/>
      <c r="K241" t="str">
        <v>Cat</v>
      </c>
      <c r="L241" t="str">
        <v>Bulldog</v>
      </c>
      <c r="M241">
        <v>1</v>
      </c>
      <c r="N241" s="6">
        <v>200</v>
      </c>
      <c r="O241" s="7">
        <v>45342</v>
      </c>
      <c r="P241" t="str">
        <v>Ottawa</v>
      </c>
      <c r="Q241" t="str">
        <v>Credit Card</v>
      </c>
      <c r="AE241" t="str">
        <v>Bulldog</v>
      </c>
      <c r="AF241" t="str">
        <v>Ottawa</v>
      </c>
      <c r="BC241" s="6"/>
      <c r="BD241" s="7"/>
    </row>
    <row r="242" spans="5:56" x14ac:dyDescent="0.45">
      <c r="E242" s="6"/>
      <c r="F242" s="7"/>
      <c r="K242" t="str">
        <v>Dog</v>
      </c>
      <c r="L242" t="str">
        <v>Labrador</v>
      </c>
      <c r="M242">
        <v>3</v>
      </c>
      <c r="N242" s="6">
        <v>75</v>
      </c>
      <c r="O242" s="7">
        <v>45296</v>
      </c>
      <c r="P242" t="str">
        <v>Calgary</v>
      </c>
      <c r="Q242" t="str">
        <v>Online Transfer</v>
      </c>
      <c r="AE242" t="str">
        <v>Labrador</v>
      </c>
      <c r="AF242" t="str">
        <v>Calgary</v>
      </c>
      <c r="BC242" s="6"/>
      <c r="BD242" s="7"/>
    </row>
    <row r="243" spans="5:56" x14ac:dyDescent="0.45">
      <c r="E243" s="6"/>
      <c r="F243" s="7"/>
      <c r="K243" t="str">
        <v>Bird</v>
      </c>
      <c r="L243" t="str">
        <v>Holland Lop</v>
      </c>
      <c r="M243">
        <v>11</v>
      </c>
      <c r="N243" s="6">
        <v>200</v>
      </c>
      <c r="O243" s="7">
        <v>45190</v>
      </c>
      <c r="P243" t="str">
        <v>Montreal</v>
      </c>
      <c r="Q243" t="str">
        <v>Credit Card</v>
      </c>
      <c r="AE243" t="str">
        <v>Holland Lop</v>
      </c>
      <c r="AF243" t="str">
        <v>Montreal</v>
      </c>
      <c r="BC243" s="6"/>
      <c r="BD243" s="7"/>
    </row>
    <row r="244" spans="5:56" x14ac:dyDescent="0.45">
      <c r="E244" s="6"/>
      <c r="F244" s="7"/>
      <c r="K244" t="str">
        <v>Guinea Pig</v>
      </c>
      <c r="L244" t="str">
        <v>American</v>
      </c>
      <c r="M244">
        <v>10</v>
      </c>
      <c r="N244" s="6">
        <v>50</v>
      </c>
      <c r="O244" s="7">
        <v>45244</v>
      </c>
      <c r="P244" t="str">
        <v>Ottawa</v>
      </c>
      <c r="Q244" t="str">
        <v>Cash</v>
      </c>
      <c r="AE244" t="str">
        <v>American</v>
      </c>
      <c r="AF244" t="str">
        <v>Ottawa</v>
      </c>
      <c r="BC244" s="6"/>
      <c r="BD244" s="7"/>
    </row>
    <row r="245" spans="5:56" x14ac:dyDescent="0.45">
      <c r="E245" s="6"/>
      <c r="F245" s="7"/>
      <c r="K245" t="str">
        <v>Guinea Pig</v>
      </c>
      <c r="L245" t="str">
        <v>Cockatiel</v>
      </c>
      <c r="M245">
        <v>3</v>
      </c>
      <c r="N245" s="6">
        <v>75</v>
      </c>
      <c r="O245" s="7">
        <v>45010</v>
      </c>
      <c r="P245" t="str">
        <v>Ottawa</v>
      </c>
      <c r="Q245" t="str">
        <v>Online Transfer</v>
      </c>
      <c r="AE245" t="str">
        <v>Cockatiel</v>
      </c>
      <c r="AF245" t="str">
        <v>Ottawa</v>
      </c>
      <c r="BC245" s="6"/>
      <c r="BD245" s="7"/>
    </row>
    <row r="246" spans="5:56" x14ac:dyDescent="0.45">
      <c r="E246" s="6"/>
      <c r="F246" s="7"/>
      <c r="K246" t="str">
        <v>Rabbit</v>
      </c>
      <c r="L246" t="str">
        <v>Persian</v>
      </c>
      <c r="M246">
        <v>14</v>
      </c>
      <c r="N246" s="6">
        <v>200</v>
      </c>
      <c r="O246" s="7">
        <v>45244</v>
      </c>
      <c r="P246" t="str">
        <v>Toronto</v>
      </c>
      <c r="Q246" t="str">
        <v>Debit</v>
      </c>
      <c r="AE246" t="str">
        <v>Persian</v>
      </c>
      <c r="AF246" t="str">
        <v>Toronto</v>
      </c>
      <c r="BC246" s="6"/>
      <c r="BD246" s="7"/>
    </row>
    <row r="247" spans="5:56" x14ac:dyDescent="0.45">
      <c r="E247" s="6"/>
      <c r="F247" s="7"/>
      <c r="K247" t="str">
        <v>Dog</v>
      </c>
      <c r="L247" t="str">
        <v>Labrador</v>
      </c>
      <c r="M247">
        <v>5</v>
      </c>
      <c r="N247" s="6">
        <v>150</v>
      </c>
      <c r="O247" s="7">
        <v>45037</v>
      </c>
      <c r="P247" t="str">
        <v>Toronto</v>
      </c>
      <c r="Q247" t="str">
        <v>Debit</v>
      </c>
      <c r="AE247" t="str">
        <v>Labrador</v>
      </c>
      <c r="AF247" t="str">
        <v>Toronto</v>
      </c>
      <c r="BC247" s="6"/>
      <c r="BD247" s="7"/>
    </row>
    <row r="248" spans="5:56" x14ac:dyDescent="0.45">
      <c r="E248" s="6"/>
      <c r="F248" s="7"/>
      <c r="K248" t="str">
        <v>Dog</v>
      </c>
      <c r="L248" t="str">
        <v>Bulldog</v>
      </c>
      <c r="M248">
        <v>5</v>
      </c>
      <c r="N248" s="6">
        <v>75</v>
      </c>
      <c r="O248" s="7">
        <v>45177</v>
      </c>
      <c r="P248" t="str">
        <v>Montreal</v>
      </c>
      <c r="Q248" t="str">
        <v>Online Transfer</v>
      </c>
      <c r="AE248" t="str">
        <v>Bulldog</v>
      </c>
      <c r="AF248" t="str">
        <v>Montreal</v>
      </c>
      <c r="BC248" s="6"/>
      <c r="BD248" s="7"/>
    </row>
    <row r="249" spans="5:56" x14ac:dyDescent="0.45">
      <c r="E249" s="6"/>
      <c r="F249" s="7"/>
      <c r="K249" t="str">
        <v>Rabbit</v>
      </c>
      <c r="L249" t="str">
        <v>Cockatiel</v>
      </c>
      <c r="M249">
        <v>0</v>
      </c>
      <c r="N249" s="6">
        <v>75</v>
      </c>
      <c r="O249" s="7">
        <v>45309</v>
      </c>
      <c r="P249" t="str">
        <v>Ottawa</v>
      </c>
      <c r="Q249" t="str">
        <v>Online Transfer</v>
      </c>
      <c r="AE249" t="str">
        <v>Cockatiel</v>
      </c>
      <c r="AF249" t="str">
        <v>Ottawa</v>
      </c>
      <c r="BC249" s="6"/>
      <c r="BD249" s="7"/>
    </row>
    <row r="250" spans="5:56" x14ac:dyDescent="0.45">
      <c r="E250" s="6"/>
      <c r="F250" s="7"/>
      <c r="K250" t="str">
        <v>Rabbit</v>
      </c>
      <c r="L250" t="str">
        <v>Labrador</v>
      </c>
      <c r="M250">
        <v>13</v>
      </c>
      <c r="N250" s="6">
        <v>150</v>
      </c>
      <c r="O250" s="7">
        <v>44933</v>
      </c>
      <c r="P250" t="str">
        <v>Vancouver</v>
      </c>
      <c r="Q250" t="str">
        <v>Credit Card</v>
      </c>
      <c r="AE250" t="str">
        <v>Labrador</v>
      </c>
      <c r="AF250" t="str">
        <v>Vancouver</v>
      </c>
      <c r="BC250" s="6"/>
      <c r="BD250" s="7"/>
    </row>
    <row r="251" spans="5:56" x14ac:dyDescent="0.45">
      <c r="E251" s="6"/>
      <c r="F251" s="7"/>
      <c r="K251" t="str">
        <v>Rabbit</v>
      </c>
      <c r="L251" t="str">
        <v>Labrador</v>
      </c>
      <c r="M251">
        <v>7</v>
      </c>
      <c r="N251" s="6">
        <v>100</v>
      </c>
      <c r="O251" s="7">
        <v>45385</v>
      </c>
      <c r="P251" t="str">
        <v>Toronto</v>
      </c>
      <c r="Q251" t="str">
        <v>Online Transfer</v>
      </c>
      <c r="AE251" t="str">
        <v>Labrador</v>
      </c>
      <c r="AF251" t="str">
        <v>Toronto</v>
      </c>
      <c r="BC251" s="6"/>
      <c r="BD251" s="7"/>
    </row>
    <row r="252" spans="5:56" x14ac:dyDescent="0.45">
      <c r="E252" s="6"/>
      <c r="F252" s="7"/>
      <c r="K252" t="str">
        <v>Bird</v>
      </c>
      <c r="L252" t="str">
        <v>Labrador</v>
      </c>
      <c r="M252">
        <v>5</v>
      </c>
      <c r="N252" s="6">
        <v>50</v>
      </c>
      <c r="O252" s="7">
        <v>45010</v>
      </c>
      <c r="P252" t="str">
        <v>Montreal</v>
      </c>
      <c r="Q252" t="str">
        <v>Credit Card</v>
      </c>
      <c r="AE252" t="str">
        <v>Labrador</v>
      </c>
      <c r="AF252" t="str">
        <v>Montreal</v>
      </c>
      <c r="BC252" s="6"/>
      <c r="BD252" s="7"/>
    </row>
    <row r="253" spans="5:56" x14ac:dyDescent="0.45">
      <c r="E253" s="6"/>
      <c r="F253" s="7"/>
      <c r="K253" t="str">
        <v>Dog</v>
      </c>
      <c r="L253" t="str">
        <v>Persian</v>
      </c>
      <c r="M253">
        <v>2</v>
      </c>
      <c r="N253" s="6">
        <v>100</v>
      </c>
      <c r="O253" s="7">
        <v>45134</v>
      </c>
      <c r="P253" t="str">
        <v>Ottawa</v>
      </c>
      <c r="Q253" t="str">
        <v>Cash</v>
      </c>
      <c r="AE253" t="str">
        <v>Persian</v>
      </c>
      <c r="AF253" t="str">
        <v>Ottawa</v>
      </c>
      <c r="BC253" s="6"/>
      <c r="BD253" s="7"/>
    </row>
    <row r="254" spans="5:56" x14ac:dyDescent="0.45">
      <c r="E254" s="6"/>
      <c r="F254" s="7"/>
      <c r="K254" t="str">
        <v>Bird</v>
      </c>
      <c r="L254" t="str">
        <v>American</v>
      </c>
      <c r="M254">
        <v>13</v>
      </c>
      <c r="N254" s="6">
        <v>200</v>
      </c>
      <c r="O254" s="7">
        <v>45316</v>
      </c>
      <c r="P254" t="str">
        <v>Ottawa</v>
      </c>
      <c r="Q254" t="str">
        <v>Credit Card</v>
      </c>
      <c r="AE254" t="str">
        <v>American</v>
      </c>
      <c r="AF254" t="str">
        <v>Ottawa</v>
      </c>
      <c r="BC254" s="6"/>
      <c r="BD254" s="7"/>
    </row>
    <row r="255" spans="5:56" x14ac:dyDescent="0.45">
      <c r="E255" s="6"/>
      <c r="F255" s="7"/>
      <c r="K255" t="str">
        <v>Rabbit</v>
      </c>
      <c r="L255" t="str">
        <v>Persian</v>
      </c>
      <c r="M255">
        <v>8</v>
      </c>
      <c r="N255" s="6">
        <v>150</v>
      </c>
      <c r="O255" s="7">
        <v>45240</v>
      </c>
      <c r="P255" t="str">
        <v>Vancouver</v>
      </c>
      <c r="Q255" t="str">
        <v>Online Transfer</v>
      </c>
      <c r="AE255" t="str">
        <v>Persian</v>
      </c>
      <c r="AF255" t="str">
        <v>Vancouver</v>
      </c>
      <c r="BC255" s="6"/>
      <c r="BD255" s="7"/>
    </row>
    <row r="256" spans="5:56" x14ac:dyDescent="0.45">
      <c r="E256" s="6"/>
      <c r="F256" s="7"/>
      <c r="K256" t="str">
        <v>Dog</v>
      </c>
      <c r="L256" t="str">
        <v>Siamese</v>
      </c>
      <c r="M256">
        <v>1</v>
      </c>
      <c r="N256" s="6">
        <v>100</v>
      </c>
      <c r="O256" s="7">
        <v>44948</v>
      </c>
      <c r="P256" t="str">
        <v>Montreal</v>
      </c>
      <c r="Q256" t="str">
        <v>Online Transfer</v>
      </c>
      <c r="AE256" t="str">
        <v>Siamese</v>
      </c>
      <c r="AF256" t="str">
        <v>Montreal</v>
      </c>
      <c r="BC256" s="6"/>
      <c r="BD256" s="7"/>
    </row>
    <row r="257" spans="5:56" x14ac:dyDescent="0.45">
      <c r="E257" s="6"/>
      <c r="F257" s="7"/>
      <c r="K257" t="str">
        <v>Bird</v>
      </c>
      <c r="L257" t="str">
        <v>Cockatiel</v>
      </c>
      <c r="M257">
        <v>14</v>
      </c>
      <c r="N257" s="6">
        <v>75</v>
      </c>
      <c r="O257" s="7">
        <v>45336</v>
      </c>
      <c r="P257" t="str">
        <v>Ottawa</v>
      </c>
      <c r="Q257" t="str">
        <v>Cash</v>
      </c>
      <c r="AE257" t="str">
        <v>Cockatiel</v>
      </c>
      <c r="AF257" t="str">
        <v>Ottawa</v>
      </c>
      <c r="BC257" s="6"/>
      <c r="BD257" s="7"/>
    </row>
    <row r="258" spans="5:56" x14ac:dyDescent="0.45">
      <c r="E258" s="6"/>
      <c r="F258" s="7"/>
      <c r="K258" t="str">
        <v>Bird</v>
      </c>
      <c r="L258" t="str">
        <v>American</v>
      </c>
      <c r="M258">
        <v>10</v>
      </c>
      <c r="N258" s="6">
        <v>200</v>
      </c>
      <c r="O258" s="7">
        <v>45441</v>
      </c>
      <c r="P258" t="str">
        <v>Toronto</v>
      </c>
      <c r="Q258" t="str">
        <v>Online Transfer</v>
      </c>
      <c r="AE258" t="str">
        <v>American</v>
      </c>
      <c r="AF258" t="str">
        <v>Toronto</v>
      </c>
      <c r="BC258" s="6"/>
      <c r="BD258" s="7"/>
    </row>
    <row r="259" spans="5:56" x14ac:dyDescent="0.45">
      <c r="E259" s="6"/>
      <c r="F259" s="7"/>
      <c r="K259" t="str">
        <v>Rabbit</v>
      </c>
      <c r="L259" t="str">
        <v>American</v>
      </c>
      <c r="M259">
        <v>7</v>
      </c>
      <c r="N259" s="6">
        <v>200</v>
      </c>
      <c r="O259" s="7">
        <v>45053</v>
      </c>
      <c r="P259" t="str">
        <v>Vancouver</v>
      </c>
      <c r="Q259" t="str">
        <v>Online Transfer</v>
      </c>
      <c r="AE259" t="str">
        <v>American</v>
      </c>
      <c r="AF259" t="str">
        <v>Vancouver</v>
      </c>
      <c r="BC259" s="6"/>
      <c r="BD259" s="7"/>
    </row>
    <row r="260" spans="5:56" x14ac:dyDescent="0.45">
      <c r="E260" s="6"/>
      <c r="F260" s="7"/>
      <c r="K260" t="str">
        <v>Dog</v>
      </c>
      <c r="L260" t="str">
        <v>American</v>
      </c>
      <c r="M260">
        <v>9</v>
      </c>
      <c r="N260" s="6">
        <v>100</v>
      </c>
      <c r="O260" s="7">
        <v>44940</v>
      </c>
      <c r="P260" t="str">
        <v>Montreal</v>
      </c>
      <c r="Q260" t="str">
        <v>Debit</v>
      </c>
      <c r="AE260" t="str">
        <v>American</v>
      </c>
      <c r="AF260" t="str">
        <v>Montreal</v>
      </c>
      <c r="BC260" s="6"/>
      <c r="BD260" s="7"/>
    </row>
    <row r="261" spans="5:56" x14ac:dyDescent="0.45">
      <c r="E261" s="6"/>
      <c r="F261" s="7"/>
      <c r="K261" t="str">
        <v>Rabbit</v>
      </c>
      <c r="L261" t="str">
        <v>Bulldog</v>
      </c>
      <c r="M261">
        <v>2</v>
      </c>
      <c r="N261" s="6">
        <v>100</v>
      </c>
      <c r="O261" s="7">
        <v>44938</v>
      </c>
      <c r="P261" t="str">
        <v>Vancouver</v>
      </c>
      <c r="Q261" t="str">
        <v>Debit</v>
      </c>
      <c r="AE261" t="str">
        <v>Bulldog</v>
      </c>
      <c r="AF261" t="str">
        <v>Vancouver</v>
      </c>
      <c r="BC261" s="6"/>
      <c r="BD261" s="7"/>
    </row>
    <row r="262" spans="5:56" x14ac:dyDescent="0.45">
      <c r="E262" s="6"/>
      <c r="F262" s="7"/>
      <c r="K262" t="str">
        <v>Dog</v>
      </c>
      <c r="L262" t="str">
        <v>American</v>
      </c>
      <c r="M262">
        <v>12</v>
      </c>
      <c r="N262" s="6">
        <v>150</v>
      </c>
      <c r="O262" s="7">
        <v>45013</v>
      </c>
      <c r="P262" t="str">
        <v>Toronto</v>
      </c>
      <c r="Q262" t="str">
        <v>Cash</v>
      </c>
      <c r="AE262" t="str">
        <v>American</v>
      </c>
      <c r="AF262" t="str">
        <v>Toronto</v>
      </c>
      <c r="BC262" s="6"/>
      <c r="BD262" s="7"/>
    </row>
    <row r="263" spans="5:56" x14ac:dyDescent="0.45">
      <c r="E263" s="6"/>
      <c r="F263" s="7"/>
      <c r="K263" t="str">
        <v>Guinea Pig</v>
      </c>
      <c r="L263" t="str">
        <v>Persian</v>
      </c>
      <c r="M263">
        <v>11</v>
      </c>
      <c r="N263" s="6">
        <v>50</v>
      </c>
      <c r="O263" s="7">
        <v>45450</v>
      </c>
      <c r="P263" t="str">
        <v>Montreal</v>
      </c>
      <c r="Q263" t="str">
        <v>Credit Card</v>
      </c>
      <c r="AE263" t="str">
        <v>Persian</v>
      </c>
      <c r="AF263" t="str">
        <v>Montreal</v>
      </c>
      <c r="BC263" s="6"/>
      <c r="BD263" s="7"/>
    </row>
    <row r="264" spans="5:56" x14ac:dyDescent="0.45">
      <c r="E264" s="6"/>
      <c r="F264" s="7"/>
      <c r="K264" t="str">
        <v>Cat</v>
      </c>
      <c r="L264" t="str">
        <v>American</v>
      </c>
      <c r="M264">
        <v>4</v>
      </c>
      <c r="N264" s="6">
        <v>100</v>
      </c>
      <c r="O264" s="7">
        <v>45463</v>
      </c>
      <c r="P264" t="str">
        <v>Vancouver</v>
      </c>
      <c r="Q264" t="str">
        <v>Debit</v>
      </c>
      <c r="AE264" t="str">
        <v>American</v>
      </c>
      <c r="AF264" t="str">
        <v>Vancouver</v>
      </c>
      <c r="BC264" s="6"/>
      <c r="BD264" s="7"/>
    </row>
    <row r="265" spans="5:56" x14ac:dyDescent="0.45">
      <c r="E265" s="6"/>
      <c r="F265" s="7"/>
      <c r="K265" t="str">
        <v>Cat</v>
      </c>
      <c r="L265" t="str">
        <v>Holland Lop</v>
      </c>
      <c r="M265">
        <v>5</v>
      </c>
      <c r="N265" s="6">
        <v>100</v>
      </c>
      <c r="O265" s="7">
        <v>45227</v>
      </c>
      <c r="P265" t="str">
        <v>Calgary</v>
      </c>
      <c r="Q265" t="str">
        <v>Credit Card</v>
      </c>
      <c r="AE265" t="str">
        <v>Holland Lop</v>
      </c>
      <c r="AF265" t="str">
        <v>Calgary</v>
      </c>
      <c r="BC265" s="6"/>
      <c r="BD265" s="7"/>
    </row>
    <row r="266" spans="5:56" x14ac:dyDescent="0.45">
      <c r="E266" s="6"/>
      <c r="F266" s="7"/>
      <c r="K266" t="str">
        <v>Cat</v>
      </c>
      <c r="L266" t="str">
        <v>Cockatiel</v>
      </c>
      <c r="M266">
        <v>9</v>
      </c>
      <c r="N266" s="6">
        <v>75</v>
      </c>
      <c r="O266" s="7">
        <v>45169</v>
      </c>
      <c r="P266" t="str">
        <v>Toronto</v>
      </c>
      <c r="Q266" t="str">
        <v>Online Transfer</v>
      </c>
      <c r="AE266" t="str">
        <v>Cockatiel</v>
      </c>
      <c r="AF266" t="str">
        <v>Toronto</v>
      </c>
      <c r="BC266" s="6"/>
      <c r="BD266" s="7"/>
    </row>
    <row r="267" spans="5:56" x14ac:dyDescent="0.45">
      <c r="E267" s="6"/>
      <c r="F267" s="7"/>
      <c r="K267" t="str">
        <v>Rabbit</v>
      </c>
      <c r="L267" t="str">
        <v>American</v>
      </c>
      <c r="M267">
        <v>5</v>
      </c>
      <c r="N267" s="6">
        <v>200</v>
      </c>
      <c r="O267" s="7">
        <v>45048</v>
      </c>
      <c r="P267" t="str">
        <v>Toronto</v>
      </c>
      <c r="Q267" t="str">
        <v>Debit</v>
      </c>
      <c r="AE267" t="str">
        <v>American</v>
      </c>
      <c r="AF267" t="str">
        <v>Toronto</v>
      </c>
      <c r="BC267" s="6"/>
      <c r="BD267" s="7"/>
    </row>
    <row r="268" spans="5:56" x14ac:dyDescent="0.45">
      <c r="E268" s="6"/>
      <c r="F268" s="7"/>
      <c r="K268" t="str">
        <v>Guinea Pig</v>
      </c>
      <c r="L268" t="str">
        <v>Cockatiel</v>
      </c>
      <c r="M268">
        <v>3</v>
      </c>
      <c r="N268" s="6">
        <v>50</v>
      </c>
      <c r="O268" s="7">
        <v>45073</v>
      </c>
      <c r="P268" t="str">
        <v>Toronto</v>
      </c>
      <c r="Q268" t="str">
        <v>Cash</v>
      </c>
      <c r="AE268" t="str">
        <v>Cockatiel</v>
      </c>
      <c r="AF268" t="str">
        <v>Toronto</v>
      </c>
      <c r="BC268" s="6"/>
      <c r="BD268" s="7"/>
    </row>
    <row r="269" spans="5:56" x14ac:dyDescent="0.45">
      <c r="E269" s="6"/>
      <c r="F269" s="7"/>
      <c r="K269" t="str">
        <v>Dog</v>
      </c>
      <c r="L269" t="str">
        <v>Holland Lop</v>
      </c>
      <c r="M269">
        <v>2</v>
      </c>
      <c r="N269" s="6">
        <v>75</v>
      </c>
      <c r="O269" s="7">
        <v>45282</v>
      </c>
      <c r="P269" t="str">
        <v>Calgary</v>
      </c>
      <c r="Q269" t="str">
        <v>Cash</v>
      </c>
      <c r="AE269" t="str">
        <v>Holland Lop</v>
      </c>
      <c r="AF269" t="str">
        <v>Calgary</v>
      </c>
      <c r="BC269" s="6"/>
      <c r="BD269" s="7"/>
    </row>
    <row r="270" spans="5:56" x14ac:dyDescent="0.45">
      <c r="E270" s="6"/>
      <c r="F270" s="7"/>
      <c r="K270" t="str">
        <v>Bird</v>
      </c>
      <c r="L270" t="str">
        <v>Holland Lop</v>
      </c>
      <c r="M270">
        <v>3</v>
      </c>
      <c r="N270" s="6">
        <v>150</v>
      </c>
      <c r="O270" s="7">
        <v>45235</v>
      </c>
      <c r="P270" t="str">
        <v>Calgary</v>
      </c>
      <c r="Q270" t="str">
        <v>Cash</v>
      </c>
      <c r="AE270" t="str">
        <v>Holland Lop</v>
      </c>
      <c r="AF270" t="str">
        <v>Calgary</v>
      </c>
      <c r="BC270" s="6"/>
      <c r="BD270" s="7"/>
    </row>
    <row r="271" spans="5:56" x14ac:dyDescent="0.45">
      <c r="E271" s="6"/>
      <c r="F271" s="7"/>
      <c r="K271" t="str">
        <v>Dog</v>
      </c>
      <c r="L271" t="str">
        <v>Cockatiel</v>
      </c>
      <c r="M271">
        <v>0</v>
      </c>
      <c r="N271" s="6">
        <v>150</v>
      </c>
      <c r="O271" s="7">
        <v>45214</v>
      </c>
      <c r="P271" t="str">
        <v>Ottawa</v>
      </c>
      <c r="Q271" t="str">
        <v>Debit</v>
      </c>
      <c r="AE271" t="str">
        <v>Cockatiel</v>
      </c>
      <c r="AF271" t="str">
        <v>Ottawa</v>
      </c>
      <c r="BC271" s="6"/>
      <c r="BD271" s="7"/>
    </row>
    <row r="272" spans="5:56" x14ac:dyDescent="0.45">
      <c r="E272" s="6"/>
      <c r="F272" s="7"/>
      <c r="K272" t="str">
        <v>Bird</v>
      </c>
      <c r="L272" t="str">
        <v>Labrador</v>
      </c>
      <c r="M272">
        <v>3</v>
      </c>
      <c r="N272" s="6">
        <v>100</v>
      </c>
      <c r="O272" s="7">
        <v>45233</v>
      </c>
      <c r="P272" t="str">
        <v>Vancouver</v>
      </c>
      <c r="Q272" t="str">
        <v>Credit Card</v>
      </c>
      <c r="AE272" t="str">
        <v>Labrador</v>
      </c>
      <c r="AF272" t="str">
        <v>Vancouver</v>
      </c>
      <c r="BC272" s="6"/>
      <c r="BD272" s="7"/>
    </row>
    <row r="273" spans="5:56" x14ac:dyDescent="0.45">
      <c r="E273" s="6"/>
      <c r="F273" s="7"/>
      <c r="K273" t="str">
        <v>Dog</v>
      </c>
      <c r="L273" t="str">
        <v>Siamese</v>
      </c>
      <c r="M273">
        <v>0</v>
      </c>
      <c r="N273" s="6">
        <v>100</v>
      </c>
      <c r="O273" s="7">
        <v>45278</v>
      </c>
      <c r="P273" t="str">
        <v>Ottawa</v>
      </c>
      <c r="Q273" t="str">
        <v>Online Transfer</v>
      </c>
      <c r="AE273" t="str">
        <v>Siamese</v>
      </c>
      <c r="AF273" t="str">
        <v>Ottawa</v>
      </c>
      <c r="BC273" s="6"/>
      <c r="BD273" s="7"/>
    </row>
    <row r="274" spans="5:56" x14ac:dyDescent="0.45">
      <c r="E274" s="6"/>
      <c r="F274" s="7"/>
      <c r="K274" t="str">
        <v>Guinea Pig</v>
      </c>
      <c r="L274" t="str">
        <v>Bulldog</v>
      </c>
      <c r="M274">
        <v>11</v>
      </c>
      <c r="N274" s="6">
        <v>150</v>
      </c>
      <c r="O274" s="7">
        <v>45238</v>
      </c>
      <c r="P274" t="str">
        <v>Vancouver</v>
      </c>
      <c r="Q274" t="str">
        <v>Credit Card</v>
      </c>
      <c r="AE274" t="str">
        <v>Bulldog</v>
      </c>
      <c r="AF274" t="str">
        <v>Vancouver</v>
      </c>
      <c r="BC274" s="6"/>
      <c r="BD274" s="7"/>
    </row>
    <row r="275" spans="5:56" x14ac:dyDescent="0.45">
      <c r="E275" s="6"/>
      <c r="F275" s="7"/>
      <c r="K275" t="str">
        <v>Bird</v>
      </c>
      <c r="L275" t="str">
        <v>Labrador</v>
      </c>
      <c r="M275">
        <v>14</v>
      </c>
      <c r="N275" s="6">
        <v>100</v>
      </c>
      <c r="O275" s="7">
        <v>44985</v>
      </c>
      <c r="P275" t="str">
        <v>Calgary</v>
      </c>
      <c r="Q275" t="str">
        <v>Credit Card</v>
      </c>
      <c r="AE275" t="str">
        <v>Labrador</v>
      </c>
      <c r="AF275" t="str">
        <v>Calgary</v>
      </c>
      <c r="BC275" s="6"/>
      <c r="BD275" s="7"/>
    </row>
    <row r="276" spans="5:56" x14ac:dyDescent="0.45">
      <c r="E276" s="6"/>
      <c r="F276" s="7"/>
      <c r="K276" t="str">
        <v>Rabbit</v>
      </c>
      <c r="L276" t="str">
        <v>Labrador</v>
      </c>
      <c r="M276">
        <v>0</v>
      </c>
      <c r="N276" s="6">
        <v>50</v>
      </c>
      <c r="O276" s="7">
        <v>44961</v>
      </c>
      <c r="P276" t="str">
        <v>Calgary</v>
      </c>
      <c r="Q276" t="str">
        <v>Online Transfer</v>
      </c>
      <c r="AE276" t="str">
        <v>Labrador</v>
      </c>
      <c r="AF276" t="str">
        <v>Calgary</v>
      </c>
      <c r="BC276" s="6"/>
      <c r="BD276" s="7"/>
    </row>
    <row r="277" spans="5:56" x14ac:dyDescent="0.45">
      <c r="E277" s="6"/>
      <c r="F277" s="7"/>
      <c r="K277" t="str">
        <v>Dog</v>
      </c>
      <c r="L277" t="str">
        <v>Persian</v>
      </c>
      <c r="M277">
        <v>9</v>
      </c>
      <c r="N277" s="6">
        <v>100</v>
      </c>
      <c r="O277" s="7">
        <v>45371</v>
      </c>
      <c r="P277" t="str">
        <v>Ottawa</v>
      </c>
      <c r="Q277" t="str">
        <v>Online Transfer</v>
      </c>
      <c r="AE277" t="str">
        <v>Persian</v>
      </c>
      <c r="AF277" t="str">
        <v>Ottawa</v>
      </c>
      <c r="BC277" s="6"/>
      <c r="BD277" s="7"/>
    </row>
    <row r="278" spans="5:56" x14ac:dyDescent="0.45">
      <c r="E278" s="6"/>
      <c r="F278" s="7"/>
      <c r="K278" t="str">
        <v>Dog</v>
      </c>
      <c r="L278" t="str">
        <v>Bulldog</v>
      </c>
      <c r="M278">
        <v>13</v>
      </c>
      <c r="N278" s="6">
        <v>200</v>
      </c>
      <c r="O278" s="7">
        <v>45019</v>
      </c>
      <c r="P278" t="str">
        <v>Montreal</v>
      </c>
      <c r="Q278" t="str">
        <v>Debit</v>
      </c>
      <c r="AE278" t="str">
        <v>Bulldog</v>
      </c>
      <c r="AF278" t="str">
        <v>Montreal</v>
      </c>
      <c r="BC278" s="6"/>
      <c r="BD278" s="7"/>
    </row>
    <row r="279" spans="5:56" x14ac:dyDescent="0.45">
      <c r="E279" s="6"/>
      <c r="F279" s="7"/>
      <c r="K279" t="str">
        <v>Bird</v>
      </c>
      <c r="L279" t="str">
        <v>Bulldog</v>
      </c>
      <c r="M279">
        <v>5</v>
      </c>
      <c r="N279" s="6">
        <v>100</v>
      </c>
      <c r="O279" s="7">
        <v>45133</v>
      </c>
      <c r="P279" t="str">
        <v>Ottawa</v>
      </c>
      <c r="Q279" t="str">
        <v>Debit</v>
      </c>
      <c r="AE279" t="str">
        <v>Bulldog</v>
      </c>
      <c r="AF279" t="str">
        <v>Ottawa</v>
      </c>
      <c r="BC279" s="6"/>
      <c r="BD279" s="7"/>
    </row>
    <row r="280" spans="5:56" x14ac:dyDescent="0.45">
      <c r="E280" s="6"/>
      <c r="F280" s="7"/>
      <c r="K280" t="str">
        <v>Rabbit</v>
      </c>
      <c r="L280" t="str">
        <v>Labrador</v>
      </c>
      <c r="M280">
        <v>4</v>
      </c>
      <c r="N280" s="6">
        <v>75</v>
      </c>
      <c r="O280" s="7">
        <v>45279</v>
      </c>
      <c r="P280" t="str">
        <v>Vancouver</v>
      </c>
      <c r="Q280" t="str">
        <v>Debit</v>
      </c>
      <c r="AE280" t="str">
        <v>Labrador</v>
      </c>
      <c r="AF280" t="str">
        <v>Vancouver</v>
      </c>
      <c r="BC280" s="6"/>
      <c r="BD280" s="7"/>
    </row>
    <row r="281" spans="5:56" x14ac:dyDescent="0.45">
      <c r="E281" s="6"/>
      <c r="F281" s="7"/>
      <c r="K281" t="str">
        <v>Rabbit</v>
      </c>
      <c r="L281" t="str">
        <v>American</v>
      </c>
      <c r="M281">
        <v>13</v>
      </c>
      <c r="N281" s="6">
        <v>50</v>
      </c>
      <c r="O281" s="7">
        <v>45258</v>
      </c>
      <c r="P281" t="str">
        <v>Ottawa</v>
      </c>
      <c r="Q281" t="str">
        <v>Debit</v>
      </c>
      <c r="AE281" t="str">
        <v>American</v>
      </c>
      <c r="AF281" t="str">
        <v>Ottawa</v>
      </c>
      <c r="BC281" s="6"/>
      <c r="BD281" s="7"/>
    </row>
    <row r="282" spans="5:56" x14ac:dyDescent="0.45">
      <c r="E282" s="6"/>
      <c r="F282" s="7"/>
      <c r="K282" t="str">
        <v>Guinea Pig</v>
      </c>
      <c r="L282" t="str">
        <v>Persian</v>
      </c>
      <c r="M282">
        <v>10</v>
      </c>
      <c r="N282" s="6">
        <v>75</v>
      </c>
      <c r="O282" s="7">
        <v>45085</v>
      </c>
      <c r="P282" t="str">
        <v>Toronto</v>
      </c>
      <c r="Q282" t="str">
        <v>Debit</v>
      </c>
      <c r="AE282" t="str">
        <v>Persian</v>
      </c>
      <c r="AF282" t="str">
        <v>Toronto</v>
      </c>
      <c r="BC282" s="6"/>
      <c r="BD282" s="7"/>
    </row>
    <row r="283" spans="5:56" x14ac:dyDescent="0.45">
      <c r="E283" s="6"/>
      <c r="F283" s="7"/>
      <c r="K283" t="str">
        <v>Rabbit</v>
      </c>
      <c r="L283" t="str">
        <v>Persian</v>
      </c>
      <c r="M283">
        <v>14</v>
      </c>
      <c r="N283" s="6">
        <v>75</v>
      </c>
      <c r="O283" s="7">
        <v>44950</v>
      </c>
      <c r="P283" t="str">
        <v>Vancouver</v>
      </c>
      <c r="Q283" t="str">
        <v>Online Transfer</v>
      </c>
      <c r="AE283" t="str">
        <v>Persian</v>
      </c>
      <c r="AF283" t="str">
        <v>Vancouver</v>
      </c>
      <c r="BC283" s="6"/>
      <c r="BD283" s="7"/>
    </row>
    <row r="284" spans="5:56" x14ac:dyDescent="0.45">
      <c r="E284" s="6"/>
      <c r="F284" s="7"/>
      <c r="K284" t="str">
        <v>Rabbit</v>
      </c>
      <c r="L284" t="str">
        <v>Holland Lop</v>
      </c>
      <c r="M284">
        <v>3</v>
      </c>
      <c r="N284" s="6">
        <v>200</v>
      </c>
      <c r="O284" s="7">
        <v>45330</v>
      </c>
      <c r="P284" t="str">
        <v>Vancouver</v>
      </c>
      <c r="Q284" t="str">
        <v>Credit Card</v>
      </c>
      <c r="AE284" t="str">
        <v>Holland Lop</v>
      </c>
      <c r="AF284" t="str">
        <v>Vancouver</v>
      </c>
      <c r="BC284" s="6"/>
      <c r="BD284" s="7"/>
    </row>
    <row r="285" spans="5:56" x14ac:dyDescent="0.45">
      <c r="E285" s="6"/>
      <c r="F285" s="7"/>
      <c r="K285" t="str">
        <v>Rabbit</v>
      </c>
      <c r="L285" t="str">
        <v>Bulldog</v>
      </c>
      <c r="M285">
        <v>12</v>
      </c>
      <c r="N285" s="6">
        <v>50</v>
      </c>
      <c r="O285" s="7">
        <v>45442</v>
      </c>
      <c r="P285" t="str">
        <v>Montreal</v>
      </c>
      <c r="Q285" t="str">
        <v>Debit</v>
      </c>
      <c r="AE285" t="str">
        <v>Bulldog</v>
      </c>
      <c r="AF285" t="str">
        <v>Montreal</v>
      </c>
      <c r="BC285" s="6"/>
      <c r="BD285" s="7"/>
    </row>
    <row r="286" spans="5:56" x14ac:dyDescent="0.45">
      <c r="E286" s="6"/>
      <c r="F286" s="7"/>
      <c r="K286" t="str">
        <v>Cat</v>
      </c>
      <c r="L286" t="str">
        <v>Labrador</v>
      </c>
      <c r="M286">
        <v>10</v>
      </c>
      <c r="N286" s="6">
        <v>50</v>
      </c>
      <c r="O286" s="7">
        <v>45290</v>
      </c>
      <c r="P286" t="str">
        <v>Calgary</v>
      </c>
      <c r="Q286" t="str">
        <v>Debit</v>
      </c>
      <c r="AE286" t="str">
        <v>Labrador</v>
      </c>
      <c r="AF286" t="str">
        <v>Calgary</v>
      </c>
      <c r="BC286" s="6"/>
      <c r="BD286" s="7"/>
    </row>
    <row r="287" spans="5:56" x14ac:dyDescent="0.45">
      <c r="E287" s="6"/>
      <c r="F287" s="7"/>
      <c r="K287" t="str">
        <v>Guinea Pig</v>
      </c>
      <c r="L287" t="str">
        <v>Holland Lop</v>
      </c>
      <c r="M287">
        <v>2</v>
      </c>
      <c r="N287" s="6">
        <v>50</v>
      </c>
      <c r="O287" s="7">
        <v>45308</v>
      </c>
      <c r="P287" t="str">
        <v>Vancouver</v>
      </c>
      <c r="Q287" t="str">
        <v>Credit Card</v>
      </c>
      <c r="AE287" t="str">
        <v>Holland Lop</v>
      </c>
      <c r="AF287" t="str">
        <v>Vancouver</v>
      </c>
      <c r="BC287" s="6"/>
      <c r="BD287" s="7"/>
    </row>
    <row r="288" spans="5:56" x14ac:dyDescent="0.45">
      <c r="E288" s="6"/>
      <c r="F288" s="7"/>
      <c r="K288" t="str">
        <v>Dog</v>
      </c>
      <c r="L288" t="str">
        <v>Cockatiel</v>
      </c>
      <c r="M288">
        <v>0</v>
      </c>
      <c r="N288" s="6">
        <v>50</v>
      </c>
      <c r="O288" s="7">
        <v>45458</v>
      </c>
      <c r="P288" t="str">
        <v>Calgary</v>
      </c>
      <c r="Q288" t="str">
        <v>Debit</v>
      </c>
      <c r="AE288" t="str">
        <v>Cockatiel</v>
      </c>
      <c r="AF288" t="str">
        <v>Calgary</v>
      </c>
      <c r="BC288" s="6"/>
      <c r="BD288" s="7"/>
    </row>
    <row r="289" spans="5:56" x14ac:dyDescent="0.45">
      <c r="E289" s="6"/>
      <c r="F289" s="7"/>
      <c r="K289" t="str">
        <v>Bird</v>
      </c>
      <c r="L289" t="str">
        <v>Siamese</v>
      </c>
      <c r="M289">
        <v>5</v>
      </c>
      <c r="N289" s="6">
        <v>50</v>
      </c>
      <c r="O289" s="7">
        <v>45078</v>
      </c>
      <c r="P289" t="str">
        <v>Ottawa</v>
      </c>
      <c r="Q289" t="str">
        <v>Credit Card</v>
      </c>
      <c r="AE289" t="str">
        <v>Siamese</v>
      </c>
      <c r="AF289" t="str">
        <v>Ottawa</v>
      </c>
      <c r="BC289" s="6"/>
      <c r="BD289" s="7"/>
    </row>
    <row r="290" spans="5:56" x14ac:dyDescent="0.45">
      <c r="E290" s="6"/>
      <c r="F290" s="7"/>
      <c r="K290" t="str">
        <v>Dog</v>
      </c>
      <c r="L290" t="str">
        <v>Persian</v>
      </c>
      <c r="M290">
        <v>1</v>
      </c>
      <c r="N290" s="6">
        <v>200</v>
      </c>
      <c r="O290" s="7">
        <v>45346</v>
      </c>
      <c r="P290" t="str">
        <v>Toronto</v>
      </c>
      <c r="Q290" t="str">
        <v>Credit Card</v>
      </c>
      <c r="AE290" t="str">
        <v>Persian</v>
      </c>
      <c r="AF290" t="str">
        <v>Toronto</v>
      </c>
      <c r="BC290" s="6"/>
      <c r="BD290" s="7"/>
    </row>
    <row r="291" spans="5:56" x14ac:dyDescent="0.45">
      <c r="E291" s="6"/>
      <c r="F291" s="7"/>
      <c r="K291" t="str">
        <v>Guinea Pig</v>
      </c>
      <c r="L291" t="str">
        <v>Cockatiel</v>
      </c>
      <c r="M291">
        <v>7</v>
      </c>
      <c r="N291" s="6">
        <v>100</v>
      </c>
      <c r="O291" s="7">
        <v>45176</v>
      </c>
      <c r="P291" t="str">
        <v>Montreal</v>
      </c>
      <c r="Q291" t="str">
        <v>Online Transfer</v>
      </c>
      <c r="AE291" t="str">
        <v>Cockatiel</v>
      </c>
      <c r="AF291" t="str">
        <v>Montreal</v>
      </c>
      <c r="BC291" s="6"/>
      <c r="BD291" s="7"/>
    </row>
    <row r="292" spans="5:56" x14ac:dyDescent="0.45">
      <c r="E292" s="6"/>
      <c r="F292" s="7"/>
      <c r="K292" t="str">
        <v>Bird</v>
      </c>
      <c r="L292" t="str">
        <v>Cockatiel</v>
      </c>
      <c r="M292">
        <v>9</v>
      </c>
      <c r="N292" s="6">
        <v>75</v>
      </c>
      <c r="O292" s="7">
        <v>45043</v>
      </c>
      <c r="P292" t="str">
        <v>Calgary</v>
      </c>
      <c r="Q292" t="str">
        <v>Cash</v>
      </c>
      <c r="AE292" t="str">
        <v>Cockatiel</v>
      </c>
      <c r="AF292" t="str">
        <v>Calgary</v>
      </c>
      <c r="BC292" s="6"/>
      <c r="BD292" s="7"/>
    </row>
    <row r="293" spans="5:56" x14ac:dyDescent="0.45">
      <c r="E293" s="6"/>
      <c r="F293" s="7"/>
      <c r="K293" t="str">
        <v>Guinea Pig</v>
      </c>
      <c r="L293" t="str">
        <v>American</v>
      </c>
      <c r="M293">
        <v>4</v>
      </c>
      <c r="N293" s="6">
        <v>50</v>
      </c>
      <c r="O293" s="7">
        <v>45438</v>
      </c>
      <c r="P293" t="str">
        <v>Vancouver</v>
      </c>
      <c r="Q293" t="str">
        <v>Online Transfer</v>
      </c>
      <c r="AE293" t="str">
        <v>American</v>
      </c>
      <c r="AF293" t="str">
        <v>Vancouver</v>
      </c>
      <c r="BC293" s="6"/>
      <c r="BD293" s="7"/>
    </row>
    <row r="294" spans="5:56" x14ac:dyDescent="0.45">
      <c r="E294" s="6"/>
      <c r="F294" s="7"/>
      <c r="K294" t="str">
        <v>Rabbit</v>
      </c>
      <c r="L294" t="str">
        <v>Siamese</v>
      </c>
      <c r="M294">
        <v>6</v>
      </c>
      <c r="N294" s="6">
        <v>100</v>
      </c>
      <c r="O294" s="7">
        <v>45261</v>
      </c>
      <c r="P294" t="str">
        <v>Calgary</v>
      </c>
      <c r="Q294" t="str">
        <v>Cash</v>
      </c>
      <c r="AE294" t="str">
        <v>Siamese</v>
      </c>
      <c r="AF294" t="str">
        <v>Calgary</v>
      </c>
      <c r="BC294" s="6"/>
      <c r="BD294" s="7"/>
    </row>
    <row r="295" spans="5:56" x14ac:dyDescent="0.45">
      <c r="E295" s="6"/>
      <c r="F295" s="7"/>
      <c r="K295" t="str">
        <v>Bird</v>
      </c>
      <c r="L295" t="str">
        <v>Cockatiel</v>
      </c>
      <c r="M295">
        <v>9</v>
      </c>
      <c r="N295" s="6">
        <v>100</v>
      </c>
      <c r="O295" s="7">
        <v>45344</v>
      </c>
      <c r="P295" t="str">
        <v>Vancouver</v>
      </c>
      <c r="Q295" t="str">
        <v>Cash</v>
      </c>
      <c r="AE295" t="str">
        <v>Cockatiel</v>
      </c>
      <c r="AF295" t="str">
        <v>Vancouver</v>
      </c>
      <c r="BC295" s="6"/>
      <c r="BD295" s="7"/>
    </row>
    <row r="296" spans="5:56" x14ac:dyDescent="0.45">
      <c r="E296" s="6"/>
      <c r="F296" s="7"/>
      <c r="K296" t="str">
        <v>Rabbit</v>
      </c>
      <c r="L296" t="str">
        <v>Cockatiel</v>
      </c>
      <c r="M296">
        <v>11</v>
      </c>
      <c r="N296" s="6">
        <v>75</v>
      </c>
      <c r="O296" s="7">
        <v>45221</v>
      </c>
      <c r="P296" t="str">
        <v>Calgary</v>
      </c>
      <c r="Q296" t="str">
        <v>Cash</v>
      </c>
      <c r="AE296" t="str">
        <v>Cockatiel</v>
      </c>
      <c r="AF296" t="str">
        <v>Calgary</v>
      </c>
      <c r="BC296" s="6"/>
      <c r="BD296" s="7"/>
    </row>
    <row r="297" spans="5:56" x14ac:dyDescent="0.45">
      <c r="E297" s="6"/>
      <c r="F297" s="7"/>
      <c r="K297" t="str">
        <v>Dog</v>
      </c>
      <c r="L297" t="str">
        <v>Siamese</v>
      </c>
      <c r="M297">
        <v>1</v>
      </c>
      <c r="N297" s="6">
        <v>200</v>
      </c>
      <c r="O297" s="7">
        <v>45297</v>
      </c>
      <c r="P297" t="str">
        <v>Vancouver</v>
      </c>
      <c r="Q297" t="str">
        <v>Debit</v>
      </c>
      <c r="AE297" t="str">
        <v>Siamese</v>
      </c>
      <c r="AF297" t="str">
        <v>Vancouver</v>
      </c>
      <c r="BC297" s="6"/>
      <c r="BD297" s="7"/>
    </row>
    <row r="298" spans="5:56" x14ac:dyDescent="0.45">
      <c r="E298" s="6"/>
      <c r="F298" s="7"/>
      <c r="K298" t="str">
        <v>Dog</v>
      </c>
      <c r="L298" t="str">
        <v>Siamese</v>
      </c>
      <c r="M298">
        <v>12</v>
      </c>
      <c r="N298" s="6">
        <v>150</v>
      </c>
      <c r="O298" s="7">
        <v>45112</v>
      </c>
      <c r="P298" t="str">
        <v>Ottawa</v>
      </c>
      <c r="Q298" t="str">
        <v>Online Transfer</v>
      </c>
      <c r="AE298" t="str">
        <v>Siamese</v>
      </c>
      <c r="AF298" t="str">
        <v>Ottawa</v>
      </c>
      <c r="BC298" s="6"/>
      <c r="BD298" s="7"/>
    </row>
    <row r="299" spans="5:56" x14ac:dyDescent="0.45">
      <c r="E299" s="6"/>
      <c r="F299" s="7"/>
      <c r="K299" t="str">
        <v>Bird</v>
      </c>
      <c r="L299" t="str">
        <v>Cockatiel</v>
      </c>
      <c r="M299">
        <v>7</v>
      </c>
      <c r="N299" s="6">
        <v>150</v>
      </c>
      <c r="O299" s="7">
        <v>45172</v>
      </c>
      <c r="P299" t="str">
        <v>Vancouver</v>
      </c>
      <c r="Q299" t="str">
        <v>Cash</v>
      </c>
      <c r="AE299" t="str">
        <v>Cockatiel</v>
      </c>
      <c r="AF299" t="str">
        <v>Vancouver</v>
      </c>
      <c r="BC299" s="6"/>
      <c r="BD299" s="7"/>
    </row>
    <row r="300" spans="5:56" x14ac:dyDescent="0.45">
      <c r="E300" s="6"/>
      <c r="F300" s="7"/>
      <c r="K300" t="str">
        <v>Bird</v>
      </c>
      <c r="L300" t="str">
        <v>Siamese</v>
      </c>
      <c r="M300">
        <v>1</v>
      </c>
      <c r="N300" s="6">
        <v>100</v>
      </c>
      <c r="O300" s="7">
        <v>45194</v>
      </c>
      <c r="P300" t="str">
        <v>Vancouver</v>
      </c>
      <c r="Q300" t="str">
        <v>Credit Card</v>
      </c>
      <c r="AE300" t="str">
        <v>Siamese</v>
      </c>
      <c r="AF300" t="str">
        <v>Vancouver</v>
      </c>
      <c r="BC300" s="6"/>
      <c r="BD300" s="7"/>
    </row>
    <row r="301" spans="5:56" x14ac:dyDescent="0.45">
      <c r="E301" s="6"/>
      <c r="F301" s="7"/>
      <c r="K301" t="str">
        <v>Guinea Pig</v>
      </c>
      <c r="L301" t="str">
        <v>Cockatiel</v>
      </c>
      <c r="M301">
        <v>3</v>
      </c>
      <c r="N301" s="6">
        <v>75</v>
      </c>
      <c r="O301" s="7">
        <v>45163</v>
      </c>
      <c r="P301" t="str">
        <v>Toronto</v>
      </c>
      <c r="Q301" t="str">
        <v>Debit</v>
      </c>
      <c r="AE301" t="str">
        <v>Cockatiel</v>
      </c>
      <c r="AF301" t="str">
        <v>Toronto</v>
      </c>
      <c r="BC301" s="6"/>
      <c r="BD301" s="7"/>
    </row>
    <row r="302" spans="5:56" x14ac:dyDescent="0.45">
      <c r="E302" s="6"/>
      <c r="F302" s="7"/>
      <c r="K302" t="str">
        <v>Guinea Pig</v>
      </c>
      <c r="L302" t="str">
        <v>Cockatiel</v>
      </c>
      <c r="M302">
        <v>0</v>
      </c>
      <c r="N302" s="6">
        <v>150</v>
      </c>
      <c r="O302" s="7">
        <v>45456</v>
      </c>
      <c r="P302" t="str">
        <v>Vancouver</v>
      </c>
      <c r="Q302" t="str">
        <v>Online Transfer</v>
      </c>
      <c r="AE302" t="str">
        <v>Cockatiel</v>
      </c>
      <c r="AF302" t="str">
        <v>Vancouver</v>
      </c>
      <c r="BC302" s="6"/>
      <c r="BD302" s="7"/>
    </row>
    <row r="303" spans="5:56" x14ac:dyDescent="0.45">
      <c r="E303" s="6"/>
      <c r="F303" s="7"/>
      <c r="K303" t="str">
        <v>Rabbit</v>
      </c>
      <c r="L303" t="str">
        <v>American</v>
      </c>
      <c r="M303">
        <v>14</v>
      </c>
      <c r="N303" s="6">
        <v>100</v>
      </c>
      <c r="O303" s="7">
        <v>44947</v>
      </c>
      <c r="P303" t="str">
        <v>Toronto</v>
      </c>
      <c r="Q303" t="str">
        <v>Cash</v>
      </c>
      <c r="AE303" t="str">
        <v>American</v>
      </c>
      <c r="AF303" t="str">
        <v>Toronto</v>
      </c>
      <c r="BC303" s="6"/>
      <c r="BD303" s="7"/>
    </row>
    <row r="304" spans="5:56" x14ac:dyDescent="0.45">
      <c r="E304" s="6"/>
      <c r="F304" s="7"/>
      <c r="K304" t="str">
        <v>Bird</v>
      </c>
      <c r="L304" t="str">
        <v>Labrador</v>
      </c>
      <c r="M304">
        <v>4</v>
      </c>
      <c r="N304" s="6">
        <v>200</v>
      </c>
      <c r="O304" s="7">
        <v>45446</v>
      </c>
      <c r="P304" t="str">
        <v>Montreal</v>
      </c>
      <c r="Q304" t="str">
        <v>Credit Card</v>
      </c>
      <c r="AE304" t="str">
        <v>Labrador</v>
      </c>
      <c r="AF304" t="str">
        <v>Montreal</v>
      </c>
      <c r="BC304" s="6"/>
      <c r="BD304" s="7"/>
    </row>
    <row r="305" spans="5:56" x14ac:dyDescent="0.45">
      <c r="E305" s="6"/>
      <c r="F305" s="7"/>
      <c r="K305" t="str">
        <v>Dog</v>
      </c>
      <c r="L305" t="str">
        <v>Cockatiel</v>
      </c>
      <c r="M305">
        <v>8</v>
      </c>
      <c r="N305" s="6">
        <v>150</v>
      </c>
      <c r="O305" s="7">
        <v>45026</v>
      </c>
      <c r="P305" t="str">
        <v>Toronto</v>
      </c>
      <c r="Q305" t="str">
        <v>Online Transfer</v>
      </c>
      <c r="AE305" t="str">
        <v>Cockatiel</v>
      </c>
      <c r="AF305" t="str">
        <v>Toronto</v>
      </c>
      <c r="BC305" s="6"/>
      <c r="BD305" s="7"/>
    </row>
    <row r="306" spans="5:56" x14ac:dyDescent="0.45">
      <c r="E306" s="6"/>
      <c r="F306" s="7"/>
      <c r="K306" t="str">
        <v>Guinea Pig</v>
      </c>
      <c r="L306" t="str">
        <v>Holland Lop</v>
      </c>
      <c r="M306">
        <v>0</v>
      </c>
      <c r="N306" s="6">
        <v>100</v>
      </c>
      <c r="O306" s="7">
        <v>45404</v>
      </c>
      <c r="P306" t="str">
        <v>Ottawa</v>
      </c>
      <c r="Q306" t="str">
        <v>Online Transfer</v>
      </c>
      <c r="AE306" t="str">
        <v>Holland Lop</v>
      </c>
      <c r="AF306" t="str">
        <v>Ottawa</v>
      </c>
      <c r="BC306" s="6"/>
      <c r="BD306" s="7"/>
    </row>
    <row r="307" spans="5:56" x14ac:dyDescent="0.45">
      <c r="E307" s="6"/>
      <c r="F307" s="7"/>
      <c r="K307" t="str">
        <v>Guinea Pig</v>
      </c>
      <c r="L307" t="str">
        <v>Persian</v>
      </c>
      <c r="M307">
        <v>8</v>
      </c>
      <c r="N307" s="6">
        <v>100</v>
      </c>
      <c r="O307" s="7">
        <v>45224</v>
      </c>
      <c r="P307" t="str">
        <v>Toronto</v>
      </c>
      <c r="Q307" t="str">
        <v>Debit</v>
      </c>
      <c r="AE307" t="str">
        <v>Persian</v>
      </c>
      <c r="AF307" t="str">
        <v>Toronto</v>
      </c>
      <c r="BC307" s="6"/>
      <c r="BD307" s="7"/>
    </row>
    <row r="308" spans="5:56" x14ac:dyDescent="0.45">
      <c r="E308" s="6"/>
      <c r="F308" s="7"/>
      <c r="K308" t="str">
        <v>Dog</v>
      </c>
      <c r="L308" t="str">
        <v>Bulldog</v>
      </c>
      <c r="M308">
        <v>10</v>
      </c>
      <c r="N308" s="6">
        <v>50</v>
      </c>
      <c r="O308" s="7">
        <v>45452</v>
      </c>
      <c r="P308" t="str">
        <v>Montreal</v>
      </c>
      <c r="Q308" t="str">
        <v>Online Transfer</v>
      </c>
      <c r="AE308" t="str">
        <v>Bulldog</v>
      </c>
      <c r="AF308" t="str">
        <v>Montreal</v>
      </c>
      <c r="BC308" s="6"/>
      <c r="BD308" s="7"/>
    </row>
    <row r="309" spans="5:56" x14ac:dyDescent="0.45">
      <c r="E309" s="6"/>
      <c r="F309" s="7"/>
      <c r="K309" t="str">
        <v>Guinea Pig</v>
      </c>
      <c r="L309" t="str">
        <v>Labrador</v>
      </c>
      <c r="M309">
        <v>14</v>
      </c>
      <c r="N309" s="6">
        <v>200</v>
      </c>
      <c r="O309" s="7">
        <v>45260</v>
      </c>
      <c r="P309" t="str">
        <v>Ottawa</v>
      </c>
      <c r="Q309" t="str">
        <v>Debit</v>
      </c>
      <c r="AE309" t="str">
        <v>Labrador</v>
      </c>
      <c r="AF309" t="str">
        <v>Ottawa</v>
      </c>
      <c r="BC309" s="6"/>
      <c r="BD309" s="7"/>
    </row>
    <row r="310" spans="5:56" x14ac:dyDescent="0.45">
      <c r="E310" s="6"/>
      <c r="F310" s="7"/>
      <c r="K310" t="str">
        <v>Rabbit</v>
      </c>
      <c r="L310" t="str">
        <v>Labrador</v>
      </c>
      <c r="M310">
        <v>7</v>
      </c>
      <c r="N310" s="6">
        <v>50</v>
      </c>
      <c r="O310" s="7">
        <v>44928</v>
      </c>
      <c r="P310" t="str">
        <v>Calgary</v>
      </c>
      <c r="Q310" t="str">
        <v>Cash</v>
      </c>
      <c r="AE310" t="str">
        <v>Labrador</v>
      </c>
      <c r="AF310" t="str">
        <v>Calgary</v>
      </c>
      <c r="BC310" s="6"/>
      <c r="BD310" s="7"/>
    </row>
    <row r="311" spans="5:56" x14ac:dyDescent="0.45">
      <c r="E311" s="6"/>
      <c r="F311" s="7"/>
      <c r="K311" t="str">
        <v>Bird</v>
      </c>
      <c r="L311" t="str">
        <v>Labrador</v>
      </c>
      <c r="M311">
        <v>5</v>
      </c>
      <c r="N311" s="6">
        <v>75</v>
      </c>
      <c r="O311" s="7">
        <v>45301</v>
      </c>
      <c r="P311" t="str">
        <v>Calgary</v>
      </c>
      <c r="Q311" t="str">
        <v>Debit</v>
      </c>
      <c r="AE311" t="str">
        <v>Labrador</v>
      </c>
      <c r="AF311" t="str">
        <v>Calgary</v>
      </c>
      <c r="BC311" s="6"/>
      <c r="BD311" s="7"/>
    </row>
    <row r="312" spans="5:56" x14ac:dyDescent="0.45">
      <c r="E312" s="6"/>
      <c r="F312" s="7"/>
      <c r="K312" t="str">
        <v>Dog</v>
      </c>
      <c r="L312" t="str">
        <v>American</v>
      </c>
      <c r="M312">
        <v>6</v>
      </c>
      <c r="N312" s="6">
        <v>50</v>
      </c>
      <c r="O312" s="7">
        <v>45219</v>
      </c>
      <c r="P312" t="str">
        <v>Toronto</v>
      </c>
      <c r="Q312" t="str">
        <v>Credit Card</v>
      </c>
      <c r="AE312" t="str">
        <v>American</v>
      </c>
      <c r="AF312" t="str">
        <v>Toronto</v>
      </c>
      <c r="BC312" s="6"/>
      <c r="BD312" s="7"/>
    </row>
    <row r="313" spans="5:56" x14ac:dyDescent="0.45">
      <c r="E313" s="6"/>
      <c r="F313" s="7"/>
      <c r="K313" t="str">
        <v>Bird</v>
      </c>
      <c r="L313" t="str">
        <v>Cockatiel</v>
      </c>
      <c r="M313">
        <v>2</v>
      </c>
      <c r="N313" s="6">
        <v>50</v>
      </c>
      <c r="O313" s="7">
        <v>45244</v>
      </c>
      <c r="P313" t="str">
        <v>Toronto</v>
      </c>
      <c r="Q313" t="str">
        <v>Debit</v>
      </c>
      <c r="AE313" t="str">
        <v>Cockatiel</v>
      </c>
      <c r="AF313" t="str">
        <v>Toronto</v>
      </c>
      <c r="BC313" s="6"/>
      <c r="BD313" s="7"/>
    </row>
    <row r="314" spans="5:56" x14ac:dyDescent="0.45">
      <c r="E314" s="6"/>
      <c r="F314" s="7"/>
      <c r="K314" t="str">
        <v>Guinea Pig</v>
      </c>
      <c r="L314" t="str">
        <v>American</v>
      </c>
      <c r="M314">
        <v>13</v>
      </c>
      <c r="N314" s="6">
        <v>150</v>
      </c>
      <c r="O314" s="7">
        <v>45428</v>
      </c>
      <c r="P314" t="str">
        <v>Montreal</v>
      </c>
      <c r="Q314" t="str">
        <v>Credit Card</v>
      </c>
      <c r="AE314" t="str">
        <v>American</v>
      </c>
      <c r="AF314" t="str">
        <v>Montreal</v>
      </c>
      <c r="BC314" s="6"/>
      <c r="BD314" s="7"/>
    </row>
    <row r="315" spans="5:56" x14ac:dyDescent="0.45">
      <c r="E315" s="6"/>
      <c r="F315" s="7"/>
      <c r="K315" t="str">
        <v>Guinea Pig</v>
      </c>
      <c r="L315" t="str">
        <v>Cockatiel</v>
      </c>
      <c r="M315">
        <v>14</v>
      </c>
      <c r="N315" s="6">
        <v>100</v>
      </c>
      <c r="O315" s="7">
        <v>45307</v>
      </c>
      <c r="P315" t="str">
        <v>Montreal</v>
      </c>
      <c r="Q315" t="str">
        <v>Debit</v>
      </c>
      <c r="AE315" t="str">
        <v>Cockatiel</v>
      </c>
      <c r="AF315" t="str">
        <v>Montreal</v>
      </c>
      <c r="BC315" s="6"/>
      <c r="BD315" s="7"/>
    </row>
    <row r="316" spans="5:56" x14ac:dyDescent="0.45">
      <c r="E316" s="6"/>
      <c r="F316" s="7"/>
      <c r="K316" t="str">
        <v>Dog</v>
      </c>
      <c r="L316" t="str">
        <v>American</v>
      </c>
      <c r="M316">
        <v>0</v>
      </c>
      <c r="N316" s="6">
        <v>200</v>
      </c>
      <c r="O316" s="7">
        <v>44940</v>
      </c>
      <c r="P316" t="str">
        <v>Vancouver</v>
      </c>
      <c r="Q316" t="str">
        <v>Online Transfer</v>
      </c>
      <c r="AE316" t="str">
        <v>American</v>
      </c>
      <c r="AF316" t="str">
        <v>Vancouver</v>
      </c>
      <c r="BC316" s="6"/>
      <c r="BD316" s="7"/>
    </row>
    <row r="317" spans="5:56" x14ac:dyDescent="0.45">
      <c r="E317" s="6"/>
      <c r="F317" s="7"/>
      <c r="K317" t="str">
        <v>Rabbit</v>
      </c>
      <c r="L317" t="str">
        <v>American</v>
      </c>
      <c r="M317">
        <v>4</v>
      </c>
      <c r="N317" s="6">
        <v>50</v>
      </c>
      <c r="O317" s="7">
        <v>45430</v>
      </c>
      <c r="P317" t="str">
        <v>Montreal</v>
      </c>
      <c r="Q317" t="str">
        <v>Cash</v>
      </c>
      <c r="AE317" t="str">
        <v>American</v>
      </c>
      <c r="AF317" t="str">
        <v>Montreal</v>
      </c>
      <c r="BC317" s="6"/>
      <c r="BD317" s="7"/>
    </row>
    <row r="318" spans="5:56" x14ac:dyDescent="0.45">
      <c r="E318" s="6"/>
      <c r="F318" s="7"/>
      <c r="K318" t="str">
        <v>Cat</v>
      </c>
      <c r="L318" t="str">
        <v>Persian</v>
      </c>
      <c r="M318">
        <v>13</v>
      </c>
      <c r="N318" s="6">
        <v>200</v>
      </c>
      <c r="O318" s="7">
        <v>45157</v>
      </c>
      <c r="P318" t="str">
        <v>Vancouver</v>
      </c>
      <c r="Q318" t="str">
        <v>Credit Card</v>
      </c>
      <c r="AE318" t="str">
        <v>Persian</v>
      </c>
      <c r="AF318" t="str">
        <v>Vancouver</v>
      </c>
      <c r="BC318" s="6"/>
      <c r="BD318" s="7"/>
    </row>
    <row r="319" spans="5:56" x14ac:dyDescent="0.45">
      <c r="E319" s="6"/>
      <c r="F319" s="7"/>
      <c r="K319" t="str">
        <v>Dog</v>
      </c>
      <c r="L319" t="str">
        <v>Holland Lop</v>
      </c>
      <c r="M319">
        <v>11</v>
      </c>
      <c r="N319" s="6">
        <v>50</v>
      </c>
      <c r="O319" s="7">
        <v>45010</v>
      </c>
      <c r="P319" t="str">
        <v>Ottawa</v>
      </c>
      <c r="Q319" t="str">
        <v>Debit</v>
      </c>
      <c r="AE319" t="str">
        <v>Holland Lop</v>
      </c>
      <c r="AF319" t="str">
        <v>Ottawa</v>
      </c>
      <c r="BC319" s="6"/>
      <c r="BD319" s="7"/>
    </row>
    <row r="320" spans="5:56" x14ac:dyDescent="0.45">
      <c r="E320" s="6"/>
      <c r="F320" s="7"/>
      <c r="K320" t="str">
        <v>Cat</v>
      </c>
      <c r="L320" t="str">
        <v>American</v>
      </c>
      <c r="M320">
        <v>11</v>
      </c>
      <c r="N320" s="6">
        <v>75</v>
      </c>
      <c r="O320" s="7">
        <v>45056</v>
      </c>
      <c r="P320" t="str">
        <v>Toronto</v>
      </c>
      <c r="Q320" t="str">
        <v>Debit</v>
      </c>
      <c r="AE320" t="str">
        <v>American</v>
      </c>
      <c r="AF320" t="str">
        <v>Toronto</v>
      </c>
      <c r="BC320" s="6"/>
      <c r="BD320" s="7"/>
    </row>
    <row r="321" spans="5:56" x14ac:dyDescent="0.45">
      <c r="E321" s="6"/>
      <c r="F321" s="7"/>
      <c r="K321" t="str">
        <v>Cat</v>
      </c>
      <c r="L321" t="str">
        <v>Persian</v>
      </c>
      <c r="M321">
        <v>1</v>
      </c>
      <c r="N321" s="6">
        <v>50</v>
      </c>
      <c r="O321" s="7">
        <v>45071</v>
      </c>
      <c r="P321" t="str">
        <v>Ottawa</v>
      </c>
      <c r="Q321" t="str">
        <v>Debit</v>
      </c>
      <c r="AE321" t="str">
        <v>Persian</v>
      </c>
      <c r="AF321" t="str">
        <v>Ottawa</v>
      </c>
      <c r="BC321" s="6"/>
      <c r="BD321" s="7"/>
    </row>
    <row r="322" spans="5:56" x14ac:dyDescent="0.45">
      <c r="E322" s="6"/>
      <c r="F322" s="7"/>
      <c r="K322" t="str">
        <v>Rabbit</v>
      </c>
      <c r="L322" t="str">
        <v>Siamese</v>
      </c>
      <c r="M322">
        <v>13</v>
      </c>
      <c r="N322" s="6">
        <v>150</v>
      </c>
      <c r="O322" s="7">
        <v>44954</v>
      </c>
      <c r="P322" t="str">
        <v>Montreal</v>
      </c>
      <c r="Q322" t="str">
        <v>Online Transfer</v>
      </c>
      <c r="AE322" t="str">
        <v>Siamese</v>
      </c>
      <c r="AF322" t="str">
        <v>Montreal</v>
      </c>
      <c r="BC322" s="6"/>
      <c r="BD322" s="7"/>
    </row>
    <row r="323" spans="5:56" x14ac:dyDescent="0.45">
      <c r="E323" s="6"/>
      <c r="F323" s="7"/>
      <c r="K323" t="str">
        <v>Cat</v>
      </c>
      <c r="L323" t="str">
        <v>Holland Lop</v>
      </c>
      <c r="M323">
        <v>4</v>
      </c>
      <c r="N323" s="6">
        <v>100</v>
      </c>
      <c r="O323" s="7">
        <v>44992</v>
      </c>
      <c r="P323" t="str">
        <v>Ottawa</v>
      </c>
      <c r="Q323" t="str">
        <v>Online Transfer</v>
      </c>
      <c r="AE323" t="str">
        <v>Holland Lop</v>
      </c>
      <c r="AF323" t="str">
        <v>Ottawa</v>
      </c>
      <c r="BC323" s="6"/>
      <c r="BD323" s="7"/>
    </row>
    <row r="324" spans="5:56" x14ac:dyDescent="0.45">
      <c r="E324" s="6"/>
      <c r="F324" s="7"/>
      <c r="K324" t="str">
        <v>Cat</v>
      </c>
      <c r="L324" t="str">
        <v>American</v>
      </c>
      <c r="M324">
        <v>7</v>
      </c>
      <c r="N324" s="6">
        <v>75</v>
      </c>
      <c r="O324" s="7">
        <v>45089</v>
      </c>
      <c r="P324" t="str">
        <v>Ottawa</v>
      </c>
      <c r="Q324" t="str">
        <v>Credit Card</v>
      </c>
      <c r="AE324" t="str">
        <v>American</v>
      </c>
      <c r="AF324" t="str">
        <v>Ottawa</v>
      </c>
      <c r="BC324" s="6"/>
      <c r="BD324" s="7"/>
    </row>
    <row r="325" spans="5:56" x14ac:dyDescent="0.45">
      <c r="E325" s="6"/>
      <c r="F325" s="7"/>
      <c r="K325" t="str">
        <v>Rabbit</v>
      </c>
      <c r="L325" t="str">
        <v>Bulldog</v>
      </c>
      <c r="M325">
        <v>10</v>
      </c>
      <c r="N325" s="6">
        <v>50</v>
      </c>
      <c r="O325" s="7">
        <v>45155</v>
      </c>
      <c r="P325" t="str">
        <v>Ottawa</v>
      </c>
      <c r="Q325" t="str">
        <v>Credit Card</v>
      </c>
      <c r="AE325" t="str">
        <v>Bulldog</v>
      </c>
      <c r="AF325" t="str">
        <v>Ottawa</v>
      </c>
      <c r="BC325" s="6"/>
      <c r="BD325" s="7"/>
    </row>
    <row r="326" spans="5:56" x14ac:dyDescent="0.45">
      <c r="E326" s="6"/>
      <c r="F326" s="7"/>
      <c r="K326" t="str">
        <v>Cat</v>
      </c>
      <c r="L326" t="str">
        <v>Labrador</v>
      </c>
      <c r="M326">
        <v>8</v>
      </c>
      <c r="N326" s="6">
        <v>200</v>
      </c>
      <c r="O326" s="7">
        <v>45187</v>
      </c>
      <c r="P326" t="str">
        <v>Montreal</v>
      </c>
      <c r="Q326" t="str">
        <v>Online Transfer</v>
      </c>
      <c r="AE326" t="str">
        <v>Labrador</v>
      </c>
      <c r="AF326" t="str">
        <v>Montreal</v>
      </c>
      <c r="BC326" s="6"/>
      <c r="BD326" s="7"/>
    </row>
    <row r="327" spans="5:56" x14ac:dyDescent="0.45">
      <c r="E327" s="6"/>
      <c r="F327" s="7"/>
      <c r="K327" t="str">
        <v>Cat</v>
      </c>
      <c r="L327" t="str">
        <v>Siamese</v>
      </c>
      <c r="M327">
        <v>1</v>
      </c>
      <c r="N327" s="6">
        <v>75</v>
      </c>
      <c r="O327" s="7">
        <v>45375</v>
      </c>
      <c r="P327" t="str">
        <v>Ottawa</v>
      </c>
      <c r="Q327" t="str">
        <v>Credit Card</v>
      </c>
      <c r="AE327" t="str">
        <v>Siamese</v>
      </c>
      <c r="AF327" t="str">
        <v>Ottawa</v>
      </c>
      <c r="BC327" s="6"/>
      <c r="BD327" s="7"/>
    </row>
    <row r="328" spans="5:56" x14ac:dyDescent="0.45">
      <c r="E328" s="6"/>
      <c r="F328" s="7"/>
      <c r="K328" t="str">
        <v>Cat</v>
      </c>
      <c r="L328" t="str">
        <v>Siamese</v>
      </c>
      <c r="M328">
        <v>11</v>
      </c>
      <c r="N328" s="6">
        <v>75</v>
      </c>
      <c r="O328" s="7">
        <v>45350</v>
      </c>
      <c r="P328" t="str">
        <v>Vancouver</v>
      </c>
      <c r="Q328" t="str">
        <v>Cash</v>
      </c>
      <c r="AE328" t="str">
        <v>Siamese</v>
      </c>
      <c r="AF328" t="str">
        <v>Vancouver</v>
      </c>
      <c r="BC328" s="6"/>
      <c r="BD328" s="7"/>
    </row>
    <row r="329" spans="5:56" x14ac:dyDescent="0.45">
      <c r="E329" s="6"/>
      <c r="F329" s="7"/>
      <c r="K329" t="str">
        <v>Dog</v>
      </c>
      <c r="L329" t="str">
        <v>Persian</v>
      </c>
      <c r="M329">
        <v>2</v>
      </c>
      <c r="N329" s="6">
        <v>50</v>
      </c>
      <c r="O329" s="7">
        <v>45386</v>
      </c>
      <c r="P329" t="str">
        <v>Montreal</v>
      </c>
      <c r="Q329" t="str">
        <v>Cash</v>
      </c>
      <c r="AE329" t="str">
        <v>Persian</v>
      </c>
      <c r="AF329" t="str">
        <v>Montreal</v>
      </c>
      <c r="BC329" s="6"/>
      <c r="BD329" s="7"/>
    </row>
    <row r="330" spans="5:56" x14ac:dyDescent="0.45">
      <c r="E330" s="6"/>
      <c r="F330" s="7"/>
      <c r="K330" t="str">
        <v>Dog</v>
      </c>
      <c r="L330" t="str">
        <v>Siamese</v>
      </c>
      <c r="M330">
        <v>2</v>
      </c>
      <c r="N330" s="6">
        <v>75</v>
      </c>
      <c r="O330" s="7">
        <v>45227</v>
      </c>
      <c r="P330" t="str">
        <v>Ottawa</v>
      </c>
      <c r="Q330" t="str">
        <v>Online Transfer</v>
      </c>
      <c r="AE330" t="str">
        <v>Siamese</v>
      </c>
      <c r="AF330" t="str">
        <v>Ottawa</v>
      </c>
      <c r="BC330" s="6"/>
      <c r="BD330" s="7"/>
    </row>
    <row r="331" spans="5:56" x14ac:dyDescent="0.45">
      <c r="E331" s="6"/>
      <c r="F331" s="7"/>
      <c r="K331" t="str">
        <v>Dog</v>
      </c>
      <c r="L331" t="str">
        <v>Holland Lop</v>
      </c>
      <c r="M331">
        <v>0</v>
      </c>
      <c r="N331" s="6">
        <v>200</v>
      </c>
      <c r="O331" s="7">
        <v>45229</v>
      </c>
      <c r="P331" t="str">
        <v>Montreal</v>
      </c>
      <c r="Q331" t="str">
        <v>Credit Card</v>
      </c>
      <c r="AE331" t="str">
        <v>Holland Lop</v>
      </c>
      <c r="AF331" t="str">
        <v>Montreal</v>
      </c>
      <c r="BC331" s="6"/>
      <c r="BD331" s="7"/>
    </row>
    <row r="332" spans="5:56" x14ac:dyDescent="0.45">
      <c r="E332" s="6"/>
      <c r="F332" s="7"/>
      <c r="K332" t="str">
        <v>Rabbit</v>
      </c>
      <c r="L332" t="str">
        <v>American</v>
      </c>
      <c r="M332">
        <v>7</v>
      </c>
      <c r="N332" s="6">
        <v>75</v>
      </c>
      <c r="O332" s="7">
        <v>45213</v>
      </c>
      <c r="P332" t="str">
        <v>Calgary</v>
      </c>
      <c r="Q332" t="str">
        <v>Debit</v>
      </c>
      <c r="AE332" t="str">
        <v>American</v>
      </c>
      <c r="AF332" t="str">
        <v>Calgary</v>
      </c>
      <c r="BC332" s="6"/>
      <c r="BD332" s="7"/>
    </row>
    <row r="333" spans="5:56" x14ac:dyDescent="0.45">
      <c r="E333" s="6"/>
      <c r="F333" s="7"/>
      <c r="K333" t="str">
        <v>Guinea Pig</v>
      </c>
      <c r="L333" t="str">
        <v>American</v>
      </c>
      <c r="M333">
        <v>5</v>
      </c>
      <c r="N333" s="6">
        <v>200</v>
      </c>
      <c r="O333" s="7">
        <v>45321</v>
      </c>
      <c r="P333" t="str">
        <v>Vancouver</v>
      </c>
      <c r="Q333" t="str">
        <v>Cash</v>
      </c>
      <c r="AE333" t="str">
        <v>American</v>
      </c>
      <c r="AF333" t="str">
        <v>Vancouver</v>
      </c>
      <c r="BC333" s="6"/>
      <c r="BD333" s="7"/>
    </row>
    <row r="334" spans="5:56" x14ac:dyDescent="0.45">
      <c r="E334" s="6"/>
      <c r="F334" s="7"/>
      <c r="K334" t="str">
        <v>Cat</v>
      </c>
      <c r="L334" t="str">
        <v>Bulldog</v>
      </c>
      <c r="M334">
        <v>11</v>
      </c>
      <c r="N334" s="6">
        <v>50</v>
      </c>
      <c r="O334" s="7">
        <v>44936</v>
      </c>
      <c r="P334" t="str">
        <v>Ottawa</v>
      </c>
      <c r="Q334" t="str">
        <v>Online Transfer</v>
      </c>
      <c r="AE334" t="str">
        <v>Bulldog</v>
      </c>
      <c r="AF334" t="str">
        <v>Ottawa</v>
      </c>
      <c r="BC334" s="6"/>
      <c r="BD334" s="7"/>
    </row>
    <row r="335" spans="5:56" x14ac:dyDescent="0.45">
      <c r="E335" s="6"/>
      <c r="F335" s="7"/>
      <c r="K335" t="str">
        <v>Cat</v>
      </c>
      <c r="L335" t="str">
        <v>Labrador</v>
      </c>
      <c r="M335">
        <v>12</v>
      </c>
      <c r="N335" s="6">
        <v>100</v>
      </c>
      <c r="O335" s="7">
        <v>45196</v>
      </c>
      <c r="P335" t="str">
        <v>Calgary</v>
      </c>
      <c r="Q335" t="str">
        <v>Credit Card</v>
      </c>
      <c r="AE335" t="str">
        <v>Labrador</v>
      </c>
      <c r="AF335" t="str">
        <v>Calgary</v>
      </c>
      <c r="BC335" s="6"/>
      <c r="BD335" s="7"/>
    </row>
    <row r="336" spans="5:56" x14ac:dyDescent="0.45">
      <c r="E336" s="6"/>
      <c r="F336" s="7"/>
      <c r="K336" t="str">
        <v>Rabbit</v>
      </c>
      <c r="L336" t="str">
        <v>Persian</v>
      </c>
      <c r="M336">
        <v>7</v>
      </c>
      <c r="N336" s="6">
        <v>75</v>
      </c>
      <c r="O336" s="7">
        <v>45287</v>
      </c>
      <c r="P336" t="str">
        <v>Calgary</v>
      </c>
      <c r="Q336" t="str">
        <v>Online Transfer</v>
      </c>
      <c r="AE336" t="str">
        <v>Persian</v>
      </c>
      <c r="AF336" t="str">
        <v>Calgary</v>
      </c>
      <c r="BC336" s="6"/>
      <c r="BD336" s="7"/>
    </row>
    <row r="337" spans="5:56" x14ac:dyDescent="0.45">
      <c r="E337" s="6"/>
      <c r="F337" s="7"/>
      <c r="K337" t="str">
        <v>Cat</v>
      </c>
      <c r="L337" t="str">
        <v>Labrador</v>
      </c>
      <c r="M337">
        <v>10</v>
      </c>
      <c r="N337" s="6">
        <v>100</v>
      </c>
      <c r="O337" s="7">
        <v>45183</v>
      </c>
      <c r="P337" t="str">
        <v>Montreal</v>
      </c>
      <c r="Q337" t="str">
        <v>Debit</v>
      </c>
      <c r="AE337" t="str">
        <v>Labrador</v>
      </c>
      <c r="AF337" t="str">
        <v>Montreal</v>
      </c>
      <c r="BC337" s="6"/>
      <c r="BD337" s="7"/>
    </row>
    <row r="338" spans="5:56" x14ac:dyDescent="0.45">
      <c r="E338" s="6"/>
      <c r="F338" s="7"/>
      <c r="K338" t="str">
        <v>Dog</v>
      </c>
      <c r="L338" t="str">
        <v>Siamese</v>
      </c>
      <c r="M338">
        <v>8</v>
      </c>
      <c r="N338" s="6">
        <v>200</v>
      </c>
      <c r="O338" s="7">
        <v>45059</v>
      </c>
      <c r="P338" t="str">
        <v>Calgary</v>
      </c>
      <c r="Q338" t="str">
        <v>Cash</v>
      </c>
      <c r="AE338" t="str">
        <v>Siamese</v>
      </c>
      <c r="AF338" t="str">
        <v>Calgary</v>
      </c>
      <c r="BC338" s="6"/>
      <c r="BD338" s="7"/>
    </row>
    <row r="339" spans="5:56" x14ac:dyDescent="0.45">
      <c r="E339" s="6"/>
      <c r="F339" s="7"/>
      <c r="K339" t="str">
        <v>Guinea Pig</v>
      </c>
      <c r="L339" t="str">
        <v>Bulldog</v>
      </c>
      <c r="M339">
        <v>4</v>
      </c>
      <c r="N339" s="6">
        <v>75</v>
      </c>
      <c r="O339" s="7">
        <v>45202</v>
      </c>
      <c r="P339" t="str">
        <v>Vancouver</v>
      </c>
      <c r="Q339" t="str">
        <v>Online Transfer</v>
      </c>
      <c r="AE339" t="str">
        <v>Bulldog</v>
      </c>
      <c r="AF339" t="str">
        <v>Vancouver</v>
      </c>
      <c r="BC339" s="6"/>
      <c r="BD339" s="7"/>
    </row>
    <row r="340" spans="5:56" x14ac:dyDescent="0.45">
      <c r="E340" s="6"/>
      <c r="F340" s="7"/>
      <c r="K340" t="str">
        <v>Bird</v>
      </c>
      <c r="L340" t="str">
        <v>Labrador</v>
      </c>
      <c r="M340">
        <v>13</v>
      </c>
      <c r="N340" s="6">
        <v>150</v>
      </c>
      <c r="O340" s="7">
        <v>45439</v>
      </c>
      <c r="P340" t="str">
        <v>Vancouver</v>
      </c>
      <c r="Q340" t="str">
        <v>Online Transfer</v>
      </c>
      <c r="AE340" t="str">
        <v>Labrador</v>
      </c>
      <c r="AF340" t="str">
        <v>Vancouver</v>
      </c>
      <c r="BC340" s="6"/>
      <c r="BD340" s="7"/>
    </row>
    <row r="341" spans="5:56" x14ac:dyDescent="0.45">
      <c r="E341" s="6"/>
      <c r="F341" s="7"/>
      <c r="K341" t="str">
        <v>Cat</v>
      </c>
      <c r="L341" t="str">
        <v>Holland Lop</v>
      </c>
      <c r="M341">
        <v>11</v>
      </c>
      <c r="N341" s="6">
        <v>100</v>
      </c>
      <c r="O341" s="7">
        <v>45239</v>
      </c>
      <c r="P341" t="str">
        <v>Toronto</v>
      </c>
      <c r="Q341" t="str">
        <v>Online Transfer</v>
      </c>
      <c r="AE341" t="str">
        <v>Holland Lop</v>
      </c>
      <c r="AF341" t="str">
        <v>Toronto</v>
      </c>
      <c r="BC341" s="6"/>
      <c r="BD341" s="7"/>
    </row>
    <row r="342" spans="5:56" x14ac:dyDescent="0.45">
      <c r="E342" s="6"/>
      <c r="F342" s="7"/>
      <c r="K342" t="str">
        <v>Dog</v>
      </c>
      <c r="L342" t="str">
        <v>American</v>
      </c>
      <c r="M342">
        <v>13</v>
      </c>
      <c r="N342" s="6">
        <v>75</v>
      </c>
      <c r="O342" s="7">
        <v>45210</v>
      </c>
      <c r="P342" t="str">
        <v>Vancouver</v>
      </c>
      <c r="Q342" t="str">
        <v>Debit</v>
      </c>
      <c r="AE342" t="str">
        <v>American</v>
      </c>
      <c r="AF342" t="str">
        <v>Vancouver</v>
      </c>
      <c r="BC342" s="6"/>
      <c r="BD342" s="7"/>
    </row>
    <row r="343" spans="5:56" x14ac:dyDescent="0.45">
      <c r="E343" s="6"/>
      <c r="F343" s="7"/>
      <c r="K343" t="str">
        <v>Bird</v>
      </c>
      <c r="L343" t="str">
        <v>Siamese</v>
      </c>
      <c r="M343">
        <v>2</v>
      </c>
      <c r="N343" s="6">
        <v>100</v>
      </c>
      <c r="O343" s="7">
        <v>45047</v>
      </c>
      <c r="P343" t="str">
        <v>Calgary</v>
      </c>
      <c r="Q343" t="str">
        <v>Online Transfer</v>
      </c>
      <c r="AE343" t="str">
        <v>Siamese</v>
      </c>
      <c r="AF343" t="str">
        <v>Calgary</v>
      </c>
      <c r="BC343" s="6"/>
      <c r="BD343" s="7"/>
    </row>
    <row r="344" spans="5:56" x14ac:dyDescent="0.45">
      <c r="E344" s="6"/>
      <c r="F344" s="7"/>
      <c r="K344" t="str">
        <v>Guinea Pig</v>
      </c>
      <c r="L344" t="str">
        <v>Bulldog</v>
      </c>
      <c r="M344">
        <v>4</v>
      </c>
      <c r="N344" s="6">
        <v>75</v>
      </c>
      <c r="O344" s="7">
        <v>45033</v>
      </c>
      <c r="P344" t="str">
        <v>Vancouver</v>
      </c>
      <c r="Q344" t="str">
        <v>Debit</v>
      </c>
      <c r="AE344" t="str">
        <v>Bulldog</v>
      </c>
      <c r="AF344" t="str">
        <v>Vancouver</v>
      </c>
      <c r="BC344" s="6"/>
      <c r="BD344" s="7"/>
    </row>
    <row r="345" spans="5:56" x14ac:dyDescent="0.45">
      <c r="E345" s="6"/>
      <c r="F345" s="7"/>
      <c r="K345" t="str">
        <v>Bird</v>
      </c>
      <c r="L345" t="str">
        <v>Labrador</v>
      </c>
      <c r="M345">
        <v>4</v>
      </c>
      <c r="N345" s="6">
        <v>50</v>
      </c>
      <c r="O345" s="7">
        <v>45130</v>
      </c>
      <c r="P345" t="str">
        <v>Montreal</v>
      </c>
      <c r="Q345" t="str">
        <v>Debit</v>
      </c>
      <c r="AE345" t="str">
        <v>Labrador</v>
      </c>
      <c r="AF345" t="str">
        <v>Montreal</v>
      </c>
      <c r="BC345" s="6"/>
      <c r="BD345" s="7"/>
    </row>
    <row r="346" spans="5:56" x14ac:dyDescent="0.45">
      <c r="E346" s="6"/>
      <c r="F346" s="7"/>
      <c r="K346" t="str">
        <v>Dog</v>
      </c>
      <c r="L346" t="str">
        <v>Persian</v>
      </c>
      <c r="M346">
        <v>4</v>
      </c>
      <c r="N346" s="6">
        <v>100</v>
      </c>
      <c r="O346" s="7">
        <v>45091</v>
      </c>
      <c r="P346" t="str">
        <v>Toronto</v>
      </c>
      <c r="Q346" t="str">
        <v>Debit</v>
      </c>
      <c r="AE346" t="str">
        <v>Persian</v>
      </c>
      <c r="AF346" t="str">
        <v>Toronto</v>
      </c>
      <c r="BC346" s="6"/>
      <c r="BD346" s="7"/>
    </row>
    <row r="347" spans="5:56" x14ac:dyDescent="0.45">
      <c r="E347" s="6"/>
      <c r="F347" s="7"/>
      <c r="K347" t="str">
        <v>Bird</v>
      </c>
      <c r="L347" t="str">
        <v>Holland Lop</v>
      </c>
      <c r="M347">
        <v>2</v>
      </c>
      <c r="N347" s="6">
        <v>150</v>
      </c>
      <c r="O347" s="7">
        <v>45231</v>
      </c>
      <c r="P347" t="str">
        <v>Calgary</v>
      </c>
      <c r="Q347" t="str">
        <v>Cash</v>
      </c>
      <c r="AE347" t="str">
        <v>Holland Lop</v>
      </c>
      <c r="AF347" t="str">
        <v>Calgary</v>
      </c>
      <c r="BC347" s="6"/>
      <c r="BD347" s="7"/>
    </row>
    <row r="348" spans="5:56" x14ac:dyDescent="0.45">
      <c r="E348" s="6"/>
      <c r="F348" s="7"/>
      <c r="K348" t="str">
        <v>Rabbit</v>
      </c>
      <c r="L348" t="str">
        <v>Holland Lop</v>
      </c>
      <c r="M348">
        <v>10</v>
      </c>
      <c r="N348" s="6">
        <v>150</v>
      </c>
      <c r="O348" s="7">
        <v>45423</v>
      </c>
      <c r="P348" t="str">
        <v>Toronto</v>
      </c>
      <c r="Q348" t="str">
        <v>Cash</v>
      </c>
      <c r="AE348" t="str">
        <v>Holland Lop</v>
      </c>
      <c r="AF348" t="str">
        <v>Toronto</v>
      </c>
      <c r="BC348" s="6"/>
      <c r="BD348" s="7"/>
    </row>
    <row r="349" spans="5:56" x14ac:dyDescent="0.45">
      <c r="E349" s="6"/>
      <c r="F349" s="7"/>
      <c r="K349" t="str">
        <v>Bird</v>
      </c>
      <c r="L349" t="str">
        <v>Labrador</v>
      </c>
      <c r="M349">
        <v>13</v>
      </c>
      <c r="N349" s="6">
        <v>200</v>
      </c>
      <c r="O349" s="7">
        <v>45082</v>
      </c>
      <c r="P349" t="str">
        <v>Calgary</v>
      </c>
      <c r="Q349" t="str">
        <v>Online Transfer</v>
      </c>
      <c r="AE349" t="str">
        <v>Labrador</v>
      </c>
      <c r="AF349" t="str">
        <v>Calgary</v>
      </c>
      <c r="BC349" s="6"/>
      <c r="BD349" s="7"/>
    </row>
    <row r="350" spans="5:56" x14ac:dyDescent="0.45">
      <c r="E350" s="6"/>
      <c r="F350" s="7"/>
      <c r="K350" t="str">
        <v>Cat</v>
      </c>
      <c r="L350" t="str">
        <v>American</v>
      </c>
      <c r="M350">
        <v>9</v>
      </c>
      <c r="N350" s="6">
        <v>75</v>
      </c>
      <c r="O350" s="7">
        <v>45293</v>
      </c>
      <c r="P350" t="str">
        <v>Montreal</v>
      </c>
      <c r="Q350" t="str">
        <v>Online Transfer</v>
      </c>
      <c r="AE350" t="str">
        <v>American</v>
      </c>
      <c r="AF350" t="str">
        <v>Montreal</v>
      </c>
      <c r="BC350" s="6"/>
      <c r="BD350" s="7"/>
    </row>
    <row r="351" spans="5:56" x14ac:dyDescent="0.45">
      <c r="E351" s="6"/>
      <c r="F351" s="7"/>
      <c r="K351" t="str">
        <v>Cat</v>
      </c>
      <c r="L351" t="str">
        <v>Labrador</v>
      </c>
      <c r="M351">
        <v>13</v>
      </c>
      <c r="N351" s="6">
        <v>100</v>
      </c>
      <c r="O351" s="7">
        <v>45177</v>
      </c>
      <c r="P351" t="str">
        <v>Toronto</v>
      </c>
      <c r="Q351" t="str">
        <v>Cash</v>
      </c>
      <c r="AE351" t="str">
        <v>Labrador</v>
      </c>
      <c r="AF351" t="str">
        <v>Toronto</v>
      </c>
      <c r="BC351" s="6"/>
      <c r="BD351" s="7"/>
    </row>
    <row r="352" spans="5:56" x14ac:dyDescent="0.45">
      <c r="E352" s="6"/>
      <c r="F352" s="7"/>
      <c r="K352" t="str">
        <v>Rabbit</v>
      </c>
      <c r="L352" t="str">
        <v>Siamese</v>
      </c>
      <c r="M352">
        <v>3</v>
      </c>
      <c r="N352" s="6">
        <v>200</v>
      </c>
      <c r="O352" s="7">
        <v>45260</v>
      </c>
      <c r="P352" t="str">
        <v>Ottawa</v>
      </c>
      <c r="Q352" t="str">
        <v>Credit Card</v>
      </c>
      <c r="AE352" t="str">
        <v>Siamese</v>
      </c>
      <c r="AF352" t="str">
        <v>Ottawa</v>
      </c>
      <c r="BC352" s="6"/>
      <c r="BD352" s="7"/>
    </row>
    <row r="353" spans="5:56" x14ac:dyDescent="0.45">
      <c r="E353" s="6"/>
      <c r="F353" s="7"/>
      <c r="K353" t="str">
        <v>Dog</v>
      </c>
      <c r="L353" t="str">
        <v>Labrador</v>
      </c>
      <c r="M353">
        <v>8</v>
      </c>
      <c r="N353" s="6">
        <v>100</v>
      </c>
      <c r="O353" s="7">
        <v>45437</v>
      </c>
      <c r="P353" t="str">
        <v>Calgary</v>
      </c>
      <c r="Q353" t="str">
        <v>Cash</v>
      </c>
      <c r="AE353" t="str">
        <v>Labrador</v>
      </c>
      <c r="AF353" t="str">
        <v>Calgary</v>
      </c>
      <c r="BC353" s="6"/>
      <c r="BD353" s="7"/>
    </row>
    <row r="354" spans="5:56" x14ac:dyDescent="0.45">
      <c r="E354" s="6"/>
      <c r="F354" s="7"/>
      <c r="K354" t="str">
        <v>Cat</v>
      </c>
      <c r="L354" t="str">
        <v>Holland Lop</v>
      </c>
      <c r="M354">
        <v>12</v>
      </c>
      <c r="N354" s="6">
        <v>75</v>
      </c>
      <c r="O354" s="7">
        <v>45219</v>
      </c>
      <c r="P354" t="str">
        <v>Ottawa</v>
      </c>
      <c r="Q354" t="str">
        <v>Debit</v>
      </c>
      <c r="AE354" t="str">
        <v>Holland Lop</v>
      </c>
      <c r="AF354" t="str">
        <v>Ottawa</v>
      </c>
      <c r="BC354" s="6"/>
      <c r="BD354" s="7"/>
    </row>
    <row r="355" spans="5:56" x14ac:dyDescent="0.45">
      <c r="E355" s="6"/>
      <c r="F355" s="7"/>
      <c r="K355" t="str">
        <v>Guinea Pig</v>
      </c>
      <c r="L355" t="str">
        <v>Bulldog</v>
      </c>
      <c r="M355">
        <v>9</v>
      </c>
      <c r="N355" s="6">
        <v>150</v>
      </c>
      <c r="O355" s="7">
        <v>44946</v>
      </c>
      <c r="P355" t="str">
        <v>Toronto</v>
      </c>
      <c r="Q355" t="str">
        <v>Cash</v>
      </c>
      <c r="AE355" t="str">
        <v>Bulldog</v>
      </c>
      <c r="AF355" t="str">
        <v>Toronto</v>
      </c>
      <c r="BC355" s="6"/>
      <c r="BD355" s="7"/>
    </row>
    <row r="356" spans="5:56" x14ac:dyDescent="0.45">
      <c r="E356" s="6"/>
      <c r="F356" s="7"/>
      <c r="K356" t="str">
        <v>Cat</v>
      </c>
      <c r="L356" t="str">
        <v>Labrador</v>
      </c>
      <c r="M356">
        <v>8</v>
      </c>
      <c r="N356" s="6">
        <v>50</v>
      </c>
      <c r="O356" s="7">
        <v>45208</v>
      </c>
      <c r="P356" t="str">
        <v>Ottawa</v>
      </c>
      <c r="Q356" t="str">
        <v>Debit</v>
      </c>
      <c r="AE356" t="str">
        <v>Labrador</v>
      </c>
      <c r="AF356" t="str">
        <v>Ottawa</v>
      </c>
      <c r="BC356" s="6"/>
      <c r="BD356" s="7"/>
    </row>
    <row r="357" spans="5:56" x14ac:dyDescent="0.45">
      <c r="E357" s="6"/>
      <c r="F357" s="7"/>
      <c r="K357" t="str">
        <v>Cat</v>
      </c>
      <c r="L357" t="str">
        <v>American</v>
      </c>
      <c r="M357">
        <v>1</v>
      </c>
      <c r="N357" s="6">
        <v>150</v>
      </c>
      <c r="O357" s="7">
        <v>44927</v>
      </c>
      <c r="P357" t="str">
        <v>Ottawa</v>
      </c>
      <c r="Q357" t="str">
        <v>Online Transfer</v>
      </c>
      <c r="AE357" t="str">
        <v>American</v>
      </c>
      <c r="AF357" t="str">
        <v>Ottawa</v>
      </c>
      <c r="BC357" s="6"/>
      <c r="BD357" s="7"/>
    </row>
    <row r="358" spans="5:56" x14ac:dyDescent="0.45">
      <c r="E358" s="6"/>
      <c r="F358" s="7"/>
      <c r="K358" t="str">
        <v>Dog</v>
      </c>
      <c r="L358" t="str">
        <v>Bulldog</v>
      </c>
      <c r="M358">
        <v>7</v>
      </c>
      <c r="N358" s="6">
        <v>200</v>
      </c>
      <c r="O358" s="7">
        <v>45045</v>
      </c>
      <c r="P358" t="str">
        <v>Toronto</v>
      </c>
      <c r="Q358" t="str">
        <v>Credit Card</v>
      </c>
      <c r="AE358" t="str">
        <v>Bulldog</v>
      </c>
      <c r="AF358" t="str">
        <v>Toronto</v>
      </c>
      <c r="BC358" s="6"/>
      <c r="BD358" s="7"/>
    </row>
    <row r="359" spans="5:56" x14ac:dyDescent="0.45">
      <c r="E359" s="6"/>
      <c r="F359" s="7"/>
      <c r="K359" t="str">
        <v>Bird</v>
      </c>
      <c r="L359" t="str">
        <v>Persian</v>
      </c>
      <c r="M359">
        <v>7</v>
      </c>
      <c r="N359" s="6">
        <v>50</v>
      </c>
      <c r="O359" s="7">
        <v>44961</v>
      </c>
      <c r="P359" t="str">
        <v>Montreal</v>
      </c>
      <c r="Q359" t="str">
        <v>Online Transfer</v>
      </c>
      <c r="AE359" t="str">
        <v>Persian</v>
      </c>
      <c r="AF359" t="str">
        <v>Montreal</v>
      </c>
      <c r="BC359" s="6"/>
      <c r="BD359" s="7"/>
    </row>
    <row r="360" spans="5:56" x14ac:dyDescent="0.45">
      <c r="E360" s="6"/>
      <c r="F360" s="7"/>
      <c r="K360" t="str">
        <v>Cat</v>
      </c>
      <c r="L360" t="str">
        <v>Cockatiel</v>
      </c>
      <c r="M360">
        <v>6</v>
      </c>
      <c r="N360" s="6">
        <v>200</v>
      </c>
      <c r="O360" s="7">
        <v>45124</v>
      </c>
      <c r="P360" t="str">
        <v>Ottawa</v>
      </c>
      <c r="Q360" t="str">
        <v>Debit</v>
      </c>
      <c r="AE360" t="str">
        <v>Cockatiel</v>
      </c>
      <c r="AF360" t="str">
        <v>Ottawa</v>
      </c>
      <c r="BC360" s="6"/>
      <c r="BD360" s="7"/>
    </row>
    <row r="361" spans="5:56" x14ac:dyDescent="0.45">
      <c r="E361" s="6"/>
      <c r="F361" s="7"/>
      <c r="K361" t="str">
        <v>Rabbit</v>
      </c>
      <c r="L361" t="str">
        <v>Labrador</v>
      </c>
      <c r="M361">
        <v>7</v>
      </c>
      <c r="N361" s="6">
        <v>75</v>
      </c>
      <c r="O361" s="7">
        <v>45411</v>
      </c>
      <c r="P361" t="str">
        <v>Ottawa</v>
      </c>
      <c r="Q361" t="str">
        <v>Debit</v>
      </c>
      <c r="AE361" t="str">
        <v>Labrador</v>
      </c>
      <c r="AF361" t="str">
        <v>Ottawa</v>
      </c>
      <c r="BC361" s="6"/>
      <c r="BD361" s="7"/>
    </row>
    <row r="362" spans="5:56" x14ac:dyDescent="0.45">
      <c r="E362" s="6"/>
      <c r="F362" s="7"/>
      <c r="K362" t="str">
        <v>Bird</v>
      </c>
      <c r="L362" t="str">
        <v>American</v>
      </c>
      <c r="M362">
        <v>13</v>
      </c>
      <c r="N362" s="6">
        <v>50</v>
      </c>
      <c r="O362" s="7">
        <v>44985</v>
      </c>
      <c r="P362" t="str">
        <v>Montreal</v>
      </c>
      <c r="Q362" t="str">
        <v>Debit</v>
      </c>
      <c r="AE362" t="str">
        <v>American</v>
      </c>
      <c r="AF362" t="str">
        <v>Montreal</v>
      </c>
      <c r="BC362" s="6"/>
      <c r="BD362" s="7"/>
    </row>
    <row r="363" spans="5:56" x14ac:dyDescent="0.45">
      <c r="E363" s="6"/>
      <c r="F363" s="7"/>
      <c r="K363" t="str">
        <v>Guinea Pig</v>
      </c>
      <c r="L363" t="str">
        <v>Bulldog</v>
      </c>
      <c r="M363">
        <v>2</v>
      </c>
      <c r="N363" s="6">
        <v>200</v>
      </c>
      <c r="O363" s="7">
        <v>45087</v>
      </c>
      <c r="P363" t="str">
        <v>Ottawa</v>
      </c>
      <c r="Q363" t="str">
        <v>Credit Card</v>
      </c>
      <c r="AE363" t="str">
        <v>Bulldog</v>
      </c>
      <c r="AF363" t="str">
        <v>Ottawa</v>
      </c>
      <c r="BC363" s="6"/>
      <c r="BD363" s="7"/>
    </row>
    <row r="364" spans="5:56" x14ac:dyDescent="0.45">
      <c r="E364" s="6"/>
      <c r="F364" s="7"/>
      <c r="K364" t="str">
        <v>Dog</v>
      </c>
      <c r="L364" t="str">
        <v>American</v>
      </c>
      <c r="M364">
        <v>12</v>
      </c>
      <c r="N364" s="6">
        <v>75</v>
      </c>
      <c r="O364" s="7">
        <v>45132</v>
      </c>
      <c r="P364" t="str">
        <v>Ottawa</v>
      </c>
      <c r="Q364" t="str">
        <v>Cash</v>
      </c>
      <c r="AE364" t="str">
        <v>American</v>
      </c>
      <c r="AF364" t="str">
        <v>Ottawa</v>
      </c>
      <c r="BC364" s="6"/>
      <c r="BD364" s="7"/>
    </row>
    <row r="365" spans="5:56" x14ac:dyDescent="0.45">
      <c r="E365" s="6"/>
      <c r="F365" s="7"/>
      <c r="K365" t="str">
        <v>Guinea Pig</v>
      </c>
      <c r="L365" t="str">
        <v>Persian</v>
      </c>
      <c r="M365">
        <v>5</v>
      </c>
      <c r="N365" s="6">
        <v>150</v>
      </c>
      <c r="O365" s="7">
        <v>44938</v>
      </c>
      <c r="P365" t="str">
        <v>Ottawa</v>
      </c>
      <c r="Q365" t="str">
        <v>Online Transfer</v>
      </c>
      <c r="AE365" t="str">
        <v>Persian</v>
      </c>
      <c r="AF365" t="str">
        <v>Ottawa</v>
      </c>
      <c r="BC365" s="6"/>
      <c r="BD365" s="7"/>
    </row>
    <row r="366" spans="5:56" x14ac:dyDescent="0.45">
      <c r="E366" s="6"/>
      <c r="F366" s="7"/>
      <c r="K366" t="str">
        <v>Bird</v>
      </c>
      <c r="L366" t="str">
        <v>Holland Lop</v>
      </c>
      <c r="M366">
        <v>0</v>
      </c>
      <c r="N366" s="6">
        <v>75</v>
      </c>
      <c r="O366" s="7">
        <v>45416</v>
      </c>
      <c r="P366" t="str">
        <v>Vancouver</v>
      </c>
      <c r="Q366" t="str">
        <v>Online Transfer</v>
      </c>
      <c r="AE366" t="str">
        <v>Holland Lop</v>
      </c>
      <c r="AF366" t="str">
        <v>Vancouver</v>
      </c>
      <c r="BC366" s="6"/>
      <c r="BD366" s="7"/>
    </row>
    <row r="367" spans="5:56" x14ac:dyDescent="0.45">
      <c r="E367" s="6"/>
      <c r="F367" s="7"/>
      <c r="K367" t="str">
        <v>Bird</v>
      </c>
      <c r="L367" t="str">
        <v>American</v>
      </c>
      <c r="M367">
        <v>6</v>
      </c>
      <c r="N367" s="6">
        <v>100</v>
      </c>
      <c r="O367" s="7">
        <v>45202</v>
      </c>
      <c r="P367" t="str">
        <v>Montreal</v>
      </c>
      <c r="Q367" t="str">
        <v>Cash</v>
      </c>
      <c r="AE367" t="str">
        <v>American</v>
      </c>
      <c r="AF367" t="str">
        <v>Montreal</v>
      </c>
      <c r="BC367" s="6"/>
      <c r="BD367" s="7"/>
    </row>
    <row r="368" spans="5:56" x14ac:dyDescent="0.45">
      <c r="E368" s="6"/>
      <c r="F368" s="7"/>
      <c r="K368" t="str">
        <v>Bird</v>
      </c>
      <c r="L368" t="str">
        <v>Bulldog</v>
      </c>
      <c r="M368">
        <v>14</v>
      </c>
      <c r="N368" s="6">
        <v>75</v>
      </c>
      <c r="O368" s="7">
        <v>45168</v>
      </c>
      <c r="P368" t="str">
        <v>Ottawa</v>
      </c>
      <c r="Q368" t="str">
        <v>Online Transfer</v>
      </c>
      <c r="AE368" t="str">
        <v>Bulldog</v>
      </c>
      <c r="AF368" t="str">
        <v>Ottawa</v>
      </c>
      <c r="BC368" s="6"/>
      <c r="BD368" s="7"/>
    </row>
    <row r="369" spans="5:56" x14ac:dyDescent="0.45">
      <c r="E369" s="6"/>
      <c r="F369" s="7"/>
      <c r="K369" t="str">
        <v>Guinea Pig</v>
      </c>
      <c r="L369" t="str">
        <v>American</v>
      </c>
      <c r="M369">
        <v>14</v>
      </c>
      <c r="N369" s="6">
        <v>75</v>
      </c>
      <c r="O369" s="7">
        <v>45142</v>
      </c>
      <c r="P369" t="str">
        <v>Montreal</v>
      </c>
      <c r="Q369" t="str">
        <v>Credit Card</v>
      </c>
      <c r="AE369" t="str">
        <v>American</v>
      </c>
      <c r="AF369" t="str">
        <v>Montreal</v>
      </c>
      <c r="BC369" s="6"/>
      <c r="BD369" s="7"/>
    </row>
    <row r="370" spans="5:56" x14ac:dyDescent="0.45">
      <c r="E370" s="6"/>
      <c r="F370" s="7"/>
      <c r="K370" t="str">
        <v>Bird</v>
      </c>
      <c r="L370" t="str">
        <v>American</v>
      </c>
      <c r="M370">
        <v>0</v>
      </c>
      <c r="N370" s="6">
        <v>100</v>
      </c>
      <c r="O370" s="7">
        <v>45177</v>
      </c>
      <c r="P370" t="str">
        <v>Calgary</v>
      </c>
      <c r="Q370" t="str">
        <v>Online Transfer</v>
      </c>
      <c r="AE370" t="str">
        <v>American</v>
      </c>
      <c r="AF370" t="str">
        <v>Calgary</v>
      </c>
      <c r="BC370" s="6"/>
      <c r="BD370" s="7"/>
    </row>
    <row r="371" spans="5:56" x14ac:dyDescent="0.45">
      <c r="E371" s="6"/>
      <c r="F371" s="7"/>
      <c r="K371" t="str">
        <v>Guinea Pig</v>
      </c>
      <c r="L371" t="str">
        <v>American</v>
      </c>
      <c r="M371">
        <v>8</v>
      </c>
      <c r="N371" s="6">
        <v>200</v>
      </c>
      <c r="O371" s="7">
        <v>45052</v>
      </c>
      <c r="P371" t="str">
        <v>Calgary</v>
      </c>
      <c r="Q371" t="str">
        <v>Debit</v>
      </c>
      <c r="AE371" t="str">
        <v>American</v>
      </c>
      <c r="AF371" t="str">
        <v>Calgary</v>
      </c>
      <c r="BC371" s="6"/>
      <c r="BD371" s="7"/>
    </row>
    <row r="372" spans="5:56" x14ac:dyDescent="0.45">
      <c r="E372" s="6"/>
      <c r="F372" s="7"/>
      <c r="K372" t="str">
        <v>Bird</v>
      </c>
      <c r="L372" t="str">
        <v>Siamese</v>
      </c>
      <c r="M372">
        <v>0</v>
      </c>
      <c r="N372" s="6">
        <v>200</v>
      </c>
      <c r="O372" s="7">
        <v>45143</v>
      </c>
      <c r="P372" t="str">
        <v>Ottawa</v>
      </c>
      <c r="Q372" t="str">
        <v>Cash</v>
      </c>
      <c r="AE372" t="str">
        <v>Siamese</v>
      </c>
      <c r="AF372" t="str">
        <v>Ottawa</v>
      </c>
      <c r="BC372" s="6"/>
      <c r="BD372" s="7"/>
    </row>
    <row r="373" spans="5:56" x14ac:dyDescent="0.45">
      <c r="E373" s="6"/>
      <c r="F373" s="7"/>
      <c r="K373" t="str">
        <v>Rabbit</v>
      </c>
      <c r="L373" t="str">
        <v>Siamese</v>
      </c>
      <c r="M373">
        <v>0</v>
      </c>
      <c r="N373" s="6">
        <v>75</v>
      </c>
      <c r="O373" s="7">
        <v>45232</v>
      </c>
      <c r="P373" t="str">
        <v>Montreal</v>
      </c>
      <c r="Q373" t="str">
        <v>Credit Card</v>
      </c>
      <c r="AE373" t="str">
        <v>Siamese</v>
      </c>
      <c r="AF373" t="str">
        <v>Montreal</v>
      </c>
      <c r="BC373" s="6"/>
      <c r="BD373" s="7"/>
    </row>
    <row r="374" spans="5:56" x14ac:dyDescent="0.45">
      <c r="E374" s="6"/>
      <c r="F374" s="7"/>
      <c r="K374" t="str">
        <v>Bird</v>
      </c>
      <c r="L374" t="str">
        <v>Holland Lop</v>
      </c>
      <c r="M374">
        <v>14</v>
      </c>
      <c r="N374" s="6">
        <v>100</v>
      </c>
      <c r="O374" s="7">
        <v>45111</v>
      </c>
      <c r="P374" t="str">
        <v>Montreal</v>
      </c>
      <c r="Q374" t="str">
        <v>Cash</v>
      </c>
      <c r="AE374" t="str">
        <v>Holland Lop</v>
      </c>
      <c r="AF374" t="str">
        <v>Montreal</v>
      </c>
      <c r="BC374" s="6"/>
      <c r="BD374" s="7"/>
    </row>
    <row r="375" spans="5:56" x14ac:dyDescent="0.45">
      <c r="E375" s="6"/>
      <c r="F375" s="7"/>
      <c r="K375" t="str">
        <v>Guinea Pig</v>
      </c>
      <c r="L375" t="str">
        <v>Labrador</v>
      </c>
      <c r="M375">
        <v>6</v>
      </c>
      <c r="N375" s="6">
        <v>100</v>
      </c>
      <c r="O375" s="7">
        <v>44965</v>
      </c>
      <c r="P375" t="str">
        <v>Montreal</v>
      </c>
      <c r="Q375" t="str">
        <v>Credit Card</v>
      </c>
      <c r="AE375" t="str">
        <v>Labrador</v>
      </c>
      <c r="AF375" t="str">
        <v>Montreal</v>
      </c>
      <c r="BC375" s="6"/>
      <c r="BD375" s="7"/>
    </row>
    <row r="376" spans="5:56" x14ac:dyDescent="0.45">
      <c r="E376" s="6"/>
      <c r="F376" s="7"/>
      <c r="K376" t="str">
        <v>Cat</v>
      </c>
      <c r="L376" t="str">
        <v>American</v>
      </c>
      <c r="M376">
        <v>1</v>
      </c>
      <c r="N376" s="6">
        <v>150</v>
      </c>
      <c r="O376" s="7">
        <v>45149</v>
      </c>
      <c r="P376" t="str">
        <v>Vancouver</v>
      </c>
      <c r="Q376" t="str">
        <v>Debit</v>
      </c>
      <c r="AE376" t="str">
        <v>American</v>
      </c>
      <c r="AF376" t="str">
        <v>Vancouver</v>
      </c>
      <c r="BC376" s="6"/>
      <c r="BD376" s="7"/>
    </row>
    <row r="377" spans="5:56" x14ac:dyDescent="0.45">
      <c r="E377" s="6"/>
      <c r="F377" s="7"/>
      <c r="K377" t="str">
        <v>Bird</v>
      </c>
      <c r="L377" t="str">
        <v>Persian</v>
      </c>
      <c r="M377">
        <v>13</v>
      </c>
      <c r="N377" s="6">
        <v>200</v>
      </c>
      <c r="O377" s="7">
        <v>45110</v>
      </c>
      <c r="P377" t="str">
        <v>Calgary</v>
      </c>
      <c r="Q377" t="str">
        <v>Cash</v>
      </c>
      <c r="AE377" t="str">
        <v>Persian</v>
      </c>
      <c r="AF377" t="str">
        <v>Calgary</v>
      </c>
      <c r="BC377" s="6"/>
      <c r="BD377" s="7"/>
    </row>
    <row r="378" spans="5:56" x14ac:dyDescent="0.45">
      <c r="E378" s="6"/>
      <c r="F378" s="7"/>
      <c r="K378" t="str">
        <v>Cat</v>
      </c>
      <c r="L378" t="str">
        <v>Labrador</v>
      </c>
      <c r="M378">
        <v>4</v>
      </c>
      <c r="N378" s="6">
        <v>50</v>
      </c>
      <c r="O378" s="7">
        <v>45421</v>
      </c>
      <c r="P378" t="str">
        <v>Montreal</v>
      </c>
      <c r="Q378" t="str">
        <v>Online Transfer</v>
      </c>
      <c r="AE378" t="str">
        <v>Labrador</v>
      </c>
      <c r="AF378" t="str">
        <v>Montreal</v>
      </c>
      <c r="BC378" s="6"/>
      <c r="BD378" s="7"/>
    </row>
    <row r="379" spans="5:56" x14ac:dyDescent="0.45">
      <c r="E379" s="6"/>
      <c r="F379" s="7"/>
      <c r="K379" t="str">
        <v>Rabbit</v>
      </c>
      <c r="L379" t="str">
        <v>Persian</v>
      </c>
      <c r="M379">
        <v>7</v>
      </c>
      <c r="N379" s="6">
        <v>200</v>
      </c>
      <c r="O379" s="7">
        <v>45353</v>
      </c>
      <c r="P379" t="str">
        <v>Montreal</v>
      </c>
      <c r="Q379" t="str">
        <v>Credit Card</v>
      </c>
      <c r="AE379" t="str">
        <v>Persian</v>
      </c>
      <c r="AF379" t="str">
        <v>Montreal</v>
      </c>
      <c r="BC379" s="6"/>
      <c r="BD379" s="7"/>
    </row>
    <row r="380" spans="5:56" x14ac:dyDescent="0.45">
      <c r="E380" s="6"/>
      <c r="F380" s="7"/>
      <c r="K380" t="str">
        <v>Dog</v>
      </c>
      <c r="L380" t="str">
        <v>Labrador</v>
      </c>
      <c r="M380">
        <v>7</v>
      </c>
      <c r="N380" s="6">
        <v>200</v>
      </c>
      <c r="O380" s="7">
        <v>45104</v>
      </c>
      <c r="P380" t="str">
        <v>Vancouver</v>
      </c>
      <c r="Q380" t="str">
        <v>Cash</v>
      </c>
      <c r="AE380" t="str">
        <v>Labrador</v>
      </c>
      <c r="AF380" t="str">
        <v>Vancouver</v>
      </c>
      <c r="BC380" s="6"/>
      <c r="BD380" s="7"/>
    </row>
    <row r="381" spans="5:56" x14ac:dyDescent="0.45">
      <c r="E381" s="6"/>
      <c r="F381" s="7"/>
      <c r="K381" t="str">
        <v>Rabbit</v>
      </c>
      <c r="L381" t="str">
        <v>Holland Lop</v>
      </c>
      <c r="M381">
        <v>2</v>
      </c>
      <c r="N381" s="6">
        <v>150</v>
      </c>
      <c r="O381" s="7">
        <v>45354</v>
      </c>
      <c r="P381" t="str">
        <v>Vancouver</v>
      </c>
      <c r="Q381" t="str">
        <v>Online Transfer</v>
      </c>
      <c r="AE381" t="str">
        <v>Holland Lop</v>
      </c>
      <c r="AF381" t="str">
        <v>Vancouver</v>
      </c>
      <c r="BC381" s="6"/>
      <c r="BD381" s="7"/>
    </row>
    <row r="382" spans="5:56" x14ac:dyDescent="0.45">
      <c r="E382" s="6"/>
      <c r="F382" s="7"/>
      <c r="K382" t="str">
        <v>Bird</v>
      </c>
      <c r="L382" t="str">
        <v>American</v>
      </c>
      <c r="M382">
        <v>6</v>
      </c>
      <c r="N382" s="6">
        <v>50</v>
      </c>
      <c r="O382" s="7">
        <v>45220</v>
      </c>
      <c r="P382" t="str">
        <v>Montreal</v>
      </c>
      <c r="Q382" t="str">
        <v>Cash</v>
      </c>
      <c r="AE382" t="str">
        <v>American</v>
      </c>
      <c r="AF382" t="str">
        <v>Montreal</v>
      </c>
      <c r="BC382" s="6"/>
      <c r="BD382" s="7"/>
    </row>
    <row r="383" spans="5:56" x14ac:dyDescent="0.45">
      <c r="E383" s="6"/>
      <c r="F383" s="7"/>
      <c r="K383" t="str">
        <v>Cat</v>
      </c>
      <c r="L383" t="str">
        <v>American</v>
      </c>
      <c r="M383">
        <v>2</v>
      </c>
      <c r="N383" s="6">
        <v>150</v>
      </c>
      <c r="O383" s="7">
        <v>45077</v>
      </c>
      <c r="P383" t="str">
        <v>Toronto</v>
      </c>
      <c r="Q383" t="str">
        <v>Cash</v>
      </c>
      <c r="AE383" t="str">
        <v>American</v>
      </c>
      <c r="AF383" t="str">
        <v>Toronto</v>
      </c>
      <c r="BC383" s="6"/>
      <c r="BD383" s="7"/>
    </row>
    <row r="384" spans="5:56" x14ac:dyDescent="0.45">
      <c r="E384" s="6"/>
      <c r="F384" s="7"/>
      <c r="K384" t="str">
        <v>Cat</v>
      </c>
      <c r="L384" t="str">
        <v>Cockatiel</v>
      </c>
      <c r="M384">
        <v>5</v>
      </c>
      <c r="N384" s="6">
        <v>50</v>
      </c>
      <c r="O384" s="7">
        <v>45310</v>
      </c>
      <c r="P384" t="str">
        <v>Montreal</v>
      </c>
      <c r="Q384" t="str">
        <v>Cash</v>
      </c>
      <c r="AE384" t="str">
        <v>Cockatiel</v>
      </c>
      <c r="AF384" t="str">
        <v>Montreal</v>
      </c>
      <c r="BC384" s="6"/>
      <c r="BD384" s="7"/>
    </row>
    <row r="385" spans="5:56" x14ac:dyDescent="0.45">
      <c r="E385" s="6"/>
      <c r="F385" s="7"/>
      <c r="K385" t="str">
        <v>Guinea Pig</v>
      </c>
      <c r="L385" t="str">
        <v>Persian</v>
      </c>
      <c r="M385">
        <v>5</v>
      </c>
      <c r="N385" s="6">
        <v>75</v>
      </c>
      <c r="O385" s="7">
        <v>45234</v>
      </c>
      <c r="P385" t="str">
        <v>Montreal</v>
      </c>
      <c r="Q385" t="str">
        <v>Credit Card</v>
      </c>
      <c r="AE385" t="str">
        <v>Persian</v>
      </c>
      <c r="AF385" t="str">
        <v>Montreal</v>
      </c>
      <c r="BC385" s="6"/>
      <c r="BD385" s="7"/>
    </row>
    <row r="386" spans="5:56" x14ac:dyDescent="0.45">
      <c r="E386" s="6"/>
      <c r="F386" s="7"/>
      <c r="K386" t="str">
        <v>Cat</v>
      </c>
      <c r="L386" t="str">
        <v>Labrador</v>
      </c>
      <c r="M386">
        <v>2</v>
      </c>
      <c r="N386" s="6">
        <v>50</v>
      </c>
      <c r="O386" s="7">
        <v>45262</v>
      </c>
      <c r="P386" t="str">
        <v>Vancouver</v>
      </c>
      <c r="Q386" t="str">
        <v>Online Transfer</v>
      </c>
      <c r="AE386" t="str">
        <v>Labrador</v>
      </c>
      <c r="AF386" t="str">
        <v>Vancouver</v>
      </c>
      <c r="BC386" s="6"/>
      <c r="BD386" s="7"/>
    </row>
    <row r="387" spans="5:56" x14ac:dyDescent="0.45">
      <c r="E387" s="6"/>
      <c r="F387" s="7"/>
      <c r="K387" t="str">
        <v>Guinea Pig</v>
      </c>
      <c r="L387" t="str">
        <v>Labrador</v>
      </c>
      <c r="M387">
        <v>6</v>
      </c>
      <c r="N387" s="6">
        <v>150</v>
      </c>
      <c r="O387" s="7">
        <v>45301</v>
      </c>
      <c r="P387" t="str">
        <v>Vancouver</v>
      </c>
      <c r="Q387" t="str">
        <v>Debit</v>
      </c>
      <c r="AE387" t="str">
        <v>Labrador</v>
      </c>
      <c r="AF387" t="str">
        <v>Vancouver</v>
      </c>
      <c r="BC387" s="6"/>
      <c r="BD387" s="7"/>
    </row>
    <row r="388" spans="5:56" x14ac:dyDescent="0.45">
      <c r="E388" s="6"/>
      <c r="F388" s="7"/>
      <c r="K388" t="str">
        <v>Dog</v>
      </c>
      <c r="L388" t="str">
        <v>Siamese</v>
      </c>
      <c r="M388">
        <v>2</v>
      </c>
      <c r="N388" s="6">
        <v>200</v>
      </c>
      <c r="O388" s="7">
        <v>44934</v>
      </c>
      <c r="P388" t="str">
        <v>Montreal</v>
      </c>
      <c r="Q388" t="str">
        <v>Credit Card</v>
      </c>
      <c r="AE388" t="str">
        <v>Siamese</v>
      </c>
      <c r="AF388" t="str">
        <v>Montreal</v>
      </c>
      <c r="BC388" s="6"/>
      <c r="BD388" s="7"/>
    </row>
    <row r="389" spans="5:56" x14ac:dyDescent="0.45">
      <c r="E389" s="6"/>
      <c r="F389" s="7"/>
      <c r="K389" t="str">
        <v>Bird</v>
      </c>
      <c r="L389" t="str">
        <v>Cockatiel</v>
      </c>
      <c r="M389">
        <v>7</v>
      </c>
      <c r="N389" s="6">
        <v>50</v>
      </c>
      <c r="O389" s="7">
        <v>45267</v>
      </c>
      <c r="P389" t="str">
        <v>Montreal</v>
      </c>
      <c r="Q389" t="str">
        <v>Credit Card</v>
      </c>
      <c r="AE389" t="str">
        <v>Cockatiel</v>
      </c>
      <c r="AF389" t="str">
        <v>Montreal</v>
      </c>
      <c r="BC389" s="6"/>
      <c r="BD389" s="7"/>
    </row>
    <row r="390" spans="5:56" x14ac:dyDescent="0.45">
      <c r="E390" s="6"/>
      <c r="F390" s="7"/>
      <c r="K390" t="str">
        <v>Guinea Pig</v>
      </c>
      <c r="L390" t="str">
        <v>Bulldog</v>
      </c>
      <c r="M390">
        <v>9</v>
      </c>
      <c r="N390" s="6">
        <v>50</v>
      </c>
      <c r="O390" s="7">
        <v>45055</v>
      </c>
      <c r="P390" t="str">
        <v>Montreal</v>
      </c>
      <c r="Q390" t="str">
        <v>Credit Card</v>
      </c>
      <c r="AE390" t="str">
        <v>Bulldog</v>
      </c>
      <c r="AF390" t="str">
        <v>Montreal</v>
      </c>
      <c r="BC390" s="6"/>
      <c r="BD390" s="7"/>
    </row>
    <row r="391" spans="5:56" x14ac:dyDescent="0.45">
      <c r="E391" s="6"/>
      <c r="F391" s="7"/>
      <c r="K391" t="str">
        <v>Dog</v>
      </c>
      <c r="L391" t="str">
        <v>Bulldog</v>
      </c>
      <c r="M391">
        <v>3</v>
      </c>
      <c r="N391" s="6">
        <v>100</v>
      </c>
      <c r="O391" s="7">
        <v>45278</v>
      </c>
      <c r="P391" t="str">
        <v>Vancouver</v>
      </c>
      <c r="Q391" t="str">
        <v>Debit</v>
      </c>
      <c r="AE391" t="str">
        <v>Bulldog</v>
      </c>
      <c r="AF391" t="str">
        <v>Vancouver</v>
      </c>
      <c r="BC391" s="6"/>
      <c r="BD391" s="7"/>
    </row>
    <row r="392" spans="5:56" x14ac:dyDescent="0.45">
      <c r="E392" s="6"/>
      <c r="F392" s="7"/>
      <c r="K392" t="str">
        <v>Cat</v>
      </c>
      <c r="L392" t="str">
        <v>Siamese</v>
      </c>
      <c r="M392">
        <v>14</v>
      </c>
      <c r="N392" s="6">
        <v>200</v>
      </c>
      <c r="O392" s="7">
        <v>45284</v>
      </c>
      <c r="P392" t="str">
        <v>Montreal</v>
      </c>
      <c r="Q392" t="str">
        <v>Online Transfer</v>
      </c>
      <c r="AE392" t="str">
        <v>Siamese</v>
      </c>
      <c r="AF392" t="str">
        <v>Montreal</v>
      </c>
      <c r="BC392" s="6"/>
      <c r="BD392" s="7"/>
    </row>
    <row r="393" spans="5:56" x14ac:dyDescent="0.45">
      <c r="E393" s="6"/>
      <c r="F393" s="7"/>
      <c r="K393" t="str">
        <v>Cat</v>
      </c>
      <c r="L393" t="str">
        <v>Siamese</v>
      </c>
      <c r="M393">
        <v>14</v>
      </c>
      <c r="N393" s="6">
        <v>75</v>
      </c>
      <c r="O393" s="7">
        <v>45443</v>
      </c>
      <c r="P393" t="str">
        <v>Montreal</v>
      </c>
      <c r="Q393" t="str">
        <v>Online Transfer</v>
      </c>
      <c r="AE393" t="str">
        <v>Siamese</v>
      </c>
      <c r="AF393" t="str">
        <v>Montreal</v>
      </c>
      <c r="BC393" s="6"/>
      <c r="BD393" s="7"/>
    </row>
    <row r="394" spans="5:56" x14ac:dyDescent="0.45">
      <c r="E394" s="6"/>
      <c r="F394" s="7"/>
      <c r="K394" t="str">
        <v>Dog</v>
      </c>
      <c r="L394" t="str">
        <v>Siamese</v>
      </c>
      <c r="M394">
        <v>12</v>
      </c>
      <c r="N394" s="6">
        <v>150</v>
      </c>
      <c r="O394" s="7">
        <v>45421</v>
      </c>
      <c r="P394" t="str">
        <v>Ottawa</v>
      </c>
      <c r="Q394" t="str">
        <v>Online Transfer</v>
      </c>
      <c r="AE394" t="str">
        <v>Siamese</v>
      </c>
      <c r="AF394" t="str">
        <v>Ottawa</v>
      </c>
      <c r="BC394" s="6"/>
      <c r="BD394" s="7"/>
    </row>
    <row r="395" spans="5:56" x14ac:dyDescent="0.45">
      <c r="E395" s="6"/>
      <c r="F395" s="7"/>
      <c r="K395" t="str">
        <v>Cat</v>
      </c>
      <c r="L395" t="str">
        <v>Persian</v>
      </c>
      <c r="M395">
        <v>0</v>
      </c>
      <c r="N395" s="6">
        <v>75</v>
      </c>
      <c r="O395" s="7">
        <v>45012</v>
      </c>
      <c r="P395" t="str">
        <v>Toronto</v>
      </c>
      <c r="Q395" t="str">
        <v>Cash</v>
      </c>
      <c r="AE395" t="str">
        <v>Persian</v>
      </c>
      <c r="AF395" t="str">
        <v>Toronto</v>
      </c>
      <c r="BC395" s="6"/>
      <c r="BD395" s="7"/>
    </row>
    <row r="396" spans="5:56" x14ac:dyDescent="0.45">
      <c r="E396" s="6"/>
      <c r="F396" s="7"/>
      <c r="K396" t="str">
        <v>Dog</v>
      </c>
      <c r="L396" t="str">
        <v>Persian</v>
      </c>
      <c r="M396">
        <v>3</v>
      </c>
      <c r="N396" s="6">
        <v>200</v>
      </c>
      <c r="O396" s="7">
        <v>45101</v>
      </c>
      <c r="P396" t="str">
        <v>Calgary</v>
      </c>
      <c r="Q396" t="str">
        <v>Cash</v>
      </c>
      <c r="AE396" t="str">
        <v>Persian</v>
      </c>
      <c r="AF396" t="str">
        <v>Calgary</v>
      </c>
      <c r="BC396" s="6"/>
      <c r="BD396" s="7"/>
    </row>
    <row r="397" spans="5:56" x14ac:dyDescent="0.45">
      <c r="E397" s="6"/>
      <c r="F397" s="7"/>
      <c r="K397" t="str">
        <v>Guinea Pig</v>
      </c>
      <c r="L397" t="str">
        <v>Holland Lop</v>
      </c>
      <c r="M397">
        <v>13</v>
      </c>
      <c r="N397" s="6">
        <v>50</v>
      </c>
      <c r="O397" s="7">
        <v>45119</v>
      </c>
      <c r="P397" t="str">
        <v>Toronto</v>
      </c>
      <c r="Q397" t="str">
        <v>Cash</v>
      </c>
      <c r="AE397" t="str">
        <v>Holland Lop</v>
      </c>
      <c r="AF397" t="str">
        <v>Toronto</v>
      </c>
      <c r="BC397" s="6"/>
      <c r="BD397" s="7"/>
    </row>
    <row r="398" spans="5:56" x14ac:dyDescent="0.45">
      <c r="E398" s="6"/>
      <c r="F398" s="7"/>
      <c r="K398" t="str">
        <v>Guinea Pig</v>
      </c>
      <c r="L398" t="str">
        <v>Holland Lop</v>
      </c>
      <c r="M398">
        <v>6</v>
      </c>
      <c r="N398" s="6">
        <v>50</v>
      </c>
      <c r="O398" s="7">
        <v>45237</v>
      </c>
      <c r="P398" t="str">
        <v>Ottawa</v>
      </c>
      <c r="Q398" t="str">
        <v>Debit</v>
      </c>
      <c r="AE398" t="str">
        <v>Holland Lop</v>
      </c>
      <c r="AF398" t="str">
        <v>Ottawa</v>
      </c>
      <c r="BC398" s="6"/>
      <c r="BD398" s="7"/>
    </row>
    <row r="399" spans="5:56" x14ac:dyDescent="0.45">
      <c r="E399" s="6"/>
      <c r="F399" s="7"/>
      <c r="K399" t="str">
        <v>Dog</v>
      </c>
      <c r="L399" t="str">
        <v>Siamese</v>
      </c>
      <c r="M399">
        <v>10</v>
      </c>
      <c r="N399" s="6">
        <v>200</v>
      </c>
      <c r="O399" s="7">
        <v>45045</v>
      </c>
      <c r="P399" t="str">
        <v>Calgary</v>
      </c>
      <c r="Q399" t="str">
        <v>Cash</v>
      </c>
      <c r="AE399" t="str">
        <v>Siamese</v>
      </c>
      <c r="AF399" t="str">
        <v>Calgary</v>
      </c>
      <c r="BC399" s="6"/>
      <c r="BD399" s="7"/>
    </row>
    <row r="400" spans="5:56" x14ac:dyDescent="0.45">
      <c r="E400" s="6"/>
      <c r="F400" s="7"/>
      <c r="K400" t="str">
        <v>Guinea Pig</v>
      </c>
      <c r="L400" t="str">
        <v>Cockatiel</v>
      </c>
      <c r="M400">
        <v>3</v>
      </c>
      <c r="N400" s="6">
        <v>50</v>
      </c>
      <c r="O400" s="7">
        <v>45144</v>
      </c>
      <c r="P400" t="str">
        <v>Montreal</v>
      </c>
      <c r="Q400" t="str">
        <v>Debit</v>
      </c>
      <c r="AE400" t="str">
        <v>Cockatiel</v>
      </c>
      <c r="AF400" t="str">
        <v>Montreal</v>
      </c>
      <c r="BC400" s="6"/>
      <c r="BD400" s="7"/>
    </row>
    <row r="401" spans="5:56" x14ac:dyDescent="0.45">
      <c r="E401" s="6"/>
      <c r="F401" s="7"/>
      <c r="K401" t="str">
        <v>Guinea Pig</v>
      </c>
      <c r="L401" t="str">
        <v>Labrador</v>
      </c>
      <c r="M401">
        <v>12</v>
      </c>
      <c r="N401" s="6">
        <v>50</v>
      </c>
      <c r="O401" s="7">
        <v>45353</v>
      </c>
      <c r="P401" t="str">
        <v>Ottawa</v>
      </c>
      <c r="Q401" t="str">
        <v>Online Transfer</v>
      </c>
      <c r="AE401" t="str">
        <v>Labrador</v>
      </c>
      <c r="AF401" t="str">
        <v>Ottawa</v>
      </c>
      <c r="BC401" s="6"/>
      <c r="BD401" s="7"/>
    </row>
    <row r="402" spans="5:56" x14ac:dyDescent="0.45">
      <c r="E402" s="6"/>
      <c r="F402" s="7"/>
      <c r="K402" t="str">
        <v>Guinea Pig</v>
      </c>
      <c r="L402" t="str">
        <v>Persian</v>
      </c>
      <c r="M402">
        <v>5</v>
      </c>
      <c r="N402" s="6">
        <v>50</v>
      </c>
      <c r="O402" s="7">
        <v>45340</v>
      </c>
      <c r="P402" t="str">
        <v>Montreal</v>
      </c>
      <c r="Q402" t="str">
        <v>Cash</v>
      </c>
      <c r="AE402" t="str">
        <v>Persian</v>
      </c>
      <c r="AF402" t="str">
        <v>Montreal</v>
      </c>
      <c r="BC402" s="6"/>
      <c r="BD402" s="7"/>
    </row>
    <row r="403" spans="5:56" x14ac:dyDescent="0.45">
      <c r="E403" s="6"/>
      <c r="F403" s="7"/>
      <c r="K403" t="str">
        <v>Rabbit</v>
      </c>
      <c r="L403" t="str">
        <v>Cockatiel</v>
      </c>
      <c r="M403">
        <v>8</v>
      </c>
      <c r="N403" s="6">
        <v>150</v>
      </c>
      <c r="O403" s="7">
        <v>45040</v>
      </c>
      <c r="P403" t="str">
        <v>Vancouver</v>
      </c>
      <c r="Q403" t="str">
        <v>Cash</v>
      </c>
      <c r="AE403" t="str">
        <v>Cockatiel</v>
      </c>
      <c r="AF403" t="str">
        <v>Vancouver</v>
      </c>
      <c r="BC403" s="6"/>
      <c r="BD403" s="7"/>
    </row>
    <row r="404" spans="5:56" x14ac:dyDescent="0.45">
      <c r="E404" s="6"/>
      <c r="F404" s="7"/>
      <c r="K404" t="str">
        <v>Bird</v>
      </c>
      <c r="L404" t="str">
        <v>American</v>
      </c>
      <c r="M404">
        <v>0</v>
      </c>
      <c r="N404" s="6">
        <v>150</v>
      </c>
      <c r="O404" s="7">
        <v>45071</v>
      </c>
      <c r="P404" t="str">
        <v>Ottawa</v>
      </c>
      <c r="Q404" t="str">
        <v>Credit Card</v>
      </c>
      <c r="AE404" t="str">
        <v>American</v>
      </c>
      <c r="AF404" t="str">
        <v>Ottawa</v>
      </c>
      <c r="BC404" s="6"/>
      <c r="BD404" s="7"/>
    </row>
    <row r="405" spans="5:56" x14ac:dyDescent="0.45">
      <c r="E405" s="6"/>
      <c r="F405" s="7"/>
      <c r="K405" t="str">
        <v>Cat</v>
      </c>
      <c r="L405" t="str">
        <v>Persian</v>
      </c>
      <c r="M405">
        <v>12</v>
      </c>
      <c r="N405" s="6">
        <v>100</v>
      </c>
      <c r="O405" s="7">
        <v>45464</v>
      </c>
      <c r="P405" t="str">
        <v>Vancouver</v>
      </c>
      <c r="Q405" t="str">
        <v>Debit</v>
      </c>
      <c r="AE405" t="str">
        <v>Persian</v>
      </c>
      <c r="AF405" t="str">
        <v>Vancouver</v>
      </c>
      <c r="BC405" s="6"/>
      <c r="BD40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Solution Notes</vt:lpstr>
      <vt:lpstr>shelter_data</vt:lpstr>
      <vt:lpstr>Task1 - Unique Types</vt:lpstr>
      <vt:lpstr>Task2 - Top10 Expensive</vt:lpstr>
      <vt:lpstr>Task3 - Toronto CreditCard</vt:lpstr>
      <vt:lpstr>Task4 - 15 MostRecent</vt:lpstr>
      <vt:lpstr>Task5 - Type&amp;Fee</vt:lpstr>
      <vt:lpstr>Task6 -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2026-07-03T01:54:30Z</dcterms:created>
  <dcterms:modified xsi:type="dcterms:W3CDTF">2026-07-06T13:46:14Z</dcterms:modified>
</cp:coreProperties>
</file>