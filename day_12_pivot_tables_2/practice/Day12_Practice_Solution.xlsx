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12_pivot_tables_2\practice\"/>
    </mc:Choice>
  </mc:AlternateContent>
  <xr:revisionPtr revIDLastSave="0" documentId="13_ncr:1_{A1471D81-EEE1-43B2-B652-69D862880B9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Dataset (Solved)" sheetId="2" r:id="rId2"/>
    <sheet name="Pivot 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<sst xmlns="http://schemas.openxmlformats.org/spreadsheetml/2006/main" count="714" uniqueCount="199">
  <si>
    <t>Day 12 Solution - Pivot Tables Part 2</t>
  </si>
  <si>
    <t>Note: openpyxl cannot write native Excel PivotTable caches, so every pivot below was computed with pandas from the 'Dataset' sheet and written to the 'Pivot Results' sheet as a plain, clearly-labelled result table. The 'How to build in Excel' steps recreate each one as a real, interactive PivotTable.</t>
  </si>
  <si>
    <t>Task 1: Which issue types are reported most often?</t>
  </si>
  <si>
    <t>Pivot layout: Rows = Issue Type, Values = Count of Ticket ID</t>
  </si>
  <si>
    <t>Answer: See 'Pivot Results' B5:B10 - Account Suspension (19) is the most common, then Login Issue (18), Payment Error (17), Feature Request (16), Performance Lag (16), Bug Report (14).</t>
  </si>
  <si>
    <t>How to build in Excel:</t>
  </si>
  <si>
    <t xml:space="preserve">  1. Select any cell in the Dataset table -&gt; Insert -&gt; PivotTable -&gt; New Worksheet -&gt; OK.</t>
  </si>
  <si>
    <t xml:space="preserve">  2. Drag 'Issue Type' into the Rows area.</t>
  </si>
  <si>
    <t xml:space="preserve">  3. Drag 'Ticket ID' into the Values area (it defaults to Count for a text field).</t>
  </si>
  <si>
    <t xml:space="preserve">  4. Right-click a value in the pivot -&gt; Sort -&gt; Largest to Smallest to rank issue types.</t>
  </si>
  <si>
    <t>Task 2: Which platform generates the most support tickets?</t>
  </si>
  <si>
    <t>Pivot layout: Rows = Platform, Values = Count of Ticket ID</t>
  </si>
  <si>
    <t>Answer: See 'Pivot Results' B15:B17 - Android (36) generates the most tickets, ahead of Web (34) and iOS (30).</t>
  </si>
  <si>
    <t xml:space="preserve">  1. In the same or a new PivotTable, drag 'Platform' into Rows.</t>
  </si>
  <si>
    <t xml:space="preserve">  2. Drag 'Ticket ID' into Values (Count of Ticket ID).</t>
  </si>
  <si>
    <t xml:space="preserve">  3. Sort Largest to Smallest to see Android on top.</t>
  </si>
  <si>
    <t>Task 3: What's the average resolution time by priority?</t>
  </si>
  <si>
    <t>Pivot layout: Rows = Priority, Values = Average of Time to Resolution</t>
  </si>
  <si>
    <t>Answer: See 'Pivot Results' B22:B25 - High priority tickets take the longest to resolve on average (47.15 hrs), then Low (40.58), Medium (39.50), and Urgent is resolved fastest (35.04 hrs).</t>
  </si>
  <si>
    <t xml:space="preserve">  1. Drag 'Priority' into Rows.</t>
  </si>
  <si>
    <t xml:space="preserve">  2. Drag 'Time to Resolution (hrs)' into Values.</t>
  </si>
  <si>
    <t xml:space="preserve">  3. Click the Values field -&gt; Value Field Settings -&gt; Summarize Values By -&gt; Average.</t>
  </si>
  <si>
    <t xml:space="preserve">  4. Apply a Number Format of 2 decimal places from the same dialog.</t>
  </si>
  <si>
    <t>Task 4: Which ticket category has the lowest user rating?</t>
  </si>
  <si>
    <t>Pivot layout: Rows = Category, Values = Average of User Rating; Conditional Formatting applied</t>
  </si>
  <si>
    <t>Answer: See 'Pivot Results' B30:B34 - Billing has the lowest average user rating (2.54/5), followed by General Inquiry (2.89) and Technical/UX-UI (2.96 each); Account Management rates highest (3.06).</t>
  </si>
  <si>
    <t xml:space="preserve">  1. Drag 'Category' into Rows.</t>
  </si>
  <si>
    <t xml:space="preserve">  2. Drag 'User Rating (1-5)' into Values -&gt; Value Field Settings -&gt; Average, 2 decimal places.</t>
  </si>
  <si>
    <t xml:space="preserve">  3. Select the pivot's Average of User Rating column -&gt; Home -&gt; Conditional Formatting -&gt; Color Scales -&gt; Red - Yellow - Green (lowest rating shows red).</t>
  </si>
  <si>
    <t xml:space="preserve">  4. (Applied on 'Pivot Results'!B30:B34 as a live 3-colour scale rule in this workbook.)</t>
  </si>
  <si>
    <t>Task 5: How do ticket counts trend month-by-month?</t>
  </si>
  <si>
    <t>Pivot layout: Rows = Date Submitted (grouped by Month), Values = Count of Ticket ID</t>
  </si>
  <si>
    <t>Answer: See 'Pivot Results' B39:B41 - Jan 2025 (37 tickets) is the busiest month, tapering to Feb (31) then rising slightly to Mar (32).</t>
  </si>
  <si>
    <t xml:space="preserve">  1. Drag 'Date Submitted' into Rows.</t>
  </si>
  <si>
    <t xml:space="preserve">  2. Right-click any date in the Rows area -&gt; Group -&gt; select 'Months' (and 'Years' if the data spans multiple years) -&gt; OK.</t>
  </si>
  <si>
    <t xml:space="preserve">  3. Drag 'Ticket ID' into Values (Count of Ticket ID).</t>
  </si>
  <si>
    <t>Bonus 1: Add a Timeline to filter by date</t>
  </si>
  <si>
    <t>Pivot layout: Timeline control connected to the Date Submitted field</t>
  </si>
  <si>
    <t>Answer: A Timeline lets you drag a date range (day/month/quarter/year) to filter any pivot connected to it live; the dataset spans 2025-01-01 to 2025-03-31.</t>
  </si>
  <si>
    <t xml:space="preserve">  1. Click inside any PivotTable -&gt; PivotTable Analyze tab -&gt; Filter group -&gt; Insert Timeline.</t>
  </si>
  <si>
    <t xml:space="preserve">  2. Tick 'Date Submitted' -&gt; OK.</t>
  </si>
  <si>
    <t xml:space="preserve">  3. On the Timeline control, click the period selector (top-right) to switch between Years/Quarters/Months/Days, then drag the blue selector to filter the connected pivot(s).</t>
  </si>
  <si>
    <t xml:space="preserve">  4. To connect the same Timeline to multiple pivots, right-click it -&gt; Report Connections -&gt; tick every PivotTable built from this dataset.</t>
  </si>
  <si>
    <t>Bonus 2: Calculated field - Satisfaction per Hour (User Rating / Time to Resolution)</t>
  </si>
  <si>
    <t>Pivot layout: Calculated Field = 'User Rating (1-5)' / 'Time to Resolution (hrs)', shown by Issue Type</t>
  </si>
  <si>
    <t>Answer: See 'Pivot Results' rows 46-51 - a calculated field aggregates as SUM(User Rating) / SUM(Time to Resolution) per row group (not an average of pre-computed per-ticket ratios). By Issue Type, Feature Request has the best satisfaction-per-hour (0.0797), Performance Lag the worst (0.0631).</t>
  </si>
  <si>
    <t xml:space="preserve">  1. Click inside the PivotTable -&gt; PivotTable Analyze -&gt; Fields, Items &amp; Sets -&gt; Calculated Field.</t>
  </si>
  <si>
    <t xml:space="preserve">  2. Name: 'Satisfaction per Hour'. Formula: ='User Rating (1-5)'/'Time to Resolution (hrs)'.</t>
  </si>
  <si>
    <t xml:space="preserve">  3. Click Add -&gt; OK. The new field appears in the field list and can be dragged into Values.</t>
  </si>
  <si>
    <t xml:space="preserve">  4. Excel computes it per row group as SUM(User Rating)/SUM(Time to Resolution) - it is NOT the average of each ticket's individual ratio.</t>
  </si>
  <si>
    <t>All pivot results were computed independently with pandas from the raw 'Dataset' sheet and cross-checked against the values shown above (see build_solution.py).</t>
  </si>
  <si>
    <t>Ticket ID</t>
  </si>
  <si>
    <t>Date Submitted</t>
  </si>
  <si>
    <t>Issue Type</t>
  </si>
  <si>
    <t>Priority</t>
  </si>
  <si>
    <t>Platform</t>
  </si>
  <si>
    <t>Category</t>
  </si>
  <si>
    <t>Status</t>
  </si>
  <si>
    <t>Time to Resolution (hrs)</t>
  </si>
  <si>
    <t>User Rating (1-5)</t>
  </si>
  <si>
    <t>T0001</t>
  </si>
  <si>
    <t>Login Issue</t>
  </si>
  <si>
    <t>Urgent</t>
  </si>
  <si>
    <t>Web</t>
  </si>
  <si>
    <t>General Inquiry</t>
  </si>
  <si>
    <t>Closed</t>
  </si>
  <si>
    <t>T0002</t>
  </si>
  <si>
    <t>Payment Error</t>
  </si>
  <si>
    <t>Low</t>
  </si>
  <si>
    <t>Account Management</t>
  </si>
  <si>
    <t>Resolved</t>
  </si>
  <si>
    <t>T0003</t>
  </si>
  <si>
    <t>Medium</t>
  </si>
  <si>
    <t>Android</t>
  </si>
  <si>
    <t>In Progress</t>
  </si>
  <si>
    <t>T0004</t>
  </si>
  <si>
    <t>Feature Request</t>
  </si>
  <si>
    <t>Billing</t>
  </si>
  <si>
    <t>T0005</t>
  </si>
  <si>
    <t>Bug Report</t>
  </si>
  <si>
    <t>T0006</t>
  </si>
  <si>
    <t>T0007</t>
  </si>
  <si>
    <t>High</t>
  </si>
  <si>
    <t>iOS</t>
  </si>
  <si>
    <t>Technical</t>
  </si>
  <si>
    <t>T0008</t>
  </si>
  <si>
    <t>T0009</t>
  </si>
  <si>
    <t>Account Suspension</t>
  </si>
  <si>
    <t>T0010</t>
  </si>
  <si>
    <t>Performance Lag</t>
  </si>
  <si>
    <t>UX/UI</t>
  </si>
  <si>
    <t>Open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</si>
  <si>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</si>
  <si>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</si>
  <si>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</si>
  <si>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</si>
  <si>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</si>
  <si>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</si>
  <si>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</si>
  <si>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</si>
  <si>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</si>
  <si>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</si>
  <si>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</si>
  <si>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</si>
  <si>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</si>
  <si>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</si>
  <si>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</si>
  <si>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</si>
  <si>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</si>
  <si>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</si>
  <si>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</si>
  <si>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</si>
  <si>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</si>
  <si>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</si>
  <si>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</si>
  <si>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</si>
  <si>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</si>
  <si>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</si>
  <si>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</si>
  <si>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</si>
  <si>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</si>
  <si>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</si>
  <si>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</si>
  <si>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</si>
  <si>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</si>
  <si>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</si>
  <si>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</si>
  <si>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</si>
  <si>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</si>
  <si>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</si>
  <si>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</si>
  <si>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</si>
  <si>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</si>
  <si>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</si>
  <si>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</si>
  <si>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</si>
  <si>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</si>
  <si>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</si>
  <si>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</si>
  <si>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</si>
  <si>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</si>
  <si>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</si>
  <si>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</si>
  <si>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</si>
  <si>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</si>
  <si>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</si>
  <si>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</si>
  <si>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</si>
  <si>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</si>
  <si>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</si>
  <si>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</si>
  <si>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</si>
  <si>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</si>
  <si>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</si>
  <si>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</si>
  <si>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</si>
  <si>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</si>
  <si>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</si>
  <si>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</si>
  <si>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</si>
  <si>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</si>
  <si>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</si>
  <si>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</si>
  <si>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</si>
  <si>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</si>
  <si>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</si>
  <si>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</si>
  <si>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</si>
  <si>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</si>
  <si>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</si>
  <si>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</si>
  <si>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</si>
  <si>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</si>
  <si>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</si>
  <si>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</si>
  <si>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</si>
  <si>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</si>
  <si>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</si>
  <si>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</si>
  <si>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</si>
  <si>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</si>
  <si>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</si>
  <si>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Day 12 Pivot Results</t>
  </si>
  <si>
    <t>Task 1: Issue Types Reported Most Often (Rows: Issue Type, Values: Count of Ticket ID)</t>
  </si>
  <si>
    <t>Count of Ticket ID</t>
  </si>
  <si>
    <t>Task 2: Platform Generating the Most Tickets (Rows: Platform, Values: Count of Ticket ID)</t>
  </si>
  <si>
    <t>Task 3: Average Resolution Time by Priority (Rows: Priority, Values: Average of Time to Resolution)</t>
  </si>
  <si>
    <t>Avg Time to Resolution (hrs)</t>
  </si>
  <si>
    <t>Task 4: Category with the Lowest User Rating (Rows: Category, Values: Average of User Rating)</t>
  </si>
  <si>
    <t>Avg User Rating (1-5)</t>
  </si>
  <si>
    <t>Task 5: Ticket Counts by Month (Rows: Date Submitted grouped by Month, Values: Count of Ticket ID)</t>
  </si>
  <si>
    <t>Month</t>
  </si>
  <si>
    <t>2025-01</t>
  </si>
  <si>
    <t>2025-02</t>
  </si>
  <si>
    <t>2025-03</t>
  </si>
  <si>
    <t>Bonus: Calculated Field - Satisfaction per Hour (Rows: Issue Type, Values: Sum of User Rating / Sum of Time to Resolution)</t>
  </si>
  <si>
    <t>Sum User Rating</t>
  </si>
  <si>
    <t>Sum Time to Resolution (hrs)</t>
  </si>
  <si>
    <t>Satisfaction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</si>
</sst>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2"/>
      <color rgb="FF1F4E78"/>
      <name val="Calibri"/>
    </font>
    <font>
      <i/>
      <sz val="10"/>
      <name val="Calibri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showGridLines="0" tabSelected="1" workbookViewId="0"/>
  </sheetViews>
  <sheetFormatPr defaultRowHeight="14.25" x14ac:dyDescent="0.45"/>
  <cols>
    <col min="1" max="1" width="100" customWidth="1"/>
  </cols>
  <sheetData>
    <row r="1" spans="1:1" ht="18" x14ac:dyDescent="0.55000000000000004">
      <c r="A1" s="1" t="s">
        <v>0</v>
      </c>
    </row>
    <row r="2" spans="1:1" x14ac:dyDescent="0.45">
      <c r="A2" s="2" t="s">
        <v>1</v>
      </c>
    </row>
    <row r="4" spans="1:1" ht="15.75" x14ac:dyDescent="0.5">
      <c r="A4" s="3" t="s">
        <v>2</v>
      </c>
    </row>
    <row r="5" spans="1:1" x14ac:dyDescent="0.45">
      <c r="A5" s="4" t="s">
        <v>3</v>
      </c>
    </row>
    <row r="6" spans="1:1" x14ac:dyDescent="0.45">
      <c r="A6" t="s">
        <v>4</v>
      </c>
    </row>
    <row r="7" spans="1:1" x14ac:dyDescent="0.45">
      <c r="A7" s="4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3" spans="1:1" ht="15.75" x14ac:dyDescent="0.5">
      <c r="A13" s="3" t="s">
        <v>10</v>
      </c>
    </row>
    <row r="14" spans="1:1" x14ac:dyDescent="0.45">
      <c r="A14" s="4" t="s">
        <v>11</v>
      </c>
    </row>
    <row r="15" spans="1:1" x14ac:dyDescent="0.45">
      <c r="A15" t="s">
        <v>12</v>
      </c>
    </row>
    <row r="16" spans="1:1" x14ac:dyDescent="0.45">
      <c r="A16" s="4" t="s">
        <v>5</v>
      </c>
    </row>
    <row r="17" spans="1:1" x14ac:dyDescent="0.45">
      <c r="A17" t="s">
        <v>13</v>
      </c>
    </row>
    <row r="18" spans="1:1" x14ac:dyDescent="0.45">
      <c r="A18" t="s">
        <v>14</v>
      </c>
    </row>
    <row r="19" spans="1:1" x14ac:dyDescent="0.45">
      <c r="A19" t="s">
        <v>15</v>
      </c>
    </row>
    <row r="21" spans="1:1" ht="15.75" x14ac:dyDescent="0.5">
      <c r="A21" s="3" t="s">
        <v>16</v>
      </c>
    </row>
    <row r="22" spans="1:1" x14ac:dyDescent="0.45">
      <c r="A22" s="4" t="s">
        <v>17</v>
      </c>
    </row>
    <row r="23" spans="1:1" x14ac:dyDescent="0.45">
      <c r="A23" t="s">
        <v>18</v>
      </c>
    </row>
    <row r="24" spans="1:1" x14ac:dyDescent="0.45">
      <c r="A24" s="4" t="s">
        <v>5</v>
      </c>
    </row>
    <row r="25" spans="1:1" x14ac:dyDescent="0.45">
      <c r="A25" t="s">
        <v>19</v>
      </c>
    </row>
    <row r="26" spans="1:1" x14ac:dyDescent="0.45">
      <c r="A26" t="s">
        <v>20</v>
      </c>
    </row>
    <row r="27" spans="1:1" x14ac:dyDescent="0.45">
      <c r="A27" t="s">
        <v>21</v>
      </c>
    </row>
    <row r="28" spans="1:1" x14ac:dyDescent="0.45">
      <c r="A28" t="s">
        <v>22</v>
      </c>
    </row>
    <row r="30" spans="1:1" ht="15.75" x14ac:dyDescent="0.5">
      <c r="A30" s="3" t="s">
        <v>23</v>
      </c>
    </row>
    <row r="31" spans="1:1" x14ac:dyDescent="0.45">
      <c r="A31" s="4" t="s">
        <v>24</v>
      </c>
    </row>
    <row r="32" spans="1:1" x14ac:dyDescent="0.45">
      <c r="A32" t="s">
        <v>25</v>
      </c>
    </row>
    <row r="33" spans="1:1" x14ac:dyDescent="0.45">
      <c r="A33" s="4" t="s">
        <v>5</v>
      </c>
    </row>
    <row r="34" spans="1:1" x14ac:dyDescent="0.45">
      <c r="A34" t="s">
        <v>26</v>
      </c>
    </row>
    <row r="35" spans="1:1" x14ac:dyDescent="0.45">
      <c r="A35" t="s">
        <v>27</v>
      </c>
    </row>
    <row r="36" spans="1:1" x14ac:dyDescent="0.45">
      <c r="A36" t="s">
        <v>28</v>
      </c>
    </row>
    <row r="37" spans="1:1" x14ac:dyDescent="0.45">
      <c r="A37" t="s">
        <v>29</v>
      </c>
    </row>
    <row r="39" spans="1:1" ht="15.75" x14ac:dyDescent="0.5">
      <c r="A39" s="3" t="s">
        <v>30</v>
      </c>
    </row>
    <row r="40" spans="1:1" x14ac:dyDescent="0.45">
      <c r="A40" s="4" t="s">
        <v>31</v>
      </c>
    </row>
    <row r="41" spans="1:1" x14ac:dyDescent="0.45">
      <c r="A41" t="s">
        <v>32</v>
      </c>
    </row>
    <row r="42" spans="1:1" x14ac:dyDescent="0.45">
      <c r="A42" s="4" t="s">
        <v>5</v>
      </c>
    </row>
    <row r="43" spans="1:1" x14ac:dyDescent="0.45">
      <c r="A43" t="s">
        <v>33</v>
      </c>
    </row>
    <row r="44" spans="1:1" x14ac:dyDescent="0.45">
      <c r="A44" t="s">
        <v>34</v>
      </c>
    </row>
    <row r="45" spans="1:1" x14ac:dyDescent="0.45">
      <c r="A45" t="s">
        <v>35</v>
      </c>
    </row>
    <row r="47" spans="1:1" ht="15.75" x14ac:dyDescent="0.5">
      <c r="A47" s="3" t="s">
        <v>36</v>
      </c>
    </row>
    <row r="48" spans="1:1" x14ac:dyDescent="0.45">
      <c r="A48" s="4" t="s">
        <v>37</v>
      </c>
    </row>
    <row r="49" spans="1:1" x14ac:dyDescent="0.45">
      <c r="A49" t="s">
        <v>38</v>
      </c>
    </row>
    <row r="50" spans="1:1" x14ac:dyDescent="0.45">
      <c r="A50" s="4" t="s">
        <v>5</v>
      </c>
    </row>
    <row r="51" spans="1:1" x14ac:dyDescent="0.45">
      <c r="A51" t="s">
        <v>39</v>
      </c>
    </row>
    <row r="52" spans="1:1" x14ac:dyDescent="0.45">
      <c r="A52" t="s">
        <v>40</v>
      </c>
    </row>
    <row r="53" spans="1:1" x14ac:dyDescent="0.45">
      <c r="A53" t="s">
        <v>41</v>
      </c>
    </row>
    <row r="54" spans="1:1" x14ac:dyDescent="0.45">
      <c r="A54" t="s">
        <v>42</v>
      </c>
    </row>
    <row r="56" spans="1:1" ht="15.75" x14ac:dyDescent="0.5">
      <c r="A56" s="3" t="s">
        <v>43</v>
      </c>
    </row>
    <row r="57" spans="1:1" x14ac:dyDescent="0.45">
      <c r="A57" s="4" t="s">
        <v>44</v>
      </c>
    </row>
    <row r="58" spans="1:1" x14ac:dyDescent="0.45">
      <c r="A58" t="s">
        <v>45</v>
      </c>
    </row>
    <row r="59" spans="1:1" x14ac:dyDescent="0.45">
      <c r="A59" s="4" t="s">
        <v>5</v>
      </c>
    </row>
    <row r="60" spans="1:1" x14ac:dyDescent="0.45">
      <c r="A60" t="s">
        <v>46</v>
      </c>
    </row>
    <row r="61" spans="1:1" x14ac:dyDescent="0.45">
      <c r="A61" t="s">
        <v>47</v>
      </c>
    </row>
    <row r="62" spans="1:1" x14ac:dyDescent="0.45">
      <c r="A62" t="s">
        <v>48</v>
      </c>
    </row>
    <row r="63" spans="1:1" x14ac:dyDescent="0.45">
      <c r="A63" t="s">
        <v>49</v>
      </c>
    </row>
    <row r="65" spans="1:1" x14ac:dyDescent="0.45">
      <c r="A65" s="5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6" customWidth="1"/>
    <col min="3" max="3" width="18" customWidth="1"/>
    <col min="4" max="5" width="12" customWidth="1"/>
    <col min="6" max="6" width="20" customWidth="1"/>
    <col min="7" max="7" width="14" customWidth="1"/>
    <col min="8" max="8" width="22" customWidth="1"/>
    <col min="9" max="9" width="16" customWidth="1"/>
  </cols>
  <sheetData>
    <row r="1" spans="1:9" x14ac:dyDescent="0.45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</row>
    <row r="2" spans="1:9" x14ac:dyDescent="0.45">
      <c r="A2" t="s">
        <v>60</v>
      </c>
      <c r="B2" s="7">
        <v>45738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s="8">
        <v>39.4</v>
      </c>
      <c r="I2" s="8">
        <v>3.3</v>
      </c>
    </row>
    <row r="3" spans="1:9" x14ac:dyDescent="0.45">
      <c r="A3" t="s">
        <v>66</v>
      </c>
      <c r="B3" s="7">
        <v>45672</v>
      </c>
      <c r="C3" t="s">
        <v>67</v>
      </c>
      <c r="D3" t="s">
        <v>68</v>
      </c>
      <c r="E3" t="s">
        <v>63</v>
      </c>
      <c r="F3" t="s">
        <v>69</v>
      </c>
      <c r="G3" t="s">
        <v>70</v>
      </c>
      <c r="H3" s="8">
        <v>53.3</v>
      </c>
      <c r="I3" s="8">
        <v>3.7</v>
      </c>
    </row>
    <row r="4" spans="1:9" x14ac:dyDescent="0.45">
      <c r="A4" t="s">
        <v>71</v>
      </c>
      <c r="B4" s="7">
        <v>45661</v>
      </c>
      <c r="C4" t="s">
        <v>61</v>
      </c>
      <c r="D4" t="s">
        <v>72</v>
      </c>
      <c r="E4" t="s">
        <v>73</v>
      </c>
      <c r="F4" t="s">
        <v>64</v>
      </c>
      <c r="G4" t="s">
        <v>74</v>
      </c>
      <c r="H4" s="8">
        <v>57.9</v>
      </c>
      <c r="I4" s="8">
        <v>2.2999999999999998</v>
      </c>
    </row>
    <row r="5" spans="1:9" x14ac:dyDescent="0.45">
      <c r="A5" t="s">
        <v>75</v>
      </c>
      <c r="B5" s="7">
        <v>45693</v>
      </c>
      <c r="C5" t="s">
        <v>76</v>
      </c>
      <c r="D5" t="s">
        <v>72</v>
      </c>
      <c r="E5" t="s">
        <v>63</v>
      </c>
      <c r="F5" t="s">
        <v>77</v>
      </c>
      <c r="G5" t="s">
        <v>74</v>
      </c>
      <c r="H5" s="8">
        <v>64.8</v>
      </c>
      <c r="I5" s="8">
        <v>3</v>
      </c>
    </row>
    <row r="6" spans="1:9" x14ac:dyDescent="0.45">
      <c r="A6" t="s">
        <v>78</v>
      </c>
      <c r="B6" s="7">
        <v>45689</v>
      </c>
      <c r="C6" t="s">
        <v>79</v>
      </c>
      <c r="D6" t="s">
        <v>62</v>
      </c>
      <c r="E6" t="s">
        <v>73</v>
      </c>
      <c r="F6" t="s">
        <v>77</v>
      </c>
      <c r="G6" t="s">
        <v>65</v>
      </c>
      <c r="H6" s="8">
        <v>35.9</v>
      </c>
      <c r="I6" s="8">
        <v>2.2999999999999998</v>
      </c>
    </row>
    <row r="7" spans="1:9" x14ac:dyDescent="0.45">
      <c r="A7" t="s">
        <v>80</v>
      </c>
      <c r="B7" s="7">
        <v>45686</v>
      </c>
      <c r="C7" t="s">
        <v>76</v>
      </c>
      <c r="D7" t="s">
        <v>72</v>
      </c>
      <c r="E7" t="s">
        <v>63</v>
      </c>
      <c r="F7" t="s">
        <v>77</v>
      </c>
      <c r="G7" t="s">
        <v>65</v>
      </c>
      <c r="H7" s="8">
        <v>20.7</v>
      </c>
      <c r="I7" s="8">
        <v>3</v>
      </c>
    </row>
    <row r="8" spans="1:9" x14ac:dyDescent="0.45">
      <c r="A8" t="s">
        <v>81</v>
      </c>
      <c r="B8" s="7">
        <v>45675</v>
      </c>
      <c r="C8" t="s">
        <v>61</v>
      </c>
      <c r="D8" t="s">
        <v>82</v>
      </c>
      <c r="E8" t="s">
        <v>83</v>
      </c>
      <c r="F8" t="s">
        <v>84</v>
      </c>
      <c r="G8" t="s">
        <v>74</v>
      </c>
      <c r="H8" s="8">
        <v>35.700000000000003</v>
      </c>
      <c r="I8" s="8">
        <v>2.4</v>
      </c>
    </row>
    <row r="9" spans="1:9" x14ac:dyDescent="0.45">
      <c r="A9" t="s">
        <v>85</v>
      </c>
      <c r="B9" s="7">
        <v>45671</v>
      </c>
      <c r="C9" t="s">
        <v>67</v>
      </c>
      <c r="D9" t="s">
        <v>62</v>
      </c>
      <c r="E9" t="s">
        <v>63</v>
      </c>
      <c r="F9" t="s">
        <v>64</v>
      </c>
      <c r="G9" t="s">
        <v>70</v>
      </c>
      <c r="H9" s="8">
        <v>28.9</v>
      </c>
      <c r="I9" s="8">
        <v>2</v>
      </c>
    </row>
    <row r="10" spans="1:9" x14ac:dyDescent="0.45">
      <c r="A10" t="s">
        <v>86</v>
      </c>
      <c r="B10" s="7">
        <v>45743</v>
      </c>
      <c r="C10" t="s">
        <v>87</v>
      </c>
      <c r="D10" t="s">
        <v>72</v>
      </c>
      <c r="E10" t="s">
        <v>73</v>
      </c>
      <c r="F10" t="s">
        <v>77</v>
      </c>
      <c r="G10" t="s">
        <v>65</v>
      </c>
      <c r="H10" s="8">
        <v>48.7</v>
      </c>
      <c r="I10" s="8">
        <v>2.1</v>
      </c>
    </row>
    <row r="11" spans="1:9" x14ac:dyDescent="0.45">
      <c r="A11" t="s">
        <v>88</v>
      </c>
      <c r="B11" s="7">
        <v>45726</v>
      </c>
      <c r="C11" t="s">
        <v>89</v>
      </c>
      <c r="D11" t="s">
        <v>72</v>
      </c>
      <c r="E11" t="s">
        <v>63</v>
      </c>
      <c r="F11" t="s">
        <v>90</v>
      </c>
      <c r="G11" t="s">
        <v>91</v>
      </c>
      <c r="H11" s="8">
        <v>57.8</v>
      </c>
      <c r="I11" s="8">
        <v>3.4</v>
      </c>
    </row>
    <row r="12" spans="1:9" x14ac:dyDescent="0.45">
      <c r="A12" t="s">
        <v>92</v>
      </c>
      <c r="B12" s="7">
        <v>45669</v>
      </c>
      <c r="C12" t="s">
        <v>76</v>
      </c>
      <c r="D12" t="s">
        <v>82</v>
      </c>
      <c r="E12" t="s">
        <v>73</v>
      </c>
      <c r="F12" t="s">
        <v>64</v>
      </c>
      <c r="G12" t="s">
        <v>70</v>
      </c>
      <c r="H12" s="8">
        <v>52.6</v>
      </c>
      <c r="I12" s="8">
        <v>4.5</v>
      </c>
    </row>
    <row r="13" spans="1:9" x14ac:dyDescent="0.45">
      <c r="A13" t="s">
        <v>93</v>
      </c>
      <c r="B13" s="7">
        <v>45732</v>
      </c>
      <c r="C13" t="s">
        <v>67</v>
      </c>
      <c r="D13" t="s">
        <v>62</v>
      </c>
      <c r="E13" t="s">
        <v>73</v>
      </c>
      <c r="F13" t="s">
        <v>64</v>
      </c>
      <c r="G13" t="s">
        <v>70</v>
      </c>
      <c r="H13" s="8">
        <v>60.8</v>
      </c>
      <c r="I13" s="8">
        <v>3.2</v>
      </c>
    </row>
    <row r="14" spans="1:9" x14ac:dyDescent="0.45">
      <c r="A14" t="s">
        <v>94</v>
      </c>
      <c r="B14" s="7">
        <v>45712</v>
      </c>
      <c r="C14" t="s">
        <v>89</v>
      </c>
      <c r="D14" t="s">
        <v>82</v>
      </c>
      <c r="E14" t="s">
        <v>63</v>
      </c>
      <c r="F14" t="s">
        <v>84</v>
      </c>
      <c r="G14" t="s">
        <v>74</v>
      </c>
      <c r="H14" s="8">
        <v>66.3</v>
      </c>
      <c r="I14" s="8">
        <v>3.1</v>
      </c>
    </row>
    <row r="15" spans="1:9" x14ac:dyDescent="0.45">
      <c r="A15" t="s">
        <v>95</v>
      </c>
      <c r="B15" s="7">
        <v>45662</v>
      </c>
      <c r="C15" t="s">
        <v>79</v>
      </c>
      <c r="D15" t="s">
        <v>62</v>
      </c>
      <c r="E15" t="s">
        <v>73</v>
      </c>
      <c r="F15" t="s">
        <v>69</v>
      </c>
      <c r="G15" t="s">
        <v>65</v>
      </c>
      <c r="H15" s="8">
        <v>70.599999999999994</v>
      </c>
      <c r="I15" s="8">
        <v>1.8</v>
      </c>
    </row>
    <row r="16" spans="1:9" x14ac:dyDescent="0.45">
      <c r="A16" t="s">
        <v>96</v>
      </c>
      <c r="B16" s="7">
        <v>45661</v>
      </c>
      <c r="C16" t="s">
        <v>79</v>
      </c>
      <c r="D16" t="s">
        <v>62</v>
      </c>
      <c r="E16" t="s">
        <v>63</v>
      </c>
      <c r="F16" t="s">
        <v>84</v>
      </c>
      <c r="G16" t="s">
        <v>70</v>
      </c>
      <c r="H16" s="8">
        <v>39.200000000000003</v>
      </c>
      <c r="I16" s="8">
        <v>2</v>
      </c>
    </row>
    <row r="17" spans="1:9" x14ac:dyDescent="0.45">
      <c r="A17" t="s">
        <v>97</v>
      </c>
      <c r="B17" s="7">
        <v>45669</v>
      </c>
      <c r="C17" t="s">
        <v>89</v>
      </c>
      <c r="D17" t="s">
        <v>68</v>
      </c>
      <c r="E17" t="s">
        <v>83</v>
      </c>
      <c r="F17" t="s">
        <v>77</v>
      </c>
      <c r="G17" t="s">
        <v>65</v>
      </c>
      <c r="H17" s="8">
        <v>65.400000000000006</v>
      </c>
      <c r="I17" s="8">
        <v>2.6</v>
      </c>
    </row>
    <row r="18" spans="1:9" x14ac:dyDescent="0.45">
      <c r="A18" t="s">
        <v>98</v>
      </c>
      <c r="B18" s="7">
        <v>45685</v>
      </c>
      <c r="C18" t="s">
        <v>79</v>
      </c>
      <c r="D18" t="s">
        <v>72</v>
      </c>
      <c r="E18" t="s">
        <v>73</v>
      </c>
      <c r="F18" t="s">
        <v>90</v>
      </c>
      <c r="G18" t="s">
        <v>65</v>
      </c>
      <c r="H18" s="8">
        <v>43.2</v>
      </c>
      <c r="I18" s="8">
        <v>3.2</v>
      </c>
    </row>
    <row r="19" spans="1:9" x14ac:dyDescent="0.45">
      <c r="A19" t="s">
        <v>99</v>
      </c>
      <c r="B19" s="7">
        <v>45687</v>
      </c>
      <c r="C19" t="s">
        <v>67</v>
      </c>
      <c r="D19" t="s">
        <v>72</v>
      </c>
      <c r="E19" t="s">
        <v>73</v>
      </c>
      <c r="F19" t="s">
        <v>90</v>
      </c>
      <c r="G19" t="s">
        <v>65</v>
      </c>
      <c r="H19" s="8">
        <v>48.2</v>
      </c>
      <c r="I19" s="8">
        <v>2</v>
      </c>
    </row>
    <row r="20" spans="1:9" x14ac:dyDescent="0.45">
      <c r="A20" t="s">
        <v>100</v>
      </c>
      <c r="B20" s="7">
        <v>45721</v>
      </c>
      <c r="C20" t="s">
        <v>76</v>
      </c>
      <c r="D20" t="s">
        <v>68</v>
      </c>
      <c r="E20" t="s">
        <v>73</v>
      </c>
      <c r="F20" t="s">
        <v>77</v>
      </c>
      <c r="G20" t="s">
        <v>74</v>
      </c>
      <c r="H20" s="8">
        <v>7.4</v>
      </c>
      <c r="I20" s="8">
        <v>2.9</v>
      </c>
    </row>
    <row r="21" spans="1:9" x14ac:dyDescent="0.45">
      <c r="A21" t="s">
        <v>101</v>
      </c>
      <c r="B21" s="7">
        <v>45734</v>
      </c>
      <c r="C21" t="s">
        <v>67</v>
      </c>
      <c r="D21" t="s">
        <v>82</v>
      </c>
      <c r="E21" t="s">
        <v>73</v>
      </c>
      <c r="F21" t="s">
        <v>90</v>
      </c>
      <c r="G21" t="s">
        <v>65</v>
      </c>
      <c r="H21" s="8">
        <v>31.7</v>
      </c>
      <c r="I21" s="8">
        <v>3.8</v>
      </c>
    </row>
    <row r="22" spans="1:9" x14ac:dyDescent="0.45">
      <c r="A22" t="s">
        <v>102</v>
      </c>
      <c r="B22" s="7">
        <v>45661</v>
      </c>
      <c r="C22" t="s">
        <v>67</v>
      </c>
      <c r="D22" t="s">
        <v>68</v>
      </c>
      <c r="E22" t="s">
        <v>83</v>
      </c>
      <c r="F22" t="s">
        <v>84</v>
      </c>
      <c r="G22" t="s">
        <v>74</v>
      </c>
      <c r="H22" s="8">
        <v>62.6</v>
      </c>
      <c r="I22" s="8">
        <v>2.8</v>
      </c>
    </row>
    <row r="23" spans="1:9" x14ac:dyDescent="0.45">
      <c r="A23" t="s">
        <v>103</v>
      </c>
      <c r="B23" s="7">
        <v>45728</v>
      </c>
      <c r="C23" t="s">
        <v>89</v>
      </c>
      <c r="D23" t="s">
        <v>72</v>
      </c>
      <c r="E23" t="s">
        <v>83</v>
      </c>
      <c r="F23" t="s">
        <v>84</v>
      </c>
      <c r="G23" t="s">
        <v>91</v>
      </c>
      <c r="H23" s="8">
        <v>14.3</v>
      </c>
      <c r="I23" s="8">
        <v>1.1000000000000001</v>
      </c>
    </row>
    <row r="24" spans="1:9" x14ac:dyDescent="0.45">
      <c r="A24" t="s">
        <v>104</v>
      </c>
      <c r="B24" s="7">
        <v>45683</v>
      </c>
      <c r="C24" t="s">
        <v>87</v>
      </c>
      <c r="D24" t="s">
        <v>72</v>
      </c>
      <c r="E24" t="s">
        <v>63</v>
      </c>
      <c r="F24" t="s">
        <v>77</v>
      </c>
      <c r="G24" t="s">
        <v>70</v>
      </c>
      <c r="H24" s="8">
        <v>19.8</v>
      </c>
      <c r="I24" s="8">
        <v>2.2000000000000002</v>
      </c>
    </row>
    <row r="25" spans="1:9" x14ac:dyDescent="0.45">
      <c r="A25" t="s">
        <v>105</v>
      </c>
      <c r="B25" s="7">
        <v>45740</v>
      </c>
      <c r="C25" t="s">
        <v>87</v>
      </c>
      <c r="D25" t="s">
        <v>68</v>
      </c>
      <c r="E25" t="s">
        <v>73</v>
      </c>
      <c r="F25" t="s">
        <v>90</v>
      </c>
      <c r="G25" t="s">
        <v>70</v>
      </c>
      <c r="H25" s="8">
        <v>24.6</v>
      </c>
      <c r="I25" s="8">
        <v>2.6</v>
      </c>
    </row>
    <row r="26" spans="1:9" x14ac:dyDescent="0.45">
      <c r="A26" t="s">
        <v>106</v>
      </c>
      <c r="B26" s="7">
        <v>45746</v>
      </c>
      <c r="C26" t="s">
        <v>76</v>
      </c>
      <c r="D26" t="s">
        <v>68</v>
      </c>
      <c r="E26" t="s">
        <v>73</v>
      </c>
      <c r="F26" t="s">
        <v>64</v>
      </c>
      <c r="G26" t="s">
        <v>91</v>
      </c>
      <c r="H26" s="8">
        <v>33.6</v>
      </c>
      <c r="I26" s="8">
        <v>2</v>
      </c>
    </row>
    <row r="27" spans="1:9" x14ac:dyDescent="0.45">
      <c r="A27" t="s">
        <v>107</v>
      </c>
      <c r="B27" s="7">
        <v>45726</v>
      </c>
      <c r="C27" t="s">
        <v>89</v>
      </c>
      <c r="D27" t="s">
        <v>68</v>
      </c>
      <c r="E27" t="s">
        <v>83</v>
      </c>
      <c r="F27" t="s">
        <v>69</v>
      </c>
      <c r="G27" t="s">
        <v>74</v>
      </c>
      <c r="H27" s="8">
        <v>25.3</v>
      </c>
      <c r="I27" s="8">
        <v>3.7</v>
      </c>
    </row>
    <row r="28" spans="1:9" x14ac:dyDescent="0.45">
      <c r="A28" t="s">
        <v>108</v>
      </c>
      <c r="B28" s="7">
        <v>45711</v>
      </c>
      <c r="C28" t="s">
        <v>87</v>
      </c>
      <c r="D28" t="s">
        <v>72</v>
      </c>
      <c r="E28" t="s">
        <v>63</v>
      </c>
      <c r="F28" t="s">
        <v>64</v>
      </c>
      <c r="G28" t="s">
        <v>70</v>
      </c>
      <c r="H28" s="8">
        <v>63.5</v>
      </c>
      <c r="I28" s="8">
        <v>2.5</v>
      </c>
    </row>
    <row r="29" spans="1:9" x14ac:dyDescent="0.45">
      <c r="A29" t="s">
        <v>109</v>
      </c>
      <c r="B29" s="7">
        <v>45686</v>
      </c>
      <c r="C29" t="s">
        <v>79</v>
      </c>
      <c r="D29" t="s">
        <v>68</v>
      </c>
      <c r="E29" t="s">
        <v>83</v>
      </c>
      <c r="F29" t="s">
        <v>84</v>
      </c>
      <c r="G29" t="s">
        <v>74</v>
      </c>
      <c r="H29" s="8">
        <v>21.1</v>
      </c>
      <c r="I29" s="8">
        <v>3.2</v>
      </c>
    </row>
    <row r="30" spans="1:9" x14ac:dyDescent="0.45">
      <c r="A30" t="s">
        <v>110</v>
      </c>
      <c r="B30" s="7">
        <v>45715</v>
      </c>
      <c r="C30" t="s">
        <v>87</v>
      </c>
      <c r="D30" t="s">
        <v>68</v>
      </c>
      <c r="E30" t="s">
        <v>83</v>
      </c>
      <c r="F30" t="s">
        <v>84</v>
      </c>
      <c r="G30" t="s">
        <v>74</v>
      </c>
      <c r="H30" s="8">
        <v>68.599999999999994</v>
      </c>
      <c r="I30" s="8">
        <v>2.4</v>
      </c>
    </row>
    <row r="31" spans="1:9" x14ac:dyDescent="0.45">
      <c r="A31" t="s">
        <v>111</v>
      </c>
      <c r="B31" s="7">
        <v>45732</v>
      </c>
      <c r="C31" t="s">
        <v>79</v>
      </c>
      <c r="D31" t="s">
        <v>82</v>
      </c>
      <c r="E31" t="s">
        <v>63</v>
      </c>
      <c r="F31" t="s">
        <v>84</v>
      </c>
      <c r="G31" t="s">
        <v>74</v>
      </c>
      <c r="H31" s="8">
        <v>31.2</v>
      </c>
      <c r="I31" s="8">
        <v>5</v>
      </c>
    </row>
    <row r="32" spans="1:9" x14ac:dyDescent="0.45">
      <c r="A32" t="s">
        <v>112</v>
      </c>
      <c r="B32" s="7">
        <v>45693</v>
      </c>
      <c r="C32" t="s">
        <v>76</v>
      </c>
      <c r="D32" t="s">
        <v>68</v>
      </c>
      <c r="E32" t="s">
        <v>73</v>
      </c>
      <c r="F32" t="s">
        <v>84</v>
      </c>
      <c r="G32" t="s">
        <v>91</v>
      </c>
      <c r="H32" s="8">
        <v>60.4</v>
      </c>
      <c r="I32" s="8">
        <v>3.2</v>
      </c>
    </row>
    <row r="33" spans="1:9" x14ac:dyDescent="0.45">
      <c r="A33" t="s">
        <v>113</v>
      </c>
      <c r="B33" s="7">
        <v>45658</v>
      </c>
      <c r="C33" t="s">
        <v>67</v>
      </c>
      <c r="D33" t="s">
        <v>72</v>
      </c>
      <c r="E33" t="s">
        <v>73</v>
      </c>
      <c r="F33" t="s">
        <v>69</v>
      </c>
      <c r="G33" t="s">
        <v>91</v>
      </c>
      <c r="H33" s="8">
        <v>34.700000000000003</v>
      </c>
      <c r="I33" s="8">
        <v>2.4</v>
      </c>
    </row>
    <row r="34" spans="1:9" x14ac:dyDescent="0.45">
      <c r="A34" t="s">
        <v>114</v>
      </c>
      <c r="B34" s="7">
        <v>45678</v>
      </c>
      <c r="C34" t="s">
        <v>67</v>
      </c>
      <c r="D34" t="s">
        <v>82</v>
      </c>
      <c r="E34" t="s">
        <v>83</v>
      </c>
      <c r="F34" t="s">
        <v>77</v>
      </c>
      <c r="G34" t="s">
        <v>74</v>
      </c>
      <c r="H34" s="8">
        <v>54.3</v>
      </c>
      <c r="I34" s="8">
        <v>2.8</v>
      </c>
    </row>
    <row r="35" spans="1:9" x14ac:dyDescent="0.45">
      <c r="A35" t="s">
        <v>115</v>
      </c>
      <c r="B35" s="7">
        <v>45746</v>
      </c>
      <c r="C35" t="s">
        <v>87</v>
      </c>
      <c r="D35" t="s">
        <v>62</v>
      </c>
      <c r="E35" t="s">
        <v>83</v>
      </c>
      <c r="F35" t="s">
        <v>84</v>
      </c>
      <c r="G35" t="s">
        <v>65</v>
      </c>
      <c r="H35" s="8">
        <v>5.2</v>
      </c>
      <c r="I35" s="8">
        <v>2.2000000000000002</v>
      </c>
    </row>
    <row r="36" spans="1:9" x14ac:dyDescent="0.45">
      <c r="A36" t="s">
        <v>116</v>
      </c>
      <c r="B36" s="7">
        <v>45712</v>
      </c>
      <c r="C36" t="s">
        <v>79</v>
      </c>
      <c r="D36" t="s">
        <v>72</v>
      </c>
      <c r="E36" t="s">
        <v>83</v>
      </c>
      <c r="F36" t="s">
        <v>90</v>
      </c>
      <c r="G36" t="s">
        <v>91</v>
      </c>
      <c r="H36" s="8">
        <v>68.599999999999994</v>
      </c>
      <c r="I36" s="8">
        <v>1.9</v>
      </c>
    </row>
    <row r="37" spans="1:9" x14ac:dyDescent="0.45">
      <c r="A37" t="s">
        <v>117</v>
      </c>
      <c r="B37" s="7">
        <v>45701</v>
      </c>
      <c r="C37" t="s">
        <v>61</v>
      </c>
      <c r="D37" t="s">
        <v>72</v>
      </c>
      <c r="E37" t="s">
        <v>63</v>
      </c>
      <c r="F37" t="s">
        <v>69</v>
      </c>
      <c r="G37" t="s">
        <v>65</v>
      </c>
      <c r="H37" s="8">
        <v>17.3</v>
      </c>
      <c r="I37" s="8">
        <v>3.9</v>
      </c>
    </row>
    <row r="38" spans="1:9" x14ac:dyDescent="0.45">
      <c r="A38" t="s">
        <v>118</v>
      </c>
      <c r="B38" s="7">
        <v>45693</v>
      </c>
      <c r="C38" t="s">
        <v>61</v>
      </c>
      <c r="D38" t="s">
        <v>62</v>
      </c>
      <c r="E38" t="s">
        <v>63</v>
      </c>
      <c r="F38" t="s">
        <v>84</v>
      </c>
      <c r="G38" t="s">
        <v>65</v>
      </c>
      <c r="H38" s="8">
        <v>6.3</v>
      </c>
      <c r="I38" s="8">
        <v>2.2999999999999998</v>
      </c>
    </row>
    <row r="39" spans="1:9" x14ac:dyDescent="0.45">
      <c r="A39" t="s">
        <v>119</v>
      </c>
      <c r="B39" s="7">
        <v>45677</v>
      </c>
      <c r="C39" t="s">
        <v>61</v>
      </c>
      <c r="D39" t="s">
        <v>72</v>
      </c>
      <c r="E39" t="s">
        <v>83</v>
      </c>
      <c r="F39" t="s">
        <v>90</v>
      </c>
      <c r="G39" t="s">
        <v>74</v>
      </c>
      <c r="H39" s="8">
        <v>69</v>
      </c>
      <c r="I39" s="8">
        <v>4</v>
      </c>
    </row>
    <row r="40" spans="1:9" x14ac:dyDescent="0.45">
      <c r="A40" t="s">
        <v>120</v>
      </c>
      <c r="B40" s="7">
        <v>45685</v>
      </c>
      <c r="C40" t="s">
        <v>67</v>
      </c>
      <c r="D40" t="s">
        <v>62</v>
      </c>
      <c r="E40" t="s">
        <v>73</v>
      </c>
      <c r="F40" t="s">
        <v>84</v>
      </c>
      <c r="G40" t="s">
        <v>65</v>
      </c>
      <c r="H40" s="8">
        <v>4.3</v>
      </c>
      <c r="I40" s="8">
        <v>4.8</v>
      </c>
    </row>
    <row r="41" spans="1:9" x14ac:dyDescent="0.45">
      <c r="A41" t="s">
        <v>121</v>
      </c>
      <c r="B41" s="7">
        <v>45701</v>
      </c>
      <c r="C41" t="s">
        <v>89</v>
      </c>
      <c r="D41" t="s">
        <v>62</v>
      </c>
      <c r="E41" t="s">
        <v>73</v>
      </c>
      <c r="F41" t="s">
        <v>77</v>
      </c>
      <c r="G41" t="s">
        <v>65</v>
      </c>
      <c r="H41" s="8">
        <v>3.7</v>
      </c>
      <c r="I41" s="8">
        <v>3.8</v>
      </c>
    </row>
    <row r="42" spans="1:9" x14ac:dyDescent="0.45">
      <c r="A42" t="s">
        <v>122</v>
      </c>
      <c r="B42" s="7">
        <v>45671</v>
      </c>
      <c r="C42" t="s">
        <v>67</v>
      </c>
      <c r="D42" t="s">
        <v>72</v>
      </c>
      <c r="E42" t="s">
        <v>63</v>
      </c>
      <c r="F42" t="s">
        <v>69</v>
      </c>
      <c r="G42" t="s">
        <v>65</v>
      </c>
      <c r="H42" s="8">
        <v>18.899999999999999</v>
      </c>
      <c r="I42" s="8">
        <v>1.8</v>
      </c>
    </row>
    <row r="43" spans="1:9" x14ac:dyDescent="0.45">
      <c r="A43" t="s">
        <v>123</v>
      </c>
      <c r="B43" s="7">
        <v>45669</v>
      </c>
      <c r="C43" t="s">
        <v>89</v>
      </c>
      <c r="D43" t="s">
        <v>68</v>
      </c>
      <c r="E43" t="s">
        <v>63</v>
      </c>
      <c r="F43" t="s">
        <v>77</v>
      </c>
      <c r="G43" t="s">
        <v>74</v>
      </c>
      <c r="H43" s="8">
        <v>60.7</v>
      </c>
      <c r="I43" s="8">
        <v>4</v>
      </c>
    </row>
    <row r="44" spans="1:9" x14ac:dyDescent="0.45">
      <c r="A44" t="s">
        <v>124</v>
      </c>
      <c r="B44" s="7">
        <v>45706</v>
      </c>
      <c r="C44" t="s">
        <v>79</v>
      </c>
      <c r="D44" t="s">
        <v>68</v>
      </c>
      <c r="E44" t="s">
        <v>73</v>
      </c>
      <c r="F44" t="s">
        <v>69</v>
      </c>
      <c r="G44" t="s">
        <v>74</v>
      </c>
      <c r="H44" s="8">
        <v>45.3</v>
      </c>
      <c r="I44" s="8">
        <v>2.1</v>
      </c>
    </row>
    <row r="45" spans="1:9" x14ac:dyDescent="0.45">
      <c r="A45" t="s">
        <v>125</v>
      </c>
      <c r="B45" s="7">
        <v>45670</v>
      </c>
      <c r="C45" t="s">
        <v>87</v>
      </c>
      <c r="D45" t="s">
        <v>62</v>
      </c>
      <c r="E45" t="s">
        <v>63</v>
      </c>
      <c r="F45" t="s">
        <v>84</v>
      </c>
      <c r="G45" t="s">
        <v>91</v>
      </c>
      <c r="H45" s="8">
        <v>18.3</v>
      </c>
      <c r="I45" s="8">
        <v>3.4</v>
      </c>
    </row>
    <row r="46" spans="1:9" x14ac:dyDescent="0.45">
      <c r="A46" t="s">
        <v>126</v>
      </c>
      <c r="B46" s="7">
        <v>45703</v>
      </c>
      <c r="C46" t="s">
        <v>61</v>
      </c>
      <c r="D46" t="s">
        <v>82</v>
      </c>
      <c r="E46" t="s">
        <v>73</v>
      </c>
      <c r="F46" t="s">
        <v>84</v>
      </c>
      <c r="G46" t="s">
        <v>91</v>
      </c>
      <c r="H46" s="8">
        <v>34.9</v>
      </c>
      <c r="I46" s="8">
        <v>4</v>
      </c>
    </row>
    <row r="47" spans="1:9" x14ac:dyDescent="0.45">
      <c r="A47" t="s">
        <v>127</v>
      </c>
      <c r="B47" s="7">
        <v>45702</v>
      </c>
      <c r="C47" t="s">
        <v>79</v>
      </c>
      <c r="D47" t="s">
        <v>62</v>
      </c>
      <c r="E47" t="s">
        <v>83</v>
      </c>
      <c r="F47" t="s">
        <v>69</v>
      </c>
      <c r="G47" t="s">
        <v>65</v>
      </c>
      <c r="H47" s="8">
        <v>9.6</v>
      </c>
      <c r="I47" s="8">
        <v>3.4</v>
      </c>
    </row>
    <row r="48" spans="1:9" x14ac:dyDescent="0.45">
      <c r="A48" t="s">
        <v>128</v>
      </c>
      <c r="B48" s="7">
        <v>45734</v>
      </c>
      <c r="C48" t="s">
        <v>79</v>
      </c>
      <c r="D48" t="s">
        <v>62</v>
      </c>
      <c r="E48" t="s">
        <v>63</v>
      </c>
      <c r="F48" t="s">
        <v>90</v>
      </c>
      <c r="G48" t="s">
        <v>74</v>
      </c>
      <c r="H48" s="8">
        <v>68.3</v>
      </c>
      <c r="I48" s="8">
        <v>4.9000000000000004</v>
      </c>
    </row>
    <row r="49" spans="1:9" x14ac:dyDescent="0.45">
      <c r="A49" t="s">
        <v>129</v>
      </c>
      <c r="B49" s="7">
        <v>45691</v>
      </c>
      <c r="C49" t="s">
        <v>87</v>
      </c>
      <c r="D49" t="s">
        <v>62</v>
      </c>
      <c r="E49" t="s">
        <v>83</v>
      </c>
      <c r="F49" t="s">
        <v>90</v>
      </c>
      <c r="G49" t="s">
        <v>74</v>
      </c>
      <c r="H49" s="8">
        <v>34.299999999999997</v>
      </c>
      <c r="I49" s="8">
        <v>4.3</v>
      </c>
    </row>
    <row r="50" spans="1:9" x14ac:dyDescent="0.45">
      <c r="A50" t="s">
        <v>130</v>
      </c>
      <c r="B50" s="7">
        <v>45663</v>
      </c>
      <c r="C50" t="s">
        <v>79</v>
      </c>
      <c r="D50" t="s">
        <v>68</v>
      </c>
      <c r="E50" t="s">
        <v>63</v>
      </c>
      <c r="F50" t="s">
        <v>84</v>
      </c>
      <c r="G50" t="s">
        <v>65</v>
      </c>
      <c r="H50" s="8">
        <v>19.600000000000001</v>
      </c>
      <c r="I50" s="8">
        <v>2.2000000000000002</v>
      </c>
    </row>
    <row r="51" spans="1:9" x14ac:dyDescent="0.45">
      <c r="A51" t="s">
        <v>131</v>
      </c>
      <c r="B51" s="7">
        <v>45716</v>
      </c>
      <c r="C51" t="s">
        <v>87</v>
      </c>
      <c r="D51" t="s">
        <v>68</v>
      </c>
      <c r="E51" t="s">
        <v>63</v>
      </c>
      <c r="F51" t="s">
        <v>84</v>
      </c>
      <c r="G51" t="s">
        <v>91</v>
      </c>
      <c r="H51" s="8">
        <v>27.5</v>
      </c>
      <c r="I51" s="8">
        <v>2.4</v>
      </c>
    </row>
    <row r="52" spans="1:9" x14ac:dyDescent="0.45">
      <c r="A52" t="s">
        <v>132</v>
      </c>
      <c r="B52" s="7">
        <v>45725</v>
      </c>
      <c r="C52" t="s">
        <v>76</v>
      </c>
      <c r="D52" t="s">
        <v>68</v>
      </c>
      <c r="E52" t="s">
        <v>83</v>
      </c>
      <c r="F52" t="s">
        <v>77</v>
      </c>
      <c r="G52" t="s">
        <v>74</v>
      </c>
      <c r="H52" s="8">
        <v>44.2</v>
      </c>
      <c r="I52" s="8">
        <v>2.2000000000000002</v>
      </c>
    </row>
    <row r="53" spans="1:9" x14ac:dyDescent="0.45">
      <c r="A53" t="s">
        <v>133</v>
      </c>
      <c r="B53" s="7">
        <v>45673</v>
      </c>
      <c r="C53" t="s">
        <v>87</v>
      </c>
      <c r="D53" t="s">
        <v>62</v>
      </c>
      <c r="E53" t="s">
        <v>83</v>
      </c>
      <c r="F53" t="s">
        <v>84</v>
      </c>
      <c r="G53" t="s">
        <v>91</v>
      </c>
      <c r="H53" s="8">
        <v>69.400000000000006</v>
      </c>
      <c r="I53" s="8">
        <v>3.8</v>
      </c>
    </row>
    <row r="54" spans="1:9" x14ac:dyDescent="0.45">
      <c r="A54" t="s">
        <v>134</v>
      </c>
      <c r="B54" s="7">
        <v>45706</v>
      </c>
      <c r="C54" t="s">
        <v>61</v>
      </c>
      <c r="D54" t="s">
        <v>82</v>
      </c>
      <c r="E54" t="s">
        <v>63</v>
      </c>
      <c r="F54" t="s">
        <v>69</v>
      </c>
      <c r="G54" t="s">
        <v>65</v>
      </c>
      <c r="H54" s="8">
        <v>52.1</v>
      </c>
      <c r="I54" s="8">
        <v>1.5</v>
      </c>
    </row>
    <row r="55" spans="1:9" x14ac:dyDescent="0.45">
      <c r="A55" t="s">
        <v>135</v>
      </c>
      <c r="B55" s="7">
        <v>45668</v>
      </c>
      <c r="C55" t="s">
        <v>89</v>
      </c>
      <c r="D55" t="s">
        <v>68</v>
      </c>
      <c r="E55" t="s">
        <v>83</v>
      </c>
      <c r="F55" t="s">
        <v>90</v>
      </c>
      <c r="G55" t="s">
        <v>74</v>
      </c>
      <c r="H55" s="8">
        <v>56.3</v>
      </c>
      <c r="I55" s="8">
        <v>1.2</v>
      </c>
    </row>
    <row r="56" spans="1:9" x14ac:dyDescent="0.45">
      <c r="A56" t="s">
        <v>136</v>
      </c>
      <c r="B56" s="7">
        <v>45727</v>
      </c>
      <c r="C56" t="s">
        <v>89</v>
      </c>
      <c r="D56" t="s">
        <v>72</v>
      </c>
      <c r="E56" t="s">
        <v>73</v>
      </c>
      <c r="F56" t="s">
        <v>90</v>
      </c>
      <c r="G56" t="s">
        <v>65</v>
      </c>
      <c r="H56" s="8">
        <v>13</v>
      </c>
      <c r="I56" s="8">
        <v>1.2</v>
      </c>
    </row>
    <row r="57" spans="1:9" x14ac:dyDescent="0.45">
      <c r="A57" t="s">
        <v>137</v>
      </c>
      <c r="B57" s="7">
        <v>45695</v>
      </c>
      <c r="C57" t="s">
        <v>61</v>
      </c>
      <c r="D57" t="s">
        <v>72</v>
      </c>
      <c r="E57" t="s">
        <v>73</v>
      </c>
      <c r="F57" t="s">
        <v>77</v>
      </c>
      <c r="G57" t="s">
        <v>70</v>
      </c>
      <c r="H57" s="8">
        <v>23.4</v>
      </c>
      <c r="I57" s="8">
        <v>2.2000000000000002</v>
      </c>
    </row>
    <row r="58" spans="1:9" x14ac:dyDescent="0.45">
      <c r="A58" t="s">
        <v>138</v>
      </c>
      <c r="B58" s="7">
        <v>45737</v>
      </c>
      <c r="C58" t="s">
        <v>89</v>
      </c>
      <c r="D58" t="s">
        <v>72</v>
      </c>
      <c r="E58" t="s">
        <v>83</v>
      </c>
      <c r="F58" t="s">
        <v>90</v>
      </c>
      <c r="G58" t="s">
        <v>65</v>
      </c>
      <c r="H58" s="8">
        <v>42.3</v>
      </c>
      <c r="I58" s="8">
        <v>4.8</v>
      </c>
    </row>
    <row r="59" spans="1:9" x14ac:dyDescent="0.45">
      <c r="A59" t="s">
        <v>139</v>
      </c>
      <c r="B59" s="7">
        <v>45736</v>
      </c>
      <c r="C59" t="s">
        <v>87</v>
      </c>
      <c r="D59" t="s">
        <v>62</v>
      </c>
      <c r="E59" t="s">
        <v>73</v>
      </c>
      <c r="F59" t="s">
        <v>90</v>
      </c>
      <c r="G59" t="s">
        <v>65</v>
      </c>
      <c r="H59" s="8">
        <v>67</v>
      </c>
      <c r="I59" s="8">
        <v>3.6</v>
      </c>
    </row>
    <row r="60" spans="1:9" x14ac:dyDescent="0.45">
      <c r="A60" t="s">
        <v>140</v>
      </c>
      <c r="B60" s="7">
        <v>45704</v>
      </c>
      <c r="C60" t="s">
        <v>76</v>
      </c>
      <c r="D60" t="s">
        <v>72</v>
      </c>
      <c r="E60" t="s">
        <v>73</v>
      </c>
      <c r="F60" t="s">
        <v>64</v>
      </c>
      <c r="G60" t="s">
        <v>65</v>
      </c>
      <c r="H60" s="8">
        <v>42.1</v>
      </c>
      <c r="I60" s="8">
        <v>4</v>
      </c>
    </row>
    <row r="61" spans="1:9" x14ac:dyDescent="0.45">
      <c r="A61" t="s">
        <v>141</v>
      </c>
      <c r="B61" s="7">
        <v>45730</v>
      </c>
      <c r="C61" t="s">
        <v>89</v>
      </c>
      <c r="D61" t="s">
        <v>62</v>
      </c>
      <c r="E61" t="s">
        <v>73</v>
      </c>
      <c r="F61" t="s">
        <v>69</v>
      </c>
      <c r="G61" t="s">
        <v>74</v>
      </c>
      <c r="H61" s="8">
        <v>65.5</v>
      </c>
      <c r="I61" s="8">
        <v>1.4</v>
      </c>
    </row>
    <row r="62" spans="1:9" x14ac:dyDescent="0.45">
      <c r="A62" t="s">
        <v>142</v>
      </c>
      <c r="B62" s="7">
        <v>45682</v>
      </c>
      <c r="C62" t="s">
        <v>76</v>
      </c>
      <c r="D62" t="s">
        <v>72</v>
      </c>
      <c r="E62" t="s">
        <v>63</v>
      </c>
      <c r="F62" t="s">
        <v>64</v>
      </c>
      <c r="G62" t="s">
        <v>65</v>
      </c>
      <c r="H62" s="8">
        <v>28</v>
      </c>
      <c r="I62" s="8">
        <v>1</v>
      </c>
    </row>
    <row r="63" spans="1:9" x14ac:dyDescent="0.45">
      <c r="A63" t="s">
        <v>143</v>
      </c>
      <c r="B63" s="7">
        <v>45747</v>
      </c>
      <c r="C63" t="s">
        <v>61</v>
      </c>
      <c r="D63" t="s">
        <v>82</v>
      </c>
      <c r="E63" t="s">
        <v>73</v>
      </c>
      <c r="F63" t="s">
        <v>90</v>
      </c>
      <c r="G63" t="s">
        <v>65</v>
      </c>
      <c r="H63" s="8">
        <v>67.900000000000006</v>
      </c>
      <c r="I63" s="8">
        <v>2.1</v>
      </c>
    </row>
    <row r="64" spans="1:9" x14ac:dyDescent="0.45">
      <c r="A64" t="s">
        <v>144</v>
      </c>
      <c r="B64" s="7">
        <v>45666</v>
      </c>
      <c r="C64" t="s">
        <v>76</v>
      </c>
      <c r="D64" t="s">
        <v>62</v>
      </c>
      <c r="E64" t="s">
        <v>73</v>
      </c>
      <c r="F64" t="s">
        <v>77</v>
      </c>
      <c r="G64" t="s">
        <v>70</v>
      </c>
      <c r="H64" s="8">
        <v>15.5</v>
      </c>
      <c r="I64" s="8">
        <v>2.9</v>
      </c>
    </row>
    <row r="65" spans="1:9" x14ac:dyDescent="0.45">
      <c r="A65" t="s">
        <v>145</v>
      </c>
      <c r="B65" s="7">
        <v>45663</v>
      </c>
      <c r="C65" t="s">
        <v>79</v>
      </c>
      <c r="D65" t="s">
        <v>72</v>
      </c>
      <c r="E65" t="s">
        <v>83</v>
      </c>
      <c r="F65" t="s">
        <v>77</v>
      </c>
      <c r="G65" t="s">
        <v>74</v>
      </c>
      <c r="H65" s="8">
        <v>43.2</v>
      </c>
      <c r="I65" s="8">
        <v>2.4</v>
      </c>
    </row>
    <row r="66" spans="1:9" x14ac:dyDescent="0.45">
      <c r="A66" t="s">
        <v>146</v>
      </c>
      <c r="B66" s="7">
        <v>45741</v>
      </c>
      <c r="C66" t="s">
        <v>67</v>
      </c>
      <c r="D66" t="s">
        <v>68</v>
      </c>
      <c r="E66" t="s">
        <v>73</v>
      </c>
      <c r="F66" t="s">
        <v>90</v>
      </c>
      <c r="G66" t="s">
        <v>70</v>
      </c>
      <c r="H66" s="8">
        <v>60.1</v>
      </c>
      <c r="I66" s="8">
        <v>4.9000000000000004</v>
      </c>
    </row>
    <row r="67" spans="1:9" x14ac:dyDescent="0.45">
      <c r="A67" t="s">
        <v>147</v>
      </c>
      <c r="B67" s="7">
        <v>45687</v>
      </c>
      <c r="C67" t="s">
        <v>79</v>
      </c>
      <c r="D67" t="s">
        <v>62</v>
      </c>
      <c r="E67" t="s">
        <v>63</v>
      </c>
      <c r="F67" t="s">
        <v>84</v>
      </c>
      <c r="G67" t="s">
        <v>65</v>
      </c>
      <c r="H67" s="8">
        <v>18.600000000000001</v>
      </c>
      <c r="I67" s="8">
        <v>2</v>
      </c>
    </row>
    <row r="68" spans="1:9" x14ac:dyDescent="0.45">
      <c r="A68" t="s">
        <v>148</v>
      </c>
      <c r="B68" s="7">
        <v>45695</v>
      </c>
      <c r="C68" t="s">
        <v>61</v>
      </c>
      <c r="D68" t="s">
        <v>68</v>
      </c>
      <c r="E68" t="s">
        <v>63</v>
      </c>
      <c r="F68" t="s">
        <v>64</v>
      </c>
      <c r="G68" t="s">
        <v>74</v>
      </c>
      <c r="H68" s="8">
        <v>50.7</v>
      </c>
      <c r="I68" s="8">
        <v>4.4000000000000004</v>
      </c>
    </row>
    <row r="69" spans="1:9" x14ac:dyDescent="0.45">
      <c r="A69" t="s">
        <v>149</v>
      </c>
      <c r="B69" s="7">
        <v>45668</v>
      </c>
      <c r="C69" t="s">
        <v>89</v>
      </c>
      <c r="D69" t="s">
        <v>68</v>
      </c>
      <c r="E69" t="s">
        <v>83</v>
      </c>
      <c r="F69" t="s">
        <v>90</v>
      </c>
      <c r="G69" t="s">
        <v>70</v>
      </c>
      <c r="H69" s="8">
        <v>22.8</v>
      </c>
      <c r="I69" s="8">
        <v>1.5</v>
      </c>
    </row>
    <row r="70" spans="1:9" x14ac:dyDescent="0.45">
      <c r="A70" t="s">
        <v>150</v>
      </c>
      <c r="B70" s="7">
        <v>45687</v>
      </c>
      <c r="C70" t="s">
        <v>89</v>
      </c>
      <c r="D70" t="s">
        <v>68</v>
      </c>
      <c r="E70" t="s">
        <v>63</v>
      </c>
      <c r="F70" t="s">
        <v>77</v>
      </c>
      <c r="G70" t="s">
        <v>65</v>
      </c>
      <c r="H70" s="8">
        <v>49.7</v>
      </c>
      <c r="I70" s="8">
        <v>1.3</v>
      </c>
    </row>
    <row r="71" spans="1:9" x14ac:dyDescent="0.45">
      <c r="A71" t="s">
        <v>151</v>
      </c>
      <c r="B71" s="7">
        <v>45670</v>
      </c>
      <c r="C71" t="s">
        <v>76</v>
      </c>
      <c r="D71" t="s">
        <v>68</v>
      </c>
      <c r="E71" t="s">
        <v>63</v>
      </c>
      <c r="F71" t="s">
        <v>77</v>
      </c>
      <c r="G71" t="s">
        <v>91</v>
      </c>
      <c r="H71" s="8">
        <v>58.3</v>
      </c>
      <c r="I71" s="8">
        <v>3</v>
      </c>
    </row>
    <row r="72" spans="1:9" x14ac:dyDescent="0.45">
      <c r="A72" t="s">
        <v>152</v>
      </c>
      <c r="B72" s="7">
        <v>45706</v>
      </c>
      <c r="C72" t="s">
        <v>87</v>
      </c>
      <c r="D72" t="s">
        <v>72</v>
      </c>
      <c r="E72" t="s">
        <v>73</v>
      </c>
      <c r="F72" t="s">
        <v>64</v>
      </c>
      <c r="G72" t="s">
        <v>70</v>
      </c>
      <c r="H72" s="8">
        <v>57.6</v>
      </c>
      <c r="I72" s="8">
        <v>3.3</v>
      </c>
    </row>
    <row r="73" spans="1:9" x14ac:dyDescent="0.45">
      <c r="A73" t="s">
        <v>153</v>
      </c>
      <c r="B73" s="7">
        <v>45693</v>
      </c>
      <c r="C73" t="s">
        <v>67</v>
      </c>
      <c r="D73" t="s">
        <v>72</v>
      </c>
      <c r="E73" t="s">
        <v>73</v>
      </c>
      <c r="F73" t="s">
        <v>69</v>
      </c>
      <c r="G73" t="s">
        <v>74</v>
      </c>
      <c r="H73" s="8">
        <v>41.4</v>
      </c>
      <c r="I73" s="8">
        <v>3.7</v>
      </c>
    </row>
    <row r="74" spans="1:9" x14ac:dyDescent="0.45">
      <c r="A74" t="s">
        <v>154</v>
      </c>
      <c r="B74" s="7">
        <v>45716</v>
      </c>
      <c r="C74" t="s">
        <v>87</v>
      </c>
      <c r="D74" t="s">
        <v>62</v>
      </c>
      <c r="E74" t="s">
        <v>63</v>
      </c>
      <c r="F74" t="s">
        <v>90</v>
      </c>
      <c r="G74" t="s">
        <v>70</v>
      </c>
      <c r="H74" s="8">
        <v>4.4000000000000004</v>
      </c>
      <c r="I74" s="8">
        <v>1.6</v>
      </c>
    </row>
    <row r="75" spans="1:9" x14ac:dyDescent="0.45">
      <c r="A75" t="s">
        <v>155</v>
      </c>
      <c r="B75" s="7">
        <v>45738</v>
      </c>
      <c r="C75" t="s">
        <v>61</v>
      </c>
      <c r="D75" t="s">
        <v>62</v>
      </c>
      <c r="E75" t="s">
        <v>83</v>
      </c>
      <c r="F75" t="s">
        <v>90</v>
      </c>
      <c r="G75" t="s">
        <v>70</v>
      </c>
      <c r="H75" s="8">
        <v>39.1</v>
      </c>
      <c r="I75" s="8">
        <v>4.2</v>
      </c>
    </row>
    <row r="76" spans="1:9" x14ac:dyDescent="0.45">
      <c r="A76" t="s">
        <v>156</v>
      </c>
      <c r="B76" s="7">
        <v>45704</v>
      </c>
      <c r="C76" t="s">
        <v>89</v>
      </c>
      <c r="D76" t="s">
        <v>62</v>
      </c>
      <c r="E76" t="s">
        <v>83</v>
      </c>
      <c r="F76" t="s">
        <v>69</v>
      </c>
      <c r="G76" t="s">
        <v>70</v>
      </c>
      <c r="H76" s="8">
        <v>48.1</v>
      </c>
      <c r="I76" s="8">
        <v>4.8</v>
      </c>
    </row>
    <row r="77" spans="1:9" x14ac:dyDescent="0.45">
      <c r="A77" t="s">
        <v>157</v>
      </c>
      <c r="B77" s="7">
        <v>45678</v>
      </c>
      <c r="C77" t="s">
        <v>76</v>
      </c>
      <c r="D77" t="s">
        <v>72</v>
      </c>
      <c r="E77" t="s">
        <v>73</v>
      </c>
      <c r="F77" t="s">
        <v>64</v>
      </c>
      <c r="G77" t="s">
        <v>91</v>
      </c>
      <c r="H77" s="8">
        <v>6.4</v>
      </c>
      <c r="I77" s="8">
        <v>1.3</v>
      </c>
    </row>
    <row r="78" spans="1:9" x14ac:dyDescent="0.45">
      <c r="A78" t="s">
        <v>158</v>
      </c>
      <c r="B78" s="7">
        <v>45705</v>
      </c>
      <c r="C78" t="s">
        <v>89</v>
      </c>
      <c r="D78" t="s">
        <v>62</v>
      </c>
      <c r="E78" t="s">
        <v>63</v>
      </c>
      <c r="F78" t="s">
        <v>64</v>
      </c>
      <c r="G78" t="s">
        <v>74</v>
      </c>
      <c r="H78" s="8">
        <v>47.2</v>
      </c>
      <c r="I78" s="8">
        <v>2</v>
      </c>
    </row>
    <row r="79" spans="1:9" x14ac:dyDescent="0.45">
      <c r="A79" t="s">
        <v>159</v>
      </c>
      <c r="B79" s="7">
        <v>45703</v>
      </c>
      <c r="C79" t="s">
        <v>87</v>
      </c>
      <c r="D79" t="s">
        <v>68</v>
      </c>
      <c r="E79" t="s">
        <v>73</v>
      </c>
      <c r="F79" t="s">
        <v>77</v>
      </c>
      <c r="G79" t="s">
        <v>74</v>
      </c>
      <c r="H79" s="8">
        <v>2.4</v>
      </c>
      <c r="I79" s="8">
        <v>3.2</v>
      </c>
    </row>
    <row r="80" spans="1:9" x14ac:dyDescent="0.45">
      <c r="A80" t="s">
        <v>160</v>
      </c>
      <c r="B80" s="7">
        <v>45684</v>
      </c>
      <c r="C80" t="s">
        <v>87</v>
      </c>
      <c r="D80" t="s">
        <v>72</v>
      </c>
      <c r="E80" t="s">
        <v>83</v>
      </c>
      <c r="F80" t="s">
        <v>69</v>
      </c>
      <c r="G80" t="s">
        <v>74</v>
      </c>
      <c r="H80" s="8">
        <v>31.1</v>
      </c>
      <c r="I80" s="8">
        <v>2.7</v>
      </c>
    </row>
    <row r="81" spans="1:9" x14ac:dyDescent="0.45">
      <c r="A81" t="s">
        <v>161</v>
      </c>
      <c r="B81" s="7">
        <v>45742</v>
      </c>
      <c r="C81" t="s">
        <v>67</v>
      </c>
      <c r="D81" t="s">
        <v>62</v>
      </c>
      <c r="E81" t="s">
        <v>63</v>
      </c>
      <c r="F81" t="s">
        <v>64</v>
      </c>
      <c r="G81" t="s">
        <v>65</v>
      </c>
      <c r="H81" s="8">
        <v>36.1</v>
      </c>
      <c r="I81" s="8">
        <v>3.4</v>
      </c>
    </row>
    <row r="82" spans="1:9" x14ac:dyDescent="0.45">
      <c r="A82" t="s">
        <v>162</v>
      </c>
      <c r="B82" s="7">
        <v>45692</v>
      </c>
      <c r="C82" t="s">
        <v>67</v>
      </c>
      <c r="D82" t="s">
        <v>68</v>
      </c>
      <c r="E82" t="s">
        <v>73</v>
      </c>
      <c r="F82" t="s">
        <v>84</v>
      </c>
      <c r="G82" t="s">
        <v>74</v>
      </c>
      <c r="H82" s="8">
        <v>32.1</v>
      </c>
      <c r="I82" s="8">
        <v>3.5</v>
      </c>
    </row>
    <row r="83" spans="1:9" x14ac:dyDescent="0.45">
      <c r="A83" t="s">
        <v>163</v>
      </c>
      <c r="B83" s="7">
        <v>45746</v>
      </c>
      <c r="C83" t="s">
        <v>76</v>
      </c>
      <c r="D83" t="s">
        <v>62</v>
      </c>
      <c r="E83" t="s">
        <v>73</v>
      </c>
      <c r="F83" t="s">
        <v>90</v>
      </c>
      <c r="G83" t="s">
        <v>74</v>
      </c>
      <c r="H83" s="8">
        <v>27</v>
      </c>
      <c r="I83" s="8">
        <v>4.0999999999999996</v>
      </c>
    </row>
    <row r="84" spans="1:9" x14ac:dyDescent="0.45">
      <c r="A84" t="s">
        <v>164</v>
      </c>
      <c r="B84" s="7">
        <v>45744</v>
      </c>
      <c r="C84" t="s">
        <v>67</v>
      </c>
      <c r="D84" t="s">
        <v>82</v>
      </c>
      <c r="E84" t="s">
        <v>83</v>
      </c>
      <c r="F84" t="s">
        <v>77</v>
      </c>
      <c r="G84" t="s">
        <v>91</v>
      </c>
      <c r="H84" s="8">
        <v>64.400000000000006</v>
      </c>
      <c r="I84" s="8">
        <v>2.5</v>
      </c>
    </row>
    <row r="85" spans="1:9" x14ac:dyDescent="0.45">
      <c r="A85" t="s">
        <v>165</v>
      </c>
      <c r="B85" s="7">
        <v>45739</v>
      </c>
      <c r="C85" t="s">
        <v>87</v>
      </c>
      <c r="D85" t="s">
        <v>62</v>
      </c>
      <c r="E85" t="s">
        <v>73</v>
      </c>
      <c r="F85" t="s">
        <v>69</v>
      </c>
      <c r="G85" t="s">
        <v>65</v>
      </c>
      <c r="H85" s="8">
        <v>33.9</v>
      </c>
      <c r="I85" s="8">
        <v>4.5999999999999996</v>
      </c>
    </row>
    <row r="86" spans="1:9" x14ac:dyDescent="0.45">
      <c r="A86" t="s">
        <v>166</v>
      </c>
      <c r="B86" s="7">
        <v>45667</v>
      </c>
      <c r="C86" t="s">
        <v>87</v>
      </c>
      <c r="D86" t="s">
        <v>82</v>
      </c>
      <c r="E86" t="s">
        <v>83</v>
      </c>
      <c r="F86" t="s">
        <v>77</v>
      </c>
      <c r="G86" t="s">
        <v>65</v>
      </c>
      <c r="H86" s="8">
        <v>12.3</v>
      </c>
      <c r="I86" s="8">
        <v>2.2000000000000002</v>
      </c>
    </row>
    <row r="87" spans="1:9" x14ac:dyDescent="0.45">
      <c r="A87" t="s">
        <v>167</v>
      </c>
      <c r="B87" s="7">
        <v>45734</v>
      </c>
      <c r="C87" t="s">
        <v>61</v>
      </c>
      <c r="D87" t="s">
        <v>62</v>
      </c>
      <c r="E87" t="s">
        <v>83</v>
      </c>
      <c r="F87" t="s">
        <v>64</v>
      </c>
      <c r="G87" t="s">
        <v>70</v>
      </c>
      <c r="H87" s="8">
        <v>13.9</v>
      </c>
      <c r="I87" s="8">
        <v>3.4</v>
      </c>
    </row>
    <row r="88" spans="1:9" x14ac:dyDescent="0.45">
      <c r="A88" t="s">
        <v>168</v>
      </c>
      <c r="B88" s="7">
        <v>45738</v>
      </c>
      <c r="C88" t="s">
        <v>87</v>
      </c>
      <c r="D88" t="s">
        <v>62</v>
      </c>
      <c r="E88" t="s">
        <v>63</v>
      </c>
      <c r="F88" t="s">
        <v>64</v>
      </c>
      <c r="G88" t="s">
        <v>65</v>
      </c>
      <c r="H88" s="8">
        <v>38.299999999999997</v>
      </c>
      <c r="I88" s="8">
        <v>2.7</v>
      </c>
    </row>
    <row r="89" spans="1:9" x14ac:dyDescent="0.45">
      <c r="A89" t="s">
        <v>169</v>
      </c>
      <c r="B89" s="7">
        <v>45679</v>
      </c>
      <c r="C89" t="s">
        <v>76</v>
      </c>
      <c r="D89" t="s">
        <v>72</v>
      </c>
      <c r="E89" t="s">
        <v>63</v>
      </c>
      <c r="F89" t="s">
        <v>84</v>
      </c>
      <c r="G89" t="s">
        <v>65</v>
      </c>
      <c r="H89" s="8">
        <v>47.4</v>
      </c>
      <c r="I89" s="8">
        <v>3.3</v>
      </c>
    </row>
    <row r="90" spans="1:9" x14ac:dyDescent="0.45">
      <c r="A90" t="s">
        <v>170</v>
      </c>
      <c r="B90" s="7">
        <v>45725</v>
      </c>
      <c r="C90" t="s">
        <v>79</v>
      </c>
      <c r="D90" t="s">
        <v>72</v>
      </c>
      <c r="E90" t="s">
        <v>73</v>
      </c>
      <c r="F90" t="s">
        <v>90</v>
      </c>
      <c r="G90" t="s">
        <v>91</v>
      </c>
      <c r="H90" s="8">
        <v>44.9</v>
      </c>
      <c r="I90" s="8">
        <v>1.2</v>
      </c>
    </row>
    <row r="91" spans="1:9" x14ac:dyDescent="0.45">
      <c r="A91" t="s">
        <v>171</v>
      </c>
      <c r="B91" s="7">
        <v>45689</v>
      </c>
      <c r="C91" t="s">
        <v>61</v>
      </c>
      <c r="D91" t="s">
        <v>82</v>
      </c>
      <c r="E91" t="s">
        <v>83</v>
      </c>
      <c r="F91" t="s">
        <v>69</v>
      </c>
      <c r="G91" t="s">
        <v>74</v>
      </c>
      <c r="H91" s="8">
        <v>66.3</v>
      </c>
      <c r="I91" s="8">
        <v>4.8</v>
      </c>
    </row>
    <row r="92" spans="1:9" x14ac:dyDescent="0.45">
      <c r="A92" t="s">
        <v>172</v>
      </c>
      <c r="B92" s="7">
        <v>45678</v>
      </c>
      <c r="C92" t="s">
        <v>61</v>
      </c>
      <c r="D92" t="s">
        <v>72</v>
      </c>
      <c r="E92" t="s">
        <v>83</v>
      </c>
      <c r="F92" t="s">
        <v>77</v>
      </c>
      <c r="G92" t="s">
        <v>65</v>
      </c>
      <c r="H92" s="8">
        <v>56.1</v>
      </c>
      <c r="I92" s="8">
        <v>1.4</v>
      </c>
    </row>
    <row r="93" spans="1:9" x14ac:dyDescent="0.45">
      <c r="A93" t="s">
        <v>173</v>
      </c>
      <c r="B93" s="7">
        <v>45716</v>
      </c>
      <c r="C93" t="s">
        <v>76</v>
      </c>
      <c r="D93" t="s">
        <v>68</v>
      </c>
      <c r="E93" t="s">
        <v>63</v>
      </c>
      <c r="F93" t="s">
        <v>90</v>
      </c>
      <c r="G93" t="s">
        <v>65</v>
      </c>
      <c r="H93" s="8">
        <v>34.299999999999997</v>
      </c>
      <c r="I93" s="8">
        <v>4.0999999999999996</v>
      </c>
    </row>
    <row r="94" spans="1:9" x14ac:dyDescent="0.45">
      <c r="A94" t="s">
        <v>174</v>
      </c>
      <c r="B94" s="7">
        <v>45706</v>
      </c>
      <c r="C94" t="s">
        <v>76</v>
      </c>
      <c r="D94" t="s">
        <v>68</v>
      </c>
      <c r="E94" t="s">
        <v>63</v>
      </c>
      <c r="F94" t="s">
        <v>64</v>
      </c>
      <c r="G94" t="s">
        <v>91</v>
      </c>
      <c r="H94" s="8">
        <v>59.7</v>
      </c>
      <c r="I94" s="8">
        <v>3.5</v>
      </c>
    </row>
    <row r="95" spans="1:9" x14ac:dyDescent="0.45">
      <c r="A95" t="s">
        <v>175</v>
      </c>
      <c r="B95" s="7">
        <v>45692</v>
      </c>
      <c r="C95" t="s">
        <v>67</v>
      </c>
      <c r="D95" t="s">
        <v>82</v>
      </c>
      <c r="E95" t="s">
        <v>83</v>
      </c>
      <c r="F95" t="s">
        <v>90</v>
      </c>
      <c r="G95" t="s">
        <v>65</v>
      </c>
      <c r="H95" s="8">
        <v>43.3</v>
      </c>
      <c r="I95" s="8">
        <v>2.1</v>
      </c>
    </row>
    <row r="96" spans="1:9" x14ac:dyDescent="0.45">
      <c r="A96" t="s">
        <v>176</v>
      </c>
      <c r="B96" s="7">
        <v>45738</v>
      </c>
      <c r="C96" t="s">
        <v>61</v>
      </c>
      <c r="D96" t="s">
        <v>68</v>
      </c>
      <c r="E96" t="s">
        <v>63</v>
      </c>
      <c r="F96" t="s">
        <v>77</v>
      </c>
      <c r="G96" t="s">
        <v>65</v>
      </c>
      <c r="H96" s="8">
        <v>24.2</v>
      </c>
      <c r="I96" s="8">
        <v>1.3</v>
      </c>
    </row>
    <row r="97" spans="1:9" x14ac:dyDescent="0.45">
      <c r="A97" t="s">
        <v>177</v>
      </c>
      <c r="B97" s="7">
        <v>45745</v>
      </c>
      <c r="C97" t="s">
        <v>67</v>
      </c>
      <c r="D97" t="s">
        <v>68</v>
      </c>
      <c r="E97" t="s">
        <v>73</v>
      </c>
      <c r="F97" t="s">
        <v>90</v>
      </c>
      <c r="G97" t="s">
        <v>91</v>
      </c>
      <c r="H97" s="8">
        <v>18.8</v>
      </c>
      <c r="I97" s="8">
        <v>2</v>
      </c>
    </row>
    <row r="98" spans="1:9" x14ac:dyDescent="0.45">
      <c r="A98" t="s">
        <v>178</v>
      </c>
      <c r="B98" s="7">
        <v>45728</v>
      </c>
      <c r="C98" t="s">
        <v>87</v>
      </c>
      <c r="D98" t="s">
        <v>62</v>
      </c>
      <c r="E98" t="s">
        <v>83</v>
      </c>
      <c r="F98" t="s">
        <v>64</v>
      </c>
      <c r="G98" t="s">
        <v>70</v>
      </c>
      <c r="H98" s="8">
        <v>67.400000000000006</v>
      </c>
      <c r="I98" s="8">
        <v>3.2</v>
      </c>
    </row>
    <row r="99" spans="1:9" x14ac:dyDescent="0.45">
      <c r="A99" t="s">
        <v>179</v>
      </c>
      <c r="B99" s="7">
        <v>45686</v>
      </c>
      <c r="C99" t="s">
        <v>61</v>
      </c>
      <c r="D99" t="s">
        <v>72</v>
      </c>
      <c r="E99" t="s">
        <v>63</v>
      </c>
      <c r="F99" t="s">
        <v>90</v>
      </c>
      <c r="G99" t="s">
        <v>70</v>
      </c>
      <c r="H99" s="8">
        <v>21.2</v>
      </c>
      <c r="I99" s="8">
        <v>1.6</v>
      </c>
    </row>
    <row r="100" spans="1:9" x14ac:dyDescent="0.45">
      <c r="A100" t="s">
        <v>180</v>
      </c>
      <c r="B100" s="7">
        <v>45744</v>
      </c>
      <c r="C100" t="s">
        <v>61</v>
      </c>
      <c r="D100" t="s">
        <v>68</v>
      </c>
      <c r="E100" t="s">
        <v>73</v>
      </c>
      <c r="F100" t="s">
        <v>69</v>
      </c>
      <c r="G100" t="s">
        <v>65</v>
      </c>
      <c r="H100" s="8">
        <v>33.299999999999997</v>
      </c>
      <c r="I100" s="8">
        <v>2.6</v>
      </c>
    </row>
    <row r="101" spans="1:9" x14ac:dyDescent="0.45">
      <c r="A101" t="s">
        <v>181</v>
      </c>
      <c r="B101" s="7">
        <v>45699</v>
      </c>
      <c r="C101" t="s">
        <v>89</v>
      </c>
      <c r="D101" t="s">
        <v>68</v>
      </c>
      <c r="E101" t="s">
        <v>83</v>
      </c>
      <c r="F101" t="s">
        <v>90</v>
      </c>
      <c r="G101" t="s">
        <v>65</v>
      </c>
      <c r="H101" s="8">
        <v>54.4</v>
      </c>
      <c r="I101" s="8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showGridLines="0" workbookViewId="0"/>
  </sheetViews>
  <sheetFormatPr defaultRowHeight="14.25" x14ac:dyDescent="0.45"/>
  <cols>
    <col min="1" max="1" width="24" customWidth="1"/>
    <col min="2" max="3" width="22" customWidth="1"/>
  </cols>
  <sheetData>
    <row r="1" spans="1:2" ht="18" x14ac:dyDescent="0.55000000000000004">
      <c r="A1" s="1" t="s">
        <v>182</v>
      </c>
    </row>
    <row r="3" spans="1:2" ht="15.75" x14ac:dyDescent="0.5">
      <c r="A3" s="3" t="s">
        <v>183</v>
      </c>
    </row>
    <row r="4" spans="1:2" x14ac:dyDescent="0.45">
      <c r="A4" s="9" t="s">
        <v>53</v>
      </c>
      <c r="B4" s="9" t="s">
        <v>184</v>
      </c>
    </row>
    <row r="5" spans="1:2" x14ac:dyDescent="0.45">
      <c r="A5" s="10" t="s">
        <v>87</v>
      </c>
      <c r="B5" s="10">
        <v>19</v>
      </c>
    </row>
    <row r="6" spans="1:2" x14ac:dyDescent="0.45">
      <c r="A6" s="10" t="s">
        <v>61</v>
      </c>
      <c r="B6" s="10">
        <v>18</v>
      </c>
    </row>
    <row r="7" spans="1:2" x14ac:dyDescent="0.45">
      <c r="A7" s="10" t="s">
        <v>67</v>
      </c>
      <c r="B7" s="10">
        <v>17</v>
      </c>
    </row>
    <row r="8" spans="1:2" x14ac:dyDescent="0.45">
      <c r="A8" s="10" t="s">
        <v>76</v>
      </c>
      <c r="B8" s="10">
        <v>16</v>
      </c>
    </row>
    <row r="9" spans="1:2" x14ac:dyDescent="0.45">
      <c r="A9" s="10" t="s">
        <v>89</v>
      </c>
      <c r="B9" s="10">
        <v>16</v>
      </c>
    </row>
    <row r="10" spans="1:2" x14ac:dyDescent="0.45">
      <c r="A10" s="10" t="s">
        <v>79</v>
      </c>
      <c r="B10" s="10">
        <v>14</v>
      </c>
    </row>
    <row r="13" spans="1:2" ht="15.75" x14ac:dyDescent="0.5">
      <c r="A13" s="3" t="s">
        <v>185</v>
      </c>
    </row>
    <row r="14" spans="1:2" x14ac:dyDescent="0.45">
      <c r="A14" s="9" t="s">
        <v>55</v>
      </c>
      <c r="B14" s="9" t="s">
        <v>184</v>
      </c>
    </row>
    <row r="15" spans="1:2" x14ac:dyDescent="0.45">
      <c r="A15" s="10" t="s">
        <v>73</v>
      </c>
      <c r="B15" s="10">
        <v>36</v>
      </c>
    </row>
    <row r="16" spans="1:2" x14ac:dyDescent="0.45">
      <c r="A16" s="10" t="s">
        <v>63</v>
      </c>
      <c r="B16" s="10">
        <v>34</v>
      </c>
    </row>
    <row r="17" spans="1:2" x14ac:dyDescent="0.45">
      <c r="A17" s="10" t="s">
        <v>83</v>
      </c>
      <c r="B17" s="10">
        <v>30</v>
      </c>
    </row>
    <row r="20" spans="1:2" ht="15.75" x14ac:dyDescent="0.5">
      <c r="A20" s="3" t="s">
        <v>186</v>
      </c>
    </row>
    <row r="21" spans="1:2" x14ac:dyDescent="0.45">
      <c r="A21" s="9" t="s">
        <v>54</v>
      </c>
      <c r="B21" s="9" t="s">
        <v>187</v>
      </c>
    </row>
    <row r="22" spans="1:2" x14ac:dyDescent="0.45">
      <c r="A22" s="10" t="s">
        <v>82</v>
      </c>
      <c r="B22" s="11">
        <v>47.15</v>
      </c>
    </row>
    <row r="23" spans="1:2" x14ac:dyDescent="0.45">
      <c r="A23" s="10" t="s">
        <v>68</v>
      </c>
      <c r="B23" s="11">
        <v>40.58</v>
      </c>
    </row>
    <row r="24" spans="1:2" x14ac:dyDescent="0.45">
      <c r="A24" s="10" t="s">
        <v>72</v>
      </c>
      <c r="B24" s="11">
        <v>39.5</v>
      </c>
    </row>
    <row r="25" spans="1:2" x14ac:dyDescent="0.45">
      <c r="A25" s="10" t="s">
        <v>62</v>
      </c>
      <c r="B25" s="11">
        <v>35.04</v>
      </c>
    </row>
    <row r="28" spans="1:2" ht="15.75" x14ac:dyDescent="0.5">
      <c r="A28" s="3" t="s">
        <v>188</v>
      </c>
    </row>
    <row r="29" spans="1:2" x14ac:dyDescent="0.45">
      <c r="A29" s="9" t="s">
        <v>56</v>
      </c>
      <c r="B29" s="9" t="s">
        <v>189</v>
      </c>
    </row>
    <row r="30" spans="1:2" x14ac:dyDescent="0.45">
      <c r="A30" s="10" t="s">
        <v>77</v>
      </c>
      <c r="B30" s="11">
        <v>2.54</v>
      </c>
    </row>
    <row r="31" spans="1:2" x14ac:dyDescent="0.45">
      <c r="A31" s="10" t="s">
        <v>64</v>
      </c>
      <c r="B31" s="11">
        <v>2.89</v>
      </c>
    </row>
    <row r="32" spans="1:2" x14ac:dyDescent="0.45">
      <c r="A32" s="10" t="s">
        <v>84</v>
      </c>
      <c r="B32" s="11">
        <v>2.96</v>
      </c>
    </row>
    <row r="33" spans="1:4" x14ac:dyDescent="0.45">
      <c r="A33" s="10" t="s">
        <v>90</v>
      </c>
      <c r="B33" s="11">
        <v>2.96</v>
      </c>
    </row>
    <row r="34" spans="1:4" x14ac:dyDescent="0.45">
      <c r="A34" s="10" t="s">
        <v>69</v>
      </c>
      <c r="B34" s="11">
        <v>3.06</v>
      </c>
    </row>
    <row r="37" spans="1:4" ht="15.75" x14ac:dyDescent="0.5">
      <c r="A37" s="3" t="s">
        <v>190</v>
      </c>
    </row>
    <row r="38" spans="1:4" x14ac:dyDescent="0.45">
      <c r="A38" s="9" t="s">
        <v>191</v>
      </c>
      <c r="B38" s="9" t="s">
        <v>184</v>
      </c>
    </row>
    <row r="39" spans="1:4" x14ac:dyDescent="0.45">
      <c r="A39" s="10" t="s">
        <v>192</v>
      </c>
      <c r="B39" s="10">
        <v>37</v>
      </c>
    </row>
    <row r="40" spans="1:4" x14ac:dyDescent="0.45">
      <c r="A40" s="10" t="s">
        <v>193</v>
      </c>
      <c r="B40" s="10">
        <v>31</v>
      </c>
    </row>
    <row r="41" spans="1:4" x14ac:dyDescent="0.45">
      <c r="A41" s="10" t="s">
        <v>194</v>
      </c>
      <c r="B41" s="10">
        <v>32</v>
      </c>
    </row>
    <row r="44" spans="1:4" ht="15.75" x14ac:dyDescent="0.5">
      <c r="A44" s="3" t="s">
        <v>195</v>
      </c>
    </row>
    <row r="45" spans="1:4" x14ac:dyDescent="0.45">
      <c r="A45" s="9" t="s">
        <v>53</v>
      </c>
      <c r="B45" s="9" t="s">
        <v>196</v>
      </c>
      <c r="C45" s="9" t="s">
        <v>197</v>
      </c>
      <c r="D45" s="9" t="s">
        <v>198</v>
      </c>
    </row>
    <row r="46" spans="1:4" x14ac:dyDescent="0.45">
      <c r="A46" s="10" t="s">
        <v>76</v>
      </c>
      <c r="B46" s="12">
        <v>48</v>
      </c>
      <c r="C46" s="12">
        <v>602.4</v>
      </c>
      <c r="D46" s="13">
        <v>7.9699999999999993E-2</v>
      </c>
    </row>
    <row r="47" spans="1:4" x14ac:dyDescent="0.45">
      <c r="A47" s="10" t="s">
        <v>87</v>
      </c>
      <c r="B47" s="12">
        <v>55</v>
      </c>
      <c r="C47" s="12">
        <v>694.3</v>
      </c>
      <c r="D47" s="13">
        <v>7.9200000000000007E-2</v>
      </c>
    </row>
    <row r="48" spans="1:4" x14ac:dyDescent="0.45">
      <c r="A48" s="10" t="s">
        <v>67</v>
      </c>
      <c r="B48" s="12">
        <v>51.4</v>
      </c>
      <c r="C48" s="12">
        <v>693.9</v>
      </c>
      <c r="D48" s="13">
        <v>7.4099999999999999E-2</v>
      </c>
    </row>
    <row r="49" spans="1:4" x14ac:dyDescent="0.45">
      <c r="A49" s="10" t="s">
        <v>61</v>
      </c>
      <c r="B49" s="12">
        <v>51.7</v>
      </c>
      <c r="C49" s="12">
        <v>708.7</v>
      </c>
      <c r="D49" s="13">
        <v>7.2999999999999995E-2</v>
      </c>
    </row>
    <row r="50" spans="1:4" x14ac:dyDescent="0.45">
      <c r="A50" s="10" t="s">
        <v>79</v>
      </c>
      <c r="B50" s="12">
        <v>37.6</v>
      </c>
      <c r="C50" s="12">
        <v>559.29999999999995</v>
      </c>
      <c r="D50" s="13">
        <v>6.7199999999999996E-2</v>
      </c>
    </row>
    <row r="51" spans="1:4" x14ac:dyDescent="0.45">
      <c r="A51" s="10" t="s">
        <v>89</v>
      </c>
      <c r="B51" s="12">
        <v>43.7</v>
      </c>
      <c r="C51" s="12">
        <v>692.8</v>
      </c>
      <c r="D51" s="13">
        <v>6.3100000000000003E-2</v>
      </c>
    </row>
  </sheetData>
  <conditionalFormatting sqref="B30:B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 Notes</vt:lpstr>
      <vt:lpstr>Dataset (Solved)</vt:lpstr>
      <vt:lpstr>Pivot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2026-07-03T01:41:36Z</dcterms:created>
  <dcterms:modified xsi:type="dcterms:W3CDTF">2026-07-06T13:46:12Z</dcterms:modified>
</cp:coreProperties>
</file>