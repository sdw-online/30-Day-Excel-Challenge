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steph\Documents\GitHub\30-Day-Excel-Challenge\day_07_week1_practice\practice\"/>
    </mc:Choice>
  </mc:AlternateContent>
  <xr:revisionPtr revIDLastSave="0" documentId="13_ncr:1_{C6F17183-3FDE-4630-8456-45C29349C236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olution Notes" sheetId="1" r:id="rId1"/>
    <sheet name="Expense_Data (Solved)" sheetId="2" r:id="rId2"/>
    <sheet name="Pivot Result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0" i="3" l="1"/>
  <c r="D9" i="3"/>
  <c r="D8" i="3"/>
  <c r="D7" i="3"/>
  <c r="D6" i="3"/>
  <c r="D5" i="3"/>
  <c r="D4" i="3"/>
  <c r="G501" i="2"/>
  <c r="G500" i="2"/>
  <c r="G499" i="2"/>
  <c r="G498" i="2"/>
  <c r="G497" i="2"/>
  <c r="G496" i="2"/>
  <c r="G495" i="2"/>
  <c r="G494" i="2"/>
  <c r="G493" i="2"/>
  <c r="G492" i="2"/>
  <c r="G491" i="2"/>
  <c r="G490" i="2"/>
  <c r="G489" i="2"/>
  <c r="G488" i="2"/>
  <c r="G487" i="2"/>
  <c r="G486" i="2"/>
  <c r="G485" i="2"/>
  <c r="G484" i="2"/>
  <c r="G483" i="2"/>
  <c r="G482" i="2"/>
  <c r="G481" i="2"/>
  <c r="G480" i="2"/>
  <c r="G479" i="2"/>
  <c r="G478" i="2"/>
  <c r="G477" i="2"/>
  <c r="G476" i="2"/>
  <c r="G475" i="2"/>
  <c r="G474" i="2"/>
  <c r="G473" i="2"/>
  <c r="G472" i="2"/>
  <c r="G471" i="2"/>
  <c r="G470" i="2"/>
  <c r="G469" i="2"/>
  <c r="G468" i="2"/>
  <c r="G467" i="2"/>
  <c r="G466" i="2"/>
  <c r="G465" i="2"/>
  <c r="G464" i="2"/>
  <c r="G463" i="2"/>
  <c r="G462" i="2"/>
  <c r="G461" i="2"/>
  <c r="G460" i="2"/>
  <c r="G459" i="2"/>
  <c r="G458" i="2"/>
  <c r="G457" i="2"/>
  <c r="G456" i="2"/>
  <c r="G455" i="2"/>
  <c r="G454" i="2"/>
  <c r="G453" i="2"/>
  <c r="G452" i="2"/>
  <c r="G451" i="2"/>
  <c r="G450" i="2"/>
  <c r="G449" i="2"/>
  <c r="G448" i="2"/>
  <c r="G447" i="2"/>
  <c r="G446" i="2"/>
  <c r="G445" i="2"/>
  <c r="G444" i="2"/>
  <c r="G443" i="2"/>
  <c r="G442" i="2"/>
  <c r="G441" i="2"/>
  <c r="G440" i="2"/>
  <c r="G439" i="2"/>
  <c r="G438" i="2"/>
  <c r="G437" i="2"/>
  <c r="G436" i="2"/>
  <c r="G435" i="2"/>
  <c r="G434" i="2"/>
  <c r="G433" i="2"/>
  <c r="G432" i="2"/>
  <c r="G431" i="2"/>
  <c r="G430" i="2"/>
  <c r="G429" i="2"/>
  <c r="G428" i="2"/>
  <c r="G427" i="2"/>
  <c r="G426" i="2"/>
  <c r="G425" i="2"/>
  <c r="G424" i="2"/>
  <c r="G423" i="2"/>
  <c r="G422" i="2"/>
  <c r="G421" i="2"/>
  <c r="G420" i="2"/>
  <c r="G419" i="2"/>
  <c r="G418" i="2"/>
  <c r="G417" i="2"/>
  <c r="G416" i="2"/>
  <c r="G415" i="2"/>
  <c r="G414" i="2"/>
  <c r="G413" i="2"/>
  <c r="G412" i="2"/>
  <c r="G411" i="2"/>
  <c r="G410" i="2"/>
  <c r="G409" i="2"/>
  <c r="G408" i="2"/>
  <c r="G407" i="2"/>
  <c r="G406" i="2"/>
  <c r="G405" i="2"/>
  <c r="G404" i="2"/>
  <c r="G403" i="2"/>
  <c r="G402" i="2"/>
  <c r="G401" i="2"/>
  <c r="G400" i="2"/>
  <c r="G399" i="2"/>
  <c r="G398" i="2"/>
  <c r="G397" i="2"/>
  <c r="G396" i="2"/>
  <c r="G395" i="2"/>
  <c r="G394" i="2"/>
  <c r="G393" i="2"/>
  <c r="G392" i="2"/>
  <c r="G391" i="2"/>
  <c r="G390" i="2"/>
  <c r="G389" i="2"/>
  <c r="G388" i="2"/>
  <c r="G387" i="2"/>
  <c r="G386" i="2"/>
  <c r="G385" i="2"/>
  <c r="G384" i="2"/>
  <c r="G383" i="2"/>
  <c r="G382" i="2"/>
  <c r="G381" i="2"/>
  <c r="G380" i="2"/>
  <c r="G379" i="2"/>
  <c r="G378" i="2"/>
  <c r="G377" i="2"/>
  <c r="G376" i="2"/>
  <c r="G375" i="2"/>
  <c r="G374" i="2"/>
  <c r="G373" i="2"/>
  <c r="G372" i="2"/>
  <c r="G371" i="2"/>
  <c r="G370" i="2"/>
  <c r="G369" i="2"/>
  <c r="G368" i="2"/>
  <c r="G367" i="2"/>
  <c r="G366" i="2"/>
  <c r="G365" i="2"/>
  <c r="G364" i="2"/>
  <c r="G363" i="2"/>
  <c r="G362" i="2"/>
  <c r="G361" i="2"/>
  <c r="G360" i="2"/>
  <c r="G359" i="2"/>
  <c r="G358" i="2"/>
  <c r="G357" i="2"/>
  <c r="G356" i="2"/>
  <c r="G355" i="2"/>
  <c r="G354" i="2"/>
  <c r="G353" i="2"/>
  <c r="G352" i="2"/>
  <c r="G351" i="2"/>
  <c r="G350" i="2"/>
  <c r="G349" i="2"/>
  <c r="G348" i="2"/>
  <c r="G347" i="2"/>
  <c r="G346" i="2"/>
  <c r="G345" i="2"/>
  <c r="G344" i="2"/>
  <c r="G343" i="2"/>
  <c r="G342" i="2"/>
  <c r="G341" i="2"/>
  <c r="G340" i="2"/>
  <c r="G339" i="2"/>
  <c r="G338" i="2"/>
  <c r="G337" i="2"/>
  <c r="G336" i="2"/>
  <c r="G335" i="2"/>
  <c r="G334" i="2"/>
  <c r="G333" i="2"/>
  <c r="G332" i="2"/>
  <c r="G331" i="2"/>
  <c r="G330" i="2"/>
  <c r="G329" i="2"/>
  <c r="G328" i="2"/>
  <c r="G327" i="2"/>
  <c r="G326" i="2"/>
  <c r="G325" i="2"/>
  <c r="G324" i="2"/>
  <c r="G323" i="2"/>
  <c r="G322" i="2"/>
  <c r="G321" i="2"/>
  <c r="G320" i="2"/>
  <c r="G319" i="2"/>
  <c r="G318" i="2"/>
  <c r="G317" i="2"/>
  <c r="G316" i="2"/>
  <c r="G315" i="2"/>
  <c r="G314" i="2"/>
  <c r="G313" i="2"/>
  <c r="G312" i="2"/>
  <c r="G311" i="2"/>
  <c r="G310" i="2"/>
  <c r="G309" i="2"/>
  <c r="G308" i="2"/>
  <c r="G307" i="2"/>
  <c r="G306" i="2"/>
  <c r="G305" i="2"/>
  <c r="G304" i="2"/>
  <c r="G303" i="2"/>
  <c r="G302" i="2"/>
  <c r="G301" i="2"/>
  <c r="G300" i="2"/>
  <c r="G299" i="2"/>
  <c r="G298" i="2"/>
  <c r="G297" i="2"/>
  <c r="G296" i="2"/>
  <c r="G295" i="2"/>
  <c r="G294" i="2"/>
  <c r="G293" i="2"/>
  <c r="G292" i="2"/>
  <c r="G291" i="2"/>
  <c r="G290" i="2"/>
  <c r="G289" i="2"/>
  <c r="G288" i="2"/>
  <c r="G287" i="2"/>
  <c r="G286" i="2"/>
  <c r="G285" i="2"/>
  <c r="G284" i="2"/>
  <c r="G283" i="2"/>
  <c r="G282" i="2"/>
  <c r="G281" i="2"/>
  <c r="G280" i="2"/>
  <c r="G279" i="2"/>
  <c r="G278" i="2"/>
  <c r="G277" i="2"/>
  <c r="G276" i="2"/>
  <c r="G275" i="2"/>
  <c r="G274" i="2"/>
  <c r="G273" i="2"/>
  <c r="G272" i="2"/>
  <c r="G271" i="2"/>
  <c r="G270" i="2"/>
  <c r="G269" i="2"/>
  <c r="G268" i="2"/>
  <c r="G267" i="2"/>
  <c r="G266" i="2"/>
  <c r="G265" i="2"/>
  <c r="G264" i="2"/>
  <c r="G263" i="2"/>
  <c r="G262" i="2"/>
  <c r="G261" i="2"/>
  <c r="G260" i="2"/>
  <c r="G259" i="2"/>
  <c r="G258" i="2"/>
  <c r="G257" i="2"/>
  <c r="G256" i="2"/>
  <c r="G255" i="2"/>
  <c r="G254" i="2"/>
  <c r="G253" i="2"/>
  <c r="G252" i="2"/>
  <c r="G251" i="2"/>
  <c r="G250" i="2"/>
  <c r="G249" i="2"/>
  <c r="G248" i="2"/>
  <c r="G247" i="2"/>
  <c r="G246" i="2"/>
  <c r="G245" i="2"/>
  <c r="G244" i="2"/>
  <c r="G243" i="2"/>
  <c r="G242" i="2"/>
  <c r="G241" i="2"/>
  <c r="G240" i="2"/>
  <c r="G239" i="2"/>
  <c r="G238" i="2"/>
  <c r="G237" i="2"/>
  <c r="G236" i="2"/>
  <c r="G235" i="2"/>
  <c r="G234" i="2"/>
  <c r="G233" i="2"/>
  <c r="G232" i="2"/>
  <c r="G231" i="2"/>
  <c r="G230" i="2"/>
  <c r="G229" i="2"/>
  <c r="G228" i="2"/>
  <c r="G227" i="2"/>
  <c r="G226" i="2"/>
  <c r="G225" i="2"/>
  <c r="G224" i="2"/>
  <c r="G223" i="2"/>
  <c r="G222" i="2"/>
  <c r="G221" i="2"/>
  <c r="G220" i="2"/>
  <c r="G219" i="2"/>
  <c r="G218" i="2"/>
  <c r="G217" i="2"/>
  <c r="G216" i="2"/>
  <c r="G215" i="2"/>
  <c r="G214" i="2"/>
  <c r="G213" i="2"/>
  <c r="G212" i="2"/>
  <c r="G211" i="2"/>
  <c r="G210" i="2"/>
  <c r="G209" i="2"/>
  <c r="G208" i="2"/>
  <c r="G207" i="2"/>
  <c r="G206" i="2"/>
  <c r="G205" i="2"/>
  <c r="G204" i="2"/>
  <c r="G203" i="2"/>
  <c r="G202" i="2"/>
  <c r="G201" i="2"/>
  <c r="G200" i="2"/>
  <c r="G199" i="2"/>
  <c r="G198" i="2"/>
  <c r="G197" i="2"/>
  <c r="G196" i="2"/>
  <c r="G195" i="2"/>
  <c r="G194" i="2"/>
  <c r="G193" i="2"/>
  <c r="G192" i="2"/>
  <c r="G191" i="2"/>
  <c r="G190" i="2"/>
  <c r="G189" i="2"/>
  <c r="G188" i="2"/>
  <c r="G187" i="2"/>
  <c r="G186" i="2"/>
  <c r="G185" i="2"/>
  <c r="G184" i="2"/>
  <c r="G183" i="2"/>
  <c r="G182" i="2"/>
  <c r="G181" i="2"/>
  <c r="G180" i="2"/>
  <c r="G179" i="2"/>
  <c r="G178" i="2"/>
  <c r="G177" i="2"/>
  <c r="G176" i="2"/>
  <c r="G175" i="2"/>
  <c r="G174" i="2"/>
  <c r="G173" i="2"/>
  <c r="G172" i="2"/>
  <c r="G171" i="2"/>
  <c r="G170" i="2"/>
  <c r="G169" i="2"/>
  <c r="G168" i="2"/>
  <c r="G167" i="2"/>
  <c r="G166" i="2"/>
  <c r="G165" i="2"/>
  <c r="G164" i="2"/>
  <c r="G163" i="2"/>
  <c r="G162" i="2"/>
  <c r="G161" i="2"/>
  <c r="G160" i="2"/>
  <c r="G159" i="2"/>
  <c r="G158" i="2"/>
  <c r="G157" i="2"/>
  <c r="G156" i="2"/>
  <c r="G155" i="2"/>
  <c r="G154" i="2"/>
  <c r="G153" i="2"/>
  <c r="G152" i="2"/>
  <c r="G151" i="2"/>
  <c r="G150" i="2"/>
  <c r="G149" i="2"/>
  <c r="G148" i="2"/>
  <c r="G147" i="2"/>
  <c r="G146" i="2"/>
  <c r="G145" i="2"/>
  <c r="G144" i="2"/>
  <c r="G143" i="2"/>
  <c r="G142" i="2"/>
  <c r="G141" i="2"/>
  <c r="G140" i="2"/>
  <c r="G139" i="2"/>
  <c r="G138" i="2"/>
  <c r="G137" i="2"/>
  <c r="G136" i="2"/>
  <c r="G135" i="2"/>
  <c r="G134" i="2"/>
  <c r="G133" i="2"/>
  <c r="G132" i="2"/>
  <c r="G131" i="2"/>
  <c r="G130" i="2"/>
  <c r="G129" i="2"/>
  <c r="G128" i="2"/>
  <c r="G127" i="2"/>
  <c r="G126" i="2"/>
  <c r="G125" i="2"/>
  <c r="G124" i="2"/>
  <c r="G123" i="2"/>
  <c r="G122" i="2"/>
  <c r="G121" i="2"/>
  <c r="G120" i="2"/>
  <c r="G119" i="2"/>
  <c r="G118" i="2"/>
  <c r="G117" i="2"/>
  <c r="G116" i="2"/>
  <c r="G115" i="2"/>
  <c r="G114" i="2"/>
  <c r="G113" i="2"/>
  <c r="G112" i="2"/>
  <c r="G111" i="2"/>
  <c r="G110" i="2"/>
  <c r="G109" i="2"/>
  <c r="G108" i="2"/>
  <c r="G107" i="2"/>
  <c r="G106" i="2"/>
  <c r="G105" i="2"/>
  <c r="G104" i="2"/>
  <c r="G103" i="2"/>
  <c r="G102" i="2"/>
  <c r="G101" i="2"/>
  <c r="G100" i="2"/>
  <c r="G99" i="2"/>
  <c r="G98" i="2"/>
  <c r="G97" i="2"/>
  <c r="G96" i="2"/>
  <c r="G95" i="2"/>
  <c r="G94" i="2"/>
  <c r="G93" i="2"/>
  <c r="G92" i="2"/>
  <c r="G91" i="2"/>
  <c r="G90" i="2"/>
  <c r="G89" i="2"/>
  <c r="G88" i="2"/>
  <c r="G87" i="2"/>
  <c r="G86" i="2"/>
  <c r="G85" i="2"/>
  <c r="G84" i="2"/>
  <c r="G83" i="2"/>
  <c r="G82" i="2"/>
  <c r="G81" i="2"/>
  <c r="G80" i="2"/>
  <c r="G79" i="2"/>
  <c r="G78" i="2"/>
  <c r="G77" i="2"/>
  <c r="G76" i="2"/>
  <c r="G75" i="2"/>
  <c r="G74" i="2"/>
  <c r="G73" i="2"/>
  <c r="G72" i="2"/>
  <c r="G71" i="2"/>
  <c r="G70" i="2"/>
  <c r="G69" i="2"/>
  <c r="G68" i="2"/>
  <c r="G67" i="2"/>
  <c r="G66" i="2"/>
  <c r="G65" i="2"/>
  <c r="G64" i="2"/>
  <c r="G63" i="2"/>
  <c r="G62" i="2"/>
  <c r="G61" i="2"/>
  <c r="G60" i="2"/>
  <c r="G59" i="2"/>
  <c r="G58" i="2"/>
  <c r="G57" i="2"/>
  <c r="G56" i="2"/>
  <c r="G55" i="2"/>
  <c r="G54" i="2"/>
  <c r="G53" i="2"/>
  <c r="G52" i="2"/>
  <c r="G51" i="2"/>
  <c r="G50" i="2"/>
  <c r="G49" i="2"/>
  <c r="G48" i="2"/>
  <c r="G47" i="2"/>
  <c r="G46" i="2"/>
  <c r="G45" i="2"/>
  <c r="G44" i="2"/>
  <c r="G43" i="2"/>
  <c r="G42" i="2"/>
  <c r="G41" i="2"/>
  <c r="G40" i="2"/>
  <c r="G39" i="2"/>
  <c r="G38" i="2"/>
  <c r="G37" i="2"/>
  <c r="G36" i="2"/>
  <c r="G35" i="2"/>
  <c r="G34" i="2"/>
  <c r="G33" i="2"/>
  <c r="G32" i="2"/>
  <c r="G31" i="2"/>
  <c r="G30" i="2"/>
  <c r="G29" i="2"/>
  <c r="G28" i="2"/>
  <c r="G27" i="2"/>
  <c r="G26" i="2"/>
  <c r="G25" i="2"/>
  <c r="G24" i="2"/>
  <c r="G23" i="2"/>
  <c r="G22" i="2"/>
  <c r="G21" i="2"/>
  <c r="G20" i="2"/>
  <c r="G19" i="2"/>
  <c r="G18" i="2"/>
  <c r="G17" i="2"/>
  <c r="G16" i="2"/>
  <c r="G15" i="2"/>
  <c r="G14" i="2"/>
  <c r="G13" i="2"/>
  <c r="G12" i="2"/>
  <c r="G11" i="2"/>
  <c r="G10" i="2"/>
  <c r="G9" i="2"/>
  <c r="G8" i="2"/>
  <c r="G7" i="2"/>
  <c r="G6" i="2"/>
  <c r="G5" i="2"/>
  <c r="G4" i="2"/>
  <c r="G3" i="2"/>
  <c r="G2" i="2"/>
</calcChain>
</file>

<file path=xl/sharedStrings.xml><?xml version="1.0" encoding="utf-8"?>
<sst xmlns="http://schemas.openxmlformats.org/spreadsheetml/2006/main" count="1977" uniqueCount="85">
  <si>
    <t>Day 07 Solution - Expense Report (Week 1 Practice Project)</t>
  </si>
  <si>
    <t>Task 1: Budget Status column</t>
  </si>
  <si>
    <t>Task</t>
  </si>
  <si>
    <t>Add a 'Budget Status' column: 'On Budget' if Actual Spend &lt;= Planned Budget, else 'Over Budget'.</t>
  </si>
  <si>
    <t>Formula (cell G2)</t>
  </si>
  <si>
    <t>=IF(E2&gt;D2,"Over Budget","On Budget")</t>
  </si>
  <si>
    <t>Where applied</t>
  </si>
  <si>
    <t>Expense_Data (Solved)!G2:G501, filled down for all 500 rows.</t>
  </si>
  <si>
    <t>Answer</t>
  </si>
  <si>
    <t>Over Budget: 277 rows | On Budget: 223 rows (of 500 total).</t>
  </si>
  <si>
    <t>Task 2: Pivot table - total planned vs actual spend by department</t>
  </si>
  <si>
    <t>Summarise total Planned Budget and total Actual Spend by Department.</t>
  </si>
  <si>
    <t>How to build in Excel</t>
  </si>
  <si>
    <t>Select Expense_Data (Solved)!A1:F501 -&gt; Insert -&gt; PivotTable -&gt; New Worksheet. Rows = Department. Values = Sum of Planned Budget ($), Sum of Actual Spend ($).</t>
  </si>
  <si>
    <t>Result table</t>
  </si>
  <si>
    <t>See 'Pivot Results' sheet (computed independently with pandas groupby, values match).</t>
  </si>
  <si>
    <t xml:space="preserve">  Finance</t>
  </si>
  <si>
    <t>Planned $432,667 | Actual $468,209 | Variance $35,542 | Over Budget</t>
  </si>
  <si>
    <t xml:space="preserve">  HR</t>
  </si>
  <si>
    <t>Planned $439,309 | Actual $493,937 | Variance $54,628 | Over Budget</t>
  </si>
  <si>
    <t xml:space="preserve">  IT</t>
  </si>
  <si>
    <t>Planned $427,757 | Actual $485,443 | Variance $57,686 | Over Budget</t>
  </si>
  <si>
    <t xml:space="preserve">  Logistics</t>
  </si>
  <si>
    <t>Planned $353,332 | Actual $438,863 | Variance $85,531 | Over Budget</t>
  </si>
  <si>
    <t xml:space="preserve">  Marketing</t>
  </si>
  <si>
    <t>Planned $374,352 | Actual $429,653 | Variance $55,301 | Over Budget</t>
  </si>
  <si>
    <t xml:space="preserve">  Operations</t>
  </si>
  <si>
    <t>Planned $357,993 | Actual $454,227 | Variance $96,234 | Over Budget</t>
  </si>
  <si>
    <t xml:space="preserve">  Sales</t>
  </si>
  <si>
    <t>Planned $371,246 | Actual $411,288 | Variance $40,042 | Over Budget</t>
  </si>
  <si>
    <t>Task 3: Chart - planned vs actual spend per department</t>
  </si>
  <si>
    <t>Add a chart visualising the difference between planned and actual spend per department.</t>
  </si>
  <si>
    <t>With the pivot table selected -&gt; Insert -&gt; PivotChart -&gt; Clustered Column. Category axis = Department, Series = Sum of Planned Budget ($) and Sum of Actual Spend ($).</t>
  </si>
  <si>
    <t>Clustered column chart embedded on the 'Pivot Results' sheet, built from the totals above.</t>
  </si>
  <si>
    <t>Task 4: Conditional formatting - overspend exceeds 20% of planned budget</t>
  </si>
  <si>
    <t>Highlight rows where overspend (Actual - Planned) exceeds 20% of the Planned Budget.</t>
  </si>
  <si>
    <t>Formula (CF rule, applied to $A2:$G501)</t>
  </si>
  <si>
    <t>=($E2-$D2)&gt;0.2*$D2   (equivalent to E2 &gt; 1.2*D2)</t>
  </si>
  <si>
    <t>Expense_Data (Solved)!A2:G501 - matching rows filled light red/orange.</t>
  </si>
  <si>
    <t>232 rows exceed 20% overspend (of 500 total).</t>
  </si>
  <si>
    <t>Task 5 (Optional): Data bars on Actual Spend</t>
  </si>
  <si>
    <t>Add data bars to show Actual Spend across all rows.</t>
  </si>
  <si>
    <t>Expense_Data (Solved)!E2:E501 - blue gradient data bar rule (openpyxl DataBarRule).</t>
  </si>
  <si>
    <t>Verification</t>
  </si>
  <si>
    <t>Method</t>
  </si>
  <si>
    <t>Budget Status and the department totals were computed independently with pandas from the raw Expense_Data sheet and cross-checked against the Excel formula / pivot results above - all match.</t>
  </si>
  <si>
    <t>Department</t>
  </si>
  <si>
    <t>Category</t>
  </si>
  <si>
    <t>Month</t>
  </si>
  <si>
    <t>Planned Budget ($)</t>
  </si>
  <si>
    <t>Actual Spend ($)</t>
  </si>
  <si>
    <t>Notes</t>
  </si>
  <si>
    <t>Budget Status</t>
  </si>
  <si>
    <t>HR</t>
  </si>
  <si>
    <t>Travel</t>
  </si>
  <si>
    <t>October</t>
  </si>
  <si>
    <t>Sales</t>
  </si>
  <si>
    <t>Supplies</t>
  </si>
  <si>
    <t>May</t>
  </si>
  <si>
    <t>Urgent need</t>
  </si>
  <si>
    <t>Logistics</t>
  </si>
  <si>
    <t>July</t>
  </si>
  <si>
    <t>Overspend</t>
  </si>
  <si>
    <t>IT</t>
  </si>
  <si>
    <t>September</t>
  </si>
  <si>
    <t>February</t>
  </si>
  <si>
    <t>Delayed approval</t>
  </si>
  <si>
    <t>August</t>
  </si>
  <si>
    <t>November</t>
  </si>
  <si>
    <t>Marketing</t>
  </si>
  <si>
    <t>Training</t>
  </si>
  <si>
    <t>December</t>
  </si>
  <si>
    <t>Consulting</t>
  </si>
  <si>
    <t>June</t>
  </si>
  <si>
    <t>Operations</t>
  </si>
  <si>
    <t>Software</t>
  </si>
  <si>
    <t>January</t>
  </si>
  <si>
    <t>Refund expected</t>
  </si>
  <si>
    <t>Equipment</t>
  </si>
  <si>
    <t>April</t>
  </si>
  <si>
    <t>Finance</t>
  </si>
  <si>
    <t>March</t>
  </si>
  <si>
    <t>Events</t>
  </si>
  <si>
    <t>Total Planned vs Actual Spend by Department</t>
  </si>
  <si>
    <t>Variance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</si>
</sst>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"/>
  </numFmts>
  <fonts count="6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color rgb="FFFFFFFF"/>
      <name val="Calibri"/>
    </font>
    <font>
      <b/>
      <sz val="11"/>
      <name val="Calibri"/>
    </font>
    <font>
      <b/>
      <sz val="11"/>
      <color rgb="FFFFFFFF"/>
      <name val="Calibri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2" borderId="0" xfId="0" applyFont="1" applyFill="1"/>
    <xf numFmtId="0" fontId="0" fillId="2" borderId="0" xfId="0" applyFill="1"/>
    <xf numFmtId="0" fontId="3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4" fillId="2" borderId="0" xfId="0" applyFont="1" applyFill="1" applyAlignment="1">
      <alignment horizontal="center" vertical="center" wrapText="1"/>
    </xf>
    <xf numFmtId="164" fontId="0" fillId="0" borderId="0" xfId="0" applyNumberFormat="1"/>
    <xf numFmtId="0" fontId="4" fillId="2" borderId="0" xfId="0" applyFont="1" applyFill="1" applyAlignment="1">
      <alignment horizontal="center"/>
    </xf>
    <xf numFmtId="0" fontId="1" fillId="0" borderId="0" xfId="0" applyFont="1"/>
    <xf numFmtId="0" fontId="0" fillId="0" borderId="0" xfId="0"/>
    <xf numFmtId="0" fontId="5" fillId="0" borderId="0" xfId="0" applyFont="1"/>
  </cellXfs>
  <cellStyles count="1">
    <cellStyle name="Normal" xfId="0" builtinId="0"/>
  </cellStyles>
  <dxfs count="1">
    <dxf>
      <font>
        <color rgb="FF9C0006"/>
      </font>
      <fill>
        <patternFill patternType="solid">
          <fgColor rgb="FFFFC7CE"/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Planned vs Actual Spend by Department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'Pivot Results'!$B$3</c:f>
              <c:strCache>
                <c:ptCount val="1"/>
                <c:pt idx="0">
                  <c:v>Planned Budget ($)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'Pivot Results'!$A$4:$A$10</c:f>
              <c:strCache>
                <c:ptCount val="7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Logistics</c:v>
                </c:pt>
                <c:pt idx="4">
                  <c:v>Marketing</c:v>
                </c:pt>
                <c:pt idx="5">
                  <c:v>Operations</c:v>
                </c:pt>
                <c:pt idx="6">
                  <c:v>Sales</c:v>
                </c:pt>
              </c:strCache>
            </c:strRef>
          </c:cat>
          <c:val>
            <c:numRef>
              <c:f>'Pivot Results'!$B$4:$B$10</c:f>
              <c:numCache>
                <c:formatCode>"$"#,##0</c:formatCode>
                <c:ptCount val="7"/>
                <c:pt idx="0">
                  <c:v>432667</c:v>
                </c:pt>
                <c:pt idx="1">
                  <c:v>439309</c:v>
                </c:pt>
                <c:pt idx="2">
                  <c:v>427757</c:v>
                </c:pt>
                <c:pt idx="3">
                  <c:v>353332</c:v>
                </c:pt>
                <c:pt idx="4">
                  <c:v>374352</c:v>
                </c:pt>
                <c:pt idx="5">
                  <c:v>357993</c:v>
                </c:pt>
                <c:pt idx="6">
                  <c:v>371246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7B3-4815-9F2F-733F964EDE8D}"/>
            </c:ext>
          </c:extLst>
        </c:ser>
        <c:ser>
          <c:idx val="1"/>
          <c:order val="1"/>
          <c:tx>
            <c:strRef>
              <c:f>'Pivot Results'!$C$3</c:f>
              <c:strCache>
                <c:ptCount val="1"/>
                <c:pt idx="0">
                  <c:v>Actual Spend ($)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'Pivot Results'!$A$4:$A$10</c:f>
              <c:strCache>
                <c:ptCount val="7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Logistics</c:v>
                </c:pt>
                <c:pt idx="4">
                  <c:v>Marketing</c:v>
                </c:pt>
                <c:pt idx="5">
                  <c:v>Operations</c:v>
                </c:pt>
                <c:pt idx="6">
                  <c:v>Sales</c:v>
                </c:pt>
              </c:strCache>
            </c:strRef>
          </c:cat>
          <c:val>
            <c:numRef>
              <c:f>'Pivot Results'!$C$4:$C$10</c:f>
              <c:numCache>
                <c:formatCode>"$"#,##0</c:formatCode>
                <c:ptCount val="7"/>
                <c:pt idx="0">
                  <c:v>468209</c:v>
                </c:pt>
                <c:pt idx="1">
                  <c:v>493937</c:v>
                </c:pt>
                <c:pt idx="2">
                  <c:v>485443</c:v>
                </c:pt>
                <c:pt idx="3">
                  <c:v>438863</c:v>
                </c:pt>
                <c:pt idx="4">
                  <c:v>429653</c:v>
                </c:pt>
                <c:pt idx="5">
                  <c:v>454227</c:v>
                </c:pt>
                <c:pt idx="6">
                  <c:v>411288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7B3-4815-9F2F-733F964EDE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Department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Amount ($)</a:t>
                </a:r>
              </a:p>
            </c:rich>
          </c:tx>
          <c:overlay val="1"/>
        </c:title>
        <c:numFmt formatCode="&quot;$&quot;#,##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2</xdr:row>
      <xdr:rowOff>0</xdr:rowOff>
    </xdr:from>
    <xdr:ext cx="6480000" cy="32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7"/>
  <sheetViews>
    <sheetView tabSelected="1" workbookViewId="0">
      <selection sqref="A1:B1"/>
    </sheetView>
  </sheetViews>
  <sheetFormatPr defaultRowHeight="14.25" x14ac:dyDescent="0.45"/>
  <cols>
    <col min="1" max="1" width="28" customWidth="1"/>
    <col min="2" max="2" width="95" customWidth="1"/>
  </cols>
  <sheetData>
    <row r="1" spans="1:2" ht="18" customHeight="1" x14ac:dyDescent="0.55000000000000004">
      <c r="A1" s="8" t="s">
        <v>0</v>
      </c>
      <c r="B1" s="9"/>
    </row>
    <row r="3" spans="1:2" x14ac:dyDescent="0.45">
      <c r="A3" s="1" t="s">
        <v>1</v>
      </c>
      <c r="B3" s="2"/>
    </row>
    <row r="4" spans="1:2" x14ac:dyDescent="0.45">
      <c r="A4" s="3" t="s">
        <v>2</v>
      </c>
      <c r="B4" s="4" t="s">
        <v>3</v>
      </c>
    </row>
    <row r="5" spans="1:2" x14ac:dyDescent="0.45">
      <c r="A5" s="3" t="s">
        <v>4</v>
      </c>
      <c r="B5" s="4" t="s">
        <v>5</v>
      </c>
    </row>
    <row r="6" spans="1:2" x14ac:dyDescent="0.45">
      <c r="A6" s="3" t="s">
        <v>6</v>
      </c>
      <c r="B6" s="4" t="s">
        <v>7</v>
      </c>
    </row>
    <row r="7" spans="1:2" x14ac:dyDescent="0.45">
      <c r="A7" s="3" t="s">
        <v>8</v>
      </c>
      <c r="B7" s="4" t="s">
        <v>9</v>
      </c>
    </row>
    <row r="9" spans="1:2" x14ac:dyDescent="0.45">
      <c r="A9" s="1" t="s">
        <v>10</v>
      </c>
      <c r="B9" s="2"/>
    </row>
    <row r="10" spans="1:2" x14ac:dyDescent="0.45">
      <c r="A10" s="3" t="s">
        <v>2</v>
      </c>
      <c r="B10" s="4" t="s">
        <v>11</v>
      </c>
    </row>
    <row r="11" spans="1:2" ht="28.5" customHeight="1" x14ac:dyDescent="0.45">
      <c r="A11" s="3" t="s">
        <v>12</v>
      </c>
      <c r="B11" s="4" t="s">
        <v>13</v>
      </c>
    </row>
    <row r="12" spans="1:2" x14ac:dyDescent="0.45">
      <c r="A12" s="3" t="s">
        <v>14</v>
      </c>
      <c r="B12" s="4" t="s">
        <v>15</v>
      </c>
    </row>
    <row r="13" spans="1:2" x14ac:dyDescent="0.45">
      <c r="A13" s="3" t="s">
        <v>16</v>
      </c>
      <c r="B13" s="4" t="s">
        <v>17</v>
      </c>
    </row>
    <row r="14" spans="1:2" x14ac:dyDescent="0.45">
      <c r="A14" s="3" t="s">
        <v>18</v>
      </c>
      <c r="B14" s="4" t="s">
        <v>19</v>
      </c>
    </row>
    <row r="15" spans="1:2" x14ac:dyDescent="0.45">
      <c r="A15" s="3" t="s">
        <v>20</v>
      </c>
      <c r="B15" s="4" t="s">
        <v>21</v>
      </c>
    </row>
    <row r="16" spans="1:2" x14ac:dyDescent="0.45">
      <c r="A16" s="3" t="s">
        <v>22</v>
      </c>
      <c r="B16" s="4" t="s">
        <v>23</v>
      </c>
    </row>
    <row r="17" spans="1:2" x14ac:dyDescent="0.45">
      <c r="A17" s="3" t="s">
        <v>24</v>
      </c>
      <c r="B17" s="4" t="s">
        <v>25</v>
      </c>
    </row>
    <row r="18" spans="1:2" x14ac:dyDescent="0.45">
      <c r="A18" s="3" t="s">
        <v>26</v>
      </c>
      <c r="B18" s="4" t="s">
        <v>27</v>
      </c>
    </row>
    <row r="19" spans="1:2" x14ac:dyDescent="0.45">
      <c r="A19" s="3" t="s">
        <v>28</v>
      </c>
      <c r="B19" s="4" t="s">
        <v>29</v>
      </c>
    </row>
    <row r="21" spans="1:2" x14ac:dyDescent="0.45">
      <c r="A21" s="1" t="s">
        <v>30</v>
      </c>
      <c r="B21" s="2"/>
    </row>
    <row r="22" spans="1:2" x14ac:dyDescent="0.45">
      <c r="A22" s="3" t="s">
        <v>2</v>
      </c>
      <c r="B22" s="4" t="s">
        <v>31</v>
      </c>
    </row>
    <row r="23" spans="1:2" ht="28.5" customHeight="1" x14ac:dyDescent="0.45">
      <c r="A23" s="3" t="s">
        <v>12</v>
      </c>
      <c r="B23" s="4" t="s">
        <v>32</v>
      </c>
    </row>
    <row r="24" spans="1:2" x14ac:dyDescent="0.45">
      <c r="A24" s="3" t="s">
        <v>6</v>
      </c>
      <c r="B24" s="4" t="s">
        <v>33</v>
      </c>
    </row>
    <row r="26" spans="1:2" x14ac:dyDescent="0.45">
      <c r="A26" s="1" t="s">
        <v>34</v>
      </c>
      <c r="B26" s="2"/>
    </row>
    <row r="27" spans="1:2" x14ac:dyDescent="0.45">
      <c r="A27" s="3" t="s">
        <v>2</v>
      </c>
      <c r="B27" s="4" t="s">
        <v>35</v>
      </c>
    </row>
    <row r="28" spans="1:2" ht="28.5" customHeight="1" x14ac:dyDescent="0.45">
      <c r="A28" s="3" t="s">
        <v>36</v>
      </c>
      <c r="B28" s="4" t="s">
        <v>37</v>
      </c>
    </row>
    <row r="29" spans="1:2" x14ac:dyDescent="0.45">
      <c r="A29" s="3" t="s">
        <v>6</v>
      </c>
      <c r="B29" s="4" t="s">
        <v>38</v>
      </c>
    </row>
    <row r="30" spans="1:2" x14ac:dyDescent="0.45">
      <c r="A30" s="3" t="s">
        <v>8</v>
      </c>
      <c r="B30" s="4" t="s">
        <v>39</v>
      </c>
    </row>
    <row r="32" spans="1:2" x14ac:dyDescent="0.45">
      <c r="A32" s="1" t="s">
        <v>40</v>
      </c>
      <c r="B32" s="2"/>
    </row>
    <row r="33" spans="1:2" x14ac:dyDescent="0.45">
      <c r="A33" s="3" t="s">
        <v>2</v>
      </c>
      <c r="B33" s="4" t="s">
        <v>41</v>
      </c>
    </row>
    <row r="34" spans="1:2" x14ac:dyDescent="0.45">
      <c r="A34" s="3" t="s">
        <v>6</v>
      </c>
      <c r="B34" s="4" t="s">
        <v>42</v>
      </c>
    </row>
    <row r="36" spans="1:2" x14ac:dyDescent="0.45">
      <c r="A36" s="1" t="s">
        <v>43</v>
      </c>
      <c r="B36" s="2"/>
    </row>
    <row r="37" spans="1:2" ht="28.5" customHeight="1" x14ac:dyDescent="0.45">
      <c r="A37" s="3" t="s">
        <v>44</v>
      </c>
      <c r="B37" s="4" t="s">
        <v>45</v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501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4" customWidth="1"/>
    <col min="2" max="2" width="12" customWidth="1"/>
    <col min="3" max="3" width="11" customWidth="1"/>
    <col min="4" max="4" width="18" customWidth="1"/>
    <col min="5" max="5" width="16" customWidth="1"/>
    <col min="6" max="6" width="20" customWidth="1"/>
    <col min="7" max="7" width="15" customWidth="1"/>
  </cols>
  <sheetData>
    <row r="1" spans="1:7" x14ac:dyDescent="0.45">
      <c r="A1" s="5" t="s">
        <v>46</v>
      </c>
      <c r="B1" s="5" t="s">
        <v>47</v>
      </c>
      <c r="C1" s="5" t="s">
        <v>48</v>
      </c>
      <c r="D1" s="5" t="s">
        <v>49</v>
      </c>
      <c r="E1" s="5" t="s">
        <v>50</v>
      </c>
      <c r="F1" s="5" t="s">
        <v>51</v>
      </c>
      <c r="G1" s="5" t="s">
        <v>52</v>
      </c>
    </row>
    <row r="2" spans="1:7" x14ac:dyDescent="0.45">
      <c r="A2" t="s">
        <v>53</v>
      </c>
      <c r="B2" t="s">
        <v>54</v>
      </c>
      <c r="C2" t="s">
        <v>55</v>
      </c>
      <c r="D2" s="6">
        <v>8741</v>
      </c>
      <c r="E2" s="6">
        <v>11391</v>
      </c>
      <c r="G2" t="str">
        <f t="shared" ref="G2:G65" si="0">IF(E2&gt;D2,"Over Budget","On Budget")</f>
        <v>Over Budget</v>
      </c>
    </row>
    <row r="3" spans="1:7" x14ac:dyDescent="0.45">
      <c r="A3" t="s">
        <v>56</v>
      </c>
      <c r="B3" t="s">
        <v>57</v>
      </c>
      <c r="C3" t="s">
        <v>58</v>
      </c>
      <c r="D3" s="6">
        <v>9315</v>
      </c>
      <c r="E3" s="6">
        <v>2115</v>
      </c>
      <c r="F3" t="s">
        <v>59</v>
      </c>
      <c r="G3" t="str">
        <f t="shared" si="0"/>
        <v>On Budget</v>
      </c>
    </row>
    <row r="4" spans="1:7" x14ac:dyDescent="0.45">
      <c r="A4" t="s">
        <v>60</v>
      </c>
      <c r="B4" t="s">
        <v>57</v>
      </c>
      <c r="C4" t="s">
        <v>61</v>
      </c>
      <c r="D4" s="6">
        <v>5713</v>
      </c>
      <c r="E4" s="6">
        <v>2833</v>
      </c>
      <c r="F4" t="s">
        <v>62</v>
      </c>
      <c r="G4" t="str">
        <f t="shared" si="0"/>
        <v>On Budget</v>
      </c>
    </row>
    <row r="5" spans="1:7" x14ac:dyDescent="0.45">
      <c r="A5" t="s">
        <v>63</v>
      </c>
      <c r="B5" t="s">
        <v>54</v>
      </c>
      <c r="C5" t="s">
        <v>64</v>
      </c>
      <c r="D5" s="6">
        <v>4220</v>
      </c>
      <c r="E5" s="6">
        <v>1659</v>
      </c>
      <c r="F5" t="s">
        <v>59</v>
      </c>
      <c r="G5" t="str">
        <f t="shared" si="0"/>
        <v>On Budget</v>
      </c>
    </row>
    <row r="6" spans="1:7" x14ac:dyDescent="0.45">
      <c r="A6" t="s">
        <v>63</v>
      </c>
      <c r="B6" t="s">
        <v>57</v>
      </c>
      <c r="C6" t="s">
        <v>65</v>
      </c>
      <c r="D6" s="6">
        <v>8871</v>
      </c>
      <c r="E6" s="6">
        <v>9947</v>
      </c>
      <c r="F6" t="s">
        <v>66</v>
      </c>
      <c r="G6" t="str">
        <f t="shared" si="0"/>
        <v>Over Budget</v>
      </c>
    </row>
    <row r="7" spans="1:7" x14ac:dyDescent="0.45">
      <c r="A7" t="s">
        <v>53</v>
      </c>
      <c r="B7" t="s">
        <v>54</v>
      </c>
      <c r="C7" t="s">
        <v>67</v>
      </c>
      <c r="D7" s="6">
        <v>6152</v>
      </c>
      <c r="E7" s="6">
        <v>5026</v>
      </c>
      <c r="F7" t="s">
        <v>66</v>
      </c>
      <c r="G7" t="str">
        <f t="shared" si="0"/>
        <v>On Budget</v>
      </c>
    </row>
    <row r="8" spans="1:7" x14ac:dyDescent="0.45">
      <c r="A8" t="s">
        <v>56</v>
      </c>
      <c r="B8" t="s">
        <v>57</v>
      </c>
      <c r="C8" t="s">
        <v>68</v>
      </c>
      <c r="D8" s="6">
        <v>9906</v>
      </c>
      <c r="E8" s="6">
        <v>4649</v>
      </c>
      <c r="F8" t="s">
        <v>66</v>
      </c>
      <c r="G8" t="str">
        <f t="shared" si="0"/>
        <v>On Budget</v>
      </c>
    </row>
    <row r="9" spans="1:7" x14ac:dyDescent="0.45">
      <c r="A9" t="s">
        <v>60</v>
      </c>
      <c r="B9" t="s">
        <v>54</v>
      </c>
      <c r="C9" t="s">
        <v>55</v>
      </c>
      <c r="D9" s="6">
        <v>9187</v>
      </c>
      <c r="E9" s="6">
        <v>4834</v>
      </c>
      <c r="G9" t="str">
        <f t="shared" si="0"/>
        <v>On Budget</v>
      </c>
    </row>
    <row r="10" spans="1:7" x14ac:dyDescent="0.45">
      <c r="A10" t="s">
        <v>69</v>
      </c>
      <c r="B10" t="s">
        <v>70</v>
      </c>
      <c r="C10" t="s">
        <v>71</v>
      </c>
      <c r="D10" s="6">
        <v>9113</v>
      </c>
      <c r="E10" s="6">
        <v>3132</v>
      </c>
      <c r="F10" t="s">
        <v>66</v>
      </c>
      <c r="G10" t="str">
        <f t="shared" si="0"/>
        <v>On Budget</v>
      </c>
    </row>
    <row r="11" spans="1:7" x14ac:dyDescent="0.45">
      <c r="A11" t="s">
        <v>56</v>
      </c>
      <c r="B11" t="s">
        <v>72</v>
      </c>
      <c r="C11" t="s">
        <v>73</v>
      </c>
      <c r="D11" s="6">
        <v>2972</v>
      </c>
      <c r="E11" s="6">
        <v>8038</v>
      </c>
      <c r="F11" t="s">
        <v>59</v>
      </c>
      <c r="G11" t="str">
        <f t="shared" si="0"/>
        <v>Over Budget</v>
      </c>
    </row>
    <row r="12" spans="1:7" x14ac:dyDescent="0.45">
      <c r="A12" t="s">
        <v>60</v>
      </c>
      <c r="B12" t="s">
        <v>54</v>
      </c>
      <c r="C12" t="s">
        <v>68</v>
      </c>
      <c r="D12" s="6">
        <v>4703</v>
      </c>
      <c r="E12" s="6">
        <v>2005</v>
      </c>
      <c r="F12" t="s">
        <v>59</v>
      </c>
      <c r="G12" t="str">
        <f t="shared" si="0"/>
        <v>On Budget</v>
      </c>
    </row>
    <row r="13" spans="1:7" x14ac:dyDescent="0.45">
      <c r="A13" t="s">
        <v>74</v>
      </c>
      <c r="B13" t="s">
        <v>72</v>
      </c>
      <c r="C13" t="s">
        <v>64</v>
      </c>
      <c r="D13" s="6">
        <v>2819</v>
      </c>
      <c r="E13" s="6">
        <v>2626</v>
      </c>
      <c r="F13" t="s">
        <v>62</v>
      </c>
      <c r="G13" t="str">
        <f t="shared" si="0"/>
        <v>On Budget</v>
      </c>
    </row>
    <row r="14" spans="1:7" x14ac:dyDescent="0.45">
      <c r="A14" t="s">
        <v>74</v>
      </c>
      <c r="B14" t="s">
        <v>75</v>
      </c>
      <c r="C14" t="s">
        <v>61</v>
      </c>
      <c r="D14" s="6">
        <v>2687</v>
      </c>
      <c r="E14" s="6">
        <v>2320</v>
      </c>
      <c r="G14" t="str">
        <f t="shared" si="0"/>
        <v>On Budget</v>
      </c>
    </row>
    <row r="15" spans="1:7" x14ac:dyDescent="0.45">
      <c r="A15" t="s">
        <v>69</v>
      </c>
      <c r="B15" t="s">
        <v>72</v>
      </c>
      <c r="C15" t="s">
        <v>65</v>
      </c>
      <c r="D15" s="6">
        <v>3954</v>
      </c>
      <c r="E15" s="6">
        <v>11660</v>
      </c>
      <c r="G15" t="str">
        <f t="shared" si="0"/>
        <v>Over Budget</v>
      </c>
    </row>
    <row r="16" spans="1:7" x14ac:dyDescent="0.45">
      <c r="A16" t="s">
        <v>60</v>
      </c>
      <c r="B16" t="s">
        <v>72</v>
      </c>
      <c r="C16" t="s">
        <v>76</v>
      </c>
      <c r="D16" s="6">
        <v>1888</v>
      </c>
      <c r="E16" s="6">
        <v>2168</v>
      </c>
      <c r="F16" t="s">
        <v>77</v>
      </c>
      <c r="G16" t="str">
        <f t="shared" si="0"/>
        <v>Over Budget</v>
      </c>
    </row>
    <row r="17" spans="1:7" x14ac:dyDescent="0.45">
      <c r="A17" t="s">
        <v>53</v>
      </c>
      <c r="B17" t="s">
        <v>70</v>
      </c>
      <c r="C17" t="s">
        <v>67</v>
      </c>
      <c r="D17" s="6">
        <v>3935</v>
      </c>
      <c r="E17" s="6">
        <v>9025</v>
      </c>
      <c r="F17" t="s">
        <v>66</v>
      </c>
      <c r="G17" t="str">
        <f t="shared" si="0"/>
        <v>Over Budget</v>
      </c>
    </row>
    <row r="18" spans="1:7" x14ac:dyDescent="0.45">
      <c r="A18" t="s">
        <v>69</v>
      </c>
      <c r="B18" t="s">
        <v>75</v>
      </c>
      <c r="C18" t="s">
        <v>76</v>
      </c>
      <c r="D18" s="6">
        <v>6457</v>
      </c>
      <c r="E18" s="6">
        <v>11471</v>
      </c>
      <c r="F18" t="s">
        <v>77</v>
      </c>
      <c r="G18" t="str">
        <f t="shared" si="0"/>
        <v>Over Budget</v>
      </c>
    </row>
    <row r="19" spans="1:7" x14ac:dyDescent="0.45">
      <c r="A19" t="s">
        <v>53</v>
      </c>
      <c r="B19" t="s">
        <v>54</v>
      </c>
      <c r="C19" t="s">
        <v>67</v>
      </c>
      <c r="D19" s="6">
        <v>3214</v>
      </c>
      <c r="E19" s="6">
        <v>7585</v>
      </c>
      <c r="G19" t="str">
        <f t="shared" si="0"/>
        <v>Over Budget</v>
      </c>
    </row>
    <row r="20" spans="1:7" x14ac:dyDescent="0.45">
      <c r="A20" t="s">
        <v>69</v>
      </c>
      <c r="B20" t="s">
        <v>75</v>
      </c>
      <c r="C20" t="s">
        <v>76</v>
      </c>
      <c r="D20" s="6">
        <v>6642</v>
      </c>
      <c r="E20" s="6">
        <v>1610</v>
      </c>
      <c r="F20" t="s">
        <v>59</v>
      </c>
      <c r="G20" t="str">
        <f t="shared" si="0"/>
        <v>On Budget</v>
      </c>
    </row>
    <row r="21" spans="1:7" x14ac:dyDescent="0.45">
      <c r="A21" t="s">
        <v>63</v>
      </c>
      <c r="B21" t="s">
        <v>54</v>
      </c>
      <c r="C21" t="s">
        <v>71</v>
      </c>
      <c r="D21" s="6">
        <v>4614</v>
      </c>
      <c r="E21" s="6">
        <v>5264</v>
      </c>
      <c r="F21" t="s">
        <v>59</v>
      </c>
      <c r="G21" t="str">
        <f t="shared" si="0"/>
        <v>Over Budget</v>
      </c>
    </row>
    <row r="22" spans="1:7" x14ac:dyDescent="0.45">
      <c r="A22" t="s">
        <v>74</v>
      </c>
      <c r="B22" t="s">
        <v>57</v>
      </c>
      <c r="C22" t="s">
        <v>71</v>
      </c>
      <c r="D22" s="6">
        <v>9247</v>
      </c>
      <c r="E22" s="6">
        <v>6873</v>
      </c>
      <c r="F22" t="s">
        <v>62</v>
      </c>
      <c r="G22" t="str">
        <f t="shared" si="0"/>
        <v>On Budget</v>
      </c>
    </row>
    <row r="23" spans="1:7" x14ac:dyDescent="0.45">
      <c r="A23" t="s">
        <v>60</v>
      </c>
      <c r="B23" t="s">
        <v>78</v>
      </c>
      <c r="C23" t="s">
        <v>79</v>
      </c>
      <c r="D23" s="6">
        <v>6442</v>
      </c>
      <c r="E23" s="6">
        <v>5190</v>
      </c>
      <c r="G23" t="str">
        <f t="shared" si="0"/>
        <v>On Budget</v>
      </c>
    </row>
    <row r="24" spans="1:7" x14ac:dyDescent="0.45">
      <c r="A24" t="s">
        <v>63</v>
      </c>
      <c r="B24" t="s">
        <v>78</v>
      </c>
      <c r="C24" t="s">
        <v>68</v>
      </c>
      <c r="D24" s="6">
        <v>6248</v>
      </c>
      <c r="E24" s="6">
        <v>4567</v>
      </c>
      <c r="F24" t="s">
        <v>59</v>
      </c>
      <c r="G24" t="str">
        <f t="shared" si="0"/>
        <v>On Budget</v>
      </c>
    </row>
    <row r="25" spans="1:7" x14ac:dyDescent="0.45">
      <c r="A25" t="s">
        <v>53</v>
      </c>
      <c r="B25" t="s">
        <v>57</v>
      </c>
      <c r="C25" t="s">
        <v>76</v>
      </c>
      <c r="D25" s="6">
        <v>6425</v>
      </c>
      <c r="E25" s="6">
        <v>4047</v>
      </c>
      <c r="F25" t="s">
        <v>62</v>
      </c>
      <c r="G25" t="str">
        <f t="shared" si="0"/>
        <v>On Budget</v>
      </c>
    </row>
    <row r="26" spans="1:7" x14ac:dyDescent="0.45">
      <c r="A26" t="s">
        <v>53</v>
      </c>
      <c r="B26" t="s">
        <v>54</v>
      </c>
      <c r="C26" t="s">
        <v>58</v>
      </c>
      <c r="D26" s="6">
        <v>8014</v>
      </c>
      <c r="E26" s="6">
        <v>10039</v>
      </c>
      <c r="F26" t="s">
        <v>66</v>
      </c>
      <c r="G26" t="str">
        <f t="shared" si="0"/>
        <v>Over Budget</v>
      </c>
    </row>
    <row r="27" spans="1:7" x14ac:dyDescent="0.45">
      <c r="A27" t="s">
        <v>80</v>
      </c>
      <c r="B27" t="s">
        <v>57</v>
      </c>
      <c r="C27" t="s">
        <v>76</v>
      </c>
      <c r="D27" s="6">
        <v>9917</v>
      </c>
      <c r="E27" s="6">
        <v>7431</v>
      </c>
      <c r="F27" t="s">
        <v>77</v>
      </c>
      <c r="G27" t="str">
        <f t="shared" si="0"/>
        <v>On Budget</v>
      </c>
    </row>
    <row r="28" spans="1:7" x14ac:dyDescent="0.45">
      <c r="A28" t="s">
        <v>69</v>
      </c>
      <c r="B28" t="s">
        <v>72</v>
      </c>
      <c r="C28" t="s">
        <v>71</v>
      </c>
      <c r="D28" s="6">
        <v>4233</v>
      </c>
      <c r="E28" s="6">
        <v>11353</v>
      </c>
      <c r="F28" t="s">
        <v>66</v>
      </c>
      <c r="G28" t="str">
        <f t="shared" si="0"/>
        <v>Over Budget</v>
      </c>
    </row>
    <row r="29" spans="1:7" x14ac:dyDescent="0.45">
      <c r="A29" t="s">
        <v>69</v>
      </c>
      <c r="B29" t="s">
        <v>72</v>
      </c>
      <c r="C29" t="s">
        <v>64</v>
      </c>
      <c r="D29" s="6">
        <v>5695</v>
      </c>
      <c r="E29" s="6">
        <v>10306</v>
      </c>
      <c r="F29" t="s">
        <v>77</v>
      </c>
      <c r="G29" t="str">
        <f t="shared" si="0"/>
        <v>Over Budget</v>
      </c>
    </row>
    <row r="30" spans="1:7" x14ac:dyDescent="0.45">
      <c r="A30" t="s">
        <v>80</v>
      </c>
      <c r="B30" t="s">
        <v>75</v>
      </c>
      <c r="C30" t="s">
        <v>61</v>
      </c>
      <c r="D30" s="6">
        <v>3664</v>
      </c>
      <c r="E30" s="6">
        <v>8157</v>
      </c>
      <c r="F30" t="s">
        <v>59</v>
      </c>
      <c r="G30" t="str">
        <f t="shared" si="0"/>
        <v>Over Budget</v>
      </c>
    </row>
    <row r="31" spans="1:7" x14ac:dyDescent="0.45">
      <c r="A31" t="s">
        <v>69</v>
      </c>
      <c r="B31" t="s">
        <v>57</v>
      </c>
      <c r="C31" t="s">
        <v>81</v>
      </c>
      <c r="D31" s="6">
        <v>1258</v>
      </c>
      <c r="E31" s="6">
        <v>11395</v>
      </c>
      <c r="F31" t="s">
        <v>62</v>
      </c>
      <c r="G31" t="str">
        <f t="shared" si="0"/>
        <v>Over Budget</v>
      </c>
    </row>
    <row r="32" spans="1:7" x14ac:dyDescent="0.45">
      <c r="A32" t="s">
        <v>63</v>
      </c>
      <c r="B32" t="s">
        <v>54</v>
      </c>
      <c r="C32" t="s">
        <v>61</v>
      </c>
      <c r="D32" s="6">
        <v>9474</v>
      </c>
      <c r="E32" s="6">
        <v>6425</v>
      </c>
      <c r="F32" t="s">
        <v>66</v>
      </c>
      <c r="G32" t="str">
        <f t="shared" si="0"/>
        <v>On Budget</v>
      </c>
    </row>
    <row r="33" spans="1:7" x14ac:dyDescent="0.45">
      <c r="A33" t="s">
        <v>80</v>
      </c>
      <c r="B33" t="s">
        <v>54</v>
      </c>
      <c r="C33" t="s">
        <v>81</v>
      </c>
      <c r="D33" s="6">
        <v>9453</v>
      </c>
      <c r="E33" s="6">
        <v>3473</v>
      </c>
      <c r="F33" t="s">
        <v>66</v>
      </c>
      <c r="G33" t="str">
        <f t="shared" si="0"/>
        <v>On Budget</v>
      </c>
    </row>
    <row r="34" spans="1:7" x14ac:dyDescent="0.45">
      <c r="A34" t="s">
        <v>69</v>
      </c>
      <c r="B34" t="s">
        <v>57</v>
      </c>
      <c r="C34" t="s">
        <v>76</v>
      </c>
      <c r="D34" s="6">
        <v>5022</v>
      </c>
      <c r="E34" s="6">
        <v>7324</v>
      </c>
      <c r="F34" t="s">
        <v>59</v>
      </c>
      <c r="G34" t="str">
        <f t="shared" si="0"/>
        <v>Over Budget</v>
      </c>
    </row>
    <row r="35" spans="1:7" x14ac:dyDescent="0.45">
      <c r="A35" t="s">
        <v>74</v>
      </c>
      <c r="B35" t="s">
        <v>82</v>
      </c>
      <c r="C35" t="s">
        <v>65</v>
      </c>
      <c r="D35" s="6">
        <v>3187</v>
      </c>
      <c r="E35" s="6">
        <v>2004</v>
      </c>
      <c r="F35" t="s">
        <v>62</v>
      </c>
      <c r="G35" t="str">
        <f t="shared" si="0"/>
        <v>On Budget</v>
      </c>
    </row>
    <row r="36" spans="1:7" x14ac:dyDescent="0.45">
      <c r="A36" t="s">
        <v>69</v>
      </c>
      <c r="B36" t="s">
        <v>78</v>
      </c>
      <c r="C36" t="s">
        <v>61</v>
      </c>
      <c r="D36" s="6">
        <v>5157</v>
      </c>
      <c r="E36" s="6">
        <v>9013</v>
      </c>
      <c r="F36" t="s">
        <v>77</v>
      </c>
      <c r="G36" t="str">
        <f t="shared" si="0"/>
        <v>Over Budget</v>
      </c>
    </row>
    <row r="37" spans="1:7" x14ac:dyDescent="0.45">
      <c r="A37" t="s">
        <v>56</v>
      </c>
      <c r="B37" t="s">
        <v>72</v>
      </c>
      <c r="C37" t="s">
        <v>58</v>
      </c>
      <c r="D37" s="6">
        <v>6167</v>
      </c>
      <c r="E37" s="6">
        <v>10425</v>
      </c>
      <c r="F37" t="s">
        <v>62</v>
      </c>
      <c r="G37" t="str">
        <f t="shared" si="0"/>
        <v>Over Budget</v>
      </c>
    </row>
    <row r="38" spans="1:7" x14ac:dyDescent="0.45">
      <c r="A38" t="s">
        <v>60</v>
      </c>
      <c r="B38" t="s">
        <v>75</v>
      </c>
      <c r="C38" t="s">
        <v>55</v>
      </c>
      <c r="D38" s="6">
        <v>3598</v>
      </c>
      <c r="E38" s="6">
        <v>6920</v>
      </c>
      <c r="G38" t="str">
        <f t="shared" si="0"/>
        <v>Over Budget</v>
      </c>
    </row>
    <row r="39" spans="1:7" x14ac:dyDescent="0.45">
      <c r="A39" t="s">
        <v>60</v>
      </c>
      <c r="B39" t="s">
        <v>82</v>
      </c>
      <c r="C39" t="s">
        <v>58</v>
      </c>
      <c r="D39" s="6">
        <v>8265</v>
      </c>
      <c r="E39" s="6">
        <v>11479</v>
      </c>
      <c r="F39" t="s">
        <v>66</v>
      </c>
      <c r="G39" t="str">
        <f t="shared" si="0"/>
        <v>Over Budget</v>
      </c>
    </row>
    <row r="40" spans="1:7" x14ac:dyDescent="0.45">
      <c r="A40" t="s">
        <v>53</v>
      </c>
      <c r="B40" t="s">
        <v>70</v>
      </c>
      <c r="C40" t="s">
        <v>65</v>
      </c>
      <c r="D40" s="6">
        <v>2556</v>
      </c>
      <c r="E40" s="6">
        <v>5661</v>
      </c>
      <c r="F40" t="s">
        <v>59</v>
      </c>
      <c r="G40" t="str">
        <f t="shared" si="0"/>
        <v>Over Budget</v>
      </c>
    </row>
    <row r="41" spans="1:7" x14ac:dyDescent="0.45">
      <c r="A41" t="s">
        <v>60</v>
      </c>
      <c r="B41" t="s">
        <v>78</v>
      </c>
      <c r="C41" t="s">
        <v>67</v>
      </c>
      <c r="D41" s="6">
        <v>6507</v>
      </c>
      <c r="E41" s="6">
        <v>6605</v>
      </c>
      <c r="F41" t="s">
        <v>59</v>
      </c>
      <c r="G41" t="str">
        <f t="shared" si="0"/>
        <v>Over Budget</v>
      </c>
    </row>
    <row r="42" spans="1:7" x14ac:dyDescent="0.45">
      <c r="A42" t="s">
        <v>56</v>
      </c>
      <c r="B42" t="s">
        <v>70</v>
      </c>
      <c r="C42" t="s">
        <v>61</v>
      </c>
      <c r="D42" s="6">
        <v>9888</v>
      </c>
      <c r="E42" s="6">
        <v>1961</v>
      </c>
      <c r="F42" t="s">
        <v>59</v>
      </c>
      <c r="G42" t="str">
        <f t="shared" si="0"/>
        <v>On Budget</v>
      </c>
    </row>
    <row r="43" spans="1:7" x14ac:dyDescent="0.45">
      <c r="A43" t="s">
        <v>63</v>
      </c>
      <c r="B43" t="s">
        <v>54</v>
      </c>
      <c r="C43" t="s">
        <v>81</v>
      </c>
      <c r="D43" s="6">
        <v>8748</v>
      </c>
      <c r="E43" s="6">
        <v>2688</v>
      </c>
      <c r="G43" t="str">
        <f t="shared" si="0"/>
        <v>On Budget</v>
      </c>
    </row>
    <row r="44" spans="1:7" x14ac:dyDescent="0.45">
      <c r="A44" t="s">
        <v>63</v>
      </c>
      <c r="B44" t="s">
        <v>72</v>
      </c>
      <c r="C44" t="s">
        <v>67</v>
      </c>
      <c r="D44" s="6">
        <v>1573</v>
      </c>
      <c r="E44" s="6">
        <v>11206</v>
      </c>
      <c r="F44" t="s">
        <v>62</v>
      </c>
      <c r="G44" t="str">
        <f t="shared" si="0"/>
        <v>Over Budget</v>
      </c>
    </row>
    <row r="45" spans="1:7" x14ac:dyDescent="0.45">
      <c r="A45" t="s">
        <v>69</v>
      </c>
      <c r="B45" t="s">
        <v>78</v>
      </c>
      <c r="C45" t="s">
        <v>76</v>
      </c>
      <c r="D45" s="6">
        <v>7863</v>
      </c>
      <c r="E45" s="6">
        <v>4970</v>
      </c>
      <c r="F45" t="s">
        <v>66</v>
      </c>
      <c r="G45" t="str">
        <f t="shared" si="0"/>
        <v>On Budget</v>
      </c>
    </row>
    <row r="46" spans="1:7" x14ac:dyDescent="0.45">
      <c r="A46" t="s">
        <v>63</v>
      </c>
      <c r="B46" t="s">
        <v>72</v>
      </c>
      <c r="C46" t="s">
        <v>65</v>
      </c>
      <c r="D46" s="6">
        <v>4248</v>
      </c>
      <c r="E46" s="6">
        <v>5503</v>
      </c>
      <c r="F46" t="s">
        <v>66</v>
      </c>
      <c r="G46" t="str">
        <f t="shared" si="0"/>
        <v>Over Budget</v>
      </c>
    </row>
    <row r="47" spans="1:7" x14ac:dyDescent="0.45">
      <c r="A47" t="s">
        <v>69</v>
      </c>
      <c r="B47" t="s">
        <v>82</v>
      </c>
      <c r="C47" t="s">
        <v>67</v>
      </c>
      <c r="D47" s="6">
        <v>6213</v>
      </c>
      <c r="E47" s="6">
        <v>10730</v>
      </c>
      <c r="G47" t="str">
        <f t="shared" si="0"/>
        <v>Over Budget</v>
      </c>
    </row>
    <row r="48" spans="1:7" x14ac:dyDescent="0.45">
      <c r="A48" t="s">
        <v>56</v>
      </c>
      <c r="B48" t="s">
        <v>82</v>
      </c>
      <c r="C48" t="s">
        <v>67</v>
      </c>
      <c r="D48" s="6">
        <v>8844</v>
      </c>
      <c r="E48" s="6">
        <v>5430</v>
      </c>
      <c r="G48" t="str">
        <f t="shared" si="0"/>
        <v>On Budget</v>
      </c>
    </row>
    <row r="49" spans="1:7" x14ac:dyDescent="0.45">
      <c r="A49" t="s">
        <v>69</v>
      </c>
      <c r="B49" t="s">
        <v>54</v>
      </c>
      <c r="C49" t="s">
        <v>81</v>
      </c>
      <c r="D49" s="6">
        <v>8654</v>
      </c>
      <c r="E49" s="6">
        <v>10484</v>
      </c>
      <c r="F49" t="s">
        <v>59</v>
      </c>
      <c r="G49" t="str">
        <f t="shared" si="0"/>
        <v>Over Budget</v>
      </c>
    </row>
    <row r="50" spans="1:7" x14ac:dyDescent="0.45">
      <c r="A50" t="s">
        <v>69</v>
      </c>
      <c r="B50" t="s">
        <v>82</v>
      </c>
      <c r="C50" t="s">
        <v>79</v>
      </c>
      <c r="D50" s="6">
        <v>3669</v>
      </c>
      <c r="E50" s="6">
        <v>5897</v>
      </c>
      <c r="F50" t="s">
        <v>62</v>
      </c>
      <c r="G50" t="str">
        <f t="shared" si="0"/>
        <v>Over Budget</v>
      </c>
    </row>
    <row r="51" spans="1:7" x14ac:dyDescent="0.45">
      <c r="A51" t="s">
        <v>60</v>
      </c>
      <c r="B51" t="s">
        <v>70</v>
      </c>
      <c r="C51" t="s">
        <v>76</v>
      </c>
      <c r="D51" s="6">
        <v>3812</v>
      </c>
      <c r="E51" s="6">
        <v>9459</v>
      </c>
      <c r="G51" t="str">
        <f t="shared" si="0"/>
        <v>Over Budget</v>
      </c>
    </row>
    <row r="52" spans="1:7" x14ac:dyDescent="0.45">
      <c r="A52" t="s">
        <v>80</v>
      </c>
      <c r="B52" t="s">
        <v>78</v>
      </c>
      <c r="C52" t="s">
        <v>76</v>
      </c>
      <c r="D52" s="6">
        <v>3672</v>
      </c>
      <c r="E52" s="6">
        <v>10813</v>
      </c>
      <c r="F52" t="s">
        <v>62</v>
      </c>
      <c r="G52" t="str">
        <f t="shared" si="0"/>
        <v>Over Budget</v>
      </c>
    </row>
    <row r="53" spans="1:7" x14ac:dyDescent="0.45">
      <c r="A53" t="s">
        <v>53</v>
      </c>
      <c r="B53" t="s">
        <v>72</v>
      </c>
      <c r="C53" t="s">
        <v>73</v>
      </c>
      <c r="D53" s="6">
        <v>4800</v>
      </c>
      <c r="E53" s="6">
        <v>4433</v>
      </c>
      <c r="F53" t="s">
        <v>66</v>
      </c>
      <c r="G53" t="str">
        <f t="shared" si="0"/>
        <v>On Budget</v>
      </c>
    </row>
    <row r="54" spans="1:7" x14ac:dyDescent="0.45">
      <c r="A54" t="s">
        <v>53</v>
      </c>
      <c r="B54" t="s">
        <v>72</v>
      </c>
      <c r="C54" t="s">
        <v>55</v>
      </c>
      <c r="D54" s="6">
        <v>6962</v>
      </c>
      <c r="E54" s="6">
        <v>3401</v>
      </c>
      <c r="F54" t="s">
        <v>66</v>
      </c>
      <c r="G54" t="str">
        <f t="shared" si="0"/>
        <v>On Budget</v>
      </c>
    </row>
    <row r="55" spans="1:7" x14ac:dyDescent="0.45">
      <c r="A55" t="s">
        <v>53</v>
      </c>
      <c r="B55" t="s">
        <v>57</v>
      </c>
      <c r="C55" t="s">
        <v>55</v>
      </c>
      <c r="D55" s="6">
        <v>4645</v>
      </c>
      <c r="E55" s="6">
        <v>3612</v>
      </c>
      <c r="F55" t="s">
        <v>66</v>
      </c>
      <c r="G55" t="str">
        <f t="shared" si="0"/>
        <v>On Budget</v>
      </c>
    </row>
    <row r="56" spans="1:7" x14ac:dyDescent="0.45">
      <c r="A56" t="s">
        <v>74</v>
      </c>
      <c r="B56" t="s">
        <v>70</v>
      </c>
      <c r="C56" t="s">
        <v>64</v>
      </c>
      <c r="D56" s="6">
        <v>6405</v>
      </c>
      <c r="E56" s="6">
        <v>10615</v>
      </c>
      <c r="F56" t="s">
        <v>77</v>
      </c>
      <c r="G56" t="str">
        <f t="shared" si="0"/>
        <v>Over Budget</v>
      </c>
    </row>
    <row r="57" spans="1:7" x14ac:dyDescent="0.45">
      <c r="A57" t="s">
        <v>56</v>
      </c>
      <c r="B57" t="s">
        <v>75</v>
      </c>
      <c r="C57" t="s">
        <v>76</v>
      </c>
      <c r="D57" s="6">
        <v>2393</v>
      </c>
      <c r="E57" s="6">
        <v>11340</v>
      </c>
      <c r="F57" t="s">
        <v>59</v>
      </c>
      <c r="G57" t="str">
        <f t="shared" si="0"/>
        <v>Over Budget</v>
      </c>
    </row>
    <row r="58" spans="1:7" x14ac:dyDescent="0.45">
      <c r="A58" t="s">
        <v>63</v>
      </c>
      <c r="B58" t="s">
        <v>78</v>
      </c>
      <c r="C58" t="s">
        <v>55</v>
      </c>
      <c r="D58" s="6">
        <v>9374</v>
      </c>
      <c r="E58" s="6">
        <v>5960</v>
      </c>
      <c r="G58" t="str">
        <f t="shared" si="0"/>
        <v>On Budget</v>
      </c>
    </row>
    <row r="59" spans="1:7" x14ac:dyDescent="0.45">
      <c r="A59" t="s">
        <v>69</v>
      </c>
      <c r="B59" t="s">
        <v>57</v>
      </c>
      <c r="C59" t="s">
        <v>65</v>
      </c>
      <c r="D59" s="6">
        <v>5880</v>
      </c>
      <c r="E59" s="6">
        <v>1718</v>
      </c>
      <c r="F59" t="s">
        <v>59</v>
      </c>
      <c r="G59" t="str">
        <f t="shared" si="0"/>
        <v>On Budget</v>
      </c>
    </row>
    <row r="60" spans="1:7" x14ac:dyDescent="0.45">
      <c r="A60" t="s">
        <v>80</v>
      </c>
      <c r="B60" t="s">
        <v>57</v>
      </c>
      <c r="C60" t="s">
        <v>58</v>
      </c>
      <c r="D60" s="6">
        <v>2744</v>
      </c>
      <c r="E60" s="6">
        <v>8892</v>
      </c>
      <c r="G60" t="str">
        <f t="shared" si="0"/>
        <v>Over Budget</v>
      </c>
    </row>
    <row r="61" spans="1:7" x14ac:dyDescent="0.45">
      <c r="A61" t="s">
        <v>53</v>
      </c>
      <c r="B61" t="s">
        <v>54</v>
      </c>
      <c r="C61" t="s">
        <v>76</v>
      </c>
      <c r="D61" s="6">
        <v>2488</v>
      </c>
      <c r="E61" s="6">
        <v>6069</v>
      </c>
      <c r="F61" t="s">
        <v>77</v>
      </c>
      <c r="G61" t="str">
        <f t="shared" si="0"/>
        <v>Over Budget</v>
      </c>
    </row>
    <row r="62" spans="1:7" x14ac:dyDescent="0.45">
      <c r="A62" t="s">
        <v>69</v>
      </c>
      <c r="B62" t="s">
        <v>78</v>
      </c>
      <c r="C62" t="s">
        <v>68</v>
      </c>
      <c r="D62" s="6">
        <v>2612</v>
      </c>
      <c r="E62" s="6">
        <v>10393</v>
      </c>
      <c r="F62" t="s">
        <v>77</v>
      </c>
      <c r="G62" t="str">
        <f t="shared" si="0"/>
        <v>Over Budget</v>
      </c>
    </row>
    <row r="63" spans="1:7" x14ac:dyDescent="0.45">
      <c r="A63" t="s">
        <v>80</v>
      </c>
      <c r="B63" t="s">
        <v>57</v>
      </c>
      <c r="C63" t="s">
        <v>68</v>
      </c>
      <c r="D63" s="6">
        <v>3303</v>
      </c>
      <c r="E63" s="6">
        <v>10146</v>
      </c>
      <c r="F63" t="s">
        <v>77</v>
      </c>
      <c r="G63" t="str">
        <f t="shared" si="0"/>
        <v>Over Budget</v>
      </c>
    </row>
    <row r="64" spans="1:7" x14ac:dyDescent="0.45">
      <c r="A64" t="s">
        <v>53</v>
      </c>
      <c r="B64" t="s">
        <v>75</v>
      </c>
      <c r="C64" t="s">
        <v>55</v>
      </c>
      <c r="D64" s="6">
        <v>2330</v>
      </c>
      <c r="E64" s="6">
        <v>10226</v>
      </c>
      <c r="F64" t="s">
        <v>62</v>
      </c>
      <c r="G64" t="str">
        <f t="shared" si="0"/>
        <v>Over Budget</v>
      </c>
    </row>
    <row r="65" spans="1:7" x14ac:dyDescent="0.45">
      <c r="A65" t="s">
        <v>63</v>
      </c>
      <c r="B65" t="s">
        <v>54</v>
      </c>
      <c r="C65" t="s">
        <v>79</v>
      </c>
      <c r="D65" s="6">
        <v>1538</v>
      </c>
      <c r="E65" s="6">
        <v>10463</v>
      </c>
      <c r="F65" t="s">
        <v>77</v>
      </c>
      <c r="G65" t="str">
        <f t="shared" si="0"/>
        <v>Over Budget</v>
      </c>
    </row>
    <row r="66" spans="1:7" x14ac:dyDescent="0.45">
      <c r="A66" t="s">
        <v>56</v>
      </c>
      <c r="B66" t="s">
        <v>78</v>
      </c>
      <c r="C66" t="s">
        <v>81</v>
      </c>
      <c r="D66" s="6">
        <v>7388</v>
      </c>
      <c r="E66" s="6">
        <v>3895</v>
      </c>
      <c r="G66" t="str">
        <f t="shared" ref="G66:G129" si="1">IF(E66&gt;D66,"Over Budget","On Budget")</f>
        <v>On Budget</v>
      </c>
    </row>
    <row r="67" spans="1:7" x14ac:dyDescent="0.45">
      <c r="A67" t="s">
        <v>63</v>
      </c>
      <c r="B67" t="s">
        <v>54</v>
      </c>
      <c r="C67" t="s">
        <v>79</v>
      </c>
      <c r="D67" s="6">
        <v>4749</v>
      </c>
      <c r="E67" s="6">
        <v>5160</v>
      </c>
      <c r="F67" t="s">
        <v>77</v>
      </c>
      <c r="G67" t="str">
        <f t="shared" si="1"/>
        <v>Over Budget</v>
      </c>
    </row>
    <row r="68" spans="1:7" x14ac:dyDescent="0.45">
      <c r="A68" t="s">
        <v>63</v>
      </c>
      <c r="B68" t="s">
        <v>70</v>
      </c>
      <c r="C68" t="s">
        <v>73</v>
      </c>
      <c r="D68" s="6">
        <v>6593</v>
      </c>
      <c r="E68" s="6">
        <v>3100</v>
      </c>
      <c r="F68" t="s">
        <v>62</v>
      </c>
      <c r="G68" t="str">
        <f t="shared" si="1"/>
        <v>On Budget</v>
      </c>
    </row>
    <row r="69" spans="1:7" x14ac:dyDescent="0.45">
      <c r="A69" t="s">
        <v>63</v>
      </c>
      <c r="B69" t="s">
        <v>72</v>
      </c>
      <c r="C69" t="s">
        <v>81</v>
      </c>
      <c r="D69" s="6">
        <v>7024</v>
      </c>
      <c r="E69" s="6">
        <v>6381</v>
      </c>
      <c r="F69" t="s">
        <v>62</v>
      </c>
      <c r="G69" t="str">
        <f t="shared" si="1"/>
        <v>On Budget</v>
      </c>
    </row>
    <row r="70" spans="1:7" x14ac:dyDescent="0.45">
      <c r="A70" t="s">
        <v>56</v>
      </c>
      <c r="B70" t="s">
        <v>78</v>
      </c>
      <c r="C70" t="s">
        <v>76</v>
      </c>
      <c r="D70" s="6">
        <v>3241</v>
      </c>
      <c r="E70" s="6">
        <v>8302</v>
      </c>
      <c r="F70" t="s">
        <v>77</v>
      </c>
      <c r="G70" t="str">
        <f t="shared" si="1"/>
        <v>Over Budget</v>
      </c>
    </row>
    <row r="71" spans="1:7" x14ac:dyDescent="0.45">
      <c r="A71" t="s">
        <v>63</v>
      </c>
      <c r="B71" t="s">
        <v>78</v>
      </c>
      <c r="C71" t="s">
        <v>64</v>
      </c>
      <c r="D71" s="6">
        <v>3719</v>
      </c>
      <c r="E71" s="6">
        <v>1349</v>
      </c>
      <c r="F71" t="s">
        <v>59</v>
      </c>
      <c r="G71" t="str">
        <f t="shared" si="1"/>
        <v>On Budget</v>
      </c>
    </row>
    <row r="72" spans="1:7" x14ac:dyDescent="0.45">
      <c r="A72" t="s">
        <v>63</v>
      </c>
      <c r="B72" t="s">
        <v>82</v>
      </c>
      <c r="C72" t="s">
        <v>61</v>
      </c>
      <c r="D72" s="6">
        <v>7702</v>
      </c>
      <c r="E72" s="6">
        <v>3259</v>
      </c>
      <c r="F72" t="s">
        <v>59</v>
      </c>
      <c r="G72" t="str">
        <f t="shared" si="1"/>
        <v>On Budget</v>
      </c>
    </row>
    <row r="73" spans="1:7" x14ac:dyDescent="0.45">
      <c r="A73" t="s">
        <v>53</v>
      </c>
      <c r="B73" t="s">
        <v>54</v>
      </c>
      <c r="C73" t="s">
        <v>71</v>
      </c>
      <c r="D73" s="6">
        <v>4486</v>
      </c>
      <c r="E73" s="6">
        <v>8723</v>
      </c>
      <c r="F73" t="s">
        <v>77</v>
      </c>
      <c r="G73" t="str">
        <f t="shared" si="1"/>
        <v>Over Budget</v>
      </c>
    </row>
    <row r="74" spans="1:7" x14ac:dyDescent="0.45">
      <c r="A74" t="s">
        <v>63</v>
      </c>
      <c r="B74" t="s">
        <v>78</v>
      </c>
      <c r="C74" t="s">
        <v>61</v>
      </c>
      <c r="D74" s="6">
        <v>2756</v>
      </c>
      <c r="E74" s="6">
        <v>4840</v>
      </c>
      <c r="G74" t="str">
        <f t="shared" si="1"/>
        <v>Over Budget</v>
      </c>
    </row>
    <row r="75" spans="1:7" x14ac:dyDescent="0.45">
      <c r="A75" t="s">
        <v>56</v>
      </c>
      <c r="B75" t="s">
        <v>72</v>
      </c>
      <c r="C75" t="s">
        <v>76</v>
      </c>
      <c r="D75" s="6">
        <v>3915</v>
      </c>
      <c r="E75" s="6">
        <v>11085</v>
      </c>
      <c r="F75" t="s">
        <v>66</v>
      </c>
      <c r="G75" t="str">
        <f t="shared" si="1"/>
        <v>Over Budget</v>
      </c>
    </row>
    <row r="76" spans="1:7" x14ac:dyDescent="0.45">
      <c r="A76" t="s">
        <v>63</v>
      </c>
      <c r="B76" t="s">
        <v>72</v>
      </c>
      <c r="C76" t="s">
        <v>73</v>
      </c>
      <c r="D76" s="6">
        <v>7072</v>
      </c>
      <c r="E76" s="6">
        <v>4524</v>
      </c>
      <c r="F76" t="s">
        <v>77</v>
      </c>
      <c r="G76" t="str">
        <f t="shared" si="1"/>
        <v>On Budget</v>
      </c>
    </row>
    <row r="77" spans="1:7" x14ac:dyDescent="0.45">
      <c r="A77" t="s">
        <v>60</v>
      </c>
      <c r="B77" t="s">
        <v>72</v>
      </c>
      <c r="C77" t="s">
        <v>71</v>
      </c>
      <c r="D77" s="6">
        <v>2200</v>
      </c>
      <c r="E77" s="6">
        <v>8995</v>
      </c>
      <c r="F77" t="s">
        <v>59</v>
      </c>
      <c r="G77" t="str">
        <f t="shared" si="1"/>
        <v>Over Budget</v>
      </c>
    </row>
    <row r="78" spans="1:7" x14ac:dyDescent="0.45">
      <c r="A78" t="s">
        <v>56</v>
      </c>
      <c r="B78" t="s">
        <v>54</v>
      </c>
      <c r="C78" t="s">
        <v>65</v>
      </c>
      <c r="D78" s="6">
        <v>5273</v>
      </c>
      <c r="E78" s="6">
        <v>3315</v>
      </c>
      <c r="F78" t="s">
        <v>66</v>
      </c>
      <c r="G78" t="str">
        <f t="shared" si="1"/>
        <v>On Budget</v>
      </c>
    </row>
    <row r="79" spans="1:7" x14ac:dyDescent="0.45">
      <c r="A79" t="s">
        <v>80</v>
      </c>
      <c r="B79" t="s">
        <v>54</v>
      </c>
      <c r="C79" t="s">
        <v>81</v>
      </c>
      <c r="D79" s="6">
        <v>1218</v>
      </c>
      <c r="E79" s="6">
        <v>8660</v>
      </c>
      <c r="F79" t="s">
        <v>59</v>
      </c>
      <c r="G79" t="str">
        <f t="shared" si="1"/>
        <v>Over Budget</v>
      </c>
    </row>
    <row r="80" spans="1:7" x14ac:dyDescent="0.45">
      <c r="A80" t="s">
        <v>56</v>
      </c>
      <c r="B80" t="s">
        <v>57</v>
      </c>
      <c r="C80" t="s">
        <v>67</v>
      </c>
      <c r="D80" s="6">
        <v>2161</v>
      </c>
      <c r="E80" s="6">
        <v>1888</v>
      </c>
      <c r="F80" t="s">
        <v>59</v>
      </c>
      <c r="G80" t="str">
        <f t="shared" si="1"/>
        <v>On Budget</v>
      </c>
    </row>
    <row r="81" spans="1:7" x14ac:dyDescent="0.45">
      <c r="A81" t="s">
        <v>80</v>
      </c>
      <c r="B81" t="s">
        <v>70</v>
      </c>
      <c r="C81" t="s">
        <v>79</v>
      </c>
      <c r="D81" s="6">
        <v>8194</v>
      </c>
      <c r="E81" s="6">
        <v>4751</v>
      </c>
      <c r="F81" t="s">
        <v>77</v>
      </c>
      <c r="G81" t="str">
        <f t="shared" si="1"/>
        <v>On Budget</v>
      </c>
    </row>
    <row r="82" spans="1:7" x14ac:dyDescent="0.45">
      <c r="A82" t="s">
        <v>56</v>
      </c>
      <c r="B82" t="s">
        <v>82</v>
      </c>
      <c r="C82" t="s">
        <v>68</v>
      </c>
      <c r="D82" s="6">
        <v>9116</v>
      </c>
      <c r="E82" s="6">
        <v>5223</v>
      </c>
      <c r="G82" t="str">
        <f t="shared" si="1"/>
        <v>On Budget</v>
      </c>
    </row>
    <row r="83" spans="1:7" x14ac:dyDescent="0.45">
      <c r="A83" t="s">
        <v>74</v>
      </c>
      <c r="B83" t="s">
        <v>54</v>
      </c>
      <c r="C83" t="s">
        <v>81</v>
      </c>
      <c r="D83" s="6">
        <v>9595</v>
      </c>
      <c r="E83" s="6">
        <v>6007</v>
      </c>
      <c r="F83" t="s">
        <v>59</v>
      </c>
      <c r="G83" t="str">
        <f t="shared" si="1"/>
        <v>On Budget</v>
      </c>
    </row>
    <row r="84" spans="1:7" x14ac:dyDescent="0.45">
      <c r="A84" t="s">
        <v>63</v>
      </c>
      <c r="B84" t="s">
        <v>72</v>
      </c>
      <c r="C84" t="s">
        <v>68</v>
      </c>
      <c r="D84" s="6">
        <v>1068</v>
      </c>
      <c r="E84" s="6">
        <v>1998</v>
      </c>
      <c r="G84" t="str">
        <f t="shared" si="1"/>
        <v>Over Budget</v>
      </c>
    </row>
    <row r="85" spans="1:7" x14ac:dyDescent="0.45">
      <c r="A85" t="s">
        <v>74</v>
      </c>
      <c r="B85" t="s">
        <v>82</v>
      </c>
      <c r="C85" t="s">
        <v>65</v>
      </c>
      <c r="D85" s="6">
        <v>5069</v>
      </c>
      <c r="E85" s="6">
        <v>7674</v>
      </c>
      <c r="F85" t="s">
        <v>66</v>
      </c>
      <c r="G85" t="str">
        <f t="shared" si="1"/>
        <v>Over Budget</v>
      </c>
    </row>
    <row r="86" spans="1:7" x14ac:dyDescent="0.45">
      <c r="A86" t="s">
        <v>74</v>
      </c>
      <c r="B86" t="s">
        <v>57</v>
      </c>
      <c r="C86" t="s">
        <v>61</v>
      </c>
      <c r="D86" s="6">
        <v>9975</v>
      </c>
      <c r="E86" s="6">
        <v>9853</v>
      </c>
      <c r="F86" t="s">
        <v>62</v>
      </c>
      <c r="G86" t="str">
        <f t="shared" si="1"/>
        <v>On Budget</v>
      </c>
    </row>
    <row r="87" spans="1:7" x14ac:dyDescent="0.45">
      <c r="A87" t="s">
        <v>80</v>
      </c>
      <c r="B87" t="s">
        <v>70</v>
      </c>
      <c r="C87" t="s">
        <v>68</v>
      </c>
      <c r="D87" s="6">
        <v>9193</v>
      </c>
      <c r="E87" s="6">
        <v>6411</v>
      </c>
      <c r="F87" t="s">
        <v>66</v>
      </c>
      <c r="G87" t="str">
        <f t="shared" si="1"/>
        <v>On Budget</v>
      </c>
    </row>
    <row r="88" spans="1:7" x14ac:dyDescent="0.45">
      <c r="A88" t="s">
        <v>63</v>
      </c>
      <c r="B88" t="s">
        <v>72</v>
      </c>
      <c r="C88" t="s">
        <v>55</v>
      </c>
      <c r="D88" s="6">
        <v>7586</v>
      </c>
      <c r="E88" s="6">
        <v>6534</v>
      </c>
      <c r="F88" t="s">
        <v>59</v>
      </c>
      <c r="G88" t="str">
        <f t="shared" si="1"/>
        <v>On Budget</v>
      </c>
    </row>
    <row r="89" spans="1:7" x14ac:dyDescent="0.45">
      <c r="A89" t="s">
        <v>63</v>
      </c>
      <c r="B89" t="s">
        <v>75</v>
      </c>
      <c r="C89" t="s">
        <v>68</v>
      </c>
      <c r="D89" s="6">
        <v>3579</v>
      </c>
      <c r="E89" s="6">
        <v>4310</v>
      </c>
      <c r="F89" t="s">
        <v>59</v>
      </c>
      <c r="G89" t="str">
        <f t="shared" si="1"/>
        <v>Over Budget</v>
      </c>
    </row>
    <row r="90" spans="1:7" x14ac:dyDescent="0.45">
      <c r="A90" t="s">
        <v>74</v>
      </c>
      <c r="B90" t="s">
        <v>70</v>
      </c>
      <c r="C90" t="s">
        <v>73</v>
      </c>
      <c r="D90" s="6">
        <v>1352</v>
      </c>
      <c r="E90" s="6">
        <v>10883</v>
      </c>
      <c r="G90" t="str">
        <f t="shared" si="1"/>
        <v>Over Budget</v>
      </c>
    </row>
    <row r="91" spans="1:7" x14ac:dyDescent="0.45">
      <c r="A91" t="s">
        <v>69</v>
      </c>
      <c r="B91" t="s">
        <v>75</v>
      </c>
      <c r="C91" t="s">
        <v>67</v>
      </c>
      <c r="D91" s="6">
        <v>1963</v>
      </c>
      <c r="E91" s="6">
        <v>1130</v>
      </c>
      <c r="F91" t="s">
        <v>77</v>
      </c>
      <c r="G91" t="str">
        <f t="shared" si="1"/>
        <v>On Budget</v>
      </c>
    </row>
    <row r="92" spans="1:7" x14ac:dyDescent="0.45">
      <c r="A92" t="s">
        <v>53</v>
      </c>
      <c r="B92" t="s">
        <v>72</v>
      </c>
      <c r="C92" t="s">
        <v>68</v>
      </c>
      <c r="D92" s="6">
        <v>4160</v>
      </c>
      <c r="E92" s="6">
        <v>8610</v>
      </c>
      <c r="F92" t="s">
        <v>66</v>
      </c>
      <c r="G92" t="str">
        <f t="shared" si="1"/>
        <v>Over Budget</v>
      </c>
    </row>
    <row r="93" spans="1:7" x14ac:dyDescent="0.45">
      <c r="A93" t="s">
        <v>80</v>
      </c>
      <c r="B93" t="s">
        <v>75</v>
      </c>
      <c r="C93" t="s">
        <v>64</v>
      </c>
      <c r="D93" s="6">
        <v>8651</v>
      </c>
      <c r="E93" s="6">
        <v>9566</v>
      </c>
      <c r="G93" t="str">
        <f t="shared" si="1"/>
        <v>Over Budget</v>
      </c>
    </row>
    <row r="94" spans="1:7" x14ac:dyDescent="0.45">
      <c r="A94" t="s">
        <v>63</v>
      </c>
      <c r="B94" t="s">
        <v>75</v>
      </c>
      <c r="C94" t="s">
        <v>64</v>
      </c>
      <c r="D94" s="6">
        <v>8153</v>
      </c>
      <c r="E94" s="6">
        <v>4754</v>
      </c>
      <c r="F94" t="s">
        <v>66</v>
      </c>
      <c r="G94" t="str">
        <f t="shared" si="1"/>
        <v>On Budget</v>
      </c>
    </row>
    <row r="95" spans="1:7" x14ac:dyDescent="0.45">
      <c r="A95" t="s">
        <v>56</v>
      </c>
      <c r="B95" t="s">
        <v>78</v>
      </c>
      <c r="C95" t="s">
        <v>64</v>
      </c>
      <c r="D95" s="6">
        <v>6888</v>
      </c>
      <c r="E95" s="6">
        <v>3991</v>
      </c>
      <c r="F95" t="s">
        <v>59</v>
      </c>
      <c r="G95" t="str">
        <f t="shared" si="1"/>
        <v>On Budget</v>
      </c>
    </row>
    <row r="96" spans="1:7" x14ac:dyDescent="0.45">
      <c r="A96" t="s">
        <v>56</v>
      </c>
      <c r="B96" t="s">
        <v>57</v>
      </c>
      <c r="C96" t="s">
        <v>64</v>
      </c>
      <c r="D96" s="6">
        <v>5089</v>
      </c>
      <c r="E96" s="6">
        <v>7252</v>
      </c>
      <c r="F96" t="s">
        <v>59</v>
      </c>
      <c r="G96" t="str">
        <f t="shared" si="1"/>
        <v>Over Budget</v>
      </c>
    </row>
    <row r="97" spans="1:7" x14ac:dyDescent="0.45">
      <c r="A97" t="s">
        <v>53</v>
      </c>
      <c r="B97" t="s">
        <v>70</v>
      </c>
      <c r="C97" t="s">
        <v>55</v>
      </c>
      <c r="D97" s="6">
        <v>6400</v>
      </c>
      <c r="E97" s="6">
        <v>11481</v>
      </c>
      <c r="F97" t="s">
        <v>62</v>
      </c>
      <c r="G97" t="str">
        <f t="shared" si="1"/>
        <v>Over Budget</v>
      </c>
    </row>
    <row r="98" spans="1:7" x14ac:dyDescent="0.45">
      <c r="A98" t="s">
        <v>63</v>
      </c>
      <c r="B98" t="s">
        <v>78</v>
      </c>
      <c r="C98" t="s">
        <v>55</v>
      </c>
      <c r="D98" s="6">
        <v>4348</v>
      </c>
      <c r="E98" s="6">
        <v>8465</v>
      </c>
      <c r="G98" t="str">
        <f t="shared" si="1"/>
        <v>Over Budget</v>
      </c>
    </row>
    <row r="99" spans="1:7" x14ac:dyDescent="0.45">
      <c r="A99" t="s">
        <v>60</v>
      </c>
      <c r="B99" t="s">
        <v>82</v>
      </c>
      <c r="C99" t="s">
        <v>68</v>
      </c>
      <c r="D99" s="6">
        <v>3871</v>
      </c>
      <c r="E99" s="6">
        <v>2944</v>
      </c>
      <c r="F99" t="s">
        <v>77</v>
      </c>
      <c r="G99" t="str">
        <f t="shared" si="1"/>
        <v>On Budget</v>
      </c>
    </row>
    <row r="100" spans="1:7" x14ac:dyDescent="0.45">
      <c r="A100" t="s">
        <v>60</v>
      </c>
      <c r="B100" t="s">
        <v>54</v>
      </c>
      <c r="C100" t="s">
        <v>64</v>
      </c>
      <c r="D100" s="6">
        <v>2588</v>
      </c>
      <c r="E100" s="6">
        <v>6655</v>
      </c>
      <c r="F100" t="s">
        <v>62</v>
      </c>
      <c r="G100" t="str">
        <f t="shared" si="1"/>
        <v>Over Budget</v>
      </c>
    </row>
    <row r="101" spans="1:7" x14ac:dyDescent="0.45">
      <c r="A101" t="s">
        <v>53</v>
      </c>
      <c r="B101" t="s">
        <v>70</v>
      </c>
      <c r="C101" t="s">
        <v>55</v>
      </c>
      <c r="D101" s="6">
        <v>5419</v>
      </c>
      <c r="E101" s="6">
        <v>10036</v>
      </c>
      <c r="F101" t="s">
        <v>62</v>
      </c>
      <c r="G101" t="str">
        <f t="shared" si="1"/>
        <v>Over Budget</v>
      </c>
    </row>
    <row r="102" spans="1:7" x14ac:dyDescent="0.45">
      <c r="A102" t="s">
        <v>53</v>
      </c>
      <c r="B102" t="s">
        <v>75</v>
      </c>
      <c r="C102" t="s">
        <v>79</v>
      </c>
      <c r="D102" s="6">
        <v>6484</v>
      </c>
      <c r="E102" s="6">
        <v>11321</v>
      </c>
      <c r="F102" t="s">
        <v>62</v>
      </c>
      <c r="G102" t="str">
        <f t="shared" si="1"/>
        <v>Over Budget</v>
      </c>
    </row>
    <row r="103" spans="1:7" x14ac:dyDescent="0.45">
      <c r="A103" t="s">
        <v>80</v>
      </c>
      <c r="B103" t="s">
        <v>78</v>
      </c>
      <c r="C103" t="s">
        <v>68</v>
      </c>
      <c r="D103" s="6">
        <v>2824</v>
      </c>
      <c r="E103" s="6">
        <v>4259</v>
      </c>
      <c r="F103" t="s">
        <v>77</v>
      </c>
      <c r="G103" t="str">
        <f t="shared" si="1"/>
        <v>Over Budget</v>
      </c>
    </row>
    <row r="104" spans="1:7" x14ac:dyDescent="0.45">
      <c r="A104" t="s">
        <v>53</v>
      </c>
      <c r="B104" t="s">
        <v>72</v>
      </c>
      <c r="C104" t="s">
        <v>65</v>
      </c>
      <c r="D104" s="6">
        <v>3283</v>
      </c>
      <c r="E104" s="6">
        <v>2284</v>
      </c>
      <c r="F104" t="s">
        <v>77</v>
      </c>
      <c r="G104" t="str">
        <f t="shared" si="1"/>
        <v>On Budget</v>
      </c>
    </row>
    <row r="105" spans="1:7" x14ac:dyDescent="0.45">
      <c r="A105" t="s">
        <v>63</v>
      </c>
      <c r="B105" t="s">
        <v>70</v>
      </c>
      <c r="C105" t="s">
        <v>68</v>
      </c>
      <c r="D105" s="6">
        <v>1385</v>
      </c>
      <c r="E105" s="6">
        <v>3043</v>
      </c>
      <c r="F105" t="s">
        <v>77</v>
      </c>
      <c r="G105" t="str">
        <f t="shared" si="1"/>
        <v>Over Budget</v>
      </c>
    </row>
    <row r="106" spans="1:7" x14ac:dyDescent="0.45">
      <c r="A106" t="s">
        <v>63</v>
      </c>
      <c r="B106" t="s">
        <v>78</v>
      </c>
      <c r="C106" t="s">
        <v>68</v>
      </c>
      <c r="D106" s="6">
        <v>5925</v>
      </c>
      <c r="E106" s="6">
        <v>1611</v>
      </c>
      <c r="F106" t="s">
        <v>62</v>
      </c>
      <c r="G106" t="str">
        <f t="shared" si="1"/>
        <v>On Budget</v>
      </c>
    </row>
    <row r="107" spans="1:7" x14ac:dyDescent="0.45">
      <c r="A107" t="s">
        <v>69</v>
      </c>
      <c r="B107" t="s">
        <v>54</v>
      </c>
      <c r="C107" t="s">
        <v>76</v>
      </c>
      <c r="D107" s="6">
        <v>4713</v>
      </c>
      <c r="E107" s="6">
        <v>1374</v>
      </c>
      <c r="G107" t="str">
        <f t="shared" si="1"/>
        <v>On Budget</v>
      </c>
    </row>
    <row r="108" spans="1:7" x14ac:dyDescent="0.45">
      <c r="A108" t="s">
        <v>53</v>
      </c>
      <c r="B108" t="s">
        <v>78</v>
      </c>
      <c r="C108" t="s">
        <v>71</v>
      </c>
      <c r="D108" s="6">
        <v>9681</v>
      </c>
      <c r="E108" s="6">
        <v>11376</v>
      </c>
      <c r="F108" t="s">
        <v>62</v>
      </c>
      <c r="G108" t="str">
        <f t="shared" si="1"/>
        <v>Over Budget</v>
      </c>
    </row>
    <row r="109" spans="1:7" x14ac:dyDescent="0.45">
      <c r="A109" t="s">
        <v>63</v>
      </c>
      <c r="B109" t="s">
        <v>57</v>
      </c>
      <c r="C109" t="s">
        <v>65</v>
      </c>
      <c r="D109" s="6">
        <v>3056</v>
      </c>
      <c r="E109" s="6">
        <v>9707</v>
      </c>
      <c r="F109" t="s">
        <v>77</v>
      </c>
      <c r="G109" t="str">
        <f t="shared" si="1"/>
        <v>Over Budget</v>
      </c>
    </row>
    <row r="110" spans="1:7" x14ac:dyDescent="0.45">
      <c r="A110" t="s">
        <v>69</v>
      </c>
      <c r="B110" t="s">
        <v>57</v>
      </c>
      <c r="C110" t="s">
        <v>64</v>
      </c>
      <c r="D110" s="6">
        <v>2839</v>
      </c>
      <c r="E110" s="6">
        <v>831</v>
      </c>
      <c r="F110" t="s">
        <v>59</v>
      </c>
      <c r="G110" t="str">
        <f t="shared" si="1"/>
        <v>On Budget</v>
      </c>
    </row>
    <row r="111" spans="1:7" x14ac:dyDescent="0.45">
      <c r="A111" t="s">
        <v>74</v>
      </c>
      <c r="B111" t="s">
        <v>70</v>
      </c>
      <c r="C111" t="s">
        <v>71</v>
      </c>
      <c r="D111" s="6">
        <v>8899</v>
      </c>
      <c r="E111" s="6">
        <v>10544</v>
      </c>
      <c r="F111" t="s">
        <v>66</v>
      </c>
      <c r="G111" t="str">
        <f t="shared" si="1"/>
        <v>Over Budget</v>
      </c>
    </row>
    <row r="112" spans="1:7" x14ac:dyDescent="0.45">
      <c r="A112" t="s">
        <v>74</v>
      </c>
      <c r="B112" t="s">
        <v>82</v>
      </c>
      <c r="C112" t="s">
        <v>76</v>
      </c>
      <c r="D112" s="6">
        <v>4949</v>
      </c>
      <c r="E112" s="6">
        <v>9798</v>
      </c>
      <c r="F112" t="s">
        <v>59</v>
      </c>
      <c r="G112" t="str">
        <f t="shared" si="1"/>
        <v>Over Budget</v>
      </c>
    </row>
    <row r="113" spans="1:7" x14ac:dyDescent="0.45">
      <c r="A113" t="s">
        <v>60</v>
      </c>
      <c r="B113" t="s">
        <v>75</v>
      </c>
      <c r="C113" t="s">
        <v>55</v>
      </c>
      <c r="D113" s="6">
        <v>6496</v>
      </c>
      <c r="E113" s="6">
        <v>6564</v>
      </c>
      <c r="F113" t="s">
        <v>59</v>
      </c>
      <c r="G113" t="str">
        <f t="shared" si="1"/>
        <v>Over Budget</v>
      </c>
    </row>
    <row r="114" spans="1:7" x14ac:dyDescent="0.45">
      <c r="A114" t="s">
        <v>63</v>
      </c>
      <c r="B114" t="s">
        <v>78</v>
      </c>
      <c r="C114" t="s">
        <v>64</v>
      </c>
      <c r="D114" s="6">
        <v>8018</v>
      </c>
      <c r="E114" s="6">
        <v>10019</v>
      </c>
      <c r="F114" t="s">
        <v>62</v>
      </c>
      <c r="G114" t="str">
        <f t="shared" si="1"/>
        <v>Over Budget</v>
      </c>
    </row>
    <row r="115" spans="1:7" x14ac:dyDescent="0.45">
      <c r="A115" t="s">
        <v>80</v>
      </c>
      <c r="B115" t="s">
        <v>54</v>
      </c>
      <c r="C115" t="s">
        <v>67</v>
      </c>
      <c r="D115" s="6">
        <v>1923</v>
      </c>
      <c r="E115" s="6">
        <v>3834</v>
      </c>
      <c r="G115" t="str">
        <f t="shared" si="1"/>
        <v>Over Budget</v>
      </c>
    </row>
    <row r="116" spans="1:7" x14ac:dyDescent="0.45">
      <c r="A116" t="s">
        <v>74</v>
      </c>
      <c r="B116" t="s">
        <v>54</v>
      </c>
      <c r="C116" t="s">
        <v>58</v>
      </c>
      <c r="D116" s="6">
        <v>1159</v>
      </c>
      <c r="E116" s="6">
        <v>9243</v>
      </c>
      <c r="F116" t="s">
        <v>59</v>
      </c>
      <c r="G116" t="str">
        <f t="shared" si="1"/>
        <v>Over Budget</v>
      </c>
    </row>
    <row r="117" spans="1:7" x14ac:dyDescent="0.45">
      <c r="A117" t="s">
        <v>63</v>
      </c>
      <c r="B117" t="s">
        <v>72</v>
      </c>
      <c r="C117" t="s">
        <v>58</v>
      </c>
      <c r="D117" s="6">
        <v>1952</v>
      </c>
      <c r="E117" s="6">
        <v>1646</v>
      </c>
      <c r="F117" t="s">
        <v>66</v>
      </c>
      <c r="G117" t="str">
        <f t="shared" si="1"/>
        <v>On Budget</v>
      </c>
    </row>
    <row r="118" spans="1:7" x14ac:dyDescent="0.45">
      <c r="A118" t="s">
        <v>80</v>
      </c>
      <c r="B118" t="s">
        <v>54</v>
      </c>
      <c r="C118" t="s">
        <v>76</v>
      </c>
      <c r="D118" s="6">
        <v>3819</v>
      </c>
      <c r="E118" s="6">
        <v>4948</v>
      </c>
      <c r="F118" t="s">
        <v>59</v>
      </c>
      <c r="G118" t="str">
        <f t="shared" si="1"/>
        <v>Over Budget</v>
      </c>
    </row>
    <row r="119" spans="1:7" x14ac:dyDescent="0.45">
      <c r="A119" t="s">
        <v>53</v>
      </c>
      <c r="B119" t="s">
        <v>57</v>
      </c>
      <c r="C119" t="s">
        <v>73</v>
      </c>
      <c r="D119" s="6">
        <v>2063</v>
      </c>
      <c r="E119" s="6">
        <v>6424</v>
      </c>
      <c r="F119" t="s">
        <v>66</v>
      </c>
      <c r="G119" t="str">
        <f t="shared" si="1"/>
        <v>Over Budget</v>
      </c>
    </row>
    <row r="120" spans="1:7" x14ac:dyDescent="0.45">
      <c r="A120" t="s">
        <v>53</v>
      </c>
      <c r="B120" t="s">
        <v>75</v>
      </c>
      <c r="C120" t="s">
        <v>68</v>
      </c>
      <c r="D120" s="6">
        <v>1566</v>
      </c>
      <c r="E120" s="6">
        <v>6043</v>
      </c>
      <c r="F120" t="s">
        <v>66</v>
      </c>
      <c r="G120" t="str">
        <f t="shared" si="1"/>
        <v>Over Budget</v>
      </c>
    </row>
    <row r="121" spans="1:7" x14ac:dyDescent="0.45">
      <c r="A121" t="s">
        <v>80</v>
      </c>
      <c r="B121" t="s">
        <v>78</v>
      </c>
      <c r="C121" t="s">
        <v>79</v>
      </c>
      <c r="D121" s="6">
        <v>3485</v>
      </c>
      <c r="E121" s="6">
        <v>2227</v>
      </c>
      <c r="F121" t="s">
        <v>66</v>
      </c>
      <c r="G121" t="str">
        <f t="shared" si="1"/>
        <v>On Budget</v>
      </c>
    </row>
    <row r="122" spans="1:7" x14ac:dyDescent="0.45">
      <c r="A122" t="s">
        <v>69</v>
      </c>
      <c r="B122" t="s">
        <v>75</v>
      </c>
      <c r="C122" t="s">
        <v>79</v>
      </c>
      <c r="D122" s="6">
        <v>9141</v>
      </c>
      <c r="E122" s="6">
        <v>10040</v>
      </c>
      <c r="F122" t="s">
        <v>77</v>
      </c>
      <c r="G122" t="str">
        <f t="shared" si="1"/>
        <v>Over Budget</v>
      </c>
    </row>
    <row r="123" spans="1:7" x14ac:dyDescent="0.45">
      <c r="A123" t="s">
        <v>60</v>
      </c>
      <c r="B123" t="s">
        <v>57</v>
      </c>
      <c r="C123" t="s">
        <v>61</v>
      </c>
      <c r="D123" s="6">
        <v>3619</v>
      </c>
      <c r="E123" s="6">
        <v>6866</v>
      </c>
      <c r="F123" t="s">
        <v>62</v>
      </c>
      <c r="G123" t="str">
        <f t="shared" si="1"/>
        <v>Over Budget</v>
      </c>
    </row>
    <row r="124" spans="1:7" x14ac:dyDescent="0.45">
      <c r="A124" t="s">
        <v>60</v>
      </c>
      <c r="B124" t="s">
        <v>78</v>
      </c>
      <c r="C124" t="s">
        <v>65</v>
      </c>
      <c r="D124" s="6">
        <v>1302</v>
      </c>
      <c r="E124" s="6">
        <v>10929</v>
      </c>
      <c r="F124" t="s">
        <v>77</v>
      </c>
      <c r="G124" t="str">
        <f t="shared" si="1"/>
        <v>Over Budget</v>
      </c>
    </row>
    <row r="125" spans="1:7" x14ac:dyDescent="0.45">
      <c r="A125" t="s">
        <v>80</v>
      </c>
      <c r="B125" t="s">
        <v>78</v>
      </c>
      <c r="C125" t="s">
        <v>65</v>
      </c>
      <c r="D125" s="6">
        <v>1816</v>
      </c>
      <c r="E125" s="6">
        <v>3942</v>
      </c>
      <c r="F125" t="s">
        <v>59</v>
      </c>
      <c r="G125" t="str">
        <f t="shared" si="1"/>
        <v>Over Budget</v>
      </c>
    </row>
    <row r="126" spans="1:7" x14ac:dyDescent="0.45">
      <c r="A126" t="s">
        <v>60</v>
      </c>
      <c r="B126" t="s">
        <v>57</v>
      </c>
      <c r="C126" t="s">
        <v>73</v>
      </c>
      <c r="D126" s="6">
        <v>2553</v>
      </c>
      <c r="E126" s="6">
        <v>3881</v>
      </c>
      <c r="F126" t="s">
        <v>59</v>
      </c>
      <c r="G126" t="str">
        <f t="shared" si="1"/>
        <v>Over Budget</v>
      </c>
    </row>
    <row r="127" spans="1:7" x14ac:dyDescent="0.45">
      <c r="A127" t="s">
        <v>80</v>
      </c>
      <c r="B127" t="s">
        <v>54</v>
      </c>
      <c r="C127" t="s">
        <v>81</v>
      </c>
      <c r="D127" s="6">
        <v>8243</v>
      </c>
      <c r="E127" s="6">
        <v>10125</v>
      </c>
      <c r="F127" t="s">
        <v>59</v>
      </c>
      <c r="G127" t="str">
        <f t="shared" si="1"/>
        <v>Over Budget</v>
      </c>
    </row>
    <row r="128" spans="1:7" x14ac:dyDescent="0.45">
      <c r="A128" t="s">
        <v>53</v>
      </c>
      <c r="B128" t="s">
        <v>70</v>
      </c>
      <c r="C128" t="s">
        <v>76</v>
      </c>
      <c r="D128" s="6">
        <v>6346</v>
      </c>
      <c r="E128" s="6">
        <v>6459</v>
      </c>
      <c r="F128" t="s">
        <v>66</v>
      </c>
      <c r="G128" t="str">
        <f t="shared" si="1"/>
        <v>Over Budget</v>
      </c>
    </row>
    <row r="129" spans="1:7" x14ac:dyDescent="0.45">
      <c r="A129" t="s">
        <v>63</v>
      </c>
      <c r="B129" t="s">
        <v>72</v>
      </c>
      <c r="C129" t="s">
        <v>73</v>
      </c>
      <c r="D129" s="6">
        <v>3615</v>
      </c>
      <c r="E129" s="6">
        <v>3735</v>
      </c>
      <c r="F129" t="s">
        <v>66</v>
      </c>
      <c r="G129" t="str">
        <f t="shared" si="1"/>
        <v>Over Budget</v>
      </c>
    </row>
    <row r="130" spans="1:7" x14ac:dyDescent="0.45">
      <c r="A130" t="s">
        <v>56</v>
      </c>
      <c r="B130" t="s">
        <v>75</v>
      </c>
      <c r="C130" t="s">
        <v>76</v>
      </c>
      <c r="D130" s="6">
        <v>5399</v>
      </c>
      <c r="E130" s="6">
        <v>6127</v>
      </c>
      <c r="G130" t="str">
        <f t="shared" ref="G130:G193" si="2">IF(E130&gt;D130,"Over Budget","On Budget")</f>
        <v>Over Budget</v>
      </c>
    </row>
    <row r="131" spans="1:7" x14ac:dyDescent="0.45">
      <c r="A131" t="s">
        <v>74</v>
      </c>
      <c r="B131" t="s">
        <v>57</v>
      </c>
      <c r="C131" t="s">
        <v>79</v>
      </c>
      <c r="D131" s="6">
        <v>5806</v>
      </c>
      <c r="E131" s="6">
        <v>2415</v>
      </c>
      <c r="F131" t="s">
        <v>62</v>
      </c>
      <c r="G131" t="str">
        <f t="shared" si="2"/>
        <v>On Budget</v>
      </c>
    </row>
    <row r="132" spans="1:7" x14ac:dyDescent="0.45">
      <c r="A132" t="s">
        <v>80</v>
      </c>
      <c r="B132" t="s">
        <v>57</v>
      </c>
      <c r="C132" t="s">
        <v>58</v>
      </c>
      <c r="D132" s="6">
        <v>1837</v>
      </c>
      <c r="E132" s="6">
        <v>7341</v>
      </c>
      <c r="F132" t="s">
        <v>66</v>
      </c>
      <c r="G132" t="str">
        <f t="shared" si="2"/>
        <v>Over Budget</v>
      </c>
    </row>
    <row r="133" spans="1:7" x14ac:dyDescent="0.45">
      <c r="A133" t="s">
        <v>53</v>
      </c>
      <c r="B133" t="s">
        <v>72</v>
      </c>
      <c r="C133" t="s">
        <v>68</v>
      </c>
      <c r="D133" s="6">
        <v>1585</v>
      </c>
      <c r="E133" s="6">
        <v>8036</v>
      </c>
      <c r="F133" t="s">
        <v>66</v>
      </c>
      <c r="G133" t="str">
        <f t="shared" si="2"/>
        <v>Over Budget</v>
      </c>
    </row>
    <row r="134" spans="1:7" x14ac:dyDescent="0.45">
      <c r="A134" t="s">
        <v>53</v>
      </c>
      <c r="B134" t="s">
        <v>72</v>
      </c>
      <c r="C134" t="s">
        <v>65</v>
      </c>
      <c r="D134" s="6">
        <v>4704</v>
      </c>
      <c r="E134" s="6">
        <v>1099</v>
      </c>
      <c r="F134" t="s">
        <v>59</v>
      </c>
      <c r="G134" t="str">
        <f t="shared" si="2"/>
        <v>On Budget</v>
      </c>
    </row>
    <row r="135" spans="1:7" x14ac:dyDescent="0.45">
      <c r="A135" t="s">
        <v>56</v>
      </c>
      <c r="B135" t="s">
        <v>72</v>
      </c>
      <c r="C135" t="s">
        <v>79</v>
      </c>
      <c r="D135" s="6">
        <v>6386</v>
      </c>
      <c r="E135" s="6">
        <v>6028</v>
      </c>
      <c r="F135" t="s">
        <v>66</v>
      </c>
      <c r="G135" t="str">
        <f t="shared" si="2"/>
        <v>On Budget</v>
      </c>
    </row>
    <row r="136" spans="1:7" x14ac:dyDescent="0.45">
      <c r="A136" t="s">
        <v>56</v>
      </c>
      <c r="B136" t="s">
        <v>82</v>
      </c>
      <c r="C136" t="s">
        <v>64</v>
      </c>
      <c r="D136" s="6">
        <v>7733</v>
      </c>
      <c r="E136" s="6">
        <v>4773</v>
      </c>
      <c r="F136" t="s">
        <v>66</v>
      </c>
      <c r="G136" t="str">
        <f t="shared" si="2"/>
        <v>On Budget</v>
      </c>
    </row>
    <row r="137" spans="1:7" x14ac:dyDescent="0.45">
      <c r="A137" t="s">
        <v>80</v>
      </c>
      <c r="B137" t="s">
        <v>75</v>
      </c>
      <c r="C137" t="s">
        <v>73</v>
      </c>
      <c r="D137" s="6">
        <v>4382</v>
      </c>
      <c r="E137" s="6">
        <v>2988</v>
      </c>
      <c r="G137" t="str">
        <f t="shared" si="2"/>
        <v>On Budget</v>
      </c>
    </row>
    <row r="138" spans="1:7" x14ac:dyDescent="0.45">
      <c r="A138" t="s">
        <v>74</v>
      </c>
      <c r="B138" t="s">
        <v>70</v>
      </c>
      <c r="C138" t="s">
        <v>58</v>
      </c>
      <c r="D138" s="6">
        <v>7398</v>
      </c>
      <c r="E138" s="6">
        <v>11208</v>
      </c>
      <c r="G138" t="str">
        <f t="shared" si="2"/>
        <v>Over Budget</v>
      </c>
    </row>
    <row r="139" spans="1:7" x14ac:dyDescent="0.45">
      <c r="A139" t="s">
        <v>69</v>
      </c>
      <c r="B139" t="s">
        <v>75</v>
      </c>
      <c r="C139" t="s">
        <v>81</v>
      </c>
      <c r="D139" s="6">
        <v>9867</v>
      </c>
      <c r="E139" s="6">
        <v>8693</v>
      </c>
      <c r="G139" t="str">
        <f t="shared" si="2"/>
        <v>On Budget</v>
      </c>
    </row>
    <row r="140" spans="1:7" x14ac:dyDescent="0.45">
      <c r="A140" t="s">
        <v>53</v>
      </c>
      <c r="B140" t="s">
        <v>54</v>
      </c>
      <c r="C140" t="s">
        <v>65</v>
      </c>
      <c r="D140" s="6">
        <v>8813</v>
      </c>
      <c r="E140" s="6">
        <v>8553</v>
      </c>
      <c r="F140" t="s">
        <v>59</v>
      </c>
      <c r="G140" t="str">
        <f t="shared" si="2"/>
        <v>On Budget</v>
      </c>
    </row>
    <row r="141" spans="1:7" x14ac:dyDescent="0.45">
      <c r="A141" t="s">
        <v>60</v>
      </c>
      <c r="B141" t="s">
        <v>75</v>
      </c>
      <c r="C141" t="s">
        <v>79</v>
      </c>
      <c r="D141" s="6">
        <v>7276</v>
      </c>
      <c r="E141" s="6">
        <v>7102</v>
      </c>
      <c r="F141" t="s">
        <v>66</v>
      </c>
      <c r="G141" t="str">
        <f t="shared" si="2"/>
        <v>On Budget</v>
      </c>
    </row>
    <row r="142" spans="1:7" x14ac:dyDescent="0.45">
      <c r="A142" t="s">
        <v>60</v>
      </c>
      <c r="B142" t="s">
        <v>54</v>
      </c>
      <c r="C142" t="s">
        <v>79</v>
      </c>
      <c r="D142" s="6">
        <v>8998</v>
      </c>
      <c r="E142" s="6">
        <v>11610</v>
      </c>
      <c r="F142" t="s">
        <v>62</v>
      </c>
      <c r="G142" t="str">
        <f t="shared" si="2"/>
        <v>Over Budget</v>
      </c>
    </row>
    <row r="143" spans="1:7" x14ac:dyDescent="0.45">
      <c r="A143" t="s">
        <v>74</v>
      </c>
      <c r="B143" t="s">
        <v>57</v>
      </c>
      <c r="C143" t="s">
        <v>65</v>
      </c>
      <c r="D143" s="6">
        <v>1274</v>
      </c>
      <c r="E143" s="6">
        <v>1938</v>
      </c>
      <c r="F143" t="s">
        <v>62</v>
      </c>
      <c r="G143" t="str">
        <f t="shared" si="2"/>
        <v>Over Budget</v>
      </c>
    </row>
    <row r="144" spans="1:7" x14ac:dyDescent="0.45">
      <c r="A144" t="s">
        <v>53</v>
      </c>
      <c r="B144" t="s">
        <v>72</v>
      </c>
      <c r="C144" t="s">
        <v>61</v>
      </c>
      <c r="D144" s="6">
        <v>5123</v>
      </c>
      <c r="E144" s="6">
        <v>7843</v>
      </c>
      <c r="F144" t="s">
        <v>59</v>
      </c>
      <c r="G144" t="str">
        <f t="shared" si="2"/>
        <v>Over Budget</v>
      </c>
    </row>
    <row r="145" spans="1:7" x14ac:dyDescent="0.45">
      <c r="A145" t="s">
        <v>60</v>
      </c>
      <c r="B145" t="s">
        <v>57</v>
      </c>
      <c r="C145" t="s">
        <v>61</v>
      </c>
      <c r="D145" s="6">
        <v>7064</v>
      </c>
      <c r="E145" s="6">
        <v>2139</v>
      </c>
      <c r="G145" t="str">
        <f t="shared" si="2"/>
        <v>On Budget</v>
      </c>
    </row>
    <row r="146" spans="1:7" x14ac:dyDescent="0.45">
      <c r="A146" t="s">
        <v>69</v>
      </c>
      <c r="B146" t="s">
        <v>78</v>
      </c>
      <c r="C146" t="s">
        <v>67</v>
      </c>
      <c r="D146" s="6">
        <v>8321</v>
      </c>
      <c r="E146" s="6">
        <v>7191</v>
      </c>
      <c r="F146" t="s">
        <v>66</v>
      </c>
      <c r="G146" t="str">
        <f t="shared" si="2"/>
        <v>On Budget</v>
      </c>
    </row>
    <row r="147" spans="1:7" x14ac:dyDescent="0.45">
      <c r="A147" t="s">
        <v>74</v>
      </c>
      <c r="B147" t="s">
        <v>82</v>
      </c>
      <c r="C147" t="s">
        <v>61</v>
      </c>
      <c r="D147" s="6">
        <v>5624</v>
      </c>
      <c r="E147" s="6">
        <v>9652</v>
      </c>
      <c r="F147" t="s">
        <v>77</v>
      </c>
      <c r="G147" t="str">
        <f t="shared" si="2"/>
        <v>Over Budget</v>
      </c>
    </row>
    <row r="148" spans="1:7" x14ac:dyDescent="0.45">
      <c r="A148" t="s">
        <v>63</v>
      </c>
      <c r="B148" t="s">
        <v>75</v>
      </c>
      <c r="C148" t="s">
        <v>67</v>
      </c>
      <c r="D148" s="6">
        <v>3363</v>
      </c>
      <c r="E148" s="6">
        <v>7558</v>
      </c>
      <c r="G148" t="str">
        <f t="shared" si="2"/>
        <v>Over Budget</v>
      </c>
    </row>
    <row r="149" spans="1:7" x14ac:dyDescent="0.45">
      <c r="A149" t="s">
        <v>74</v>
      </c>
      <c r="B149" t="s">
        <v>72</v>
      </c>
      <c r="C149" t="s">
        <v>65</v>
      </c>
      <c r="D149" s="6">
        <v>3860</v>
      </c>
      <c r="E149" s="6">
        <v>965</v>
      </c>
      <c r="F149" t="s">
        <v>66</v>
      </c>
      <c r="G149" t="str">
        <f t="shared" si="2"/>
        <v>On Budget</v>
      </c>
    </row>
    <row r="150" spans="1:7" x14ac:dyDescent="0.45">
      <c r="A150" t="s">
        <v>60</v>
      </c>
      <c r="B150" t="s">
        <v>54</v>
      </c>
      <c r="C150" t="s">
        <v>73</v>
      </c>
      <c r="D150" s="6">
        <v>6061</v>
      </c>
      <c r="E150" s="6">
        <v>3903</v>
      </c>
      <c r="G150" t="str">
        <f t="shared" si="2"/>
        <v>On Budget</v>
      </c>
    </row>
    <row r="151" spans="1:7" x14ac:dyDescent="0.45">
      <c r="A151" t="s">
        <v>53</v>
      </c>
      <c r="B151" t="s">
        <v>78</v>
      </c>
      <c r="C151" t="s">
        <v>79</v>
      </c>
      <c r="D151" s="6">
        <v>8470</v>
      </c>
      <c r="E151" s="6">
        <v>5246</v>
      </c>
      <c r="G151" t="str">
        <f t="shared" si="2"/>
        <v>On Budget</v>
      </c>
    </row>
    <row r="152" spans="1:7" x14ac:dyDescent="0.45">
      <c r="A152" t="s">
        <v>56</v>
      </c>
      <c r="B152" t="s">
        <v>82</v>
      </c>
      <c r="C152" t="s">
        <v>61</v>
      </c>
      <c r="D152" s="6">
        <v>6850</v>
      </c>
      <c r="E152" s="6">
        <v>5804</v>
      </c>
      <c r="F152" t="s">
        <v>77</v>
      </c>
      <c r="G152" t="str">
        <f t="shared" si="2"/>
        <v>On Budget</v>
      </c>
    </row>
    <row r="153" spans="1:7" x14ac:dyDescent="0.45">
      <c r="A153" t="s">
        <v>80</v>
      </c>
      <c r="B153" t="s">
        <v>70</v>
      </c>
      <c r="C153" t="s">
        <v>58</v>
      </c>
      <c r="D153" s="6">
        <v>6963</v>
      </c>
      <c r="E153" s="6">
        <v>7460</v>
      </c>
      <c r="F153" t="s">
        <v>66</v>
      </c>
      <c r="G153" t="str">
        <f t="shared" si="2"/>
        <v>Over Budget</v>
      </c>
    </row>
    <row r="154" spans="1:7" x14ac:dyDescent="0.45">
      <c r="A154" t="s">
        <v>60</v>
      </c>
      <c r="B154" t="s">
        <v>82</v>
      </c>
      <c r="C154" t="s">
        <v>55</v>
      </c>
      <c r="D154" s="6">
        <v>8235</v>
      </c>
      <c r="E154" s="6">
        <v>11316</v>
      </c>
      <c r="F154" t="s">
        <v>77</v>
      </c>
      <c r="G154" t="str">
        <f t="shared" si="2"/>
        <v>Over Budget</v>
      </c>
    </row>
    <row r="155" spans="1:7" x14ac:dyDescent="0.45">
      <c r="A155" t="s">
        <v>74</v>
      </c>
      <c r="B155" t="s">
        <v>82</v>
      </c>
      <c r="C155" t="s">
        <v>76</v>
      </c>
      <c r="D155" s="6">
        <v>4770</v>
      </c>
      <c r="E155" s="6">
        <v>5145</v>
      </c>
      <c r="F155" t="s">
        <v>62</v>
      </c>
      <c r="G155" t="str">
        <f t="shared" si="2"/>
        <v>Over Budget</v>
      </c>
    </row>
    <row r="156" spans="1:7" x14ac:dyDescent="0.45">
      <c r="A156" t="s">
        <v>56</v>
      </c>
      <c r="B156" t="s">
        <v>78</v>
      </c>
      <c r="C156" t="s">
        <v>58</v>
      </c>
      <c r="D156" s="6">
        <v>6281</v>
      </c>
      <c r="E156" s="6">
        <v>2852</v>
      </c>
      <c r="F156" t="s">
        <v>66</v>
      </c>
      <c r="G156" t="str">
        <f t="shared" si="2"/>
        <v>On Budget</v>
      </c>
    </row>
    <row r="157" spans="1:7" x14ac:dyDescent="0.45">
      <c r="A157" t="s">
        <v>80</v>
      </c>
      <c r="B157" t="s">
        <v>78</v>
      </c>
      <c r="C157" t="s">
        <v>71</v>
      </c>
      <c r="D157" s="6">
        <v>6818</v>
      </c>
      <c r="E157" s="6">
        <v>4819</v>
      </c>
      <c r="G157" t="str">
        <f t="shared" si="2"/>
        <v>On Budget</v>
      </c>
    </row>
    <row r="158" spans="1:7" x14ac:dyDescent="0.45">
      <c r="A158" t="s">
        <v>56</v>
      </c>
      <c r="B158" t="s">
        <v>72</v>
      </c>
      <c r="C158" t="s">
        <v>79</v>
      </c>
      <c r="D158" s="6">
        <v>7068</v>
      </c>
      <c r="E158" s="6">
        <v>10517</v>
      </c>
      <c r="F158" t="s">
        <v>77</v>
      </c>
      <c r="G158" t="str">
        <f t="shared" si="2"/>
        <v>Over Budget</v>
      </c>
    </row>
    <row r="159" spans="1:7" x14ac:dyDescent="0.45">
      <c r="A159" t="s">
        <v>60</v>
      </c>
      <c r="B159" t="s">
        <v>75</v>
      </c>
      <c r="C159" t="s">
        <v>64</v>
      </c>
      <c r="D159" s="6">
        <v>8822</v>
      </c>
      <c r="E159" s="6">
        <v>8070</v>
      </c>
      <c r="F159" t="s">
        <v>62</v>
      </c>
      <c r="G159" t="str">
        <f t="shared" si="2"/>
        <v>On Budget</v>
      </c>
    </row>
    <row r="160" spans="1:7" x14ac:dyDescent="0.45">
      <c r="A160" t="s">
        <v>53</v>
      </c>
      <c r="B160" t="s">
        <v>70</v>
      </c>
      <c r="C160" t="s">
        <v>81</v>
      </c>
      <c r="D160" s="6">
        <v>3336</v>
      </c>
      <c r="E160" s="6">
        <v>6550</v>
      </c>
      <c r="G160" t="str">
        <f t="shared" si="2"/>
        <v>Over Budget</v>
      </c>
    </row>
    <row r="161" spans="1:7" x14ac:dyDescent="0.45">
      <c r="A161" t="s">
        <v>56</v>
      </c>
      <c r="B161" t="s">
        <v>70</v>
      </c>
      <c r="C161" t="s">
        <v>64</v>
      </c>
      <c r="D161" s="6">
        <v>3291</v>
      </c>
      <c r="E161" s="6">
        <v>9771</v>
      </c>
      <c r="F161" t="s">
        <v>59</v>
      </c>
      <c r="G161" t="str">
        <f t="shared" si="2"/>
        <v>Over Budget</v>
      </c>
    </row>
    <row r="162" spans="1:7" x14ac:dyDescent="0.45">
      <c r="A162" t="s">
        <v>69</v>
      </c>
      <c r="B162" t="s">
        <v>75</v>
      </c>
      <c r="C162" t="s">
        <v>68</v>
      </c>
      <c r="D162" s="6">
        <v>9356</v>
      </c>
      <c r="E162" s="6">
        <v>11851</v>
      </c>
      <c r="F162" t="s">
        <v>66</v>
      </c>
      <c r="G162" t="str">
        <f t="shared" si="2"/>
        <v>Over Budget</v>
      </c>
    </row>
    <row r="163" spans="1:7" x14ac:dyDescent="0.45">
      <c r="A163" t="s">
        <v>53</v>
      </c>
      <c r="B163" t="s">
        <v>78</v>
      </c>
      <c r="C163" t="s">
        <v>79</v>
      </c>
      <c r="D163" s="6">
        <v>4391</v>
      </c>
      <c r="E163" s="6">
        <v>3112</v>
      </c>
      <c r="F163" t="s">
        <v>59</v>
      </c>
      <c r="G163" t="str">
        <f t="shared" si="2"/>
        <v>On Budget</v>
      </c>
    </row>
    <row r="164" spans="1:7" x14ac:dyDescent="0.45">
      <c r="A164" t="s">
        <v>60</v>
      </c>
      <c r="B164" t="s">
        <v>78</v>
      </c>
      <c r="C164" t="s">
        <v>55</v>
      </c>
      <c r="D164" s="6">
        <v>1408</v>
      </c>
      <c r="E164" s="6">
        <v>5018</v>
      </c>
      <c r="F164" t="s">
        <v>62</v>
      </c>
      <c r="G164" t="str">
        <f t="shared" si="2"/>
        <v>Over Budget</v>
      </c>
    </row>
    <row r="165" spans="1:7" x14ac:dyDescent="0.45">
      <c r="A165" t="s">
        <v>80</v>
      </c>
      <c r="B165" t="s">
        <v>57</v>
      </c>
      <c r="C165" t="s">
        <v>81</v>
      </c>
      <c r="D165" s="6">
        <v>7553</v>
      </c>
      <c r="E165" s="6">
        <v>4643</v>
      </c>
      <c r="F165" t="s">
        <v>62</v>
      </c>
      <c r="G165" t="str">
        <f t="shared" si="2"/>
        <v>On Budget</v>
      </c>
    </row>
    <row r="166" spans="1:7" x14ac:dyDescent="0.45">
      <c r="A166" t="s">
        <v>56</v>
      </c>
      <c r="B166" t="s">
        <v>72</v>
      </c>
      <c r="C166" t="s">
        <v>65</v>
      </c>
      <c r="D166" s="6">
        <v>4348</v>
      </c>
      <c r="E166" s="6">
        <v>1086</v>
      </c>
      <c r="G166" t="str">
        <f t="shared" si="2"/>
        <v>On Budget</v>
      </c>
    </row>
    <row r="167" spans="1:7" x14ac:dyDescent="0.45">
      <c r="A167" t="s">
        <v>80</v>
      </c>
      <c r="B167" t="s">
        <v>75</v>
      </c>
      <c r="C167" t="s">
        <v>55</v>
      </c>
      <c r="D167" s="6">
        <v>3548</v>
      </c>
      <c r="E167" s="6">
        <v>3142</v>
      </c>
      <c r="F167" t="s">
        <v>62</v>
      </c>
      <c r="G167" t="str">
        <f t="shared" si="2"/>
        <v>On Budget</v>
      </c>
    </row>
    <row r="168" spans="1:7" x14ac:dyDescent="0.45">
      <c r="A168" t="s">
        <v>53</v>
      </c>
      <c r="B168" t="s">
        <v>78</v>
      </c>
      <c r="C168" t="s">
        <v>71</v>
      </c>
      <c r="D168" s="6">
        <v>8189</v>
      </c>
      <c r="E168" s="6">
        <v>8919</v>
      </c>
      <c r="F168" t="s">
        <v>59</v>
      </c>
      <c r="G168" t="str">
        <f t="shared" si="2"/>
        <v>Over Budget</v>
      </c>
    </row>
    <row r="169" spans="1:7" x14ac:dyDescent="0.45">
      <c r="A169" t="s">
        <v>63</v>
      </c>
      <c r="B169" t="s">
        <v>70</v>
      </c>
      <c r="C169" t="s">
        <v>61</v>
      </c>
      <c r="D169" s="6">
        <v>3517</v>
      </c>
      <c r="E169" s="6">
        <v>8970</v>
      </c>
      <c r="G169" t="str">
        <f t="shared" si="2"/>
        <v>Over Budget</v>
      </c>
    </row>
    <row r="170" spans="1:7" x14ac:dyDescent="0.45">
      <c r="A170" t="s">
        <v>53</v>
      </c>
      <c r="B170" t="s">
        <v>78</v>
      </c>
      <c r="C170" t="s">
        <v>55</v>
      </c>
      <c r="D170" s="6">
        <v>9821</v>
      </c>
      <c r="E170" s="6">
        <v>7026</v>
      </c>
      <c r="G170" t="str">
        <f t="shared" si="2"/>
        <v>On Budget</v>
      </c>
    </row>
    <row r="171" spans="1:7" x14ac:dyDescent="0.45">
      <c r="A171" t="s">
        <v>56</v>
      </c>
      <c r="B171" t="s">
        <v>75</v>
      </c>
      <c r="C171" t="s">
        <v>58</v>
      </c>
      <c r="D171" s="6">
        <v>5878</v>
      </c>
      <c r="E171" s="6">
        <v>4594</v>
      </c>
      <c r="F171" t="s">
        <v>77</v>
      </c>
      <c r="G171" t="str">
        <f t="shared" si="2"/>
        <v>On Budget</v>
      </c>
    </row>
    <row r="172" spans="1:7" x14ac:dyDescent="0.45">
      <c r="A172" t="s">
        <v>63</v>
      </c>
      <c r="B172" t="s">
        <v>54</v>
      </c>
      <c r="C172" t="s">
        <v>55</v>
      </c>
      <c r="D172" s="6">
        <v>9986</v>
      </c>
      <c r="E172" s="6">
        <v>6304</v>
      </c>
      <c r="G172" t="str">
        <f t="shared" si="2"/>
        <v>On Budget</v>
      </c>
    </row>
    <row r="173" spans="1:7" x14ac:dyDescent="0.45">
      <c r="A173" t="s">
        <v>60</v>
      </c>
      <c r="B173" t="s">
        <v>82</v>
      </c>
      <c r="C173" t="s">
        <v>61</v>
      </c>
      <c r="D173" s="6">
        <v>1973</v>
      </c>
      <c r="E173" s="6">
        <v>6463</v>
      </c>
      <c r="F173" t="s">
        <v>77</v>
      </c>
      <c r="G173" t="str">
        <f t="shared" si="2"/>
        <v>Over Budget</v>
      </c>
    </row>
    <row r="174" spans="1:7" x14ac:dyDescent="0.45">
      <c r="A174" t="s">
        <v>69</v>
      </c>
      <c r="B174" t="s">
        <v>54</v>
      </c>
      <c r="C174" t="s">
        <v>71</v>
      </c>
      <c r="D174" s="6">
        <v>5981</v>
      </c>
      <c r="E174" s="6">
        <v>10207</v>
      </c>
      <c r="F174" t="s">
        <v>77</v>
      </c>
      <c r="G174" t="str">
        <f t="shared" si="2"/>
        <v>Over Budget</v>
      </c>
    </row>
    <row r="175" spans="1:7" x14ac:dyDescent="0.45">
      <c r="A175" t="s">
        <v>56</v>
      </c>
      <c r="B175" t="s">
        <v>78</v>
      </c>
      <c r="C175" t="s">
        <v>67</v>
      </c>
      <c r="D175" s="6">
        <v>9540</v>
      </c>
      <c r="E175" s="6">
        <v>1153</v>
      </c>
      <c r="G175" t="str">
        <f t="shared" si="2"/>
        <v>On Budget</v>
      </c>
    </row>
    <row r="176" spans="1:7" x14ac:dyDescent="0.45">
      <c r="A176" t="s">
        <v>80</v>
      </c>
      <c r="B176" t="s">
        <v>82</v>
      </c>
      <c r="C176" t="s">
        <v>64</v>
      </c>
      <c r="D176" s="6">
        <v>6631</v>
      </c>
      <c r="E176" s="6">
        <v>5193</v>
      </c>
      <c r="F176" t="s">
        <v>59</v>
      </c>
      <c r="G176" t="str">
        <f t="shared" si="2"/>
        <v>On Budget</v>
      </c>
    </row>
    <row r="177" spans="1:7" x14ac:dyDescent="0.45">
      <c r="A177" t="s">
        <v>80</v>
      </c>
      <c r="B177" t="s">
        <v>57</v>
      </c>
      <c r="C177" t="s">
        <v>68</v>
      </c>
      <c r="D177" s="6">
        <v>3737</v>
      </c>
      <c r="E177" s="6">
        <v>814</v>
      </c>
      <c r="F177" t="s">
        <v>66</v>
      </c>
      <c r="G177" t="str">
        <f t="shared" si="2"/>
        <v>On Budget</v>
      </c>
    </row>
    <row r="178" spans="1:7" x14ac:dyDescent="0.45">
      <c r="A178" t="s">
        <v>60</v>
      </c>
      <c r="B178" t="s">
        <v>57</v>
      </c>
      <c r="C178" t="s">
        <v>68</v>
      </c>
      <c r="D178" s="6">
        <v>4941</v>
      </c>
      <c r="E178" s="6">
        <v>7764</v>
      </c>
      <c r="F178" t="s">
        <v>66</v>
      </c>
      <c r="G178" t="str">
        <f t="shared" si="2"/>
        <v>Over Budget</v>
      </c>
    </row>
    <row r="179" spans="1:7" x14ac:dyDescent="0.45">
      <c r="A179" t="s">
        <v>63</v>
      </c>
      <c r="B179" t="s">
        <v>57</v>
      </c>
      <c r="C179" t="s">
        <v>55</v>
      </c>
      <c r="D179" s="6">
        <v>7569</v>
      </c>
      <c r="E179" s="6">
        <v>6793</v>
      </c>
      <c r="F179" t="s">
        <v>59</v>
      </c>
      <c r="G179" t="str">
        <f t="shared" si="2"/>
        <v>On Budget</v>
      </c>
    </row>
    <row r="180" spans="1:7" x14ac:dyDescent="0.45">
      <c r="A180" t="s">
        <v>53</v>
      </c>
      <c r="B180" t="s">
        <v>82</v>
      </c>
      <c r="C180" t="s">
        <v>61</v>
      </c>
      <c r="D180" s="6">
        <v>8282</v>
      </c>
      <c r="E180" s="6">
        <v>6572</v>
      </c>
      <c r="F180" t="s">
        <v>66</v>
      </c>
      <c r="G180" t="str">
        <f t="shared" si="2"/>
        <v>On Budget</v>
      </c>
    </row>
    <row r="181" spans="1:7" x14ac:dyDescent="0.45">
      <c r="A181" t="s">
        <v>69</v>
      </c>
      <c r="B181" t="s">
        <v>70</v>
      </c>
      <c r="C181" t="s">
        <v>58</v>
      </c>
      <c r="D181" s="6">
        <v>5707</v>
      </c>
      <c r="E181" s="6">
        <v>1247</v>
      </c>
      <c r="F181" t="s">
        <v>62</v>
      </c>
      <c r="G181" t="str">
        <f t="shared" si="2"/>
        <v>On Budget</v>
      </c>
    </row>
    <row r="182" spans="1:7" x14ac:dyDescent="0.45">
      <c r="A182" t="s">
        <v>63</v>
      </c>
      <c r="B182" t="s">
        <v>75</v>
      </c>
      <c r="C182" t="s">
        <v>61</v>
      </c>
      <c r="D182" s="6">
        <v>9793</v>
      </c>
      <c r="E182" s="6">
        <v>11068</v>
      </c>
      <c r="F182" t="s">
        <v>66</v>
      </c>
      <c r="G182" t="str">
        <f t="shared" si="2"/>
        <v>Over Budget</v>
      </c>
    </row>
    <row r="183" spans="1:7" x14ac:dyDescent="0.45">
      <c r="A183" t="s">
        <v>56</v>
      </c>
      <c r="B183" t="s">
        <v>72</v>
      </c>
      <c r="C183" t="s">
        <v>58</v>
      </c>
      <c r="D183" s="6">
        <v>5682</v>
      </c>
      <c r="E183" s="6">
        <v>5406</v>
      </c>
      <c r="F183" t="s">
        <v>62</v>
      </c>
      <c r="G183" t="str">
        <f t="shared" si="2"/>
        <v>On Budget</v>
      </c>
    </row>
    <row r="184" spans="1:7" x14ac:dyDescent="0.45">
      <c r="A184" t="s">
        <v>53</v>
      </c>
      <c r="B184" t="s">
        <v>75</v>
      </c>
      <c r="C184" t="s">
        <v>73</v>
      </c>
      <c r="D184" s="6">
        <v>6208</v>
      </c>
      <c r="E184" s="6">
        <v>8384</v>
      </c>
      <c r="F184" t="s">
        <v>62</v>
      </c>
      <c r="G184" t="str">
        <f t="shared" si="2"/>
        <v>Over Budget</v>
      </c>
    </row>
    <row r="185" spans="1:7" x14ac:dyDescent="0.45">
      <c r="A185" t="s">
        <v>53</v>
      </c>
      <c r="B185" t="s">
        <v>72</v>
      </c>
      <c r="C185" t="s">
        <v>67</v>
      </c>
      <c r="D185" s="6">
        <v>2120</v>
      </c>
      <c r="E185" s="6">
        <v>3045</v>
      </c>
      <c r="F185" t="s">
        <v>62</v>
      </c>
      <c r="G185" t="str">
        <f t="shared" si="2"/>
        <v>Over Budget</v>
      </c>
    </row>
    <row r="186" spans="1:7" x14ac:dyDescent="0.45">
      <c r="A186" t="s">
        <v>80</v>
      </c>
      <c r="B186" t="s">
        <v>75</v>
      </c>
      <c r="C186" t="s">
        <v>58</v>
      </c>
      <c r="D186" s="6">
        <v>6061</v>
      </c>
      <c r="E186" s="6">
        <v>11421</v>
      </c>
      <c r="G186" t="str">
        <f t="shared" si="2"/>
        <v>Over Budget</v>
      </c>
    </row>
    <row r="187" spans="1:7" x14ac:dyDescent="0.45">
      <c r="A187" t="s">
        <v>53</v>
      </c>
      <c r="B187" t="s">
        <v>70</v>
      </c>
      <c r="C187" t="s">
        <v>76</v>
      </c>
      <c r="D187" s="6">
        <v>7404</v>
      </c>
      <c r="E187" s="6">
        <v>7108</v>
      </c>
      <c r="F187" t="s">
        <v>66</v>
      </c>
      <c r="G187" t="str">
        <f t="shared" si="2"/>
        <v>On Budget</v>
      </c>
    </row>
    <row r="188" spans="1:7" x14ac:dyDescent="0.45">
      <c r="A188" t="s">
        <v>80</v>
      </c>
      <c r="B188" t="s">
        <v>82</v>
      </c>
      <c r="C188" t="s">
        <v>73</v>
      </c>
      <c r="D188" s="6">
        <v>8616</v>
      </c>
      <c r="E188" s="6">
        <v>3212</v>
      </c>
      <c r="F188" t="s">
        <v>62</v>
      </c>
      <c r="G188" t="str">
        <f t="shared" si="2"/>
        <v>On Budget</v>
      </c>
    </row>
    <row r="189" spans="1:7" x14ac:dyDescent="0.45">
      <c r="A189" t="s">
        <v>74</v>
      </c>
      <c r="B189" t="s">
        <v>70</v>
      </c>
      <c r="C189" t="s">
        <v>81</v>
      </c>
      <c r="D189" s="6">
        <v>7610</v>
      </c>
      <c r="E189" s="6">
        <v>7804</v>
      </c>
      <c r="F189" t="s">
        <v>77</v>
      </c>
      <c r="G189" t="str">
        <f t="shared" si="2"/>
        <v>Over Budget</v>
      </c>
    </row>
    <row r="190" spans="1:7" x14ac:dyDescent="0.45">
      <c r="A190" t="s">
        <v>56</v>
      </c>
      <c r="B190" t="s">
        <v>78</v>
      </c>
      <c r="C190" t="s">
        <v>73</v>
      </c>
      <c r="D190" s="6">
        <v>8538</v>
      </c>
      <c r="E190" s="6">
        <v>9089</v>
      </c>
      <c r="F190" t="s">
        <v>66</v>
      </c>
      <c r="G190" t="str">
        <f t="shared" si="2"/>
        <v>Over Budget</v>
      </c>
    </row>
    <row r="191" spans="1:7" x14ac:dyDescent="0.45">
      <c r="A191" t="s">
        <v>60</v>
      </c>
      <c r="B191" t="s">
        <v>57</v>
      </c>
      <c r="C191" t="s">
        <v>58</v>
      </c>
      <c r="D191" s="6">
        <v>2560</v>
      </c>
      <c r="E191" s="6">
        <v>3967</v>
      </c>
      <c r="F191" t="s">
        <v>62</v>
      </c>
      <c r="G191" t="str">
        <f t="shared" si="2"/>
        <v>Over Budget</v>
      </c>
    </row>
    <row r="192" spans="1:7" x14ac:dyDescent="0.45">
      <c r="A192" t="s">
        <v>63</v>
      </c>
      <c r="B192" t="s">
        <v>82</v>
      </c>
      <c r="C192" t="s">
        <v>73</v>
      </c>
      <c r="D192" s="6">
        <v>1505</v>
      </c>
      <c r="E192" s="6">
        <v>3747</v>
      </c>
      <c r="F192" t="s">
        <v>59</v>
      </c>
      <c r="G192" t="str">
        <f t="shared" si="2"/>
        <v>Over Budget</v>
      </c>
    </row>
    <row r="193" spans="1:7" x14ac:dyDescent="0.45">
      <c r="A193" t="s">
        <v>63</v>
      </c>
      <c r="B193" t="s">
        <v>78</v>
      </c>
      <c r="C193" t="s">
        <v>65</v>
      </c>
      <c r="D193" s="6">
        <v>8673</v>
      </c>
      <c r="E193" s="6">
        <v>7189</v>
      </c>
      <c r="F193" t="s">
        <v>62</v>
      </c>
      <c r="G193" t="str">
        <f t="shared" si="2"/>
        <v>On Budget</v>
      </c>
    </row>
    <row r="194" spans="1:7" x14ac:dyDescent="0.45">
      <c r="A194" t="s">
        <v>74</v>
      </c>
      <c r="B194" t="s">
        <v>70</v>
      </c>
      <c r="C194" t="s">
        <v>67</v>
      </c>
      <c r="D194" s="6">
        <v>6222</v>
      </c>
      <c r="E194" s="6">
        <v>4080</v>
      </c>
      <c r="F194" t="s">
        <v>59</v>
      </c>
      <c r="G194" t="str">
        <f t="shared" ref="G194:G257" si="3">IF(E194&gt;D194,"Over Budget","On Budget")</f>
        <v>On Budget</v>
      </c>
    </row>
    <row r="195" spans="1:7" x14ac:dyDescent="0.45">
      <c r="A195" t="s">
        <v>53</v>
      </c>
      <c r="B195" t="s">
        <v>70</v>
      </c>
      <c r="C195" t="s">
        <v>58</v>
      </c>
      <c r="D195" s="6">
        <v>4392</v>
      </c>
      <c r="E195" s="6">
        <v>7311</v>
      </c>
      <c r="G195" t="str">
        <f t="shared" si="3"/>
        <v>Over Budget</v>
      </c>
    </row>
    <row r="196" spans="1:7" x14ac:dyDescent="0.45">
      <c r="A196" t="s">
        <v>69</v>
      </c>
      <c r="B196" t="s">
        <v>54</v>
      </c>
      <c r="C196" t="s">
        <v>58</v>
      </c>
      <c r="D196" s="6">
        <v>9217</v>
      </c>
      <c r="E196" s="6">
        <v>7989</v>
      </c>
      <c r="F196" t="s">
        <v>59</v>
      </c>
      <c r="G196" t="str">
        <f t="shared" si="3"/>
        <v>On Budget</v>
      </c>
    </row>
    <row r="197" spans="1:7" x14ac:dyDescent="0.45">
      <c r="A197" t="s">
        <v>80</v>
      </c>
      <c r="B197" t="s">
        <v>78</v>
      </c>
      <c r="C197" t="s">
        <v>58</v>
      </c>
      <c r="D197" s="6">
        <v>5890</v>
      </c>
      <c r="E197" s="6">
        <v>9929</v>
      </c>
      <c r="F197" t="s">
        <v>66</v>
      </c>
      <c r="G197" t="str">
        <f t="shared" si="3"/>
        <v>Over Budget</v>
      </c>
    </row>
    <row r="198" spans="1:7" x14ac:dyDescent="0.45">
      <c r="A198" t="s">
        <v>63</v>
      </c>
      <c r="B198" t="s">
        <v>54</v>
      </c>
      <c r="C198" t="s">
        <v>81</v>
      </c>
      <c r="D198" s="6">
        <v>5854</v>
      </c>
      <c r="E198" s="6">
        <v>8953</v>
      </c>
      <c r="G198" t="str">
        <f t="shared" si="3"/>
        <v>Over Budget</v>
      </c>
    </row>
    <row r="199" spans="1:7" x14ac:dyDescent="0.45">
      <c r="A199" t="s">
        <v>80</v>
      </c>
      <c r="B199" t="s">
        <v>57</v>
      </c>
      <c r="C199" t="s">
        <v>64</v>
      </c>
      <c r="D199" s="6">
        <v>8987</v>
      </c>
      <c r="E199" s="6">
        <v>9571</v>
      </c>
      <c r="G199" t="str">
        <f t="shared" si="3"/>
        <v>Over Budget</v>
      </c>
    </row>
    <row r="200" spans="1:7" x14ac:dyDescent="0.45">
      <c r="A200" t="s">
        <v>69</v>
      </c>
      <c r="B200" t="s">
        <v>72</v>
      </c>
      <c r="C200" t="s">
        <v>67</v>
      </c>
      <c r="D200" s="6">
        <v>5671</v>
      </c>
      <c r="E200" s="6">
        <v>4006</v>
      </c>
      <c r="F200" t="s">
        <v>66</v>
      </c>
      <c r="G200" t="str">
        <f t="shared" si="3"/>
        <v>On Budget</v>
      </c>
    </row>
    <row r="201" spans="1:7" x14ac:dyDescent="0.45">
      <c r="A201" t="s">
        <v>80</v>
      </c>
      <c r="B201" t="s">
        <v>54</v>
      </c>
      <c r="C201" t="s">
        <v>61</v>
      </c>
      <c r="D201" s="6">
        <v>7645</v>
      </c>
      <c r="E201" s="6">
        <v>8793</v>
      </c>
      <c r="F201" t="s">
        <v>66</v>
      </c>
      <c r="G201" t="str">
        <f t="shared" si="3"/>
        <v>Over Budget</v>
      </c>
    </row>
    <row r="202" spans="1:7" x14ac:dyDescent="0.45">
      <c r="A202" t="s">
        <v>56</v>
      </c>
      <c r="B202" t="s">
        <v>72</v>
      </c>
      <c r="C202" t="s">
        <v>61</v>
      </c>
      <c r="D202" s="6">
        <v>4069</v>
      </c>
      <c r="E202" s="6">
        <v>6768</v>
      </c>
      <c r="F202" t="s">
        <v>62</v>
      </c>
      <c r="G202" t="str">
        <f t="shared" si="3"/>
        <v>Over Budget</v>
      </c>
    </row>
    <row r="203" spans="1:7" x14ac:dyDescent="0.45">
      <c r="A203" t="s">
        <v>80</v>
      </c>
      <c r="B203" t="s">
        <v>70</v>
      </c>
      <c r="C203" t="s">
        <v>64</v>
      </c>
      <c r="D203" s="6">
        <v>9969</v>
      </c>
      <c r="E203" s="6">
        <v>4144</v>
      </c>
      <c r="F203" t="s">
        <v>62</v>
      </c>
      <c r="G203" t="str">
        <f t="shared" si="3"/>
        <v>On Budget</v>
      </c>
    </row>
    <row r="204" spans="1:7" x14ac:dyDescent="0.45">
      <c r="A204" t="s">
        <v>69</v>
      </c>
      <c r="B204" t="s">
        <v>72</v>
      </c>
      <c r="C204" t="s">
        <v>76</v>
      </c>
      <c r="D204" s="6">
        <v>8571</v>
      </c>
      <c r="E204" s="6">
        <v>4484</v>
      </c>
      <c r="F204" t="s">
        <v>77</v>
      </c>
      <c r="G204" t="str">
        <f t="shared" si="3"/>
        <v>On Budget</v>
      </c>
    </row>
    <row r="205" spans="1:7" x14ac:dyDescent="0.45">
      <c r="A205" t="s">
        <v>53</v>
      </c>
      <c r="B205" t="s">
        <v>72</v>
      </c>
      <c r="C205" t="s">
        <v>61</v>
      </c>
      <c r="D205" s="6">
        <v>2317</v>
      </c>
      <c r="E205" s="6">
        <v>3315</v>
      </c>
      <c r="F205" t="s">
        <v>59</v>
      </c>
      <c r="G205" t="str">
        <f t="shared" si="3"/>
        <v>Over Budget</v>
      </c>
    </row>
    <row r="206" spans="1:7" x14ac:dyDescent="0.45">
      <c r="A206" t="s">
        <v>63</v>
      </c>
      <c r="B206" t="s">
        <v>70</v>
      </c>
      <c r="C206" t="s">
        <v>81</v>
      </c>
      <c r="D206" s="6">
        <v>6392</v>
      </c>
      <c r="E206" s="6">
        <v>4497</v>
      </c>
      <c r="F206" t="s">
        <v>77</v>
      </c>
      <c r="G206" t="str">
        <f t="shared" si="3"/>
        <v>On Budget</v>
      </c>
    </row>
    <row r="207" spans="1:7" x14ac:dyDescent="0.45">
      <c r="A207" t="s">
        <v>60</v>
      </c>
      <c r="B207" t="s">
        <v>54</v>
      </c>
      <c r="C207" t="s">
        <v>61</v>
      </c>
      <c r="D207" s="6">
        <v>4259</v>
      </c>
      <c r="E207" s="6">
        <v>7720</v>
      </c>
      <c r="F207" t="s">
        <v>59</v>
      </c>
      <c r="G207" t="str">
        <f t="shared" si="3"/>
        <v>Over Budget</v>
      </c>
    </row>
    <row r="208" spans="1:7" x14ac:dyDescent="0.45">
      <c r="A208" t="s">
        <v>80</v>
      </c>
      <c r="B208" t="s">
        <v>72</v>
      </c>
      <c r="C208" t="s">
        <v>64</v>
      </c>
      <c r="D208" s="6">
        <v>8774</v>
      </c>
      <c r="E208" s="6">
        <v>2623</v>
      </c>
      <c r="G208" t="str">
        <f t="shared" si="3"/>
        <v>On Budget</v>
      </c>
    </row>
    <row r="209" spans="1:7" x14ac:dyDescent="0.45">
      <c r="A209" t="s">
        <v>56</v>
      </c>
      <c r="B209" t="s">
        <v>57</v>
      </c>
      <c r="C209" t="s">
        <v>58</v>
      </c>
      <c r="D209" s="6">
        <v>1581</v>
      </c>
      <c r="E209" s="6">
        <v>9313</v>
      </c>
      <c r="G209" t="str">
        <f t="shared" si="3"/>
        <v>Over Budget</v>
      </c>
    </row>
    <row r="210" spans="1:7" x14ac:dyDescent="0.45">
      <c r="A210" t="s">
        <v>74</v>
      </c>
      <c r="B210" t="s">
        <v>54</v>
      </c>
      <c r="C210" t="s">
        <v>67</v>
      </c>
      <c r="D210" s="6">
        <v>1411</v>
      </c>
      <c r="E210" s="6">
        <v>10859</v>
      </c>
      <c r="F210" t="s">
        <v>62</v>
      </c>
      <c r="G210" t="str">
        <f t="shared" si="3"/>
        <v>Over Budget</v>
      </c>
    </row>
    <row r="211" spans="1:7" x14ac:dyDescent="0.45">
      <c r="A211" t="s">
        <v>69</v>
      </c>
      <c r="B211" t="s">
        <v>78</v>
      </c>
      <c r="C211" t="s">
        <v>64</v>
      </c>
      <c r="D211" s="6">
        <v>2510</v>
      </c>
      <c r="E211" s="6">
        <v>829</v>
      </c>
      <c r="F211" t="s">
        <v>62</v>
      </c>
      <c r="G211" t="str">
        <f t="shared" si="3"/>
        <v>On Budget</v>
      </c>
    </row>
    <row r="212" spans="1:7" x14ac:dyDescent="0.45">
      <c r="A212" t="s">
        <v>74</v>
      </c>
      <c r="B212" t="s">
        <v>82</v>
      </c>
      <c r="C212" t="s">
        <v>68</v>
      </c>
      <c r="D212" s="6">
        <v>3999</v>
      </c>
      <c r="E212" s="6">
        <v>5731</v>
      </c>
      <c r="F212" t="s">
        <v>59</v>
      </c>
      <c r="G212" t="str">
        <f t="shared" si="3"/>
        <v>Over Budget</v>
      </c>
    </row>
    <row r="213" spans="1:7" x14ac:dyDescent="0.45">
      <c r="A213" t="s">
        <v>69</v>
      </c>
      <c r="B213" t="s">
        <v>82</v>
      </c>
      <c r="C213" t="s">
        <v>79</v>
      </c>
      <c r="D213" s="6">
        <v>3437</v>
      </c>
      <c r="E213" s="6">
        <v>7101</v>
      </c>
      <c r="F213" t="s">
        <v>66</v>
      </c>
      <c r="G213" t="str">
        <f t="shared" si="3"/>
        <v>Over Budget</v>
      </c>
    </row>
    <row r="214" spans="1:7" x14ac:dyDescent="0.45">
      <c r="A214" t="s">
        <v>60</v>
      </c>
      <c r="B214" t="s">
        <v>75</v>
      </c>
      <c r="C214" t="s">
        <v>79</v>
      </c>
      <c r="D214" s="6">
        <v>2037</v>
      </c>
      <c r="E214" s="6">
        <v>5070</v>
      </c>
      <c r="F214" t="s">
        <v>77</v>
      </c>
      <c r="G214" t="str">
        <f t="shared" si="3"/>
        <v>Over Budget</v>
      </c>
    </row>
    <row r="215" spans="1:7" x14ac:dyDescent="0.45">
      <c r="A215" t="s">
        <v>74</v>
      </c>
      <c r="B215" t="s">
        <v>54</v>
      </c>
      <c r="C215" t="s">
        <v>71</v>
      </c>
      <c r="D215" s="6">
        <v>4731</v>
      </c>
      <c r="E215" s="6">
        <v>9374</v>
      </c>
      <c r="F215" t="s">
        <v>62</v>
      </c>
      <c r="G215" t="str">
        <f t="shared" si="3"/>
        <v>Over Budget</v>
      </c>
    </row>
    <row r="216" spans="1:7" x14ac:dyDescent="0.45">
      <c r="A216" t="s">
        <v>56</v>
      </c>
      <c r="B216" t="s">
        <v>78</v>
      </c>
      <c r="C216" t="s">
        <v>58</v>
      </c>
      <c r="D216" s="6">
        <v>4308</v>
      </c>
      <c r="E216" s="6">
        <v>10473</v>
      </c>
      <c r="F216" t="s">
        <v>77</v>
      </c>
      <c r="G216" t="str">
        <f t="shared" si="3"/>
        <v>Over Budget</v>
      </c>
    </row>
    <row r="217" spans="1:7" x14ac:dyDescent="0.45">
      <c r="A217" t="s">
        <v>56</v>
      </c>
      <c r="B217" t="s">
        <v>54</v>
      </c>
      <c r="C217" t="s">
        <v>76</v>
      </c>
      <c r="D217" s="6">
        <v>4627</v>
      </c>
      <c r="E217" s="6">
        <v>4041</v>
      </c>
      <c r="F217" t="s">
        <v>77</v>
      </c>
      <c r="G217" t="str">
        <f t="shared" si="3"/>
        <v>On Budget</v>
      </c>
    </row>
    <row r="218" spans="1:7" x14ac:dyDescent="0.45">
      <c r="A218" t="s">
        <v>80</v>
      </c>
      <c r="B218" t="s">
        <v>82</v>
      </c>
      <c r="C218" t="s">
        <v>81</v>
      </c>
      <c r="D218" s="6">
        <v>6862</v>
      </c>
      <c r="E218" s="6">
        <v>3032</v>
      </c>
      <c r="F218" t="s">
        <v>62</v>
      </c>
      <c r="G218" t="str">
        <f t="shared" si="3"/>
        <v>On Budget</v>
      </c>
    </row>
    <row r="219" spans="1:7" x14ac:dyDescent="0.45">
      <c r="A219" t="s">
        <v>80</v>
      </c>
      <c r="B219" t="s">
        <v>78</v>
      </c>
      <c r="C219" t="s">
        <v>68</v>
      </c>
      <c r="D219" s="6">
        <v>7844</v>
      </c>
      <c r="E219" s="6">
        <v>4955</v>
      </c>
      <c r="F219" t="s">
        <v>77</v>
      </c>
      <c r="G219" t="str">
        <f t="shared" si="3"/>
        <v>On Budget</v>
      </c>
    </row>
    <row r="220" spans="1:7" x14ac:dyDescent="0.45">
      <c r="A220" t="s">
        <v>63</v>
      </c>
      <c r="B220" t="s">
        <v>78</v>
      </c>
      <c r="C220" t="s">
        <v>64</v>
      </c>
      <c r="D220" s="6">
        <v>2516</v>
      </c>
      <c r="E220" s="6">
        <v>9990</v>
      </c>
      <c r="F220" t="s">
        <v>66</v>
      </c>
      <c r="G220" t="str">
        <f t="shared" si="3"/>
        <v>Over Budget</v>
      </c>
    </row>
    <row r="221" spans="1:7" x14ac:dyDescent="0.45">
      <c r="A221" t="s">
        <v>56</v>
      </c>
      <c r="B221" t="s">
        <v>72</v>
      </c>
      <c r="C221" t="s">
        <v>64</v>
      </c>
      <c r="D221" s="6">
        <v>1092</v>
      </c>
      <c r="E221" s="6">
        <v>6186</v>
      </c>
      <c r="G221" t="str">
        <f t="shared" si="3"/>
        <v>Over Budget</v>
      </c>
    </row>
    <row r="222" spans="1:7" x14ac:dyDescent="0.45">
      <c r="A222" t="s">
        <v>60</v>
      </c>
      <c r="B222" t="s">
        <v>82</v>
      </c>
      <c r="C222" t="s">
        <v>81</v>
      </c>
      <c r="D222" s="6">
        <v>8416</v>
      </c>
      <c r="E222" s="6">
        <v>2902</v>
      </c>
      <c r="G222" t="str">
        <f t="shared" si="3"/>
        <v>On Budget</v>
      </c>
    </row>
    <row r="223" spans="1:7" x14ac:dyDescent="0.45">
      <c r="A223" t="s">
        <v>69</v>
      </c>
      <c r="B223" t="s">
        <v>54</v>
      </c>
      <c r="C223" t="s">
        <v>71</v>
      </c>
      <c r="D223" s="6">
        <v>2566</v>
      </c>
      <c r="E223" s="6">
        <v>10511</v>
      </c>
      <c r="G223" t="str">
        <f t="shared" si="3"/>
        <v>Over Budget</v>
      </c>
    </row>
    <row r="224" spans="1:7" x14ac:dyDescent="0.45">
      <c r="A224" t="s">
        <v>69</v>
      </c>
      <c r="B224" t="s">
        <v>78</v>
      </c>
      <c r="C224" t="s">
        <v>73</v>
      </c>
      <c r="D224" s="6">
        <v>2370</v>
      </c>
      <c r="E224" s="6">
        <v>4561</v>
      </c>
      <c r="G224" t="str">
        <f t="shared" si="3"/>
        <v>Over Budget</v>
      </c>
    </row>
    <row r="225" spans="1:7" x14ac:dyDescent="0.45">
      <c r="A225" t="s">
        <v>56</v>
      </c>
      <c r="B225" t="s">
        <v>57</v>
      </c>
      <c r="C225" t="s">
        <v>61</v>
      </c>
      <c r="D225" s="6">
        <v>3482</v>
      </c>
      <c r="E225" s="6">
        <v>11562</v>
      </c>
      <c r="F225" t="s">
        <v>66</v>
      </c>
      <c r="G225" t="str">
        <f t="shared" si="3"/>
        <v>Over Budget</v>
      </c>
    </row>
    <row r="226" spans="1:7" x14ac:dyDescent="0.45">
      <c r="A226" t="s">
        <v>56</v>
      </c>
      <c r="B226" t="s">
        <v>78</v>
      </c>
      <c r="C226" t="s">
        <v>64</v>
      </c>
      <c r="D226" s="6">
        <v>3696</v>
      </c>
      <c r="E226" s="6">
        <v>6289</v>
      </c>
      <c r="F226" t="s">
        <v>62</v>
      </c>
      <c r="G226" t="str">
        <f t="shared" si="3"/>
        <v>Over Budget</v>
      </c>
    </row>
    <row r="227" spans="1:7" x14ac:dyDescent="0.45">
      <c r="A227" t="s">
        <v>60</v>
      </c>
      <c r="B227" t="s">
        <v>75</v>
      </c>
      <c r="C227" t="s">
        <v>76</v>
      </c>
      <c r="D227" s="6">
        <v>3146</v>
      </c>
      <c r="E227" s="6">
        <v>8730</v>
      </c>
      <c r="F227" t="s">
        <v>77</v>
      </c>
      <c r="G227" t="str">
        <f t="shared" si="3"/>
        <v>Over Budget</v>
      </c>
    </row>
    <row r="228" spans="1:7" x14ac:dyDescent="0.45">
      <c r="A228" t="s">
        <v>56</v>
      </c>
      <c r="B228" t="s">
        <v>78</v>
      </c>
      <c r="C228" t="s">
        <v>67</v>
      </c>
      <c r="D228" s="6">
        <v>5311</v>
      </c>
      <c r="E228" s="6">
        <v>5567</v>
      </c>
      <c r="F228" t="s">
        <v>66</v>
      </c>
      <c r="G228" t="str">
        <f t="shared" si="3"/>
        <v>Over Budget</v>
      </c>
    </row>
    <row r="229" spans="1:7" x14ac:dyDescent="0.45">
      <c r="A229" t="s">
        <v>80</v>
      </c>
      <c r="B229" t="s">
        <v>82</v>
      </c>
      <c r="C229" t="s">
        <v>79</v>
      </c>
      <c r="D229" s="6">
        <v>6783</v>
      </c>
      <c r="E229" s="6">
        <v>2722</v>
      </c>
      <c r="F229" t="s">
        <v>66</v>
      </c>
      <c r="G229" t="str">
        <f t="shared" si="3"/>
        <v>On Budget</v>
      </c>
    </row>
    <row r="230" spans="1:7" x14ac:dyDescent="0.45">
      <c r="A230" t="s">
        <v>63</v>
      </c>
      <c r="B230" t="s">
        <v>57</v>
      </c>
      <c r="C230" t="s">
        <v>67</v>
      </c>
      <c r="D230" s="6">
        <v>3051</v>
      </c>
      <c r="E230" s="6">
        <v>4973</v>
      </c>
      <c r="F230" t="s">
        <v>62</v>
      </c>
      <c r="G230" t="str">
        <f t="shared" si="3"/>
        <v>Over Budget</v>
      </c>
    </row>
    <row r="231" spans="1:7" x14ac:dyDescent="0.45">
      <c r="A231" t="s">
        <v>74</v>
      </c>
      <c r="B231" t="s">
        <v>82</v>
      </c>
      <c r="C231" t="s">
        <v>64</v>
      </c>
      <c r="D231" s="6">
        <v>7063</v>
      </c>
      <c r="E231" s="6">
        <v>11541</v>
      </c>
      <c r="F231" t="s">
        <v>62</v>
      </c>
      <c r="G231" t="str">
        <f t="shared" si="3"/>
        <v>Over Budget</v>
      </c>
    </row>
    <row r="232" spans="1:7" x14ac:dyDescent="0.45">
      <c r="A232" t="s">
        <v>69</v>
      </c>
      <c r="B232" t="s">
        <v>75</v>
      </c>
      <c r="C232" t="s">
        <v>71</v>
      </c>
      <c r="D232" s="6">
        <v>1725</v>
      </c>
      <c r="E232" s="6">
        <v>6868</v>
      </c>
      <c r="G232" t="str">
        <f t="shared" si="3"/>
        <v>Over Budget</v>
      </c>
    </row>
    <row r="233" spans="1:7" x14ac:dyDescent="0.45">
      <c r="A233" t="s">
        <v>80</v>
      </c>
      <c r="B233" t="s">
        <v>57</v>
      </c>
      <c r="C233" t="s">
        <v>73</v>
      </c>
      <c r="D233" s="6">
        <v>5794</v>
      </c>
      <c r="E233" s="6">
        <v>11277</v>
      </c>
      <c r="F233" t="s">
        <v>66</v>
      </c>
      <c r="G233" t="str">
        <f t="shared" si="3"/>
        <v>Over Budget</v>
      </c>
    </row>
    <row r="234" spans="1:7" x14ac:dyDescent="0.45">
      <c r="A234" t="s">
        <v>74</v>
      </c>
      <c r="B234" t="s">
        <v>70</v>
      </c>
      <c r="C234" t="s">
        <v>73</v>
      </c>
      <c r="D234" s="6">
        <v>9028</v>
      </c>
      <c r="E234" s="6">
        <v>7225</v>
      </c>
      <c r="F234" t="s">
        <v>62</v>
      </c>
      <c r="G234" t="str">
        <f t="shared" si="3"/>
        <v>On Budget</v>
      </c>
    </row>
    <row r="235" spans="1:7" x14ac:dyDescent="0.45">
      <c r="A235" t="s">
        <v>74</v>
      </c>
      <c r="B235" t="s">
        <v>72</v>
      </c>
      <c r="C235" t="s">
        <v>76</v>
      </c>
      <c r="D235" s="6">
        <v>3737</v>
      </c>
      <c r="E235" s="6">
        <v>11355</v>
      </c>
      <c r="G235" t="str">
        <f t="shared" si="3"/>
        <v>Over Budget</v>
      </c>
    </row>
    <row r="236" spans="1:7" x14ac:dyDescent="0.45">
      <c r="A236" t="s">
        <v>60</v>
      </c>
      <c r="B236" t="s">
        <v>72</v>
      </c>
      <c r="C236" t="s">
        <v>61</v>
      </c>
      <c r="D236" s="6">
        <v>8956</v>
      </c>
      <c r="E236" s="6">
        <v>4518</v>
      </c>
      <c r="F236" t="s">
        <v>59</v>
      </c>
      <c r="G236" t="str">
        <f t="shared" si="3"/>
        <v>On Budget</v>
      </c>
    </row>
    <row r="237" spans="1:7" x14ac:dyDescent="0.45">
      <c r="A237" t="s">
        <v>53</v>
      </c>
      <c r="B237" t="s">
        <v>57</v>
      </c>
      <c r="C237" t="s">
        <v>58</v>
      </c>
      <c r="D237" s="6">
        <v>9697</v>
      </c>
      <c r="E237" s="6">
        <v>1217</v>
      </c>
      <c r="G237" t="str">
        <f t="shared" si="3"/>
        <v>On Budget</v>
      </c>
    </row>
    <row r="238" spans="1:7" x14ac:dyDescent="0.45">
      <c r="A238" t="s">
        <v>74</v>
      </c>
      <c r="B238" t="s">
        <v>75</v>
      </c>
      <c r="C238" t="s">
        <v>71</v>
      </c>
      <c r="D238" s="6">
        <v>5137</v>
      </c>
      <c r="E238" s="6">
        <v>2621</v>
      </c>
      <c r="F238" t="s">
        <v>77</v>
      </c>
      <c r="G238" t="str">
        <f t="shared" si="3"/>
        <v>On Budget</v>
      </c>
    </row>
    <row r="239" spans="1:7" x14ac:dyDescent="0.45">
      <c r="A239" t="s">
        <v>63</v>
      </c>
      <c r="B239" t="s">
        <v>75</v>
      </c>
      <c r="C239" t="s">
        <v>65</v>
      </c>
      <c r="D239" s="6">
        <v>5909</v>
      </c>
      <c r="E239" s="6">
        <v>1649</v>
      </c>
      <c r="G239" t="str">
        <f t="shared" si="3"/>
        <v>On Budget</v>
      </c>
    </row>
    <row r="240" spans="1:7" x14ac:dyDescent="0.45">
      <c r="A240" t="s">
        <v>53</v>
      </c>
      <c r="B240" t="s">
        <v>70</v>
      </c>
      <c r="C240" t="s">
        <v>68</v>
      </c>
      <c r="D240" s="6">
        <v>4461</v>
      </c>
      <c r="E240" s="6">
        <v>4936</v>
      </c>
      <c r="F240" t="s">
        <v>77</v>
      </c>
      <c r="G240" t="str">
        <f t="shared" si="3"/>
        <v>Over Budget</v>
      </c>
    </row>
    <row r="241" spans="1:7" x14ac:dyDescent="0.45">
      <c r="A241" t="s">
        <v>69</v>
      </c>
      <c r="B241" t="s">
        <v>72</v>
      </c>
      <c r="C241" t="s">
        <v>68</v>
      </c>
      <c r="D241" s="6">
        <v>5403</v>
      </c>
      <c r="E241" s="6">
        <v>5025</v>
      </c>
      <c r="F241" t="s">
        <v>77</v>
      </c>
      <c r="G241" t="str">
        <f t="shared" si="3"/>
        <v>On Budget</v>
      </c>
    </row>
    <row r="242" spans="1:7" x14ac:dyDescent="0.45">
      <c r="A242" t="s">
        <v>56</v>
      </c>
      <c r="B242" t="s">
        <v>75</v>
      </c>
      <c r="C242" t="s">
        <v>64</v>
      </c>
      <c r="D242" s="6">
        <v>4296</v>
      </c>
      <c r="E242" s="6">
        <v>8838</v>
      </c>
      <c r="F242" t="s">
        <v>66</v>
      </c>
      <c r="G242" t="str">
        <f t="shared" si="3"/>
        <v>Over Budget</v>
      </c>
    </row>
    <row r="243" spans="1:7" x14ac:dyDescent="0.45">
      <c r="A243" t="s">
        <v>53</v>
      </c>
      <c r="B243" t="s">
        <v>57</v>
      </c>
      <c r="C243" t="s">
        <v>79</v>
      </c>
      <c r="D243" s="6">
        <v>4887</v>
      </c>
      <c r="E243" s="6">
        <v>11039</v>
      </c>
      <c r="F243" t="s">
        <v>77</v>
      </c>
      <c r="G243" t="str">
        <f t="shared" si="3"/>
        <v>Over Budget</v>
      </c>
    </row>
    <row r="244" spans="1:7" x14ac:dyDescent="0.45">
      <c r="A244" t="s">
        <v>56</v>
      </c>
      <c r="B244" t="s">
        <v>70</v>
      </c>
      <c r="C244" t="s">
        <v>55</v>
      </c>
      <c r="D244" s="6">
        <v>7503</v>
      </c>
      <c r="E244" s="6">
        <v>7005</v>
      </c>
      <c r="F244" t="s">
        <v>59</v>
      </c>
      <c r="G244" t="str">
        <f t="shared" si="3"/>
        <v>On Budget</v>
      </c>
    </row>
    <row r="245" spans="1:7" x14ac:dyDescent="0.45">
      <c r="A245" t="s">
        <v>53</v>
      </c>
      <c r="B245" t="s">
        <v>75</v>
      </c>
      <c r="C245" t="s">
        <v>73</v>
      </c>
      <c r="D245" s="6">
        <v>4565</v>
      </c>
      <c r="E245" s="6">
        <v>11868</v>
      </c>
      <c r="F245" t="s">
        <v>62</v>
      </c>
      <c r="G245" t="str">
        <f t="shared" si="3"/>
        <v>Over Budget</v>
      </c>
    </row>
    <row r="246" spans="1:7" x14ac:dyDescent="0.45">
      <c r="A246" t="s">
        <v>60</v>
      </c>
      <c r="B246" t="s">
        <v>78</v>
      </c>
      <c r="C246" t="s">
        <v>71</v>
      </c>
      <c r="D246" s="6">
        <v>7684</v>
      </c>
      <c r="E246" s="6">
        <v>8033</v>
      </c>
      <c r="F246" t="s">
        <v>62</v>
      </c>
      <c r="G246" t="str">
        <f t="shared" si="3"/>
        <v>Over Budget</v>
      </c>
    </row>
    <row r="247" spans="1:7" x14ac:dyDescent="0.45">
      <c r="A247" t="s">
        <v>63</v>
      </c>
      <c r="B247" t="s">
        <v>75</v>
      </c>
      <c r="C247" t="s">
        <v>58</v>
      </c>
      <c r="D247" s="6">
        <v>7222</v>
      </c>
      <c r="E247" s="6">
        <v>3132</v>
      </c>
      <c r="F247" t="s">
        <v>59</v>
      </c>
      <c r="G247" t="str">
        <f t="shared" si="3"/>
        <v>On Budget</v>
      </c>
    </row>
    <row r="248" spans="1:7" x14ac:dyDescent="0.45">
      <c r="A248" t="s">
        <v>60</v>
      </c>
      <c r="B248" t="s">
        <v>57</v>
      </c>
      <c r="C248" t="s">
        <v>67</v>
      </c>
      <c r="D248" s="6">
        <v>4850</v>
      </c>
      <c r="E248" s="6">
        <v>10802</v>
      </c>
      <c r="F248" t="s">
        <v>59</v>
      </c>
      <c r="G248" t="str">
        <f t="shared" si="3"/>
        <v>Over Budget</v>
      </c>
    </row>
    <row r="249" spans="1:7" x14ac:dyDescent="0.45">
      <c r="A249" t="s">
        <v>74</v>
      </c>
      <c r="B249" t="s">
        <v>54</v>
      </c>
      <c r="C249" t="s">
        <v>79</v>
      </c>
      <c r="D249" s="6">
        <v>9903</v>
      </c>
      <c r="E249" s="6">
        <v>7267</v>
      </c>
      <c r="G249" t="str">
        <f t="shared" si="3"/>
        <v>On Budget</v>
      </c>
    </row>
    <row r="250" spans="1:7" x14ac:dyDescent="0.45">
      <c r="A250" t="s">
        <v>53</v>
      </c>
      <c r="B250" t="s">
        <v>78</v>
      </c>
      <c r="C250" t="s">
        <v>68</v>
      </c>
      <c r="D250" s="6">
        <v>8977</v>
      </c>
      <c r="E250" s="6">
        <v>5891</v>
      </c>
      <c r="F250" t="s">
        <v>59</v>
      </c>
      <c r="G250" t="str">
        <f t="shared" si="3"/>
        <v>On Budget</v>
      </c>
    </row>
    <row r="251" spans="1:7" x14ac:dyDescent="0.45">
      <c r="A251" t="s">
        <v>56</v>
      </c>
      <c r="B251" t="s">
        <v>70</v>
      </c>
      <c r="C251" t="s">
        <v>55</v>
      </c>
      <c r="D251" s="6">
        <v>5480</v>
      </c>
      <c r="E251" s="6">
        <v>6988</v>
      </c>
      <c r="F251" t="s">
        <v>77</v>
      </c>
      <c r="G251" t="str">
        <f t="shared" si="3"/>
        <v>Over Budget</v>
      </c>
    </row>
    <row r="252" spans="1:7" x14ac:dyDescent="0.45">
      <c r="A252" t="s">
        <v>69</v>
      </c>
      <c r="B252" t="s">
        <v>78</v>
      </c>
      <c r="C252" t="s">
        <v>61</v>
      </c>
      <c r="D252" s="6">
        <v>5162</v>
      </c>
      <c r="E252" s="6">
        <v>2896</v>
      </c>
      <c r="F252" t="s">
        <v>59</v>
      </c>
      <c r="G252" t="str">
        <f t="shared" si="3"/>
        <v>On Budget</v>
      </c>
    </row>
    <row r="253" spans="1:7" x14ac:dyDescent="0.45">
      <c r="A253" t="s">
        <v>74</v>
      </c>
      <c r="B253" t="s">
        <v>70</v>
      </c>
      <c r="C253" t="s">
        <v>61</v>
      </c>
      <c r="D253" s="6">
        <v>1988</v>
      </c>
      <c r="E253" s="6">
        <v>2949</v>
      </c>
      <c r="F253" t="s">
        <v>66</v>
      </c>
      <c r="G253" t="str">
        <f t="shared" si="3"/>
        <v>Over Budget</v>
      </c>
    </row>
    <row r="254" spans="1:7" x14ac:dyDescent="0.45">
      <c r="A254" t="s">
        <v>53</v>
      </c>
      <c r="B254" t="s">
        <v>78</v>
      </c>
      <c r="C254" t="s">
        <v>68</v>
      </c>
      <c r="D254" s="6">
        <v>8505</v>
      </c>
      <c r="E254" s="6">
        <v>6328</v>
      </c>
      <c r="F254" t="s">
        <v>59</v>
      </c>
      <c r="G254" t="str">
        <f t="shared" si="3"/>
        <v>On Budget</v>
      </c>
    </row>
    <row r="255" spans="1:7" x14ac:dyDescent="0.45">
      <c r="A255" t="s">
        <v>69</v>
      </c>
      <c r="B255" t="s">
        <v>54</v>
      </c>
      <c r="C255" t="s">
        <v>73</v>
      </c>
      <c r="D255" s="6">
        <v>8322</v>
      </c>
      <c r="E255" s="6">
        <v>3280</v>
      </c>
      <c r="F255" t="s">
        <v>62</v>
      </c>
      <c r="G255" t="str">
        <f t="shared" si="3"/>
        <v>On Budget</v>
      </c>
    </row>
    <row r="256" spans="1:7" x14ac:dyDescent="0.45">
      <c r="A256" t="s">
        <v>69</v>
      </c>
      <c r="B256" t="s">
        <v>82</v>
      </c>
      <c r="C256" t="s">
        <v>55</v>
      </c>
      <c r="D256" s="6">
        <v>5889</v>
      </c>
      <c r="E256" s="6">
        <v>11407</v>
      </c>
      <c r="F256" t="s">
        <v>59</v>
      </c>
      <c r="G256" t="str">
        <f t="shared" si="3"/>
        <v>Over Budget</v>
      </c>
    </row>
    <row r="257" spans="1:7" x14ac:dyDescent="0.45">
      <c r="A257" t="s">
        <v>53</v>
      </c>
      <c r="B257" t="s">
        <v>57</v>
      </c>
      <c r="C257" t="s">
        <v>71</v>
      </c>
      <c r="D257" s="6">
        <v>3770</v>
      </c>
      <c r="E257" s="6">
        <v>2148</v>
      </c>
      <c r="G257" t="str">
        <f t="shared" si="3"/>
        <v>On Budget</v>
      </c>
    </row>
    <row r="258" spans="1:7" x14ac:dyDescent="0.45">
      <c r="A258" t="s">
        <v>56</v>
      </c>
      <c r="B258" t="s">
        <v>75</v>
      </c>
      <c r="C258" t="s">
        <v>81</v>
      </c>
      <c r="D258" s="6">
        <v>5971</v>
      </c>
      <c r="E258" s="6">
        <v>9057</v>
      </c>
      <c r="F258" t="s">
        <v>59</v>
      </c>
      <c r="G258" t="str">
        <f t="shared" ref="G258:G321" si="4">IF(E258&gt;D258,"Over Budget","On Budget")</f>
        <v>Over Budget</v>
      </c>
    </row>
    <row r="259" spans="1:7" x14ac:dyDescent="0.45">
      <c r="A259" t="s">
        <v>60</v>
      </c>
      <c r="B259" t="s">
        <v>70</v>
      </c>
      <c r="C259" t="s">
        <v>67</v>
      </c>
      <c r="D259" s="6">
        <v>8040</v>
      </c>
      <c r="E259" s="6">
        <v>11687</v>
      </c>
      <c r="F259" t="s">
        <v>77</v>
      </c>
      <c r="G259" t="str">
        <f t="shared" si="4"/>
        <v>Over Budget</v>
      </c>
    </row>
    <row r="260" spans="1:7" x14ac:dyDescent="0.45">
      <c r="A260" t="s">
        <v>69</v>
      </c>
      <c r="B260" t="s">
        <v>70</v>
      </c>
      <c r="C260" t="s">
        <v>67</v>
      </c>
      <c r="D260" s="6">
        <v>6994</v>
      </c>
      <c r="E260" s="6">
        <v>1587</v>
      </c>
      <c r="F260" t="s">
        <v>77</v>
      </c>
      <c r="G260" t="str">
        <f t="shared" si="4"/>
        <v>On Budget</v>
      </c>
    </row>
    <row r="261" spans="1:7" x14ac:dyDescent="0.45">
      <c r="A261" t="s">
        <v>74</v>
      </c>
      <c r="B261" t="s">
        <v>54</v>
      </c>
      <c r="C261" t="s">
        <v>61</v>
      </c>
      <c r="D261" s="6">
        <v>5914</v>
      </c>
      <c r="E261" s="6">
        <v>8379</v>
      </c>
      <c r="F261" t="s">
        <v>77</v>
      </c>
      <c r="G261" t="str">
        <f t="shared" si="4"/>
        <v>Over Budget</v>
      </c>
    </row>
    <row r="262" spans="1:7" x14ac:dyDescent="0.45">
      <c r="A262" t="s">
        <v>69</v>
      </c>
      <c r="B262" t="s">
        <v>72</v>
      </c>
      <c r="C262" t="s">
        <v>71</v>
      </c>
      <c r="D262" s="6">
        <v>3620</v>
      </c>
      <c r="E262" s="6">
        <v>3030</v>
      </c>
      <c r="F262" t="s">
        <v>59</v>
      </c>
      <c r="G262" t="str">
        <f t="shared" si="4"/>
        <v>On Budget</v>
      </c>
    </row>
    <row r="263" spans="1:7" x14ac:dyDescent="0.45">
      <c r="A263" t="s">
        <v>63</v>
      </c>
      <c r="B263" t="s">
        <v>82</v>
      </c>
      <c r="C263" t="s">
        <v>79</v>
      </c>
      <c r="D263" s="6">
        <v>7143</v>
      </c>
      <c r="E263" s="6">
        <v>9689</v>
      </c>
      <c r="F263" t="s">
        <v>59</v>
      </c>
      <c r="G263" t="str">
        <f t="shared" si="4"/>
        <v>Over Budget</v>
      </c>
    </row>
    <row r="264" spans="1:7" x14ac:dyDescent="0.45">
      <c r="A264" t="s">
        <v>80</v>
      </c>
      <c r="B264" t="s">
        <v>72</v>
      </c>
      <c r="C264" t="s">
        <v>81</v>
      </c>
      <c r="D264" s="6">
        <v>9061</v>
      </c>
      <c r="E264" s="6">
        <v>2491</v>
      </c>
      <c r="F264" t="s">
        <v>66</v>
      </c>
      <c r="G264" t="str">
        <f t="shared" si="4"/>
        <v>On Budget</v>
      </c>
    </row>
    <row r="265" spans="1:7" x14ac:dyDescent="0.45">
      <c r="A265" t="s">
        <v>80</v>
      </c>
      <c r="B265" t="s">
        <v>70</v>
      </c>
      <c r="C265" t="s">
        <v>76</v>
      </c>
      <c r="D265" s="6">
        <v>7272</v>
      </c>
      <c r="E265" s="6">
        <v>5363</v>
      </c>
      <c r="F265" t="s">
        <v>62</v>
      </c>
      <c r="G265" t="str">
        <f t="shared" si="4"/>
        <v>On Budget</v>
      </c>
    </row>
    <row r="266" spans="1:7" x14ac:dyDescent="0.45">
      <c r="A266" t="s">
        <v>69</v>
      </c>
      <c r="B266" t="s">
        <v>72</v>
      </c>
      <c r="C266" t="s">
        <v>68</v>
      </c>
      <c r="D266" s="6">
        <v>1144</v>
      </c>
      <c r="E266" s="6">
        <v>1264</v>
      </c>
      <c r="G266" t="str">
        <f t="shared" si="4"/>
        <v>Over Budget</v>
      </c>
    </row>
    <row r="267" spans="1:7" x14ac:dyDescent="0.45">
      <c r="A267" t="s">
        <v>56</v>
      </c>
      <c r="B267" t="s">
        <v>72</v>
      </c>
      <c r="C267" t="s">
        <v>58</v>
      </c>
      <c r="D267" s="6">
        <v>1574</v>
      </c>
      <c r="E267" s="6">
        <v>5204</v>
      </c>
      <c r="G267" t="str">
        <f t="shared" si="4"/>
        <v>Over Budget</v>
      </c>
    </row>
    <row r="268" spans="1:7" x14ac:dyDescent="0.45">
      <c r="A268" t="s">
        <v>63</v>
      </c>
      <c r="B268" t="s">
        <v>54</v>
      </c>
      <c r="C268" t="s">
        <v>71</v>
      </c>
      <c r="D268" s="6">
        <v>2273</v>
      </c>
      <c r="E268" s="6">
        <v>9429</v>
      </c>
      <c r="F268" t="s">
        <v>59</v>
      </c>
      <c r="G268" t="str">
        <f t="shared" si="4"/>
        <v>Over Budget</v>
      </c>
    </row>
    <row r="269" spans="1:7" x14ac:dyDescent="0.45">
      <c r="A269" t="s">
        <v>74</v>
      </c>
      <c r="B269" t="s">
        <v>70</v>
      </c>
      <c r="C269" t="s">
        <v>55</v>
      </c>
      <c r="D269" s="6">
        <v>6168</v>
      </c>
      <c r="E269" s="6">
        <v>9646</v>
      </c>
      <c r="F269" t="s">
        <v>66</v>
      </c>
      <c r="G269" t="str">
        <f t="shared" si="4"/>
        <v>Over Budget</v>
      </c>
    </row>
    <row r="270" spans="1:7" x14ac:dyDescent="0.45">
      <c r="A270" t="s">
        <v>69</v>
      </c>
      <c r="B270" t="s">
        <v>57</v>
      </c>
      <c r="C270" t="s">
        <v>79</v>
      </c>
      <c r="D270" s="6">
        <v>4358</v>
      </c>
      <c r="E270" s="6">
        <v>8443</v>
      </c>
      <c r="F270" t="s">
        <v>66</v>
      </c>
      <c r="G270" t="str">
        <f t="shared" si="4"/>
        <v>Over Budget</v>
      </c>
    </row>
    <row r="271" spans="1:7" x14ac:dyDescent="0.45">
      <c r="A271" t="s">
        <v>69</v>
      </c>
      <c r="B271" t="s">
        <v>70</v>
      </c>
      <c r="C271" t="s">
        <v>76</v>
      </c>
      <c r="D271" s="6">
        <v>4347</v>
      </c>
      <c r="E271" s="6">
        <v>8891</v>
      </c>
      <c r="F271" t="s">
        <v>66</v>
      </c>
      <c r="G271" t="str">
        <f t="shared" si="4"/>
        <v>Over Budget</v>
      </c>
    </row>
    <row r="272" spans="1:7" x14ac:dyDescent="0.45">
      <c r="A272" t="s">
        <v>53</v>
      </c>
      <c r="B272" t="s">
        <v>78</v>
      </c>
      <c r="C272" t="s">
        <v>65</v>
      </c>
      <c r="D272" s="6">
        <v>7245</v>
      </c>
      <c r="E272" s="6">
        <v>3122</v>
      </c>
      <c r="F272" t="s">
        <v>59</v>
      </c>
      <c r="G272" t="str">
        <f t="shared" si="4"/>
        <v>On Budget</v>
      </c>
    </row>
    <row r="273" spans="1:7" x14ac:dyDescent="0.45">
      <c r="A273" t="s">
        <v>80</v>
      </c>
      <c r="B273" t="s">
        <v>75</v>
      </c>
      <c r="C273" t="s">
        <v>76</v>
      </c>
      <c r="D273" s="6">
        <v>4638</v>
      </c>
      <c r="E273" s="6">
        <v>11229</v>
      </c>
      <c r="G273" t="str">
        <f t="shared" si="4"/>
        <v>Over Budget</v>
      </c>
    </row>
    <row r="274" spans="1:7" x14ac:dyDescent="0.45">
      <c r="A274" t="s">
        <v>53</v>
      </c>
      <c r="B274" t="s">
        <v>78</v>
      </c>
      <c r="C274" t="s">
        <v>71</v>
      </c>
      <c r="D274" s="6">
        <v>9234</v>
      </c>
      <c r="E274" s="6">
        <v>1271</v>
      </c>
      <c r="F274" t="s">
        <v>66</v>
      </c>
      <c r="G274" t="str">
        <f t="shared" si="4"/>
        <v>On Budget</v>
      </c>
    </row>
    <row r="275" spans="1:7" x14ac:dyDescent="0.45">
      <c r="A275" t="s">
        <v>63</v>
      </c>
      <c r="B275" t="s">
        <v>78</v>
      </c>
      <c r="C275" t="s">
        <v>79</v>
      </c>
      <c r="D275" s="6">
        <v>5092</v>
      </c>
      <c r="E275" s="6">
        <v>6390</v>
      </c>
      <c r="F275" t="s">
        <v>66</v>
      </c>
      <c r="G275" t="str">
        <f t="shared" si="4"/>
        <v>Over Budget</v>
      </c>
    </row>
    <row r="276" spans="1:7" x14ac:dyDescent="0.45">
      <c r="A276" t="s">
        <v>80</v>
      </c>
      <c r="B276" t="s">
        <v>70</v>
      </c>
      <c r="C276" t="s">
        <v>81</v>
      </c>
      <c r="D276" s="6">
        <v>2595</v>
      </c>
      <c r="E276" s="6">
        <v>8706</v>
      </c>
      <c r="F276" t="s">
        <v>59</v>
      </c>
      <c r="G276" t="str">
        <f t="shared" si="4"/>
        <v>Over Budget</v>
      </c>
    </row>
    <row r="277" spans="1:7" x14ac:dyDescent="0.45">
      <c r="A277" t="s">
        <v>56</v>
      </c>
      <c r="B277" t="s">
        <v>82</v>
      </c>
      <c r="C277" t="s">
        <v>76</v>
      </c>
      <c r="D277" s="6">
        <v>4919</v>
      </c>
      <c r="E277" s="6">
        <v>9472</v>
      </c>
      <c r="G277" t="str">
        <f t="shared" si="4"/>
        <v>Over Budget</v>
      </c>
    </row>
    <row r="278" spans="1:7" x14ac:dyDescent="0.45">
      <c r="A278" t="s">
        <v>80</v>
      </c>
      <c r="B278" t="s">
        <v>72</v>
      </c>
      <c r="C278" t="s">
        <v>73</v>
      </c>
      <c r="D278" s="6">
        <v>8499</v>
      </c>
      <c r="E278" s="6">
        <v>807</v>
      </c>
      <c r="F278" t="s">
        <v>62</v>
      </c>
      <c r="G278" t="str">
        <f t="shared" si="4"/>
        <v>On Budget</v>
      </c>
    </row>
    <row r="279" spans="1:7" x14ac:dyDescent="0.45">
      <c r="A279" t="s">
        <v>60</v>
      </c>
      <c r="B279" t="s">
        <v>57</v>
      </c>
      <c r="C279" t="s">
        <v>64</v>
      </c>
      <c r="D279" s="6">
        <v>5447</v>
      </c>
      <c r="E279" s="6">
        <v>843</v>
      </c>
      <c r="F279" t="s">
        <v>62</v>
      </c>
      <c r="G279" t="str">
        <f t="shared" si="4"/>
        <v>On Budget</v>
      </c>
    </row>
    <row r="280" spans="1:7" x14ac:dyDescent="0.45">
      <c r="A280" t="s">
        <v>74</v>
      </c>
      <c r="B280" t="s">
        <v>54</v>
      </c>
      <c r="C280" t="s">
        <v>79</v>
      </c>
      <c r="D280" s="6">
        <v>7438</v>
      </c>
      <c r="E280" s="6">
        <v>1853</v>
      </c>
      <c r="F280" t="s">
        <v>77</v>
      </c>
      <c r="G280" t="str">
        <f t="shared" si="4"/>
        <v>On Budget</v>
      </c>
    </row>
    <row r="281" spans="1:7" x14ac:dyDescent="0.45">
      <c r="A281" t="s">
        <v>53</v>
      </c>
      <c r="B281" t="s">
        <v>82</v>
      </c>
      <c r="C281" t="s">
        <v>55</v>
      </c>
      <c r="D281" s="6">
        <v>7425</v>
      </c>
      <c r="E281" s="6">
        <v>5535</v>
      </c>
      <c r="G281" t="str">
        <f t="shared" si="4"/>
        <v>On Budget</v>
      </c>
    </row>
    <row r="282" spans="1:7" x14ac:dyDescent="0.45">
      <c r="A282" t="s">
        <v>69</v>
      </c>
      <c r="B282" t="s">
        <v>54</v>
      </c>
      <c r="C282" t="s">
        <v>81</v>
      </c>
      <c r="D282" s="6">
        <v>2187</v>
      </c>
      <c r="E282" s="6">
        <v>2127</v>
      </c>
      <c r="F282" t="s">
        <v>66</v>
      </c>
      <c r="G282" t="str">
        <f t="shared" si="4"/>
        <v>On Budget</v>
      </c>
    </row>
    <row r="283" spans="1:7" x14ac:dyDescent="0.45">
      <c r="A283" t="s">
        <v>53</v>
      </c>
      <c r="B283" t="s">
        <v>82</v>
      </c>
      <c r="C283" t="s">
        <v>58</v>
      </c>
      <c r="D283" s="6">
        <v>7166</v>
      </c>
      <c r="E283" s="6">
        <v>3434</v>
      </c>
      <c r="F283" t="s">
        <v>59</v>
      </c>
      <c r="G283" t="str">
        <f t="shared" si="4"/>
        <v>On Budget</v>
      </c>
    </row>
    <row r="284" spans="1:7" x14ac:dyDescent="0.45">
      <c r="A284" t="s">
        <v>74</v>
      </c>
      <c r="B284" t="s">
        <v>82</v>
      </c>
      <c r="C284" t="s">
        <v>68</v>
      </c>
      <c r="D284" s="6">
        <v>4089</v>
      </c>
      <c r="E284" s="6">
        <v>7698</v>
      </c>
      <c r="F284" t="s">
        <v>77</v>
      </c>
      <c r="G284" t="str">
        <f t="shared" si="4"/>
        <v>Over Budget</v>
      </c>
    </row>
    <row r="285" spans="1:7" x14ac:dyDescent="0.45">
      <c r="A285" t="s">
        <v>74</v>
      </c>
      <c r="B285" t="s">
        <v>54</v>
      </c>
      <c r="C285" t="s">
        <v>71</v>
      </c>
      <c r="D285" s="6">
        <v>6958</v>
      </c>
      <c r="E285" s="6">
        <v>5651</v>
      </c>
      <c r="F285" t="s">
        <v>62</v>
      </c>
      <c r="G285" t="str">
        <f t="shared" si="4"/>
        <v>On Budget</v>
      </c>
    </row>
    <row r="286" spans="1:7" x14ac:dyDescent="0.45">
      <c r="A286" t="s">
        <v>69</v>
      </c>
      <c r="B286" t="s">
        <v>54</v>
      </c>
      <c r="C286" t="s">
        <v>55</v>
      </c>
      <c r="D286" s="6">
        <v>4206</v>
      </c>
      <c r="E286" s="6">
        <v>2616</v>
      </c>
      <c r="G286" t="str">
        <f t="shared" si="4"/>
        <v>On Budget</v>
      </c>
    </row>
    <row r="287" spans="1:7" x14ac:dyDescent="0.45">
      <c r="A287" t="s">
        <v>60</v>
      </c>
      <c r="B287" t="s">
        <v>78</v>
      </c>
      <c r="C287" t="s">
        <v>73</v>
      </c>
      <c r="D287" s="6">
        <v>7470</v>
      </c>
      <c r="E287" s="6">
        <v>10266</v>
      </c>
      <c r="F287" t="s">
        <v>59</v>
      </c>
      <c r="G287" t="str">
        <f t="shared" si="4"/>
        <v>Over Budget</v>
      </c>
    </row>
    <row r="288" spans="1:7" x14ac:dyDescent="0.45">
      <c r="A288" t="s">
        <v>60</v>
      </c>
      <c r="B288" t="s">
        <v>70</v>
      </c>
      <c r="C288" t="s">
        <v>65</v>
      </c>
      <c r="D288" s="6">
        <v>3486</v>
      </c>
      <c r="E288" s="6">
        <v>9246</v>
      </c>
      <c r="F288" t="s">
        <v>66</v>
      </c>
      <c r="G288" t="str">
        <f t="shared" si="4"/>
        <v>Over Budget</v>
      </c>
    </row>
    <row r="289" spans="1:7" x14ac:dyDescent="0.45">
      <c r="A289" t="s">
        <v>60</v>
      </c>
      <c r="B289" t="s">
        <v>54</v>
      </c>
      <c r="C289" t="s">
        <v>67</v>
      </c>
      <c r="D289" s="6">
        <v>3380</v>
      </c>
      <c r="E289" s="6">
        <v>6856</v>
      </c>
      <c r="F289" t="s">
        <v>59</v>
      </c>
      <c r="G289" t="str">
        <f t="shared" si="4"/>
        <v>Over Budget</v>
      </c>
    </row>
    <row r="290" spans="1:7" x14ac:dyDescent="0.45">
      <c r="A290" t="s">
        <v>80</v>
      </c>
      <c r="B290" t="s">
        <v>72</v>
      </c>
      <c r="C290" t="s">
        <v>61</v>
      </c>
      <c r="D290" s="6">
        <v>7076</v>
      </c>
      <c r="E290" s="6">
        <v>2450</v>
      </c>
      <c r="F290" t="s">
        <v>66</v>
      </c>
      <c r="G290" t="str">
        <f t="shared" si="4"/>
        <v>On Budget</v>
      </c>
    </row>
    <row r="291" spans="1:7" x14ac:dyDescent="0.45">
      <c r="A291" t="s">
        <v>63</v>
      </c>
      <c r="B291" t="s">
        <v>57</v>
      </c>
      <c r="C291" t="s">
        <v>61</v>
      </c>
      <c r="D291" s="6">
        <v>7142</v>
      </c>
      <c r="E291" s="6">
        <v>6782</v>
      </c>
      <c r="F291" t="s">
        <v>77</v>
      </c>
      <c r="G291" t="str">
        <f t="shared" si="4"/>
        <v>On Budget</v>
      </c>
    </row>
    <row r="292" spans="1:7" x14ac:dyDescent="0.45">
      <c r="A292" t="s">
        <v>56</v>
      </c>
      <c r="B292" t="s">
        <v>72</v>
      </c>
      <c r="C292" t="s">
        <v>71</v>
      </c>
      <c r="D292" s="6">
        <v>4696</v>
      </c>
      <c r="E292" s="6">
        <v>7403</v>
      </c>
      <c r="F292" t="s">
        <v>62</v>
      </c>
      <c r="G292" t="str">
        <f t="shared" si="4"/>
        <v>Over Budget</v>
      </c>
    </row>
    <row r="293" spans="1:7" x14ac:dyDescent="0.45">
      <c r="A293" t="s">
        <v>80</v>
      </c>
      <c r="B293" t="s">
        <v>57</v>
      </c>
      <c r="C293" t="s">
        <v>79</v>
      </c>
      <c r="D293" s="6">
        <v>1982</v>
      </c>
      <c r="E293" s="6">
        <v>4862</v>
      </c>
      <c r="F293" t="s">
        <v>66</v>
      </c>
      <c r="G293" t="str">
        <f t="shared" si="4"/>
        <v>Over Budget</v>
      </c>
    </row>
    <row r="294" spans="1:7" x14ac:dyDescent="0.45">
      <c r="A294" t="s">
        <v>69</v>
      </c>
      <c r="B294" t="s">
        <v>70</v>
      </c>
      <c r="C294" t="s">
        <v>55</v>
      </c>
      <c r="D294" s="6">
        <v>9021</v>
      </c>
      <c r="E294" s="6">
        <v>8953</v>
      </c>
      <c r="F294" t="s">
        <v>77</v>
      </c>
      <c r="G294" t="str">
        <f t="shared" si="4"/>
        <v>On Budget</v>
      </c>
    </row>
    <row r="295" spans="1:7" x14ac:dyDescent="0.45">
      <c r="A295" t="s">
        <v>63</v>
      </c>
      <c r="B295" t="s">
        <v>70</v>
      </c>
      <c r="C295" t="s">
        <v>55</v>
      </c>
      <c r="D295" s="6">
        <v>9394</v>
      </c>
      <c r="E295" s="6">
        <v>3904</v>
      </c>
      <c r="F295" t="s">
        <v>59</v>
      </c>
      <c r="G295" t="str">
        <f t="shared" si="4"/>
        <v>On Budget</v>
      </c>
    </row>
    <row r="296" spans="1:7" x14ac:dyDescent="0.45">
      <c r="A296" t="s">
        <v>56</v>
      </c>
      <c r="B296" t="s">
        <v>70</v>
      </c>
      <c r="C296" t="s">
        <v>55</v>
      </c>
      <c r="D296" s="6">
        <v>5689</v>
      </c>
      <c r="E296" s="6">
        <v>5491</v>
      </c>
      <c r="F296" t="s">
        <v>62</v>
      </c>
      <c r="G296" t="str">
        <f t="shared" si="4"/>
        <v>On Budget</v>
      </c>
    </row>
    <row r="297" spans="1:7" x14ac:dyDescent="0.45">
      <c r="A297" t="s">
        <v>74</v>
      </c>
      <c r="B297" t="s">
        <v>54</v>
      </c>
      <c r="C297" t="s">
        <v>64</v>
      </c>
      <c r="D297" s="6">
        <v>9149</v>
      </c>
      <c r="E297" s="6">
        <v>6484</v>
      </c>
      <c r="G297" t="str">
        <f t="shared" si="4"/>
        <v>On Budget</v>
      </c>
    </row>
    <row r="298" spans="1:7" x14ac:dyDescent="0.45">
      <c r="A298" t="s">
        <v>69</v>
      </c>
      <c r="B298" t="s">
        <v>54</v>
      </c>
      <c r="C298" t="s">
        <v>64</v>
      </c>
      <c r="D298" s="6">
        <v>3361</v>
      </c>
      <c r="E298" s="6">
        <v>8670</v>
      </c>
      <c r="F298" t="s">
        <v>66</v>
      </c>
      <c r="G298" t="str">
        <f t="shared" si="4"/>
        <v>Over Budget</v>
      </c>
    </row>
    <row r="299" spans="1:7" x14ac:dyDescent="0.45">
      <c r="A299" t="s">
        <v>56</v>
      </c>
      <c r="B299" t="s">
        <v>70</v>
      </c>
      <c r="C299" t="s">
        <v>61</v>
      </c>
      <c r="D299" s="6">
        <v>5020</v>
      </c>
      <c r="E299" s="6">
        <v>1318</v>
      </c>
      <c r="G299" t="str">
        <f t="shared" si="4"/>
        <v>On Budget</v>
      </c>
    </row>
    <row r="300" spans="1:7" x14ac:dyDescent="0.45">
      <c r="A300" t="s">
        <v>63</v>
      </c>
      <c r="B300" t="s">
        <v>82</v>
      </c>
      <c r="C300" t="s">
        <v>58</v>
      </c>
      <c r="D300" s="6">
        <v>1954</v>
      </c>
      <c r="E300" s="6">
        <v>11251</v>
      </c>
      <c r="F300" t="s">
        <v>59</v>
      </c>
      <c r="G300" t="str">
        <f t="shared" si="4"/>
        <v>Over Budget</v>
      </c>
    </row>
    <row r="301" spans="1:7" x14ac:dyDescent="0.45">
      <c r="A301" t="s">
        <v>63</v>
      </c>
      <c r="B301" t="s">
        <v>82</v>
      </c>
      <c r="C301" t="s">
        <v>67</v>
      </c>
      <c r="D301" s="6">
        <v>6913</v>
      </c>
      <c r="E301" s="6">
        <v>3025</v>
      </c>
      <c r="F301" t="s">
        <v>62</v>
      </c>
      <c r="G301" t="str">
        <f t="shared" si="4"/>
        <v>On Budget</v>
      </c>
    </row>
    <row r="302" spans="1:7" x14ac:dyDescent="0.45">
      <c r="A302" t="s">
        <v>53</v>
      </c>
      <c r="B302" t="s">
        <v>57</v>
      </c>
      <c r="C302" t="s">
        <v>58</v>
      </c>
      <c r="D302" s="6">
        <v>6517</v>
      </c>
      <c r="E302" s="6">
        <v>11194</v>
      </c>
      <c r="F302" t="s">
        <v>59</v>
      </c>
      <c r="G302" t="str">
        <f t="shared" si="4"/>
        <v>Over Budget</v>
      </c>
    </row>
    <row r="303" spans="1:7" x14ac:dyDescent="0.45">
      <c r="A303" t="s">
        <v>60</v>
      </c>
      <c r="B303" t="s">
        <v>70</v>
      </c>
      <c r="C303" t="s">
        <v>64</v>
      </c>
      <c r="D303" s="6">
        <v>1265</v>
      </c>
      <c r="E303" s="6">
        <v>6688</v>
      </c>
      <c r="F303" t="s">
        <v>62</v>
      </c>
      <c r="G303" t="str">
        <f t="shared" si="4"/>
        <v>Over Budget</v>
      </c>
    </row>
    <row r="304" spans="1:7" x14ac:dyDescent="0.45">
      <c r="A304" t="s">
        <v>80</v>
      </c>
      <c r="B304" t="s">
        <v>72</v>
      </c>
      <c r="C304" t="s">
        <v>76</v>
      </c>
      <c r="D304" s="6">
        <v>8440</v>
      </c>
      <c r="E304" s="6">
        <v>1391</v>
      </c>
      <c r="F304" t="s">
        <v>66</v>
      </c>
      <c r="G304" t="str">
        <f t="shared" si="4"/>
        <v>On Budget</v>
      </c>
    </row>
    <row r="305" spans="1:7" x14ac:dyDescent="0.45">
      <c r="A305" t="s">
        <v>63</v>
      </c>
      <c r="B305" t="s">
        <v>70</v>
      </c>
      <c r="C305" t="s">
        <v>76</v>
      </c>
      <c r="D305" s="6">
        <v>4695</v>
      </c>
      <c r="E305" s="6">
        <v>5418</v>
      </c>
      <c r="F305" t="s">
        <v>66</v>
      </c>
      <c r="G305" t="str">
        <f t="shared" si="4"/>
        <v>Over Budget</v>
      </c>
    </row>
    <row r="306" spans="1:7" x14ac:dyDescent="0.45">
      <c r="A306" t="s">
        <v>56</v>
      </c>
      <c r="B306" t="s">
        <v>78</v>
      </c>
      <c r="C306" t="s">
        <v>55</v>
      </c>
      <c r="D306" s="6">
        <v>1201</v>
      </c>
      <c r="E306" s="6">
        <v>10293</v>
      </c>
      <c r="F306" t="s">
        <v>77</v>
      </c>
      <c r="G306" t="str">
        <f t="shared" si="4"/>
        <v>Over Budget</v>
      </c>
    </row>
    <row r="307" spans="1:7" x14ac:dyDescent="0.45">
      <c r="A307" t="s">
        <v>80</v>
      </c>
      <c r="B307" t="s">
        <v>82</v>
      </c>
      <c r="C307" t="s">
        <v>79</v>
      </c>
      <c r="D307" s="6">
        <v>6342</v>
      </c>
      <c r="E307" s="6">
        <v>8292</v>
      </c>
      <c r="F307" t="s">
        <v>66</v>
      </c>
      <c r="G307" t="str">
        <f t="shared" si="4"/>
        <v>Over Budget</v>
      </c>
    </row>
    <row r="308" spans="1:7" x14ac:dyDescent="0.45">
      <c r="A308" t="s">
        <v>60</v>
      </c>
      <c r="B308" t="s">
        <v>72</v>
      </c>
      <c r="C308" t="s">
        <v>73</v>
      </c>
      <c r="D308" s="6">
        <v>2290</v>
      </c>
      <c r="E308" s="6">
        <v>5281</v>
      </c>
      <c r="G308" t="str">
        <f t="shared" si="4"/>
        <v>Over Budget</v>
      </c>
    </row>
    <row r="309" spans="1:7" x14ac:dyDescent="0.45">
      <c r="A309" t="s">
        <v>60</v>
      </c>
      <c r="B309" t="s">
        <v>54</v>
      </c>
      <c r="C309" t="s">
        <v>73</v>
      </c>
      <c r="D309" s="6">
        <v>2009</v>
      </c>
      <c r="E309" s="6">
        <v>2316</v>
      </c>
      <c r="F309" t="s">
        <v>59</v>
      </c>
      <c r="G309" t="str">
        <f t="shared" si="4"/>
        <v>Over Budget</v>
      </c>
    </row>
    <row r="310" spans="1:7" x14ac:dyDescent="0.45">
      <c r="A310" t="s">
        <v>53</v>
      </c>
      <c r="B310" t="s">
        <v>57</v>
      </c>
      <c r="C310" t="s">
        <v>67</v>
      </c>
      <c r="D310" s="6">
        <v>1128</v>
      </c>
      <c r="E310" s="6">
        <v>8014</v>
      </c>
      <c r="F310" t="s">
        <v>62</v>
      </c>
      <c r="G310" t="str">
        <f t="shared" si="4"/>
        <v>Over Budget</v>
      </c>
    </row>
    <row r="311" spans="1:7" x14ac:dyDescent="0.45">
      <c r="A311" t="s">
        <v>63</v>
      </c>
      <c r="B311" t="s">
        <v>82</v>
      </c>
      <c r="C311" t="s">
        <v>65</v>
      </c>
      <c r="D311" s="6">
        <v>6923</v>
      </c>
      <c r="E311" s="6">
        <v>11530</v>
      </c>
      <c r="F311" t="s">
        <v>62</v>
      </c>
      <c r="G311" t="str">
        <f t="shared" si="4"/>
        <v>Over Budget</v>
      </c>
    </row>
    <row r="312" spans="1:7" x14ac:dyDescent="0.45">
      <c r="A312" t="s">
        <v>53</v>
      </c>
      <c r="B312" t="s">
        <v>54</v>
      </c>
      <c r="C312" t="s">
        <v>64</v>
      </c>
      <c r="D312" s="6">
        <v>5022</v>
      </c>
      <c r="E312" s="6">
        <v>4266</v>
      </c>
      <c r="F312" t="s">
        <v>77</v>
      </c>
      <c r="G312" t="str">
        <f t="shared" si="4"/>
        <v>On Budget</v>
      </c>
    </row>
    <row r="313" spans="1:7" x14ac:dyDescent="0.45">
      <c r="A313" t="s">
        <v>69</v>
      </c>
      <c r="B313" t="s">
        <v>70</v>
      </c>
      <c r="C313" t="s">
        <v>64</v>
      </c>
      <c r="D313" s="6">
        <v>6466</v>
      </c>
      <c r="E313" s="6">
        <v>3570</v>
      </c>
      <c r="F313" t="s">
        <v>62</v>
      </c>
      <c r="G313" t="str">
        <f t="shared" si="4"/>
        <v>On Budget</v>
      </c>
    </row>
    <row r="314" spans="1:7" x14ac:dyDescent="0.45">
      <c r="A314" t="s">
        <v>56</v>
      </c>
      <c r="B314" t="s">
        <v>75</v>
      </c>
      <c r="C314" t="s">
        <v>76</v>
      </c>
      <c r="D314" s="6">
        <v>4810</v>
      </c>
      <c r="E314" s="6">
        <v>5459</v>
      </c>
      <c r="F314" t="s">
        <v>62</v>
      </c>
      <c r="G314" t="str">
        <f t="shared" si="4"/>
        <v>Over Budget</v>
      </c>
    </row>
    <row r="315" spans="1:7" x14ac:dyDescent="0.45">
      <c r="A315" t="s">
        <v>74</v>
      </c>
      <c r="B315" t="s">
        <v>70</v>
      </c>
      <c r="C315" t="s">
        <v>67</v>
      </c>
      <c r="D315" s="6">
        <v>7504</v>
      </c>
      <c r="E315" s="6">
        <v>1754</v>
      </c>
      <c r="F315" t="s">
        <v>77</v>
      </c>
      <c r="G315" t="str">
        <f t="shared" si="4"/>
        <v>On Budget</v>
      </c>
    </row>
    <row r="316" spans="1:7" x14ac:dyDescent="0.45">
      <c r="A316" t="s">
        <v>74</v>
      </c>
      <c r="B316" t="s">
        <v>82</v>
      </c>
      <c r="C316" t="s">
        <v>71</v>
      </c>
      <c r="D316" s="6">
        <v>5453</v>
      </c>
      <c r="E316" s="6">
        <v>10878</v>
      </c>
      <c r="F316" t="s">
        <v>66</v>
      </c>
      <c r="G316" t="str">
        <f t="shared" si="4"/>
        <v>Over Budget</v>
      </c>
    </row>
    <row r="317" spans="1:7" x14ac:dyDescent="0.45">
      <c r="A317" t="s">
        <v>69</v>
      </c>
      <c r="B317" t="s">
        <v>70</v>
      </c>
      <c r="C317" t="s">
        <v>76</v>
      </c>
      <c r="D317" s="6">
        <v>5260</v>
      </c>
      <c r="E317" s="6">
        <v>6088</v>
      </c>
      <c r="F317" t="s">
        <v>66</v>
      </c>
      <c r="G317" t="str">
        <f t="shared" si="4"/>
        <v>Over Budget</v>
      </c>
    </row>
    <row r="318" spans="1:7" x14ac:dyDescent="0.45">
      <c r="A318" t="s">
        <v>53</v>
      </c>
      <c r="B318" t="s">
        <v>54</v>
      </c>
      <c r="C318" t="s">
        <v>61</v>
      </c>
      <c r="D318" s="6">
        <v>2631</v>
      </c>
      <c r="E318" s="6">
        <v>2807</v>
      </c>
      <c r="G318" t="str">
        <f t="shared" si="4"/>
        <v>Over Budget</v>
      </c>
    </row>
    <row r="319" spans="1:7" x14ac:dyDescent="0.45">
      <c r="A319" t="s">
        <v>63</v>
      </c>
      <c r="B319" t="s">
        <v>70</v>
      </c>
      <c r="C319" t="s">
        <v>65</v>
      </c>
      <c r="D319" s="6">
        <v>9503</v>
      </c>
      <c r="E319" s="6">
        <v>9241</v>
      </c>
      <c r="F319" t="s">
        <v>77</v>
      </c>
      <c r="G319" t="str">
        <f t="shared" si="4"/>
        <v>On Budget</v>
      </c>
    </row>
    <row r="320" spans="1:7" x14ac:dyDescent="0.45">
      <c r="A320" t="s">
        <v>56</v>
      </c>
      <c r="B320" t="s">
        <v>75</v>
      </c>
      <c r="C320" t="s">
        <v>55</v>
      </c>
      <c r="D320" s="6">
        <v>4136</v>
      </c>
      <c r="E320" s="6">
        <v>4621</v>
      </c>
      <c r="F320" t="s">
        <v>66</v>
      </c>
      <c r="G320" t="str">
        <f t="shared" si="4"/>
        <v>Over Budget</v>
      </c>
    </row>
    <row r="321" spans="1:7" x14ac:dyDescent="0.45">
      <c r="A321" t="s">
        <v>69</v>
      </c>
      <c r="B321" t="s">
        <v>57</v>
      </c>
      <c r="C321" t="s">
        <v>64</v>
      </c>
      <c r="D321" s="6">
        <v>2551</v>
      </c>
      <c r="E321" s="6">
        <v>1844</v>
      </c>
      <c r="F321" t="s">
        <v>59</v>
      </c>
      <c r="G321" t="str">
        <f t="shared" si="4"/>
        <v>On Budget</v>
      </c>
    </row>
    <row r="322" spans="1:7" x14ac:dyDescent="0.45">
      <c r="A322" t="s">
        <v>53</v>
      </c>
      <c r="B322" t="s">
        <v>57</v>
      </c>
      <c r="C322" t="s">
        <v>64</v>
      </c>
      <c r="D322" s="6">
        <v>8398</v>
      </c>
      <c r="E322" s="6">
        <v>5952</v>
      </c>
      <c r="F322" t="s">
        <v>77</v>
      </c>
      <c r="G322" t="str">
        <f t="shared" ref="G322:G385" si="5">IF(E322&gt;D322,"Over Budget","On Budget")</f>
        <v>On Budget</v>
      </c>
    </row>
    <row r="323" spans="1:7" x14ac:dyDescent="0.45">
      <c r="A323" t="s">
        <v>60</v>
      </c>
      <c r="B323" t="s">
        <v>82</v>
      </c>
      <c r="C323" t="s">
        <v>71</v>
      </c>
      <c r="D323" s="6">
        <v>2378</v>
      </c>
      <c r="E323" s="6">
        <v>6606</v>
      </c>
      <c r="F323" t="s">
        <v>59</v>
      </c>
      <c r="G323" t="str">
        <f t="shared" si="5"/>
        <v>Over Budget</v>
      </c>
    </row>
    <row r="324" spans="1:7" x14ac:dyDescent="0.45">
      <c r="A324" t="s">
        <v>56</v>
      </c>
      <c r="B324" t="s">
        <v>78</v>
      </c>
      <c r="C324" t="s">
        <v>65</v>
      </c>
      <c r="D324" s="6">
        <v>6800</v>
      </c>
      <c r="E324" s="6">
        <v>3201</v>
      </c>
      <c r="F324" t="s">
        <v>59</v>
      </c>
      <c r="G324" t="str">
        <f t="shared" si="5"/>
        <v>On Budget</v>
      </c>
    </row>
    <row r="325" spans="1:7" x14ac:dyDescent="0.45">
      <c r="A325" t="s">
        <v>60</v>
      </c>
      <c r="B325" t="s">
        <v>72</v>
      </c>
      <c r="C325" t="s">
        <v>73</v>
      </c>
      <c r="D325" s="6">
        <v>6741</v>
      </c>
      <c r="E325" s="6">
        <v>9212</v>
      </c>
      <c r="F325" t="s">
        <v>66</v>
      </c>
      <c r="G325" t="str">
        <f t="shared" si="5"/>
        <v>Over Budget</v>
      </c>
    </row>
    <row r="326" spans="1:7" x14ac:dyDescent="0.45">
      <c r="A326" t="s">
        <v>69</v>
      </c>
      <c r="B326" t="s">
        <v>72</v>
      </c>
      <c r="C326" t="s">
        <v>71</v>
      </c>
      <c r="D326" s="6">
        <v>4869</v>
      </c>
      <c r="E326" s="6">
        <v>1795</v>
      </c>
      <c r="F326" t="s">
        <v>77</v>
      </c>
      <c r="G326" t="str">
        <f t="shared" si="5"/>
        <v>On Budget</v>
      </c>
    </row>
    <row r="327" spans="1:7" x14ac:dyDescent="0.45">
      <c r="A327" t="s">
        <v>80</v>
      </c>
      <c r="B327" t="s">
        <v>54</v>
      </c>
      <c r="C327" t="s">
        <v>55</v>
      </c>
      <c r="D327" s="6">
        <v>7794</v>
      </c>
      <c r="E327" s="6">
        <v>10328</v>
      </c>
      <c r="F327" t="s">
        <v>59</v>
      </c>
      <c r="G327" t="str">
        <f t="shared" si="5"/>
        <v>Over Budget</v>
      </c>
    </row>
    <row r="328" spans="1:7" x14ac:dyDescent="0.45">
      <c r="A328" t="s">
        <v>74</v>
      </c>
      <c r="B328" t="s">
        <v>57</v>
      </c>
      <c r="C328" t="s">
        <v>65</v>
      </c>
      <c r="D328" s="6">
        <v>6725</v>
      </c>
      <c r="E328" s="6">
        <v>11686</v>
      </c>
      <c r="F328" t="s">
        <v>59</v>
      </c>
      <c r="G328" t="str">
        <f t="shared" si="5"/>
        <v>Over Budget</v>
      </c>
    </row>
    <row r="329" spans="1:7" x14ac:dyDescent="0.45">
      <c r="A329" t="s">
        <v>53</v>
      </c>
      <c r="B329" t="s">
        <v>72</v>
      </c>
      <c r="C329" t="s">
        <v>65</v>
      </c>
      <c r="D329" s="6">
        <v>7253</v>
      </c>
      <c r="E329" s="6">
        <v>5984</v>
      </c>
      <c r="F329" t="s">
        <v>59</v>
      </c>
      <c r="G329" t="str">
        <f t="shared" si="5"/>
        <v>On Budget</v>
      </c>
    </row>
    <row r="330" spans="1:7" x14ac:dyDescent="0.45">
      <c r="A330" t="s">
        <v>53</v>
      </c>
      <c r="B330" t="s">
        <v>70</v>
      </c>
      <c r="C330" t="s">
        <v>55</v>
      </c>
      <c r="D330" s="6">
        <v>4402</v>
      </c>
      <c r="E330" s="6">
        <v>11794</v>
      </c>
      <c r="F330" t="s">
        <v>77</v>
      </c>
      <c r="G330" t="str">
        <f t="shared" si="5"/>
        <v>Over Budget</v>
      </c>
    </row>
    <row r="331" spans="1:7" x14ac:dyDescent="0.45">
      <c r="A331" t="s">
        <v>53</v>
      </c>
      <c r="B331" t="s">
        <v>82</v>
      </c>
      <c r="C331" t="s">
        <v>61</v>
      </c>
      <c r="D331" s="6">
        <v>5653</v>
      </c>
      <c r="E331" s="6">
        <v>11818</v>
      </c>
      <c r="F331" t="s">
        <v>59</v>
      </c>
      <c r="G331" t="str">
        <f t="shared" si="5"/>
        <v>Over Budget</v>
      </c>
    </row>
    <row r="332" spans="1:7" x14ac:dyDescent="0.45">
      <c r="A332" t="s">
        <v>53</v>
      </c>
      <c r="B332" t="s">
        <v>57</v>
      </c>
      <c r="C332" t="s">
        <v>79</v>
      </c>
      <c r="D332" s="6">
        <v>4482</v>
      </c>
      <c r="E332" s="6">
        <v>7588</v>
      </c>
      <c r="F332" t="s">
        <v>59</v>
      </c>
      <c r="G332" t="str">
        <f t="shared" si="5"/>
        <v>Over Budget</v>
      </c>
    </row>
    <row r="333" spans="1:7" x14ac:dyDescent="0.45">
      <c r="A333" t="s">
        <v>63</v>
      </c>
      <c r="B333" t="s">
        <v>72</v>
      </c>
      <c r="C333" t="s">
        <v>71</v>
      </c>
      <c r="D333" s="6">
        <v>7993</v>
      </c>
      <c r="E333" s="6">
        <v>10028</v>
      </c>
      <c r="F333" t="s">
        <v>59</v>
      </c>
      <c r="G333" t="str">
        <f t="shared" si="5"/>
        <v>Over Budget</v>
      </c>
    </row>
    <row r="334" spans="1:7" x14ac:dyDescent="0.45">
      <c r="A334" t="s">
        <v>56</v>
      </c>
      <c r="B334" t="s">
        <v>75</v>
      </c>
      <c r="C334" t="s">
        <v>68</v>
      </c>
      <c r="D334" s="6">
        <v>7143</v>
      </c>
      <c r="E334" s="6">
        <v>3972</v>
      </c>
      <c r="F334" t="s">
        <v>59</v>
      </c>
      <c r="G334" t="str">
        <f t="shared" si="5"/>
        <v>On Budget</v>
      </c>
    </row>
    <row r="335" spans="1:7" x14ac:dyDescent="0.45">
      <c r="A335" t="s">
        <v>74</v>
      </c>
      <c r="B335" t="s">
        <v>82</v>
      </c>
      <c r="C335" t="s">
        <v>61</v>
      </c>
      <c r="D335" s="6">
        <v>7206</v>
      </c>
      <c r="E335" s="6">
        <v>1799</v>
      </c>
      <c r="F335" t="s">
        <v>66</v>
      </c>
      <c r="G335" t="str">
        <f t="shared" si="5"/>
        <v>On Budget</v>
      </c>
    </row>
    <row r="336" spans="1:7" x14ac:dyDescent="0.45">
      <c r="A336" t="s">
        <v>69</v>
      </c>
      <c r="B336" t="s">
        <v>54</v>
      </c>
      <c r="C336" t="s">
        <v>55</v>
      </c>
      <c r="D336" s="6">
        <v>3716</v>
      </c>
      <c r="E336" s="6">
        <v>2980</v>
      </c>
      <c r="F336" t="s">
        <v>59</v>
      </c>
      <c r="G336" t="str">
        <f t="shared" si="5"/>
        <v>On Budget</v>
      </c>
    </row>
    <row r="337" spans="1:7" x14ac:dyDescent="0.45">
      <c r="A337" t="s">
        <v>80</v>
      </c>
      <c r="B337" t="s">
        <v>57</v>
      </c>
      <c r="C337" t="s">
        <v>79</v>
      </c>
      <c r="D337" s="6">
        <v>1505</v>
      </c>
      <c r="E337" s="6">
        <v>9345</v>
      </c>
      <c r="F337" t="s">
        <v>77</v>
      </c>
      <c r="G337" t="str">
        <f t="shared" si="5"/>
        <v>Over Budget</v>
      </c>
    </row>
    <row r="338" spans="1:7" x14ac:dyDescent="0.45">
      <c r="A338" t="s">
        <v>74</v>
      </c>
      <c r="B338" t="s">
        <v>75</v>
      </c>
      <c r="C338" t="s">
        <v>61</v>
      </c>
      <c r="D338" s="6">
        <v>9273</v>
      </c>
      <c r="E338" s="6">
        <v>8479</v>
      </c>
      <c r="F338" t="s">
        <v>66</v>
      </c>
      <c r="G338" t="str">
        <f t="shared" si="5"/>
        <v>On Budget</v>
      </c>
    </row>
    <row r="339" spans="1:7" x14ac:dyDescent="0.45">
      <c r="A339" t="s">
        <v>56</v>
      </c>
      <c r="B339" t="s">
        <v>75</v>
      </c>
      <c r="C339" t="s">
        <v>65</v>
      </c>
      <c r="D339" s="6">
        <v>4778</v>
      </c>
      <c r="E339" s="6">
        <v>4775</v>
      </c>
      <c r="F339" t="s">
        <v>62</v>
      </c>
      <c r="G339" t="str">
        <f t="shared" si="5"/>
        <v>On Budget</v>
      </c>
    </row>
    <row r="340" spans="1:7" x14ac:dyDescent="0.45">
      <c r="A340" t="s">
        <v>60</v>
      </c>
      <c r="B340" t="s">
        <v>72</v>
      </c>
      <c r="C340" t="s">
        <v>76</v>
      </c>
      <c r="D340" s="6">
        <v>7568</v>
      </c>
      <c r="E340" s="6">
        <v>10284</v>
      </c>
      <c r="F340" t="s">
        <v>59</v>
      </c>
      <c r="G340" t="str">
        <f t="shared" si="5"/>
        <v>Over Budget</v>
      </c>
    </row>
    <row r="341" spans="1:7" x14ac:dyDescent="0.45">
      <c r="A341" t="s">
        <v>74</v>
      </c>
      <c r="B341" t="s">
        <v>57</v>
      </c>
      <c r="C341" t="s">
        <v>61</v>
      </c>
      <c r="D341" s="6">
        <v>2025</v>
      </c>
      <c r="E341" s="6">
        <v>2472</v>
      </c>
      <c r="F341" t="s">
        <v>77</v>
      </c>
      <c r="G341" t="str">
        <f t="shared" si="5"/>
        <v>Over Budget</v>
      </c>
    </row>
    <row r="342" spans="1:7" x14ac:dyDescent="0.45">
      <c r="A342" t="s">
        <v>80</v>
      </c>
      <c r="B342" t="s">
        <v>82</v>
      </c>
      <c r="C342" t="s">
        <v>61</v>
      </c>
      <c r="D342" s="6">
        <v>2779</v>
      </c>
      <c r="E342" s="6">
        <v>10511</v>
      </c>
      <c r="F342" t="s">
        <v>62</v>
      </c>
      <c r="G342" t="str">
        <f t="shared" si="5"/>
        <v>Over Budget</v>
      </c>
    </row>
    <row r="343" spans="1:7" x14ac:dyDescent="0.45">
      <c r="A343" t="s">
        <v>80</v>
      </c>
      <c r="B343" t="s">
        <v>70</v>
      </c>
      <c r="C343" t="s">
        <v>71</v>
      </c>
      <c r="D343" s="6">
        <v>3275</v>
      </c>
      <c r="E343" s="6">
        <v>4780</v>
      </c>
      <c r="F343" t="s">
        <v>66</v>
      </c>
      <c r="G343" t="str">
        <f t="shared" si="5"/>
        <v>Over Budget</v>
      </c>
    </row>
    <row r="344" spans="1:7" x14ac:dyDescent="0.45">
      <c r="A344" t="s">
        <v>80</v>
      </c>
      <c r="B344" t="s">
        <v>78</v>
      </c>
      <c r="C344" t="s">
        <v>76</v>
      </c>
      <c r="D344" s="6">
        <v>8907</v>
      </c>
      <c r="E344" s="6">
        <v>9356</v>
      </c>
      <c r="F344" t="s">
        <v>62</v>
      </c>
      <c r="G344" t="str">
        <f t="shared" si="5"/>
        <v>Over Budget</v>
      </c>
    </row>
    <row r="345" spans="1:7" x14ac:dyDescent="0.45">
      <c r="A345" t="s">
        <v>60</v>
      </c>
      <c r="B345" t="s">
        <v>72</v>
      </c>
      <c r="C345" t="s">
        <v>61</v>
      </c>
      <c r="D345" s="6">
        <v>1223</v>
      </c>
      <c r="E345" s="6">
        <v>6966</v>
      </c>
      <c r="F345" t="s">
        <v>59</v>
      </c>
      <c r="G345" t="str">
        <f t="shared" si="5"/>
        <v>Over Budget</v>
      </c>
    </row>
    <row r="346" spans="1:7" x14ac:dyDescent="0.45">
      <c r="A346" t="s">
        <v>80</v>
      </c>
      <c r="B346" t="s">
        <v>82</v>
      </c>
      <c r="C346" t="s">
        <v>55</v>
      </c>
      <c r="D346" s="6">
        <v>6720</v>
      </c>
      <c r="E346" s="6">
        <v>5535</v>
      </c>
      <c r="F346" t="s">
        <v>62</v>
      </c>
      <c r="G346" t="str">
        <f t="shared" si="5"/>
        <v>On Budget</v>
      </c>
    </row>
    <row r="347" spans="1:7" x14ac:dyDescent="0.45">
      <c r="A347" t="s">
        <v>69</v>
      </c>
      <c r="B347" t="s">
        <v>54</v>
      </c>
      <c r="C347" t="s">
        <v>76</v>
      </c>
      <c r="D347" s="6">
        <v>6063</v>
      </c>
      <c r="E347" s="6">
        <v>6709</v>
      </c>
      <c r="F347" t="s">
        <v>66</v>
      </c>
      <c r="G347" t="str">
        <f t="shared" si="5"/>
        <v>Over Budget</v>
      </c>
    </row>
    <row r="348" spans="1:7" x14ac:dyDescent="0.45">
      <c r="A348" t="s">
        <v>74</v>
      </c>
      <c r="B348" t="s">
        <v>72</v>
      </c>
      <c r="C348" t="s">
        <v>64</v>
      </c>
      <c r="D348" s="6">
        <v>8814</v>
      </c>
      <c r="E348" s="6">
        <v>5517</v>
      </c>
      <c r="F348" t="s">
        <v>77</v>
      </c>
      <c r="G348" t="str">
        <f t="shared" si="5"/>
        <v>On Budget</v>
      </c>
    </row>
    <row r="349" spans="1:7" x14ac:dyDescent="0.45">
      <c r="A349" t="s">
        <v>60</v>
      </c>
      <c r="B349" t="s">
        <v>82</v>
      </c>
      <c r="C349" t="s">
        <v>65</v>
      </c>
      <c r="D349" s="6">
        <v>4954</v>
      </c>
      <c r="E349" s="6">
        <v>8547</v>
      </c>
      <c r="F349" t="s">
        <v>62</v>
      </c>
      <c r="G349" t="str">
        <f t="shared" si="5"/>
        <v>Over Budget</v>
      </c>
    </row>
    <row r="350" spans="1:7" x14ac:dyDescent="0.45">
      <c r="A350" t="s">
        <v>60</v>
      </c>
      <c r="B350" t="s">
        <v>54</v>
      </c>
      <c r="C350" t="s">
        <v>65</v>
      </c>
      <c r="D350" s="6">
        <v>6124</v>
      </c>
      <c r="E350" s="6">
        <v>3846</v>
      </c>
      <c r="F350" t="s">
        <v>77</v>
      </c>
      <c r="G350" t="str">
        <f t="shared" si="5"/>
        <v>On Budget</v>
      </c>
    </row>
    <row r="351" spans="1:7" x14ac:dyDescent="0.45">
      <c r="A351" t="s">
        <v>53</v>
      </c>
      <c r="B351" t="s">
        <v>75</v>
      </c>
      <c r="C351" t="s">
        <v>81</v>
      </c>
      <c r="D351" s="6">
        <v>7464</v>
      </c>
      <c r="E351" s="6">
        <v>3007</v>
      </c>
      <c r="F351" t="s">
        <v>66</v>
      </c>
      <c r="G351" t="str">
        <f t="shared" si="5"/>
        <v>On Budget</v>
      </c>
    </row>
    <row r="352" spans="1:7" x14ac:dyDescent="0.45">
      <c r="A352" t="s">
        <v>60</v>
      </c>
      <c r="B352" t="s">
        <v>72</v>
      </c>
      <c r="C352" t="s">
        <v>65</v>
      </c>
      <c r="D352" s="6">
        <v>1530</v>
      </c>
      <c r="E352" s="6">
        <v>1888</v>
      </c>
      <c r="F352" t="s">
        <v>77</v>
      </c>
      <c r="G352" t="str">
        <f t="shared" si="5"/>
        <v>Over Budget</v>
      </c>
    </row>
    <row r="353" spans="1:7" x14ac:dyDescent="0.45">
      <c r="A353" t="s">
        <v>60</v>
      </c>
      <c r="B353" t="s">
        <v>57</v>
      </c>
      <c r="C353" t="s">
        <v>71</v>
      </c>
      <c r="D353" s="6">
        <v>5043</v>
      </c>
      <c r="E353" s="6">
        <v>6765</v>
      </c>
      <c r="F353" t="s">
        <v>66</v>
      </c>
      <c r="G353" t="str">
        <f t="shared" si="5"/>
        <v>Over Budget</v>
      </c>
    </row>
    <row r="354" spans="1:7" x14ac:dyDescent="0.45">
      <c r="A354" t="s">
        <v>80</v>
      </c>
      <c r="B354" t="s">
        <v>78</v>
      </c>
      <c r="C354" t="s">
        <v>79</v>
      </c>
      <c r="D354" s="6">
        <v>5212</v>
      </c>
      <c r="E354" s="6">
        <v>886</v>
      </c>
      <c r="F354" t="s">
        <v>59</v>
      </c>
      <c r="G354" t="str">
        <f t="shared" si="5"/>
        <v>On Budget</v>
      </c>
    </row>
    <row r="355" spans="1:7" x14ac:dyDescent="0.45">
      <c r="A355" t="s">
        <v>74</v>
      </c>
      <c r="B355" t="s">
        <v>82</v>
      </c>
      <c r="C355" t="s">
        <v>76</v>
      </c>
      <c r="D355" s="6">
        <v>5263</v>
      </c>
      <c r="E355" s="6">
        <v>10592</v>
      </c>
      <c r="F355" t="s">
        <v>77</v>
      </c>
      <c r="G355" t="str">
        <f t="shared" si="5"/>
        <v>Over Budget</v>
      </c>
    </row>
    <row r="356" spans="1:7" x14ac:dyDescent="0.45">
      <c r="A356" t="s">
        <v>53</v>
      </c>
      <c r="B356" t="s">
        <v>70</v>
      </c>
      <c r="C356" t="s">
        <v>79</v>
      </c>
      <c r="D356" s="6">
        <v>2761</v>
      </c>
      <c r="E356" s="6">
        <v>11721</v>
      </c>
      <c r="F356" t="s">
        <v>77</v>
      </c>
      <c r="G356" t="str">
        <f t="shared" si="5"/>
        <v>Over Budget</v>
      </c>
    </row>
    <row r="357" spans="1:7" x14ac:dyDescent="0.45">
      <c r="A357" t="s">
        <v>60</v>
      </c>
      <c r="B357" t="s">
        <v>54</v>
      </c>
      <c r="C357" t="s">
        <v>68</v>
      </c>
      <c r="D357" s="6">
        <v>9834</v>
      </c>
      <c r="E357" s="6">
        <v>7574</v>
      </c>
      <c r="G357" t="str">
        <f t="shared" si="5"/>
        <v>On Budget</v>
      </c>
    </row>
    <row r="358" spans="1:7" x14ac:dyDescent="0.45">
      <c r="A358" t="s">
        <v>69</v>
      </c>
      <c r="B358" t="s">
        <v>70</v>
      </c>
      <c r="C358" t="s">
        <v>73</v>
      </c>
      <c r="D358" s="6">
        <v>5131</v>
      </c>
      <c r="E358" s="6">
        <v>1962</v>
      </c>
      <c r="F358" t="s">
        <v>77</v>
      </c>
      <c r="G358" t="str">
        <f t="shared" si="5"/>
        <v>On Budget</v>
      </c>
    </row>
    <row r="359" spans="1:7" x14ac:dyDescent="0.45">
      <c r="A359" t="s">
        <v>80</v>
      </c>
      <c r="B359" t="s">
        <v>82</v>
      </c>
      <c r="C359" t="s">
        <v>58</v>
      </c>
      <c r="D359" s="6">
        <v>8699</v>
      </c>
      <c r="E359" s="6">
        <v>4309</v>
      </c>
      <c r="F359" t="s">
        <v>77</v>
      </c>
      <c r="G359" t="str">
        <f t="shared" si="5"/>
        <v>On Budget</v>
      </c>
    </row>
    <row r="360" spans="1:7" x14ac:dyDescent="0.45">
      <c r="A360" t="s">
        <v>63</v>
      </c>
      <c r="B360" t="s">
        <v>54</v>
      </c>
      <c r="C360" t="s">
        <v>79</v>
      </c>
      <c r="D360" s="6">
        <v>6761</v>
      </c>
      <c r="E360" s="6">
        <v>10879</v>
      </c>
      <c r="F360" t="s">
        <v>62</v>
      </c>
      <c r="G360" t="str">
        <f t="shared" si="5"/>
        <v>Over Budget</v>
      </c>
    </row>
    <row r="361" spans="1:7" x14ac:dyDescent="0.45">
      <c r="A361" t="s">
        <v>63</v>
      </c>
      <c r="B361" t="s">
        <v>57</v>
      </c>
      <c r="C361" t="s">
        <v>64</v>
      </c>
      <c r="D361" s="6">
        <v>6598</v>
      </c>
      <c r="E361" s="6">
        <v>1004</v>
      </c>
      <c r="F361" t="s">
        <v>66</v>
      </c>
      <c r="G361" t="str">
        <f t="shared" si="5"/>
        <v>On Budget</v>
      </c>
    </row>
    <row r="362" spans="1:7" x14ac:dyDescent="0.45">
      <c r="A362" t="s">
        <v>69</v>
      </c>
      <c r="B362" t="s">
        <v>75</v>
      </c>
      <c r="C362" t="s">
        <v>65</v>
      </c>
      <c r="D362" s="6">
        <v>9414</v>
      </c>
      <c r="E362" s="6">
        <v>10157</v>
      </c>
      <c r="F362" t="s">
        <v>62</v>
      </c>
      <c r="G362" t="str">
        <f t="shared" si="5"/>
        <v>Over Budget</v>
      </c>
    </row>
    <row r="363" spans="1:7" x14ac:dyDescent="0.45">
      <c r="A363" t="s">
        <v>60</v>
      </c>
      <c r="B363" t="s">
        <v>54</v>
      </c>
      <c r="C363" t="s">
        <v>68</v>
      </c>
      <c r="D363" s="6">
        <v>6959</v>
      </c>
      <c r="E363" s="6">
        <v>7117</v>
      </c>
      <c r="F363" t="s">
        <v>59</v>
      </c>
      <c r="G363" t="str">
        <f t="shared" si="5"/>
        <v>Over Budget</v>
      </c>
    </row>
    <row r="364" spans="1:7" x14ac:dyDescent="0.45">
      <c r="A364" t="s">
        <v>53</v>
      </c>
      <c r="B364" t="s">
        <v>75</v>
      </c>
      <c r="C364" t="s">
        <v>73</v>
      </c>
      <c r="D364" s="6">
        <v>5843</v>
      </c>
      <c r="E364" s="6">
        <v>2609</v>
      </c>
      <c r="F364" t="s">
        <v>66</v>
      </c>
      <c r="G364" t="str">
        <f t="shared" si="5"/>
        <v>On Budget</v>
      </c>
    </row>
    <row r="365" spans="1:7" x14ac:dyDescent="0.45">
      <c r="A365" t="s">
        <v>80</v>
      </c>
      <c r="B365" t="s">
        <v>75</v>
      </c>
      <c r="C365" t="s">
        <v>65</v>
      </c>
      <c r="D365" s="6">
        <v>9347</v>
      </c>
      <c r="E365" s="6">
        <v>2852</v>
      </c>
      <c r="F365" t="s">
        <v>62</v>
      </c>
      <c r="G365" t="str">
        <f t="shared" si="5"/>
        <v>On Budget</v>
      </c>
    </row>
    <row r="366" spans="1:7" x14ac:dyDescent="0.45">
      <c r="A366" t="s">
        <v>69</v>
      </c>
      <c r="B366" t="s">
        <v>82</v>
      </c>
      <c r="C366" t="s">
        <v>55</v>
      </c>
      <c r="D366" s="6">
        <v>1986</v>
      </c>
      <c r="E366" s="6">
        <v>5673</v>
      </c>
      <c r="F366" t="s">
        <v>77</v>
      </c>
      <c r="G366" t="str">
        <f t="shared" si="5"/>
        <v>Over Budget</v>
      </c>
    </row>
    <row r="367" spans="1:7" x14ac:dyDescent="0.45">
      <c r="A367" t="s">
        <v>80</v>
      </c>
      <c r="B367" t="s">
        <v>82</v>
      </c>
      <c r="C367" t="s">
        <v>55</v>
      </c>
      <c r="D367" s="6">
        <v>9305</v>
      </c>
      <c r="E367" s="6">
        <v>8197</v>
      </c>
      <c r="F367" t="s">
        <v>62</v>
      </c>
      <c r="G367" t="str">
        <f t="shared" si="5"/>
        <v>On Budget</v>
      </c>
    </row>
    <row r="368" spans="1:7" x14ac:dyDescent="0.45">
      <c r="A368" t="s">
        <v>56</v>
      </c>
      <c r="B368" t="s">
        <v>72</v>
      </c>
      <c r="C368" t="s">
        <v>65</v>
      </c>
      <c r="D368" s="6">
        <v>3396</v>
      </c>
      <c r="E368" s="6">
        <v>9280</v>
      </c>
      <c r="F368" t="s">
        <v>62</v>
      </c>
      <c r="G368" t="str">
        <f t="shared" si="5"/>
        <v>Over Budget</v>
      </c>
    </row>
    <row r="369" spans="1:7" x14ac:dyDescent="0.45">
      <c r="A369" t="s">
        <v>53</v>
      </c>
      <c r="B369" t="s">
        <v>75</v>
      </c>
      <c r="C369" t="s">
        <v>81</v>
      </c>
      <c r="D369" s="6">
        <v>8334</v>
      </c>
      <c r="E369" s="6">
        <v>1976</v>
      </c>
      <c r="F369" t="s">
        <v>62</v>
      </c>
      <c r="G369" t="str">
        <f t="shared" si="5"/>
        <v>On Budget</v>
      </c>
    </row>
    <row r="370" spans="1:7" x14ac:dyDescent="0.45">
      <c r="A370" t="s">
        <v>60</v>
      </c>
      <c r="B370" t="s">
        <v>75</v>
      </c>
      <c r="C370" t="s">
        <v>55</v>
      </c>
      <c r="D370" s="6">
        <v>6860</v>
      </c>
      <c r="E370" s="6">
        <v>1653</v>
      </c>
      <c r="F370" t="s">
        <v>62</v>
      </c>
      <c r="G370" t="str">
        <f t="shared" si="5"/>
        <v>On Budget</v>
      </c>
    </row>
    <row r="371" spans="1:7" x14ac:dyDescent="0.45">
      <c r="A371" t="s">
        <v>60</v>
      </c>
      <c r="B371" t="s">
        <v>70</v>
      </c>
      <c r="C371" t="s">
        <v>61</v>
      </c>
      <c r="D371" s="6">
        <v>1074</v>
      </c>
      <c r="E371" s="6">
        <v>9933</v>
      </c>
      <c r="F371" t="s">
        <v>66</v>
      </c>
      <c r="G371" t="str">
        <f t="shared" si="5"/>
        <v>Over Budget</v>
      </c>
    </row>
    <row r="372" spans="1:7" x14ac:dyDescent="0.45">
      <c r="A372" t="s">
        <v>60</v>
      </c>
      <c r="B372" t="s">
        <v>78</v>
      </c>
      <c r="C372" t="s">
        <v>76</v>
      </c>
      <c r="D372" s="6">
        <v>9798</v>
      </c>
      <c r="E372" s="6">
        <v>5795</v>
      </c>
      <c r="G372" t="str">
        <f t="shared" si="5"/>
        <v>On Budget</v>
      </c>
    </row>
    <row r="373" spans="1:7" x14ac:dyDescent="0.45">
      <c r="A373" t="s">
        <v>74</v>
      </c>
      <c r="B373" t="s">
        <v>57</v>
      </c>
      <c r="C373" t="s">
        <v>76</v>
      </c>
      <c r="D373" s="6">
        <v>2247</v>
      </c>
      <c r="E373" s="6">
        <v>1405</v>
      </c>
      <c r="F373" t="s">
        <v>66</v>
      </c>
      <c r="G373" t="str">
        <f t="shared" si="5"/>
        <v>On Budget</v>
      </c>
    </row>
    <row r="374" spans="1:7" x14ac:dyDescent="0.45">
      <c r="A374" t="s">
        <v>80</v>
      </c>
      <c r="B374" t="s">
        <v>75</v>
      </c>
      <c r="C374" t="s">
        <v>64</v>
      </c>
      <c r="D374" s="6">
        <v>7041</v>
      </c>
      <c r="E374" s="6">
        <v>11306</v>
      </c>
      <c r="F374" t="s">
        <v>59</v>
      </c>
      <c r="G374" t="str">
        <f t="shared" si="5"/>
        <v>Over Budget</v>
      </c>
    </row>
    <row r="375" spans="1:7" x14ac:dyDescent="0.45">
      <c r="A375" t="s">
        <v>60</v>
      </c>
      <c r="B375" t="s">
        <v>82</v>
      </c>
      <c r="C375" t="s">
        <v>61</v>
      </c>
      <c r="D375" s="6">
        <v>4141</v>
      </c>
      <c r="E375" s="6">
        <v>4841</v>
      </c>
      <c r="F375" t="s">
        <v>77</v>
      </c>
      <c r="G375" t="str">
        <f t="shared" si="5"/>
        <v>Over Budget</v>
      </c>
    </row>
    <row r="376" spans="1:7" x14ac:dyDescent="0.45">
      <c r="A376" t="s">
        <v>56</v>
      </c>
      <c r="B376" t="s">
        <v>78</v>
      </c>
      <c r="C376" t="s">
        <v>76</v>
      </c>
      <c r="D376" s="6">
        <v>5574</v>
      </c>
      <c r="E376" s="6">
        <v>3718</v>
      </c>
      <c r="G376" t="str">
        <f t="shared" si="5"/>
        <v>On Budget</v>
      </c>
    </row>
    <row r="377" spans="1:7" x14ac:dyDescent="0.45">
      <c r="A377" t="s">
        <v>60</v>
      </c>
      <c r="B377" t="s">
        <v>75</v>
      </c>
      <c r="C377" t="s">
        <v>76</v>
      </c>
      <c r="D377" s="6">
        <v>4501</v>
      </c>
      <c r="E377" s="6">
        <v>7447</v>
      </c>
      <c r="F377" t="s">
        <v>62</v>
      </c>
      <c r="G377" t="str">
        <f t="shared" si="5"/>
        <v>Over Budget</v>
      </c>
    </row>
    <row r="378" spans="1:7" x14ac:dyDescent="0.45">
      <c r="A378" t="s">
        <v>56</v>
      </c>
      <c r="B378" t="s">
        <v>75</v>
      </c>
      <c r="C378" t="s">
        <v>65</v>
      </c>
      <c r="D378" s="6">
        <v>7364</v>
      </c>
      <c r="E378" s="6">
        <v>2439</v>
      </c>
      <c r="G378" t="str">
        <f t="shared" si="5"/>
        <v>On Budget</v>
      </c>
    </row>
    <row r="379" spans="1:7" x14ac:dyDescent="0.45">
      <c r="A379" t="s">
        <v>63</v>
      </c>
      <c r="B379" t="s">
        <v>75</v>
      </c>
      <c r="C379" t="s">
        <v>73</v>
      </c>
      <c r="D379" s="6">
        <v>4512</v>
      </c>
      <c r="E379" s="6">
        <v>11544</v>
      </c>
      <c r="G379" t="str">
        <f t="shared" si="5"/>
        <v>Over Budget</v>
      </c>
    </row>
    <row r="380" spans="1:7" x14ac:dyDescent="0.45">
      <c r="A380" t="s">
        <v>53</v>
      </c>
      <c r="B380" t="s">
        <v>57</v>
      </c>
      <c r="C380" t="s">
        <v>65</v>
      </c>
      <c r="D380" s="6">
        <v>4578</v>
      </c>
      <c r="E380" s="6">
        <v>7320</v>
      </c>
      <c r="F380" t="s">
        <v>59</v>
      </c>
      <c r="G380" t="str">
        <f t="shared" si="5"/>
        <v>Over Budget</v>
      </c>
    </row>
    <row r="381" spans="1:7" x14ac:dyDescent="0.45">
      <c r="A381" t="s">
        <v>69</v>
      </c>
      <c r="B381" t="s">
        <v>75</v>
      </c>
      <c r="C381" t="s">
        <v>67</v>
      </c>
      <c r="D381" s="6">
        <v>8709</v>
      </c>
      <c r="E381" s="6">
        <v>8113</v>
      </c>
      <c r="G381" t="str">
        <f t="shared" si="5"/>
        <v>On Budget</v>
      </c>
    </row>
    <row r="382" spans="1:7" x14ac:dyDescent="0.45">
      <c r="A382" t="s">
        <v>63</v>
      </c>
      <c r="B382" t="s">
        <v>70</v>
      </c>
      <c r="C382" t="s">
        <v>58</v>
      </c>
      <c r="D382" s="6">
        <v>3364</v>
      </c>
      <c r="E382" s="6">
        <v>9264</v>
      </c>
      <c r="F382" t="s">
        <v>66</v>
      </c>
      <c r="G382" t="str">
        <f t="shared" si="5"/>
        <v>Over Budget</v>
      </c>
    </row>
    <row r="383" spans="1:7" x14ac:dyDescent="0.45">
      <c r="A383" t="s">
        <v>80</v>
      </c>
      <c r="B383" t="s">
        <v>82</v>
      </c>
      <c r="C383" t="s">
        <v>73</v>
      </c>
      <c r="D383" s="6">
        <v>2367</v>
      </c>
      <c r="E383" s="6">
        <v>5740</v>
      </c>
      <c r="F383" t="s">
        <v>62</v>
      </c>
      <c r="G383" t="str">
        <f t="shared" si="5"/>
        <v>Over Budget</v>
      </c>
    </row>
    <row r="384" spans="1:7" x14ac:dyDescent="0.45">
      <c r="A384" t="s">
        <v>60</v>
      </c>
      <c r="B384" t="s">
        <v>78</v>
      </c>
      <c r="C384" t="s">
        <v>73</v>
      </c>
      <c r="D384" s="6">
        <v>3071</v>
      </c>
      <c r="E384" s="6">
        <v>1281</v>
      </c>
      <c r="F384" t="s">
        <v>77</v>
      </c>
      <c r="G384" t="str">
        <f t="shared" si="5"/>
        <v>On Budget</v>
      </c>
    </row>
    <row r="385" spans="1:7" x14ac:dyDescent="0.45">
      <c r="A385" t="s">
        <v>53</v>
      </c>
      <c r="B385" t="s">
        <v>57</v>
      </c>
      <c r="C385" t="s">
        <v>65</v>
      </c>
      <c r="D385" s="6">
        <v>4497</v>
      </c>
      <c r="E385" s="6">
        <v>4909</v>
      </c>
      <c r="G385" t="str">
        <f t="shared" si="5"/>
        <v>Over Budget</v>
      </c>
    </row>
    <row r="386" spans="1:7" x14ac:dyDescent="0.45">
      <c r="A386" t="s">
        <v>69</v>
      </c>
      <c r="B386" t="s">
        <v>78</v>
      </c>
      <c r="C386" t="s">
        <v>58</v>
      </c>
      <c r="D386" s="6">
        <v>1322</v>
      </c>
      <c r="E386" s="6">
        <v>6535</v>
      </c>
      <c r="F386" t="s">
        <v>77</v>
      </c>
      <c r="G386" t="str">
        <f t="shared" ref="G386:G449" si="6">IF(E386&gt;D386,"Over Budget","On Budget")</f>
        <v>Over Budget</v>
      </c>
    </row>
    <row r="387" spans="1:7" x14ac:dyDescent="0.45">
      <c r="A387" t="s">
        <v>53</v>
      </c>
      <c r="B387" t="s">
        <v>78</v>
      </c>
      <c r="C387" t="s">
        <v>65</v>
      </c>
      <c r="D387" s="6">
        <v>4410</v>
      </c>
      <c r="E387" s="6">
        <v>4320</v>
      </c>
      <c r="G387" t="str">
        <f t="shared" si="6"/>
        <v>On Budget</v>
      </c>
    </row>
    <row r="388" spans="1:7" x14ac:dyDescent="0.45">
      <c r="A388" t="s">
        <v>56</v>
      </c>
      <c r="B388" t="s">
        <v>54</v>
      </c>
      <c r="C388" t="s">
        <v>73</v>
      </c>
      <c r="D388" s="6">
        <v>6712</v>
      </c>
      <c r="E388" s="6">
        <v>5878</v>
      </c>
      <c r="G388" t="str">
        <f t="shared" si="6"/>
        <v>On Budget</v>
      </c>
    </row>
    <row r="389" spans="1:7" x14ac:dyDescent="0.45">
      <c r="A389" t="s">
        <v>80</v>
      </c>
      <c r="B389" t="s">
        <v>75</v>
      </c>
      <c r="C389" t="s">
        <v>64</v>
      </c>
      <c r="D389" s="6">
        <v>8485</v>
      </c>
      <c r="E389" s="6">
        <v>1677</v>
      </c>
      <c r="F389" t="s">
        <v>77</v>
      </c>
      <c r="G389" t="str">
        <f t="shared" si="6"/>
        <v>On Budget</v>
      </c>
    </row>
    <row r="390" spans="1:7" x14ac:dyDescent="0.45">
      <c r="A390" t="s">
        <v>74</v>
      </c>
      <c r="B390" t="s">
        <v>78</v>
      </c>
      <c r="C390" t="s">
        <v>76</v>
      </c>
      <c r="D390" s="6">
        <v>7732</v>
      </c>
      <c r="E390" s="6">
        <v>2764</v>
      </c>
      <c r="F390" t="s">
        <v>66</v>
      </c>
      <c r="G390" t="str">
        <f t="shared" si="6"/>
        <v>On Budget</v>
      </c>
    </row>
    <row r="391" spans="1:7" x14ac:dyDescent="0.45">
      <c r="A391" t="s">
        <v>63</v>
      </c>
      <c r="B391" t="s">
        <v>54</v>
      </c>
      <c r="C391" t="s">
        <v>67</v>
      </c>
      <c r="D391" s="6">
        <v>3159</v>
      </c>
      <c r="E391" s="6">
        <v>10256</v>
      </c>
      <c r="F391" t="s">
        <v>77</v>
      </c>
      <c r="G391" t="str">
        <f t="shared" si="6"/>
        <v>Over Budget</v>
      </c>
    </row>
    <row r="392" spans="1:7" x14ac:dyDescent="0.45">
      <c r="A392" t="s">
        <v>63</v>
      </c>
      <c r="B392" t="s">
        <v>54</v>
      </c>
      <c r="C392" t="s">
        <v>76</v>
      </c>
      <c r="D392" s="6">
        <v>4336</v>
      </c>
      <c r="E392" s="6">
        <v>10618</v>
      </c>
      <c r="G392" t="str">
        <f t="shared" si="6"/>
        <v>Over Budget</v>
      </c>
    </row>
    <row r="393" spans="1:7" x14ac:dyDescent="0.45">
      <c r="A393" t="s">
        <v>53</v>
      </c>
      <c r="B393" t="s">
        <v>70</v>
      </c>
      <c r="C393" t="s">
        <v>76</v>
      </c>
      <c r="D393" s="6">
        <v>3184</v>
      </c>
      <c r="E393" s="6">
        <v>7835</v>
      </c>
      <c r="F393" t="s">
        <v>62</v>
      </c>
      <c r="G393" t="str">
        <f t="shared" si="6"/>
        <v>Over Budget</v>
      </c>
    </row>
    <row r="394" spans="1:7" x14ac:dyDescent="0.45">
      <c r="A394" t="s">
        <v>69</v>
      </c>
      <c r="B394" t="s">
        <v>75</v>
      </c>
      <c r="C394" t="s">
        <v>64</v>
      </c>
      <c r="D394" s="6">
        <v>4494</v>
      </c>
      <c r="E394" s="6">
        <v>6591</v>
      </c>
      <c r="F394" t="s">
        <v>59</v>
      </c>
      <c r="G394" t="str">
        <f t="shared" si="6"/>
        <v>Over Budget</v>
      </c>
    </row>
    <row r="395" spans="1:7" x14ac:dyDescent="0.45">
      <c r="A395" t="s">
        <v>80</v>
      </c>
      <c r="B395" t="s">
        <v>72</v>
      </c>
      <c r="C395" t="s">
        <v>61</v>
      </c>
      <c r="D395" s="6">
        <v>8721</v>
      </c>
      <c r="E395" s="6">
        <v>10508</v>
      </c>
      <c r="F395" t="s">
        <v>62</v>
      </c>
      <c r="G395" t="str">
        <f t="shared" si="6"/>
        <v>Over Budget</v>
      </c>
    </row>
    <row r="396" spans="1:7" x14ac:dyDescent="0.45">
      <c r="A396" t="s">
        <v>63</v>
      </c>
      <c r="B396" t="s">
        <v>72</v>
      </c>
      <c r="C396" t="s">
        <v>79</v>
      </c>
      <c r="D396" s="6">
        <v>9237</v>
      </c>
      <c r="E396" s="6">
        <v>4112</v>
      </c>
      <c r="F396" t="s">
        <v>77</v>
      </c>
      <c r="G396" t="str">
        <f t="shared" si="6"/>
        <v>On Budget</v>
      </c>
    </row>
    <row r="397" spans="1:7" x14ac:dyDescent="0.45">
      <c r="A397" t="s">
        <v>80</v>
      </c>
      <c r="B397" t="s">
        <v>72</v>
      </c>
      <c r="C397" t="s">
        <v>58</v>
      </c>
      <c r="D397" s="6">
        <v>4808</v>
      </c>
      <c r="E397" s="6">
        <v>11555</v>
      </c>
      <c r="F397" t="s">
        <v>77</v>
      </c>
      <c r="G397" t="str">
        <f t="shared" si="6"/>
        <v>Over Budget</v>
      </c>
    </row>
    <row r="398" spans="1:7" x14ac:dyDescent="0.45">
      <c r="A398" t="s">
        <v>80</v>
      </c>
      <c r="B398" t="s">
        <v>57</v>
      </c>
      <c r="C398" t="s">
        <v>58</v>
      </c>
      <c r="D398" s="6">
        <v>9600</v>
      </c>
      <c r="E398" s="6">
        <v>8404</v>
      </c>
      <c r="F398" t="s">
        <v>66</v>
      </c>
      <c r="G398" t="str">
        <f t="shared" si="6"/>
        <v>On Budget</v>
      </c>
    </row>
    <row r="399" spans="1:7" x14ac:dyDescent="0.45">
      <c r="A399" t="s">
        <v>80</v>
      </c>
      <c r="B399" t="s">
        <v>78</v>
      </c>
      <c r="C399" t="s">
        <v>61</v>
      </c>
      <c r="D399" s="6">
        <v>8701</v>
      </c>
      <c r="E399" s="6">
        <v>3244</v>
      </c>
      <c r="F399" t="s">
        <v>66</v>
      </c>
      <c r="G399" t="str">
        <f t="shared" si="6"/>
        <v>On Budget</v>
      </c>
    </row>
    <row r="400" spans="1:7" x14ac:dyDescent="0.45">
      <c r="A400" t="s">
        <v>60</v>
      </c>
      <c r="B400" t="s">
        <v>72</v>
      </c>
      <c r="C400" t="s">
        <v>73</v>
      </c>
      <c r="D400" s="6">
        <v>1394</v>
      </c>
      <c r="E400" s="6">
        <v>10215</v>
      </c>
      <c r="F400" t="s">
        <v>62</v>
      </c>
      <c r="G400" t="str">
        <f t="shared" si="6"/>
        <v>Over Budget</v>
      </c>
    </row>
    <row r="401" spans="1:7" x14ac:dyDescent="0.45">
      <c r="A401" t="s">
        <v>63</v>
      </c>
      <c r="B401" t="s">
        <v>78</v>
      </c>
      <c r="C401" t="s">
        <v>58</v>
      </c>
      <c r="D401" s="6">
        <v>1146</v>
      </c>
      <c r="E401" s="6">
        <v>6958</v>
      </c>
      <c r="F401" t="s">
        <v>62</v>
      </c>
      <c r="G401" t="str">
        <f t="shared" si="6"/>
        <v>Over Budget</v>
      </c>
    </row>
    <row r="402" spans="1:7" x14ac:dyDescent="0.45">
      <c r="A402" t="s">
        <v>60</v>
      </c>
      <c r="B402" t="s">
        <v>75</v>
      </c>
      <c r="C402" t="s">
        <v>61</v>
      </c>
      <c r="D402" s="6">
        <v>3150</v>
      </c>
      <c r="E402" s="6">
        <v>10703</v>
      </c>
      <c r="F402" t="s">
        <v>62</v>
      </c>
      <c r="G402" t="str">
        <f t="shared" si="6"/>
        <v>Over Budget</v>
      </c>
    </row>
    <row r="403" spans="1:7" x14ac:dyDescent="0.45">
      <c r="A403" t="s">
        <v>80</v>
      </c>
      <c r="B403" t="s">
        <v>82</v>
      </c>
      <c r="C403" t="s">
        <v>67</v>
      </c>
      <c r="D403" s="6">
        <v>1765</v>
      </c>
      <c r="E403" s="6">
        <v>10599</v>
      </c>
      <c r="G403" t="str">
        <f t="shared" si="6"/>
        <v>Over Budget</v>
      </c>
    </row>
    <row r="404" spans="1:7" x14ac:dyDescent="0.45">
      <c r="A404" t="s">
        <v>74</v>
      </c>
      <c r="B404" t="s">
        <v>54</v>
      </c>
      <c r="C404" t="s">
        <v>61</v>
      </c>
      <c r="D404" s="6">
        <v>3131</v>
      </c>
      <c r="E404" s="6">
        <v>3321</v>
      </c>
      <c r="F404" t="s">
        <v>62</v>
      </c>
      <c r="G404" t="str">
        <f t="shared" si="6"/>
        <v>Over Budget</v>
      </c>
    </row>
    <row r="405" spans="1:7" x14ac:dyDescent="0.45">
      <c r="A405" t="s">
        <v>63</v>
      </c>
      <c r="B405" t="s">
        <v>54</v>
      </c>
      <c r="C405" t="s">
        <v>73</v>
      </c>
      <c r="D405" s="6">
        <v>6008</v>
      </c>
      <c r="E405" s="6">
        <v>5421</v>
      </c>
      <c r="F405" t="s">
        <v>66</v>
      </c>
      <c r="G405" t="str">
        <f t="shared" si="6"/>
        <v>On Budget</v>
      </c>
    </row>
    <row r="406" spans="1:7" x14ac:dyDescent="0.45">
      <c r="A406" t="s">
        <v>60</v>
      </c>
      <c r="B406" t="s">
        <v>75</v>
      </c>
      <c r="C406" t="s">
        <v>58</v>
      </c>
      <c r="D406" s="6">
        <v>8732</v>
      </c>
      <c r="E406" s="6">
        <v>2976</v>
      </c>
      <c r="G406" t="str">
        <f t="shared" si="6"/>
        <v>On Budget</v>
      </c>
    </row>
    <row r="407" spans="1:7" x14ac:dyDescent="0.45">
      <c r="A407" t="s">
        <v>56</v>
      </c>
      <c r="B407" t="s">
        <v>78</v>
      </c>
      <c r="C407" t="s">
        <v>65</v>
      </c>
      <c r="D407" s="6">
        <v>1593</v>
      </c>
      <c r="E407" s="6">
        <v>7292</v>
      </c>
      <c r="F407" t="s">
        <v>66</v>
      </c>
      <c r="G407" t="str">
        <f t="shared" si="6"/>
        <v>Over Budget</v>
      </c>
    </row>
    <row r="408" spans="1:7" x14ac:dyDescent="0.45">
      <c r="A408" t="s">
        <v>56</v>
      </c>
      <c r="B408" t="s">
        <v>57</v>
      </c>
      <c r="C408" t="s">
        <v>71</v>
      </c>
      <c r="D408" s="6">
        <v>1834</v>
      </c>
      <c r="E408" s="6">
        <v>8696</v>
      </c>
      <c r="F408" t="s">
        <v>77</v>
      </c>
      <c r="G408" t="str">
        <f t="shared" si="6"/>
        <v>Over Budget</v>
      </c>
    </row>
    <row r="409" spans="1:7" x14ac:dyDescent="0.45">
      <c r="A409" t="s">
        <v>69</v>
      </c>
      <c r="B409" t="s">
        <v>54</v>
      </c>
      <c r="C409" t="s">
        <v>64</v>
      </c>
      <c r="D409" s="6">
        <v>3112</v>
      </c>
      <c r="E409" s="6">
        <v>4368</v>
      </c>
      <c r="F409" t="s">
        <v>66</v>
      </c>
      <c r="G409" t="str">
        <f t="shared" si="6"/>
        <v>Over Budget</v>
      </c>
    </row>
    <row r="410" spans="1:7" x14ac:dyDescent="0.45">
      <c r="A410" t="s">
        <v>53</v>
      </c>
      <c r="B410" t="s">
        <v>75</v>
      </c>
      <c r="C410" t="s">
        <v>76</v>
      </c>
      <c r="D410" s="6">
        <v>3309</v>
      </c>
      <c r="E410" s="6">
        <v>8075</v>
      </c>
      <c r="F410" t="s">
        <v>59</v>
      </c>
      <c r="G410" t="str">
        <f t="shared" si="6"/>
        <v>Over Budget</v>
      </c>
    </row>
    <row r="411" spans="1:7" x14ac:dyDescent="0.45">
      <c r="A411" t="s">
        <v>74</v>
      </c>
      <c r="B411" t="s">
        <v>54</v>
      </c>
      <c r="C411" t="s">
        <v>68</v>
      </c>
      <c r="D411" s="6">
        <v>6369</v>
      </c>
      <c r="E411" s="6">
        <v>11050</v>
      </c>
      <c r="G411" t="str">
        <f t="shared" si="6"/>
        <v>Over Budget</v>
      </c>
    </row>
    <row r="412" spans="1:7" x14ac:dyDescent="0.45">
      <c r="A412" t="s">
        <v>74</v>
      </c>
      <c r="B412" t="s">
        <v>82</v>
      </c>
      <c r="C412" t="s">
        <v>68</v>
      </c>
      <c r="D412" s="6">
        <v>5681</v>
      </c>
      <c r="E412" s="6">
        <v>9019</v>
      </c>
      <c r="G412" t="str">
        <f t="shared" si="6"/>
        <v>Over Budget</v>
      </c>
    </row>
    <row r="413" spans="1:7" x14ac:dyDescent="0.45">
      <c r="A413" t="s">
        <v>63</v>
      </c>
      <c r="B413" t="s">
        <v>82</v>
      </c>
      <c r="C413" t="s">
        <v>71</v>
      </c>
      <c r="D413" s="6">
        <v>2843</v>
      </c>
      <c r="E413" s="6">
        <v>8371</v>
      </c>
      <c r="F413" t="s">
        <v>62</v>
      </c>
      <c r="G413" t="str">
        <f t="shared" si="6"/>
        <v>Over Budget</v>
      </c>
    </row>
    <row r="414" spans="1:7" x14ac:dyDescent="0.45">
      <c r="A414" t="s">
        <v>63</v>
      </c>
      <c r="B414" t="s">
        <v>57</v>
      </c>
      <c r="C414" t="s">
        <v>73</v>
      </c>
      <c r="D414" s="6">
        <v>8661</v>
      </c>
      <c r="E414" s="6">
        <v>5009</v>
      </c>
      <c r="F414" t="s">
        <v>66</v>
      </c>
      <c r="G414" t="str">
        <f t="shared" si="6"/>
        <v>On Budget</v>
      </c>
    </row>
    <row r="415" spans="1:7" x14ac:dyDescent="0.45">
      <c r="A415" t="s">
        <v>56</v>
      </c>
      <c r="B415" t="s">
        <v>82</v>
      </c>
      <c r="C415" t="s">
        <v>65</v>
      </c>
      <c r="D415" s="6">
        <v>5788</v>
      </c>
      <c r="E415" s="6">
        <v>3671</v>
      </c>
      <c r="G415" t="str">
        <f t="shared" si="6"/>
        <v>On Budget</v>
      </c>
    </row>
    <row r="416" spans="1:7" x14ac:dyDescent="0.45">
      <c r="A416" t="s">
        <v>74</v>
      </c>
      <c r="B416" t="s">
        <v>57</v>
      </c>
      <c r="C416" t="s">
        <v>67</v>
      </c>
      <c r="D416" s="6">
        <v>9496</v>
      </c>
      <c r="E416" s="6">
        <v>10916</v>
      </c>
      <c r="G416" t="str">
        <f t="shared" si="6"/>
        <v>Over Budget</v>
      </c>
    </row>
    <row r="417" spans="1:7" x14ac:dyDescent="0.45">
      <c r="A417" t="s">
        <v>69</v>
      </c>
      <c r="B417" t="s">
        <v>72</v>
      </c>
      <c r="C417" t="s">
        <v>65</v>
      </c>
      <c r="D417" s="6">
        <v>5345</v>
      </c>
      <c r="E417" s="6">
        <v>3641</v>
      </c>
      <c r="G417" t="str">
        <f t="shared" si="6"/>
        <v>On Budget</v>
      </c>
    </row>
    <row r="418" spans="1:7" x14ac:dyDescent="0.45">
      <c r="A418" t="s">
        <v>69</v>
      </c>
      <c r="B418" t="s">
        <v>57</v>
      </c>
      <c r="C418" t="s">
        <v>55</v>
      </c>
      <c r="D418" s="6">
        <v>8724</v>
      </c>
      <c r="E418" s="6">
        <v>11752</v>
      </c>
      <c r="F418" t="s">
        <v>77</v>
      </c>
      <c r="G418" t="str">
        <f t="shared" si="6"/>
        <v>Over Budget</v>
      </c>
    </row>
    <row r="419" spans="1:7" x14ac:dyDescent="0.45">
      <c r="A419" t="s">
        <v>80</v>
      </c>
      <c r="B419" t="s">
        <v>75</v>
      </c>
      <c r="C419" t="s">
        <v>68</v>
      </c>
      <c r="D419" s="6">
        <v>4820</v>
      </c>
      <c r="E419" s="6">
        <v>10915</v>
      </c>
      <c r="G419" t="str">
        <f t="shared" si="6"/>
        <v>Over Budget</v>
      </c>
    </row>
    <row r="420" spans="1:7" x14ac:dyDescent="0.45">
      <c r="A420" t="s">
        <v>69</v>
      </c>
      <c r="B420" t="s">
        <v>54</v>
      </c>
      <c r="C420" t="s">
        <v>71</v>
      </c>
      <c r="D420" s="6">
        <v>1143</v>
      </c>
      <c r="E420" s="6">
        <v>11179</v>
      </c>
      <c r="G420" t="str">
        <f t="shared" si="6"/>
        <v>Over Budget</v>
      </c>
    </row>
    <row r="421" spans="1:7" x14ac:dyDescent="0.45">
      <c r="A421" t="s">
        <v>53</v>
      </c>
      <c r="B421" t="s">
        <v>75</v>
      </c>
      <c r="C421" t="s">
        <v>58</v>
      </c>
      <c r="D421" s="6">
        <v>3112</v>
      </c>
      <c r="E421" s="6">
        <v>864</v>
      </c>
      <c r="F421" t="s">
        <v>66</v>
      </c>
      <c r="G421" t="str">
        <f t="shared" si="6"/>
        <v>On Budget</v>
      </c>
    </row>
    <row r="422" spans="1:7" x14ac:dyDescent="0.45">
      <c r="A422" t="s">
        <v>56</v>
      </c>
      <c r="B422" t="s">
        <v>72</v>
      </c>
      <c r="C422" t="s">
        <v>79</v>
      </c>
      <c r="D422" s="6">
        <v>9391</v>
      </c>
      <c r="E422" s="6">
        <v>5280</v>
      </c>
      <c r="F422" t="s">
        <v>77</v>
      </c>
      <c r="G422" t="str">
        <f t="shared" si="6"/>
        <v>On Budget</v>
      </c>
    </row>
    <row r="423" spans="1:7" x14ac:dyDescent="0.45">
      <c r="A423" t="s">
        <v>74</v>
      </c>
      <c r="B423" t="s">
        <v>70</v>
      </c>
      <c r="C423" t="s">
        <v>71</v>
      </c>
      <c r="D423" s="6">
        <v>4770</v>
      </c>
      <c r="E423" s="6">
        <v>10869</v>
      </c>
      <c r="F423" t="s">
        <v>66</v>
      </c>
      <c r="G423" t="str">
        <f t="shared" si="6"/>
        <v>Over Budget</v>
      </c>
    </row>
    <row r="424" spans="1:7" x14ac:dyDescent="0.45">
      <c r="A424" t="s">
        <v>63</v>
      </c>
      <c r="B424" t="s">
        <v>70</v>
      </c>
      <c r="C424" t="s">
        <v>76</v>
      </c>
      <c r="D424" s="6">
        <v>8746</v>
      </c>
      <c r="E424" s="6">
        <v>8256</v>
      </c>
      <c r="F424" t="s">
        <v>62</v>
      </c>
      <c r="G424" t="str">
        <f t="shared" si="6"/>
        <v>On Budget</v>
      </c>
    </row>
    <row r="425" spans="1:7" x14ac:dyDescent="0.45">
      <c r="A425" t="s">
        <v>53</v>
      </c>
      <c r="B425" t="s">
        <v>54</v>
      </c>
      <c r="C425" t="s">
        <v>61</v>
      </c>
      <c r="D425" s="6">
        <v>1425</v>
      </c>
      <c r="E425" s="6">
        <v>9194</v>
      </c>
      <c r="F425" t="s">
        <v>59</v>
      </c>
      <c r="G425" t="str">
        <f t="shared" si="6"/>
        <v>Over Budget</v>
      </c>
    </row>
    <row r="426" spans="1:7" x14ac:dyDescent="0.45">
      <c r="A426" t="s">
        <v>69</v>
      </c>
      <c r="B426" t="s">
        <v>78</v>
      </c>
      <c r="C426" t="s">
        <v>71</v>
      </c>
      <c r="D426" s="6">
        <v>6268</v>
      </c>
      <c r="E426" s="6">
        <v>6863</v>
      </c>
      <c r="F426" t="s">
        <v>66</v>
      </c>
      <c r="G426" t="str">
        <f t="shared" si="6"/>
        <v>Over Budget</v>
      </c>
    </row>
    <row r="427" spans="1:7" x14ac:dyDescent="0.45">
      <c r="A427" t="s">
        <v>74</v>
      </c>
      <c r="B427" t="s">
        <v>82</v>
      </c>
      <c r="C427" t="s">
        <v>64</v>
      </c>
      <c r="D427" s="6">
        <v>2613</v>
      </c>
      <c r="E427" s="6">
        <v>2542</v>
      </c>
      <c r="F427" t="s">
        <v>66</v>
      </c>
      <c r="G427" t="str">
        <f t="shared" si="6"/>
        <v>On Budget</v>
      </c>
    </row>
    <row r="428" spans="1:7" x14ac:dyDescent="0.45">
      <c r="A428" t="s">
        <v>56</v>
      </c>
      <c r="B428" t="s">
        <v>72</v>
      </c>
      <c r="C428" t="s">
        <v>76</v>
      </c>
      <c r="D428" s="6">
        <v>9095</v>
      </c>
      <c r="E428" s="6">
        <v>4732</v>
      </c>
      <c r="F428" t="s">
        <v>59</v>
      </c>
      <c r="G428" t="str">
        <f t="shared" si="6"/>
        <v>On Budget</v>
      </c>
    </row>
    <row r="429" spans="1:7" x14ac:dyDescent="0.45">
      <c r="A429" t="s">
        <v>63</v>
      </c>
      <c r="B429" t="s">
        <v>57</v>
      </c>
      <c r="C429" t="s">
        <v>73</v>
      </c>
      <c r="D429" s="6">
        <v>9669</v>
      </c>
      <c r="E429" s="6">
        <v>7890</v>
      </c>
      <c r="F429" t="s">
        <v>66</v>
      </c>
      <c r="G429" t="str">
        <f t="shared" si="6"/>
        <v>On Budget</v>
      </c>
    </row>
    <row r="430" spans="1:7" x14ac:dyDescent="0.45">
      <c r="A430" t="s">
        <v>56</v>
      </c>
      <c r="B430" t="s">
        <v>57</v>
      </c>
      <c r="C430" t="s">
        <v>67</v>
      </c>
      <c r="D430" s="6">
        <v>5163</v>
      </c>
      <c r="E430" s="6">
        <v>3660</v>
      </c>
      <c r="F430" t="s">
        <v>66</v>
      </c>
      <c r="G430" t="str">
        <f t="shared" si="6"/>
        <v>On Budget</v>
      </c>
    </row>
    <row r="431" spans="1:7" x14ac:dyDescent="0.45">
      <c r="A431" t="s">
        <v>80</v>
      </c>
      <c r="B431" t="s">
        <v>57</v>
      </c>
      <c r="C431" t="s">
        <v>76</v>
      </c>
      <c r="D431" s="6">
        <v>6831</v>
      </c>
      <c r="E431" s="6">
        <v>5287</v>
      </c>
      <c r="G431" t="str">
        <f t="shared" si="6"/>
        <v>On Budget</v>
      </c>
    </row>
    <row r="432" spans="1:7" x14ac:dyDescent="0.45">
      <c r="A432" t="s">
        <v>80</v>
      </c>
      <c r="B432" t="s">
        <v>72</v>
      </c>
      <c r="C432" t="s">
        <v>73</v>
      </c>
      <c r="D432" s="6">
        <v>1781</v>
      </c>
      <c r="E432" s="6">
        <v>5118</v>
      </c>
      <c r="G432" t="str">
        <f t="shared" si="6"/>
        <v>Over Budget</v>
      </c>
    </row>
    <row r="433" spans="1:7" x14ac:dyDescent="0.45">
      <c r="A433" t="s">
        <v>60</v>
      </c>
      <c r="B433" t="s">
        <v>82</v>
      </c>
      <c r="C433" t="s">
        <v>67</v>
      </c>
      <c r="D433" s="6">
        <v>9572</v>
      </c>
      <c r="E433" s="6">
        <v>4180</v>
      </c>
      <c r="F433" t="s">
        <v>62</v>
      </c>
      <c r="G433" t="str">
        <f t="shared" si="6"/>
        <v>On Budget</v>
      </c>
    </row>
    <row r="434" spans="1:7" x14ac:dyDescent="0.45">
      <c r="A434" t="s">
        <v>69</v>
      </c>
      <c r="B434" t="s">
        <v>57</v>
      </c>
      <c r="C434" t="s">
        <v>76</v>
      </c>
      <c r="D434" s="6">
        <v>9038</v>
      </c>
      <c r="E434" s="6">
        <v>11675</v>
      </c>
      <c r="F434" t="s">
        <v>62</v>
      </c>
      <c r="G434" t="str">
        <f t="shared" si="6"/>
        <v>Over Budget</v>
      </c>
    </row>
    <row r="435" spans="1:7" x14ac:dyDescent="0.45">
      <c r="A435" t="s">
        <v>56</v>
      </c>
      <c r="B435" t="s">
        <v>70</v>
      </c>
      <c r="C435" t="s">
        <v>76</v>
      </c>
      <c r="D435" s="6">
        <v>6317</v>
      </c>
      <c r="E435" s="6">
        <v>8373</v>
      </c>
      <c r="F435" t="s">
        <v>66</v>
      </c>
      <c r="G435" t="str">
        <f t="shared" si="6"/>
        <v>Over Budget</v>
      </c>
    </row>
    <row r="436" spans="1:7" x14ac:dyDescent="0.45">
      <c r="A436" t="s">
        <v>63</v>
      </c>
      <c r="B436" t="s">
        <v>72</v>
      </c>
      <c r="C436" t="s">
        <v>71</v>
      </c>
      <c r="D436" s="6">
        <v>7932</v>
      </c>
      <c r="E436" s="6">
        <v>11043</v>
      </c>
      <c r="F436" t="s">
        <v>77</v>
      </c>
      <c r="G436" t="str">
        <f t="shared" si="6"/>
        <v>Over Budget</v>
      </c>
    </row>
    <row r="437" spans="1:7" x14ac:dyDescent="0.45">
      <c r="A437" t="s">
        <v>63</v>
      </c>
      <c r="B437" t="s">
        <v>82</v>
      </c>
      <c r="C437" t="s">
        <v>68</v>
      </c>
      <c r="D437" s="6">
        <v>9871</v>
      </c>
      <c r="E437" s="6">
        <v>6466</v>
      </c>
      <c r="G437" t="str">
        <f t="shared" si="6"/>
        <v>On Budget</v>
      </c>
    </row>
    <row r="438" spans="1:7" x14ac:dyDescent="0.45">
      <c r="A438" t="s">
        <v>63</v>
      </c>
      <c r="B438" t="s">
        <v>75</v>
      </c>
      <c r="C438" t="s">
        <v>81</v>
      </c>
      <c r="D438" s="6">
        <v>2475</v>
      </c>
      <c r="E438" s="6">
        <v>4554</v>
      </c>
      <c r="F438" t="s">
        <v>62</v>
      </c>
      <c r="G438" t="str">
        <f t="shared" si="6"/>
        <v>Over Budget</v>
      </c>
    </row>
    <row r="439" spans="1:7" x14ac:dyDescent="0.45">
      <c r="A439" t="s">
        <v>74</v>
      </c>
      <c r="B439" t="s">
        <v>54</v>
      </c>
      <c r="C439" t="s">
        <v>55</v>
      </c>
      <c r="D439" s="6">
        <v>5429</v>
      </c>
      <c r="E439" s="6">
        <v>8338</v>
      </c>
      <c r="F439" t="s">
        <v>59</v>
      </c>
      <c r="G439" t="str">
        <f t="shared" si="6"/>
        <v>Over Budget</v>
      </c>
    </row>
    <row r="440" spans="1:7" x14ac:dyDescent="0.45">
      <c r="A440" t="s">
        <v>53</v>
      </c>
      <c r="B440" t="s">
        <v>54</v>
      </c>
      <c r="C440" t="s">
        <v>55</v>
      </c>
      <c r="D440" s="6">
        <v>5589</v>
      </c>
      <c r="E440" s="6">
        <v>7488</v>
      </c>
      <c r="G440" t="str">
        <f t="shared" si="6"/>
        <v>Over Budget</v>
      </c>
    </row>
    <row r="441" spans="1:7" x14ac:dyDescent="0.45">
      <c r="A441" t="s">
        <v>74</v>
      </c>
      <c r="B441" t="s">
        <v>54</v>
      </c>
      <c r="C441" t="s">
        <v>81</v>
      </c>
      <c r="D441" s="6">
        <v>2318</v>
      </c>
      <c r="E441" s="6">
        <v>11633</v>
      </c>
      <c r="F441" t="s">
        <v>66</v>
      </c>
      <c r="G441" t="str">
        <f t="shared" si="6"/>
        <v>Over Budget</v>
      </c>
    </row>
    <row r="442" spans="1:7" x14ac:dyDescent="0.45">
      <c r="A442" t="s">
        <v>69</v>
      </c>
      <c r="B442" t="s">
        <v>54</v>
      </c>
      <c r="C442" t="s">
        <v>65</v>
      </c>
      <c r="D442" s="6">
        <v>9669</v>
      </c>
      <c r="E442" s="6">
        <v>6073</v>
      </c>
      <c r="F442" t="s">
        <v>59</v>
      </c>
      <c r="G442" t="str">
        <f t="shared" si="6"/>
        <v>On Budget</v>
      </c>
    </row>
    <row r="443" spans="1:7" x14ac:dyDescent="0.45">
      <c r="A443" t="s">
        <v>74</v>
      </c>
      <c r="B443" t="s">
        <v>78</v>
      </c>
      <c r="C443" t="s">
        <v>58</v>
      </c>
      <c r="D443" s="6">
        <v>4450</v>
      </c>
      <c r="E443" s="6">
        <v>7714</v>
      </c>
      <c r="G443" t="str">
        <f t="shared" si="6"/>
        <v>Over Budget</v>
      </c>
    </row>
    <row r="444" spans="1:7" x14ac:dyDescent="0.45">
      <c r="A444" t="s">
        <v>60</v>
      </c>
      <c r="B444" t="s">
        <v>70</v>
      </c>
      <c r="C444" t="s">
        <v>81</v>
      </c>
      <c r="D444" s="6">
        <v>5464</v>
      </c>
      <c r="E444" s="6">
        <v>1674</v>
      </c>
      <c r="F444" t="s">
        <v>62</v>
      </c>
      <c r="G444" t="str">
        <f t="shared" si="6"/>
        <v>On Budget</v>
      </c>
    </row>
    <row r="445" spans="1:7" x14ac:dyDescent="0.45">
      <c r="A445" t="s">
        <v>53</v>
      </c>
      <c r="B445" t="s">
        <v>57</v>
      </c>
      <c r="C445" t="s">
        <v>64</v>
      </c>
      <c r="D445" s="6">
        <v>6383</v>
      </c>
      <c r="E445" s="6">
        <v>3376</v>
      </c>
      <c r="F445" t="s">
        <v>66</v>
      </c>
      <c r="G445" t="str">
        <f t="shared" si="6"/>
        <v>On Budget</v>
      </c>
    </row>
    <row r="446" spans="1:7" x14ac:dyDescent="0.45">
      <c r="A446" t="s">
        <v>56</v>
      </c>
      <c r="B446" t="s">
        <v>78</v>
      </c>
      <c r="C446" t="s">
        <v>73</v>
      </c>
      <c r="D446" s="6">
        <v>3171</v>
      </c>
      <c r="E446" s="6">
        <v>6967</v>
      </c>
      <c r="F446" t="s">
        <v>77</v>
      </c>
      <c r="G446" t="str">
        <f t="shared" si="6"/>
        <v>Over Budget</v>
      </c>
    </row>
    <row r="447" spans="1:7" x14ac:dyDescent="0.45">
      <c r="A447" t="s">
        <v>69</v>
      </c>
      <c r="B447" t="s">
        <v>82</v>
      </c>
      <c r="C447" t="s">
        <v>81</v>
      </c>
      <c r="D447" s="6">
        <v>8152</v>
      </c>
      <c r="E447" s="6">
        <v>2121</v>
      </c>
      <c r="F447" t="s">
        <v>59</v>
      </c>
      <c r="G447" t="str">
        <f t="shared" si="6"/>
        <v>On Budget</v>
      </c>
    </row>
    <row r="448" spans="1:7" x14ac:dyDescent="0.45">
      <c r="A448" t="s">
        <v>74</v>
      </c>
      <c r="B448" t="s">
        <v>82</v>
      </c>
      <c r="C448" t="s">
        <v>65</v>
      </c>
      <c r="D448" s="6">
        <v>2007</v>
      </c>
      <c r="E448" s="6">
        <v>11357</v>
      </c>
      <c r="F448" t="s">
        <v>62</v>
      </c>
      <c r="G448" t="str">
        <f t="shared" si="6"/>
        <v>Over Budget</v>
      </c>
    </row>
    <row r="449" spans="1:7" x14ac:dyDescent="0.45">
      <c r="A449" t="s">
        <v>69</v>
      </c>
      <c r="B449" t="s">
        <v>75</v>
      </c>
      <c r="C449" t="s">
        <v>64</v>
      </c>
      <c r="D449" s="6">
        <v>1084</v>
      </c>
      <c r="E449" s="6">
        <v>5008</v>
      </c>
      <c r="F449" t="s">
        <v>66</v>
      </c>
      <c r="G449" t="str">
        <f t="shared" si="6"/>
        <v>Over Budget</v>
      </c>
    </row>
    <row r="450" spans="1:7" x14ac:dyDescent="0.45">
      <c r="A450" t="s">
        <v>60</v>
      </c>
      <c r="B450" t="s">
        <v>54</v>
      </c>
      <c r="C450" t="s">
        <v>81</v>
      </c>
      <c r="D450" s="6">
        <v>3210</v>
      </c>
      <c r="E450" s="6">
        <v>5702</v>
      </c>
      <c r="F450" t="s">
        <v>62</v>
      </c>
      <c r="G450" t="str">
        <f t="shared" ref="G450:G501" si="7">IF(E450&gt;D450,"Over Budget","On Budget")</f>
        <v>Over Budget</v>
      </c>
    </row>
    <row r="451" spans="1:7" x14ac:dyDescent="0.45">
      <c r="A451" t="s">
        <v>74</v>
      </c>
      <c r="B451" t="s">
        <v>57</v>
      </c>
      <c r="C451" t="s">
        <v>64</v>
      </c>
      <c r="D451" s="6">
        <v>1501</v>
      </c>
      <c r="E451" s="6">
        <v>7355</v>
      </c>
      <c r="F451" t="s">
        <v>59</v>
      </c>
      <c r="G451" t="str">
        <f t="shared" si="7"/>
        <v>Over Budget</v>
      </c>
    </row>
    <row r="452" spans="1:7" x14ac:dyDescent="0.45">
      <c r="A452" t="s">
        <v>80</v>
      </c>
      <c r="B452" t="s">
        <v>78</v>
      </c>
      <c r="C452" t="s">
        <v>64</v>
      </c>
      <c r="D452" s="6">
        <v>4246</v>
      </c>
      <c r="E452" s="6">
        <v>11701</v>
      </c>
      <c r="F452" t="s">
        <v>77</v>
      </c>
      <c r="G452" t="str">
        <f t="shared" si="7"/>
        <v>Over Budget</v>
      </c>
    </row>
    <row r="453" spans="1:7" x14ac:dyDescent="0.45">
      <c r="A453" t="s">
        <v>74</v>
      </c>
      <c r="B453" t="s">
        <v>75</v>
      </c>
      <c r="C453" t="s">
        <v>65</v>
      </c>
      <c r="D453" s="6">
        <v>8281</v>
      </c>
      <c r="E453" s="6">
        <v>10423</v>
      </c>
      <c r="F453" t="s">
        <v>59</v>
      </c>
      <c r="G453" t="str">
        <f t="shared" si="7"/>
        <v>Over Budget</v>
      </c>
    </row>
    <row r="454" spans="1:7" x14ac:dyDescent="0.45">
      <c r="A454" t="s">
        <v>60</v>
      </c>
      <c r="B454" t="s">
        <v>54</v>
      </c>
      <c r="C454" t="s">
        <v>61</v>
      </c>
      <c r="D454" s="6">
        <v>3380</v>
      </c>
      <c r="E454" s="6">
        <v>11796</v>
      </c>
      <c r="F454" t="s">
        <v>59</v>
      </c>
      <c r="G454" t="str">
        <f t="shared" si="7"/>
        <v>Over Budget</v>
      </c>
    </row>
    <row r="455" spans="1:7" x14ac:dyDescent="0.45">
      <c r="A455" t="s">
        <v>53</v>
      </c>
      <c r="B455" t="s">
        <v>75</v>
      </c>
      <c r="C455" t="s">
        <v>58</v>
      </c>
      <c r="D455" s="6">
        <v>7645</v>
      </c>
      <c r="E455" s="6">
        <v>1301</v>
      </c>
      <c r="F455" t="s">
        <v>66</v>
      </c>
      <c r="G455" t="str">
        <f t="shared" si="7"/>
        <v>On Budget</v>
      </c>
    </row>
    <row r="456" spans="1:7" x14ac:dyDescent="0.45">
      <c r="A456" t="s">
        <v>63</v>
      </c>
      <c r="B456" t="s">
        <v>78</v>
      </c>
      <c r="C456" t="s">
        <v>68</v>
      </c>
      <c r="D456" s="6">
        <v>7758</v>
      </c>
      <c r="E456" s="6">
        <v>1404</v>
      </c>
      <c r="G456" t="str">
        <f t="shared" si="7"/>
        <v>On Budget</v>
      </c>
    </row>
    <row r="457" spans="1:7" x14ac:dyDescent="0.45">
      <c r="A457" t="s">
        <v>56</v>
      </c>
      <c r="B457" t="s">
        <v>57</v>
      </c>
      <c r="C457" t="s">
        <v>68</v>
      </c>
      <c r="D457" s="6">
        <v>3058</v>
      </c>
      <c r="E457" s="6">
        <v>4818</v>
      </c>
      <c r="F457" t="s">
        <v>59</v>
      </c>
      <c r="G457" t="str">
        <f t="shared" si="7"/>
        <v>Over Budget</v>
      </c>
    </row>
    <row r="458" spans="1:7" x14ac:dyDescent="0.45">
      <c r="A458" t="s">
        <v>53</v>
      </c>
      <c r="B458" t="s">
        <v>57</v>
      </c>
      <c r="C458" t="s">
        <v>55</v>
      </c>
      <c r="D458" s="6">
        <v>5798</v>
      </c>
      <c r="E458" s="6">
        <v>1833</v>
      </c>
      <c r="G458" t="str">
        <f t="shared" si="7"/>
        <v>On Budget</v>
      </c>
    </row>
    <row r="459" spans="1:7" x14ac:dyDescent="0.45">
      <c r="A459" t="s">
        <v>80</v>
      </c>
      <c r="B459" t="s">
        <v>78</v>
      </c>
      <c r="C459" t="s">
        <v>67</v>
      </c>
      <c r="D459" s="6">
        <v>5827</v>
      </c>
      <c r="E459" s="6">
        <v>3418</v>
      </c>
      <c r="F459" t="s">
        <v>66</v>
      </c>
      <c r="G459" t="str">
        <f t="shared" si="7"/>
        <v>On Budget</v>
      </c>
    </row>
    <row r="460" spans="1:7" x14ac:dyDescent="0.45">
      <c r="A460" t="s">
        <v>53</v>
      </c>
      <c r="B460" t="s">
        <v>75</v>
      </c>
      <c r="C460" t="s">
        <v>67</v>
      </c>
      <c r="D460" s="6">
        <v>1353</v>
      </c>
      <c r="E460" s="6">
        <v>5797</v>
      </c>
      <c r="F460" t="s">
        <v>77</v>
      </c>
      <c r="G460" t="str">
        <f t="shared" si="7"/>
        <v>Over Budget</v>
      </c>
    </row>
    <row r="461" spans="1:7" x14ac:dyDescent="0.45">
      <c r="A461" t="s">
        <v>80</v>
      </c>
      <c r="B461" t="s">
        <v>54</v>
      </c>
      <c r="C461" t="s">
        <v>79</v>
      </c>
      <c r="D461" s="6">
        <v>7071</v>
      </c>
      <c r="E461" s="6">
        <v>4164</v>
      </c>
      <c r="F461" t="s">
        <v>77</v>
      </c>
      <c r="G461" t="str">
        <f t="shared" si="7"/>
        <v>On Budget</v>
      </c>
    </row>
    <row r="462" spans="1:7" x14ac:dyDescent="0.45">
      <c r="A462" t="s">
        <v>60</v>
      </c>
      <c r="B462" t="s">
        <v>72</v>
      </c>
      <c r="C462" t="s">
        <v>81</v>
      </c>
      <c r="D462" s="6">
        <v>6269</v>
      </c>
      <c r="E462" s="6">
        <v>2736</v>
      </c>
      <c r="F462" t="s">
        <v>66</v>
      </c>
      <c r="G462" t="str">
        <f t="shared" si="7"/>
        <v>On Budget</v>
      </c>
    </row>
    <row r="463" spans="1:7" x14ac:dyDescent="0.45">
      <c r="A463" t="s">
        <v>56</v>
      </c>
      <c r="B463" t="s">
        <v>70</v>
      </c>
      <c r="C463" t="s">
        <v>55</v>
      </c>
      <c r="D463" s="6">
        <v>8006</v>
      </c>
      <c r="E463" s="6">
        <v>2783</v>
      </c>
      <c r="F463" t="s">
        <v>62</v>
      </c>
      <c r="G463" t="str">
        <f t="shared" si="7"/>
        <v>On Budget</v>
      </c>
    </row>
    <row r="464" spans="1:7" x14ac:dyDescent="0.45">
      <c r="A464" t="s">
        <v>56</v>
      </c>
      <c r="B464" t="s">
        <v>72</v>
      </c>
      <c r="C464" t="s">
        <v>73</v>
      </c>
      <c r="D464" s="6">
        <v>6914</v>
      </c>
      <c r="E464" s="6">
        <v>6681</v>
      </c>
      <c r="F464" t="s">
        <v>77</v>
      </c>
      <c r="G464" t="str">
        <f t="shared" si="7"/>
        <v>On Budget</v>
      </c>
    </row>
    <row r="465" spans="1:7" x14ac:dyDescent="0.45">
      <c r="A465" t="s">
        <v>56</v>
      </c>
      <c r="B465" t="s">
        <v>72</v>
      </c>
      <c r="C465" t="s">
        <v>71</v>
      </c>
      <c r="D465" s="6">
        <v>1957</v>
      </c>
      <c r="E465" s="6">
        <v>4990</v>
      </c>
      <c r="F465" t="s">
        <v>77</v>
      </c>
      <c r="G465" t="str">
        <f t="shared" si="7"/>
        <v>Over Budget</v>
      </c>
    </row>
    <row r="466" spans="1:7" x14ac:dyDescent="0.45">
      <c r="A466" t="s">
        <v>53</v>
      </c>
      <c r="B466" t="s">
        <v>78</v>
      </c>
      <c r="C466" t="s">
        <v>73</v>
      </c>
      <c r="D466" s="6">
        <v>6803</v>
      </c>
      <c r="E466" s="6">
        <v>1195</v>
      </c>
      <c r="F466" t="s">
        <v>62</v>
      </c>
      <c r="G466" t="str">
        <f t="shared" si="7"/>
        <v>On Budget</v>
      </c>
    </row>
    <row r="467" spans="1:7" x14ac:dyDescent="0.45">
      <c r="A467" t="s">
        <v>69</v>
      </c>
      <c r="B467" t="s">
        <v>54</v>
      </c>
      <c r="C467" t="s">
        <v>73</v>
      </c>
      <c r="D467" s="6">
        <v>8063</v>
      </c>
      <c r="E467" s="6">
        <v>9253</v>
      </c>
      <c r="F467" t="s">
        <v>77</v>
      </c>
      <c r="G467" t="str">
        <f t="shared" si="7"/>
        <v>Over Budget</v>
      </c>
    </row>
    <row r="468" spans="1:7" x14ac:dyDescent="0.45">
      <c r="A468" t="s">
        <v>53</v>
      </c>
      <c r="B468" t="s">
        <v>70</v>
      </c>
      <c r="C468" t="s">
        <v>64</v>
      </c>
      <c r="D468" s="6">
        <v>1143</v>
      </c>
      <c r="E468" s="6">
        <v>10601</v>
      </c>
      <c r="F468" t="s">
        <v>66</v>
      </c>
      <c r="G468" t="str">
        <f t="shared" si="7"/>
        <v>Over Budget</v>
      </c>
    </row>
    <row r="469" spans="1:7" x14ac:dyDescent="0.45">
      <c r="A469" t="s">
        <v>74</v>
      </c>
      <c r="B469" t="s">
        <v>72</v>
      </c>
      <c r="C469" t="s">
        <v>71</v>
      </c>
      <c r="D469" s="6">
        <v>7332</v>
      </c>
      <c r="E469" s="6">
        <v>8355</v>
      </c>
      <c r="F469" t="s">
        <v>66</v>
      </c>
      <c r="G469" t="str">
        <f t="shared" si="7"/>
        <v>Over Budget</v>
      </c>
    </row>
    <row r="470" spans="1:7" x14ac:dyDescent="0.45">
      <c r="A470" t="s">
        <v>53</v>
      </c>
      <c r="B470" t="s">
        <v>70</v>
      </c>
      <c r="C470" t="s">
        <v>81</v>
      </c>
      <c r="D470" s="6">
        <v>7955</v>
      </c>
      <c r="E470" s="6">
        <v>1038</v>
      </c>
      <c r="F470" t="s">
        <v>62</v>
      </c>
      <c r="G470" t="str">
        <f t="shared" si="7"/>
        <v>On Budget</v>
      </c>
    </row>
    <row r="471" spans="1:7" x14ac:dyDescent="0.45">
      <c r="A471" t="s">
        <v>60</v>
      </c>
      <c r="B471" t="s">
        <v>75</v>
      </c>
      <c r="C471" t="s">
        <v>73</v>
      </c>
      <c r="D471" s="6">
        <v>7477</v>
      </c>
      <c r="E471" s="6">
        <v>2714</v>
      </c>
      <c r="G471" t="str">
        <f t="shared" si="7"/>
        <v>On Budget</v>
      </c>
    </row>
    <row r="472" spans="1:7" x14ac:dyDescent="0.45">
      <c r="A472" t="s">
        <v>80</v>
      </c>
      <c r="B472" t="s">
        <v>57</v>
      </c>
      <c r="C472" t="s">
        <v>64</v>
      </c>
      <c r="D472" s="6">
        <v>1696</v>
      </c>
      <c r="E472" s="6">
        <v>6119</v>
      </c>
      <c r="F472" t="s">
        <v>62</v>
      </c>
      <c r="G472" t="str">
        <f t="shared" si="7"/>
        <v>Over Budget</v>
      </c>
    </row>
    <row r="473" spans="1:7" x14ac:dyDescent="0.45">
      <c r="A473" t="s">
        <v>63</v>
      </c>
      <c r="B473" t="s">
        <v>54</v>
      </c>
      <c r="C473" t="s">
        <v>79</v>
      </c>
      <c r="D473" s="6">
        <v>6900</v>
      </c>
      <c r="E473" s="6">
        <v>8010</v>
      </c>
      <c r="F473" t="s">
        <v>66</v>
      </c>
      <c r="G473" t="str">
        <f t="shared" si="7"/>
        <v>Over Budget</v>
      </c>
    </row>
    <row r="474" spans="1:7" x14ac:dyDescent="0.45">
      <c r="A474" t="s">
        <v>63</v>
      </c>
      <c r="B474" t="s">
        <v>57</v>
      </c>
      <c r="C474" t="s">
        <v>61</v>
      </c>
      <c r="D474" s="6">
        <v>6130</v>
      </c>
      <c r="E474" s="6">
        <v>11438</v>
      </c>
      <c r="F474" t="s">
        <v>77</v>
      </c>
      <c r="G474" t="str">
        <f t="shared" si="7"/>
        <v>Over Budget</v>
      </c>
    </row>
    <row r="475" spans="1:7" x14ac:dyDescent="0.45">
      <c r="A475" t="s">
        <v>80</v>
      </c>
      <c r="B475" t="s">
        <v>70</v>
      </c>
      <c r="C475" t="s">
        <v>61</v>
      </c>
      <c r="D475" s="6">
        <v>8178</v>
      </c>
      <c r="E475" s="6">
        <v>9511</v>
      </c>
      <c r="F475" t="s">
        <v>62</v>
      </c>
      <c r="G475" t="str">
        <f t="shared" si="7"/>
        <v>Over Budget</v>
      </c>
    </row>
    <row r="476" spans="1:7" x14ac:dyDescent="0.45">
      <c r="A476" t="s">
        <v>74</v>
      </c>
      <c r="B476" t="s">
        <v>82</v>
      </c>
      <c r="C476" t="s">
        <v>55</v>
      </c>
      <c r="D476" s="6">
        <v>3994</v>
      </c>
      <c r="E476" s="6">
        <v>1829</v>
      </c>
      <c r="F476" t="s">
        <v>59</v>
      </c>
      <c r="G476" t="str">
        <f t="shared" si="7"/>
        <v>On Budget</v>
      </c>
    </row>
    <row r="477" spans="1:7" x14ac:dyDescent="0.45">
      <c r="A477" t="s">
        <v>60</v>
      </c>
      <c r="B477" t="s">
        <v>82</v>
      </c>
      <c r="C477" t="s">
        <v>79</v>
      </c>
      <c r="D477" s="6">
        <v>3737</v>
      </c>
      <c r="E477" s="6">
        <v>8005</v>
      </c>
      <c r="G477" t="str">
        <f t="shared" si="7"/>
        <v>Over Budget</v>
      </c>
    </row>
    <row r="478" spans="1:7" x14ac:dyDescent="0.45">
      <c r="A478" t="s">
        <v>60</v>
      </c>
      <c r="B478" t="s">
        <v>75</v>
      </c>
      <c r="C478" t="s">
        <v>55</v>
      </c>
      <c r="D478" s="6">
        <v>6107</v>
      </c>
      <c r="E478" s="6">
        <v>2584</v>
      </c>
      <c r="G478" t="str">
        <f t="shared" si="7"/>
        <v>On Budget</v>
      </c>
    </row>
    <row r="479" spans="1:7" x14ac:dyDescent="0.45">
      <c r="A479" t="s">
        <v>60</v>
      </c>
      <c r="B479" t="s">
        <v>70</v>
      </c>
      <c r="C479" t="s">
        <v>64</v>
      </c>
      <c r="D479" s="6">
        <v>7651</v>
      </c>
      <c r="E479" s="6">
        <v>5056</v>
      </c>
      <c r="F479" t="s">
        <v>77</v>
      </c>
      <c r="G479" t="str">
        <f t="shared" si="7"/>
        <v>On Budget</v>
      </c>
    </row>
    <row r="480" spans="1:7" x14ac:dyDescent="0.45">
      <c r="A480" t="s">
        <v>53</v>
      </c>
      <c r="B480" t="s">
        <v>78</v>
      </c>
      <c r="C480" t="s">
        <v>61</v>
      </c>
      <c r="D480" s="6">
        <v>8276</v>
      </c>
      <c r="E480" s="6">
        <v>4762</v>
      </c>
      <c r="F480" t="s">
        <v>77</v>
      </c>
      <c r="G480" t="str">
        <f t="shared" si="7"/>
        <v>On Budget</v>
      </c>
    </row>
    <row r="481" spans="1:7" x14ac:dyDescent="0.45">
      <c r="A481" t="s">
        <v>63</v>
      </c>
      <c r="B481" t="s">
        <v>54</v>
      </c>
      <c r="C481" t="s">
        <v>67</v>
      </c>
      <c r="D481" s="6">
        <v>2705</v>
      </c>
      <c r="E481" s="6">
        <v>6795</v>
      </c>
      <c r="F481" t="s">
        <v>62</v>
      </c>
      <c r="G481" t="str">
        <f t="shared" si="7"/>
        <v>Over Budget</v>
      </c>
    </row>
    <row r="482" spans="1:7" x14ac:dyDescent="0.45">
      <c r="A482" t="s">
        <v>74</v>
      </c>
      <c r="B482" t="s">
        <v>57</v>
      </c>
      <c r="C482" t="s">
        <v>61</v>
      </c>
      <c r="D482" s="6">
        <v>1579</v>
      </c>
      <c r="E482" s="6">
        <v>5194</v>
      </c>
      <c r="F482" t="s">
        <v>77</v>
      </c>
      <c r="G482" t="str">
        <f t="shared" si="7"/>
        <v>Over Budget</v>
      </c>
    </row>
    <row r="483" spans="1:7" x14ac:dyDescent="0.45">
      <c r="A483" t="s">
        <v>53</v>
      </c>
      <c r="B483" t="s">
        <v>72</v>
      </c>
      <c r="C483" t="s">
        <v>73</v>
      </c>
      <c r="D483" s="6">
        <v>7507</v>
      </c>
      <c r="E483" s="6">
        <v>8572</v>
      </c>
      <c r="F483" t="s">
        <v>66</v>
      </c>
      <c r="G483" t="str">
        <f t="shared" si="7"/>
        <v>Over Budget</v>
      </c>
    </row>
    <row r="484" spans="1:7" x14ac:dyDescent="0.45">
      <c r="A484" t="s">
        <v>80</v>
      </c>
      <c r="B484" t="s">
        <v>54</v>
      </c>
      <c r="C484" t="s">
        <v>67</v>
      </c>
      <c r="D484" s="6">
        <v>1308</v>
      </c>
      <c r="E484" s="6">
        <v>5012</v>
      </c>
      <c r="F484" t="s">
        <v>77</v>
      </c>
      <c r="G484" t="str">
        <f t="shared" si="7"/>
        <v>Over Budget</v>
      </c>
    </row>
    <row r="485" spans="1:7" x14ac:dyDescent="0.45">
      <c r="A485" t="s">
        <v>56</v>
      </c>
      <c r="B485" t="s">
        <v>78</v>
      </c>
      <c r="C485" t="s">
        <v>76</v>
      </c>
      <c r="D485" s="6">
        <v>5888</v>
      </c>
      <c r="E485" s="6">
        <v>4554</v>
      </c>
      <c r="G485" t="str">
        <f t="shared" si="7"/>
        <v>On Budget</v>
      </c>
    </row>
    <row r="486" spans="1:7" x14ac:dyDescent="0.45">
      <c r="A486" t="s">
        <v>60</v>
      </c>
      <c r="B486" t="s">
        <v>75</v>
      </c>
      <c r="C486" t="s">
        <v>71</v>
      </c>
      <c r="D486" s="6">
        <v>2573</v>
      </c>
      <c r="E486" s="6">
        <v>4130</v>
      </c>
      <c r="F486" t="s">
        <v>77</v>
      </c>
      <c r="G486" t="str">
        <f t="shared" si="7"/>
        <v>Over Budget</v>
      </c>
    </row>
    <row r="487" spans="1:7" x14ac:dyDescent="0.45">
      <c r="A487" t="s">
        <v>80</v>
      </c>
      <c r="B487" t="s">
        <v>82</v>
      </c>
      <c r="C487" t="s">
        <v>68</v>
      </c>
      <c r="D487" s="6">
        <v>9654</v>
      </c>
      <c r="E487" s="6">
        <v>5760</v>
      </c>
      <c r="F487" t="s">
        <v>77</v>
      </c>
      <c r="G487" t="str">
        <f t="shared" si="7"/>
        <v>On Budget</v>
      </c>
    </row>
    <row r="488" spans="1:7" x14ac:dyDescent="0.45">
      <c r="A488" t="s">
        <v>69</v>
      </c>
      <c r="B488" t="s">
        <v>72</v>
      </c>
      <c r="C488" t="s">
        <v>58</v>
      </c>
      <c r="D488" s="6">
        <v>8458</v>
      </c>
      <c r="E488" s="6">
        <v>4565</v>
      </c>
      <c r="F488" t="s">
        <v>62</v>
      </c>
      <c r="G488" t="str">
        <f t="shared" si="7"/>
        <v>On Budget</v>
      </c>
    </row>
    <row r="489" spans="1:7" x14ac:dyDescent="0.45">
      <c r="A489" t="s">
        <v>63</v>
      </c>
      <c r="B489" t="s">
        <v>57</v>
      </c>
      <c r="C489" t="s">
        <v>68</v>
      </c>
      <c r="D489" s="6">
        <v>6875</v>
      </c>
      <c r="E489" s="6">
        <v>3905</v>
      </c>
      <c r="G489" t="str">
        <f t="shared" si="7"/>
        <v>On Budget</v>
      </c>
    </row>
    <row r="490" spans="1:7" x14ac:dyDescent="0.45">
      <c r="A490" t="s">
        <v>74</v>
      </c>
      <c r="B490" t="s">
        <v>54</v>
      </c>
      <c r="C490" t="s">
        <v>76</v>
      </c>
      <c r="D490" s="6">
        <v>8199</v>
      </c>
      <c r="E490" s="6">
        <v>2334</v>
      </c>
      <c r="F490" t="s">
        <v>62</v>
      </c>
      <c r="G490" t="str">
        <f t="shared" si="7"/>
        <v>On Budget</v>
      </c>
    </row>
    <row r="491" spans="1:7" x14ac:dyDescent="0.45">
      <c r="A491" t="s">
        <v>80</v>
      </c>
      <c r="B491" t="s">
        <v>75</v>
      </c>
      <c r="C491" t="s">
        <v>81</v>
      </c>
      <c r="D491" s="6">
        <v>3506</v>
      </c>
      <c r="E491" s="6">
        <v>10767</v>
      </c>
      <c r="F491" t="s">
        <v>66</v>
      </c>
      <c r="G491" t="str">
        <f t="shared" si="7"/>
        <v>Over Budget</v>
      </c>
    </row>
    <row r="492" spans="1:7" x14ac:dyDescent="0.45">
      <c r="A492" t="s">
        <v>74</v>
      </c>
      <c r="B492" t="s">
        <v>72</v>
      </c>
      <c r="C492" t="s">
        <v>73</v>
      </c>
      <c r="D492" s="6">
        <v>8504</v>
      </c>
      <c r="E492" s="6">
        <v>7247</v>
      </c>
      <c r="G492" t="str">
        <f t="shared" si="7"/>
        <v>On Budget</v>
      </c>
    </row>
    <row r="493" spans="1:7" x14ac:dyDescent="0.45">
      <c r="A493" t="s">
        <v>69</v>
      </c>
      <c r="B493" t="s">
        <v>57</v>
      </c>
      <c r="C493" t="s">
        <v>67</v>
      </c>
      <c r="D493" s="6">
        <v>4924</v>
      </c>
      <c r="E493" s="6">
        <v>2580</v>
      </c>
      <c r="F493" t="s">
        <v>59</v>
      </c>
      <c r="G493" t="str">
        <f t="shared" si="7"/>
        <v>On Budget</v>
      </c>
    </row>
    <row r="494" spans="1:7" x14ac:dyDescent="0.45">
      <c r="A494" t="s">
        <v>56</v>
      </c>
      <c r="B494" t="s">
        <v>57</v>
      </c>
      <c r="C494" t="s">
        <v>61</v>
      </c>
      <c r="D494" s="6">
        <v>8293</v>
      </c>
      <c r="E494" s="6">
        <v>8071</v>
      </c>
      <c r="F494" t="s">
        <v>66</v>
      </c>
      <c r="G494" t="str">
        <f t="shared" si="7"/>
        <v>On Budget</v>
      </c>
    </row>
    <row r="495" spans="1:7" x14ac:dyDescent="0.45">
      <c r="A495" t="s">
        <v>63</v>
      </c>
      <c r="B495" t="s">
        <v>54</v>
      </c>
      <c r="C495" t="s">
        <v>64</v>
      </c>
      <c r="D495" s="6">
        <v>2366</v>
      </c>
      <c r="E495" s="6">
        <v>8083</v>
      </c>
      <c r="F495" t="s">
        <v>66</v>
      </c>
      <c r="G495" t="str">
        <f t="shared" si="7"/>
        <v>Over Budget</v>
      </c>
    </row>
    <row r="496" spans="1:7" x14ac:dyDescent="0.45">
      <c r="A496" t="s">
        <v>74</v>
      </c>
      <c r="B496" t="s">
        <v>54</v>
      </c>
      <c r="C496" t="s">
        <v>58</v>
      </c>
      <c r="D496" s="6">
        <v>1055</v>
      </c>
      <c r="E496" s="6">
        <v>7854</v>
      </c>
      <c r="F496" t="s">
        <v>62</v>
      </c>
      <c r="G496" t="str">
        <f t="shared" si="7"/>
        <v>Over Budget</v>
      </c>
    </row>
    <row r="497" spans="1:7" x14ac:dyDescent="0.45">
      <c r="A497" t="s">
        <v>74</v>
      </c>
      <c r="B497" t="s">
        <v>57</v>
      </c>
      <c r="C497" t="s">
        <v>58</v>
      </c>
      <c r="D497" s="6">
        <v>5784</v>
      </c>
      <c r="E497" s="6">
        <v>11503</v>
      </c>
      <c r="G497" t="str">
        <f t="shared" si="7"/>
        <v>Over Budget</v>
      </c>
    </row>
    <row r="498" spans="1:7" x14ac:dyDescent="0.45">
      <c r="A498" t="s">
        <v>74</v>
      </c>
      <c r="B498" t="s">
        <v>75</v>
      </c>
      <c r="C498" t="s">
        <v>76</v>
      </c>
      <c r="D498" s="6">
        <v>8638</v>
      </c>
      <c r="E498" s="6">
        <v>7748</v>
      </c>
      <c r="F498" t="s">
        <v>62</v>
      </c>
      <c r="G498" t="str">
        <f t="shared" si="7"/>
        <v>On Budget</v>
      </c>
    </row>
    <row r="499" spans="1:7" x14ac:dyDescent="0.45">
      <c r="A499" t="s">
        <v>53</v>
      </c>
      <c r="B499" t="s">
        <v>70</v>
      </c>
      <c r="C499" t="s">
        <v>81</v>
      </c>
      <c r="D499" s="6">
        <v>5719</v>
      </c>
      <c r="E499" s="6">
        <v>2390</v>
      </c>
      <c r="F499" t="s">
        <v>59</v>
      </c>
      <c r="G499" t="str">
        <f t="shared" si="7"/>
        <v>On Budget</v>
      </c>
    </row>
    <row r="500" spans="1:7" x14ac:dyDescent="0.45">
      <c r="A500" t="s">
        <v>63</v>
      </c>
      <c r="B500" t="s">
        <v>75</v>
      </c>
      <c r="C500" t="s">
        <v>65</v>
      </c>
      <c r="D500" s="6">
        <v>8122</v>
      </c>
      <c r="E500" s="6">
        <v>4536</v>
      </c>
      <c r="F500" t="s">
        <v>66</v>
      </c>
      <c r="G500" t="str">
        <f t="shared" si="7"/>
        <v>On Budget</v>
      </c>
    </row>
    <row r="501" spans="1:7" x14ac:dyDescent="0.45">
      <c r="A501" t="s">
        <v>53</v>
      </c>
      <c r="B501" t="s">
        <v>78</v>
      </c>
      <c r="C501" t="s">
        <v>68</v>
      </c>
      <c r="D501" s="6">
        <v>9498</v>
      </c>
      <c r="E501" s="6">
        <v>2157</v>
      </c>
      <c r="G501" t="str">
        <f t="shared" si="7"/>
        <v>On Budget</v>
      </c>
    </row>
  </sheetData>
  <conditionalFormatting sqref="A2:G501">
    <cfRule type="expression" dxfId="0" priority="1">
      <formula>($E2-$D2)&gt;0.2*$D2</formula>
    </cfRule>
  </conditionalFormatting>
  <conditionalFormatting sqref="E2:E501">
    <cfRule type="dataBar" priority="2">
      <dataBar>
        <cfvo type="min"/>
        <cfvo type="max"/>
        <color rgb="FF638EC6"/>
      </dataBar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0"/>
  <sheetViews>
    <sheetView workbookViewId="0"/>
  </sheetViews>
  <sheetFormatPr defaultRowHeight="14.25" x14ac:dyDescent="0.45"/>
  <cols>
    <col min="1" max="1" width="16" customWidth="1"/>
    <col min="2" max="3" width="20" customWidth="1"/>
    <col min="4" max="4" width="16" customWidth="1"/>
  </cols>
  <sheetData>
    <row r="1" spans="1:4" ht="15.75" customHeight="1" x14ac:dyDescent="0.5">
      <c r="A1" s="10" t="s">
        <v>83</v>
      </c>
      <c r="B1" s="9"/>
      <c r="C1" s="9"/>
      <c r="D1" s="9"/>
    </row>
    <row r="3" spans="1:4" x14ac:dyDescent="0.45">
      <c r="A3" s="7" t="s">
        <v>46</v>
      </c>
      <c r="B3" s="7" t="s">
        <v>49</v>
      </c>
      <c r="C3" s="7" t="s">
        <v>50</v>
      </c>
      <c r="D3" s="7" t="s">
        <v>84</v>
      </c>
    </row>
    <row r="4" spans="1:4" x14ac:dyDescent="0.45">
      <c r="A4" t="s">
        <v>80</v>
      </c>
      <c r="B4" s="6">
        <v>432667</v>
      </c>
      <c r="C4" s="6">
        <v>468209</v>
      </c>
      <c r="D4" s="6">
        <f t="shared" ref="D4:D10" si="0">C4-B4</f>
        <v>35542</v>
      </c>
    </row>
    <row r="5" spans="1:4" x14ac:dyDescent="0.45">
      <c r="A5" t="s">
        <v>53</v>
      </c>
      <c r="B5" s="6">
        <v>439309</v>
      </c>
      <c r="C5" s="6">
        <v>493937</v>
      </c>
      <c r="D5" s="6">
        <f t="shared" si="0"/>
        <v>54628</v>
      </c>
    </row>
    <row r="6" spans="1:4" x14ac:dyDescent="0.45">
      <c r="A6" t="s">
        <v>63</v>
      </c>
      <c r="B6" s="6">
        <v>427757</v>
      </c>
      <c r="C6" s="6">
        <v>485443</v>
      </c>
      <c r="D6" s="6">
        <f t="shared" si="0"/>
        <v>57686</v>
      </c>
    </row>
    <row r="7" spans="1:4" x14ac:dyDescent="0.45">
      <c r="A7" t="s">
        <v>60</v>
      </c>
      <c r="B7" s="6">
        <v>353332</v>
      </c>
      <c r="C7" s="6">
        <v>438863</v>
      </c>
      <c r="D7" s="6">
        <f t="shared" si="0"/>
        <v>85531</v>
      </c>
    </row>
    <row r="8" spans="1:4" x14ac:dyDescent="0.45">
      <c r="A8" t="s">
        <v>69</v>
      </c>
      <c r="B8" s="6">
        <v>374352</v>
      </c>
      <c r="C8" s="6">
        <v>429653</v>
      </c>
      <c r="D8" s="6">
        <f t="shared" si="0"/>
        <v>55301</v>
      </c>
    </row>
    <row r="9" spans="1:4" x14ac:dyDescent="0.45">
      <c r="A9" t="s">
        <v>74</v>
      </c>
      <c r="B9" s="6">
        <v>357993</v>
      </c>
      <c r="C9" s="6">
        <v>454227</v>
      </c>
      <c r="D9" s="6">
        <f t="shared" si="0"/>
        <v>96234</v>
      </c>
    </row>
    <row r="10" spans="1:4" x14ac:dyDescent="0.45">
      <c r="A10" t="s">
        <v>56</v>
      </c>
      <c r="B10" s="6">
        <v>371246</v>
      </c>
      <c r="C10" s="6">
        <v>411288</v>
      </c>
      <c r="D10" s="6">
        <f t="shared" si="0"/>
        <v>40042</v>
      </c>
    </row>
  </sheetData>
  <mergeCells count="1">
    <mergeCell ref="A1:D1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Solution Notes</vt:lpstr>
      <vt:lpstr>Expense_Data (Solved)</vt:lpstr>
      <vt:lpstr>Pivot 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Stephen David-williams</cp:lastModifiedBy>
  <dcterms:created xsi:type="dcterms:W3CDTF">2026-07-03T01:38:00Z</dcterms:created>
  <dcterms:modified xsi:type="dcterms:W3CDTF">2026-07-06T13:46:10Z</dcterms:modified>
</cp:coreProperties>
</file>