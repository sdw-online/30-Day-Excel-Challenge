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0_aggregate_functions\practice\"/>
    </mc:Choice>
  </mc:AlternateContent>
  <xr:revisionPtr revIDLastSave="0" documentId="13_ncr:1_{F7EC1B76-02AB-4BAD-B713-94681EAAF2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Club Spending Data (Solved)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B24" i="3"/>
  <c r="B21" i="3"/>
  <c r="B20" i="3"/>
  <c r="B17" i="3"/>
  <c r="B16" i="3"/>
  <c r="B15" i="3"/>
  <c r="B14" i="3"/>
  <c r="B13" i="3"/>
  <c r="B9" i="3"/>
  <c r="B8" i="3"/>
  <c r="B7" i="3"/>
  <c r="B6" i="3"/>
  <c r="B5" i="3"/>
</calcChain>
</file>

<file path=xl/sharedStrings.xml><?xml version="1.0" encoding="utf-8"?>
<sst xmlns="http://schemas.openxmlformats.org/spreadsheetml/2006/main" count="1191" uniqueCount="74">
  <si>
    <t>Day 10 Solution - Aggregate Functions (SUMIF / COUNTIF / AVERAGEIFS)</t>
  </si>
  <si>
    <t>Task 1: Total Expense by Branch</t>
  </si>
  <si>
    <t>Formula: SUMIF('Club Spending Data (Solved)'!A:A, &lt;branch&gt;, 'Club Spending Data (Solved)'!D:D)</t>
  </si>
  <si>
    <t>Answer: See 'Summary' sheet B5:B9 - Downtown $713,131 | Eastside $597,878 | Suburban $611,151 | Uptown $563,124 | Westside $689,313</t>
  </si>
  <si>
    <t>Task 2: Count of Purchases per Department</t>
  </si>
  <si>
    <t>Formula: COUNTIF('Club Spending Data (Solved)'!B:B, &lt;department&gt;)</t>
  </si>
  <si>
    <t>Answer: See 'Summary' sheet B13:B17 - Classes 79 | Equipment 74 | Maintenance 71 | Marketing 71 | Staff 85</t>
  </si>
  <si>
    <t>Task 3: Find Most &amp; Least Expensive Purchases</t>
  </si>
  <si>
    <t>Formula: MAX('Club Spending Data (Solved)'!D:D)  and  MIN('Club Spending Data (Solved)'!D:D)</t>
  </si>
  <si>
    <t>Answer: Most expensive = $15,970 (Summary!B20)  |  Least expensive = $1,624 (Summary!B21)</t>
  </si>
  <si>
    <t>Task 4: Calculate Average Spend</t>
  </si>
  <si>
    <t>Formula: AVERAGE('Club Spending Data (Solved)'!D:D)</t>
  </si>
  <si>
    <t>Answer: $8,354.20 (Summary!B24)</t>
  </si>
  <si>
    <t>Task 5: Conditional Formatting</t>
  </si>
  <si>
    <t>Formula: Highlight Cell Rules -&gt; Greater Than -&gt; 10000, applied to Expense ($) column</t>
  </si>
  <si>
    <t>Answer: Applied to 'Club Spending Data (Solved)'!D2:D381 (151 of 380 rows &gt; $10,000 are highlighted in red)</t>
  </si>
  <si>
    <t>Steps: select the Expense ($) column data range -&gt; Home -&gt; Conditional Formatting -&gt;</t>
  </si>
  <si>
    <t>Highlight Cells Rules -&gt; Greater Than -&gt; enter 10000 -&gt; choose 'Light Red Fill with Dark Red Text'.</t>
  </si>
  <si>
    <t>Bonus: COUNTIFS - Marketing purchases over $5,000</t>
  </si>
  <si>
    <t>Formula: COUNTIFS('Club Spending Data (Solved)'!B:B,"Marketing",'Club Spending Data (Solved)'!D:D,"&gt;5000")</t>
  </si>
  <si>
    <t>Answer: 46 (Summary!B27)</t>
  </si>
  <si>
    <t>All formulas are live in the workbook - open 'Club Spending Data (Solved)' and 'Summary' to see them recalculate.</t>
  </si>
  <si>
    <t>Branch</t>
  </si>
  <si>
    <t>Department</t>
  </si>
  <si>
    <t>Vendor</t>
  </si>
  <si>
    <t>Expense ($)</t>
  </si>
  <si>
    <t>Items Purchased</t>
  </si>
  <si>
    <t>Uptown</t>
  </si>
  <si>
    <t>Marketing</t>
  </si>
  <si>
    <t>Mendoza-Morgan</t>
  </si>
  <si>
    <t>Westside</t>
  </si>
  <si>
    <t>Classes</t>
  </si>
  <si>
    <t>Jackson, Bryan and Williams</t>
  </si>
  <si>
    <t>Eastside</t>
  </si>
  <si>
    <t>Lewis-Scott</t>
  </si>
  <si>
    <t>Suburban</t>
  </si>
  <si>
    <t>Equipment</t>
  </si>
  <si>
    <t>Rogers, Robles and Zimmerman</t>
  </si>
  <si>
    <t>Maintenance</t>
  </si>
  <si>
    <t>Jones-Hernandez</t>
  </si>
  <si>
    <t>Perez Ltd</t>
  </si>
  <si>
    <t>Johns, Morris and Mejia</t>
  </si>
  <si>
    <t>Downtown</t>
  </si>
  <si>
    <t>Staff</t>
  </si>
  <si>
    <t>Koch-Olson</t>
  </si>
  <si>
    <t>White-Sanders</t>
  </si>
  <si>
    <t>Coleman-Ramirez</t>
  </si>
  <si>
    <t>Evans-Torres</t>
  </si>
  <si>
    <t>Vasquez-Padilla</t>
  </si>
  <si>
    <t>Richardson LLC</t>
  </si>
  <si>
    <t>Wright Inc</t>
  </si>
  <si>
    <t>Jacobs, Cooper and Ward</t>
  </si>
  <si>
    <t>Russell-Hines</t>
  </si>
  <si>
    <t>Moore Inc</t>
  </si>
  <si>
    <t>Joyce-Montgomery</t>
  </si>
  <si>
    <t>Walls, Johnson and Cantu</t>
  </si>
  <si>
    <t>Perez, Edwards and Thompson</t>
  </si>
  <si>
    <t>Walker-Young</t>
  </si>
  <si>
    <t>Chen, Deleon and Price</t>
  </si>
  <si>
    <t>Hernandez-Ramirez</t>
  </si>
  <si>
    <t>Taylor Ltd</t>
  </si>
  <si>
    <t>Henry-Hart</t>
  </si>
  <si>
    <t>Day 10 Summary - Aggregate Functions</t>
  </si>
  <si>
    <t>Task 1: Total Expense by Branch (SUMIF)</t>
  </si>
  <si>
    <t>Total Expense</t>
  </si>
  <si>
    <t>Task 2: Count of Purchases per Department (COUNTIF)</t>
  </si>
  <si>
    <t>Purchase Count</t>
  </si>
  <si>
    <t>Task 3: Most &amp; Least Expensive Purchases (MIN / MAX)</t>
  </si>
  <si>
    <t>Most expensive purchase (MAX)</t>
  </si>
  <si>
    <t>Least expensive purchase (MIN)</t>
  </si>
  <si>
    <t>Task 4: Average Spend (AVERAGE)</t>
  </si>
  <si>
    <t>Average expense across all purchases</t>
  </si>
  <si>
    <t>Bonus: Marketing purchases over $5,000 (COUNTIFS)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</si>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</sst>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2"/>
      <color rgb="FF1F4E78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showGridLines="0" tabSelected="1" workbookViewId="0"/>
  </sheetViews>
  <sheetFormatPr defaultRowHeight="14.25" x14ac:dyDescent="0.45"/>
  <cols>
    <col min="1" max="1" width="95" customWidth="1"/>
  </cols>
  <sheetData>
    <row r="1" spans="1:1" ht="18" x14ac:dyDescent="0.55000000000000004">
      <c r="A1" s="1" t="s">
        <v>0</v>
      </c>
    </row>
    <row r="3" spans="1:1" ht="15.75" x14ac:dyDescent="0.5">
      <c r="A3" s="2" t="s">
        <v>1</v>
      </c>
    </row>
    <row r="4" spans="1:1" x14ac:dyDescent="0.45">
      <c r="A4" t="s">
        <v>2</v>
      </c>
    </row>
    <row r="5" spans="1:1" x14ac:dyDescent="0.45">
      <c r="A5" s="3" t="s">
        <v>3</v>
      </c>
    </row>
    <row r="7" spans="1:1" ht="15.75" x14ac:dyDescent="0.5">
      <c r="A7" s="2" t="s">
        <v>4</v>
      </c>
    </row>
    <row r="8" spans="1:1" x14ac:dyDescent="0.45">
      <c r="A8" t="s">
        <v>5</v>
      </c>
    </row>
    <row r="9" spans="1:1" x14ac:dyDescent="0.45">
      <c r="A9" s="3" t="s">
        <v>6</v>
      </c>
    </row>
    <row r="11" spans="1:1" ht="15.75" x14ac:dyDescent="0.5">
      <c r="A11" s="2" t="s">
        <v>7</v>
      </c>
    </row>
    <row r="12" spans="1:1" x14ac:dyDescent="0.45">
      <c r="A12" t="s">
        <v>8</v>
      </c>
    </row>
    <row r="13" spans="1:1" x14ac:dyDescent="0.45">
      <c r="A13" s="3" t="s">
        <v>9</v>
      </c>
    </row>
    <row r="15" spans="1:1" ht="15.75" x14ac:dyDescent="0.5">
      <c r="A15" s="2" t="s">
        <v>10</v>
      </c>
    </row>
    <row r="16" spans="1:1" x14ac:dyDescent="0.45">
      <c r="A16" t="s">
        <v>11</v>
      </c>
    </row>
    <row r="17" spans="1:1" x14ac:dyDescent="0.45">
      <c r="A17" s="3" t="s">
        <v>12</v>
      </c>
    </row>
    <row r="19" spans="1:1" ht="15.75" x14ac:dyDescent="0.5">
      <c r="A19" s="2" t="s">
        <v>13</v>
      </c>
    </row>
    <row r="20" spans="1:1" x14ac:dyDescent="0.45">
      <c r="A20" t="s">
        <v>14</v>
      </c>
    </row>
    <row r="21" spans="1:1" x14ac:dyDescent="0.45">
      <c r="A21" s="3" t="s">
        <v>15</v>
      </c>
    </row>
    <row r="22" spans="1:1" x14ac:dyDescent="0.45">
      <c r="A22" t="s">
        <v>16</v>
      </c>
    </row>
    <row r="23" spans="1:1" x14ac:dyDescent="0.45">
      <c r="A23" t="s">
        <v>17</v>
      </c>
    </row>
    <row r="25" spans="1:1" ht="15.75" x14ac:dyDescent="0.5">
      <c r="A25" s="2" t="s">
        <v>18</v>
      </c>
    </row>
    <row r="26" spans="1:1" x14ac:dyDescent="0.45">
      <c r="A26" t="s">
        <v>19</v>
      </c>
    </row>
    <row r="27" spans="1:1" x14ac:dyDescent="0.45">
      <c r="A27" s="3" t="s">
        <v>20</v>
      </c>
    </row>
    <row r="29" spans="1:1" x14ac:dyDescent="0.45">
      <c r="A29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4" customWidth="1"/>
    <col min="3" max="3" width="30" customWidth="1"/>
    <col min="4" max="4" width="14" customWidth="1"/>
    <col min="5" max="5" width="16" customWidth="1"/>
  </cols>
  <sheetData>
    <row r="1" spans="1:5" x14ac:dyDescent="0.4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45">
      <c r="A2" t="s">
        <v>27</v>
      </c>
      <c r="B2" t="s">
        <v>28</v>
      </c>
      <c r="C2" t="s">
        <v>29</v>
      </c>
      <c r="D2" s="6">
        <v>11321</v>
      </c>
      <c r="E2">
        <v>3</v>
      </c>
    </row>
    <row r="3" spans="1:5" x14ac:dyDescent="0.45">
      <c r="A3" t="s">
        <v>30</v>
      </c>
      <c r="B3" t="s">
        <v>31</v>
      </c>
      <c r="C3" t="s">
        <v>32</v>
      </c>
      <c r="D3" s="6">
        <v>13949</v>
      </c>
      <c r="E3">
        <v>2</v>
      </c>
    </row>
    <row r="4" spans="1:5" x14ac:dyDescent="0.45">
      <c r="A4" t="s">
        <v>33</v>
      </c>
      <c r="B4" t="s">
        <v>28</v>
      </c>
      <c r="C4" t="s">
        <v>34</v>
      </c>
      <c r="D4" s="6">
        <v>12711</v>
      </c>
      <c r="E4">
        <v>12</v>
      </c>
    </row>
    <row r="5" spans="1:5" x14ac:dyDescent="0.45">
      <c r="A5" t="s">
        <v>35</v>
      </c>
      <c r="B5" t="s">
        <v>36</v>
      </c>
      <c r="C5" t="s">
        <v>37</v>
      </c>
      <c r="D5" s="6">
        <v>9516</v>
      </c>
      <c r="E5">
        <v>4</v>
      </c>
    </row>
    <row r="6" spans="1:5" x14ac:dyDescent="0.45">
      <c r="A6" t="s">
        <v>27</v>
      </c>
      <c r="B6" t="s">
        <v>38</v>
      </c>
      <c r="C6" t="s">
        <v>39</v>
      </c>
      <c r="D6" s="6">
        <v>5050</v>
      </c>
      <c r="E6">
        <v>6</v>
      </c>
    </row>
    <row r="7" spans="1:5" x14ac:dyDescent="0.45">
      <c r="A7" t="s">
        <v>27</v>
      </c>
      <c r="B7" t="s">
        <v>31</v>
      </c>
      <c r="C7" t="s">
        <v>32</v>
      </c>
      <c r="D7" s="6">
        <v>9060</v>
      </c>
      <c r="E7">
        <v>11</v>
      </c>
    </row>
    <row r="8" spans="1:5" x14ac:dyDescent="0.45">
      <c r="A8" t="s">
        <v>30</v>
      </c>
      <c r="B8" t="s">
        <v>38</v>
      </c>
      <c r="C8" t="s">
        <v>40</v>
      </c>
      <c r="D8" s="6">
        <v>2859</v>
      </c>
      <c r="E8">
        <v>12</v>
      </c>
    </row>
    <row r="9" spans="1:5" x14ac:dyDescent="0.45">
      <c r="A9" t="s">
        <v>35</v>
      </c>
      <c r="B9" t="s">
        <v>36</v>
      </c>
      <c r="C9" t="s">
        <v>41</v>
      </c>
      <c r="D9" s="6">
        <v>6683</v>
      </c>
      <c r="E9">
        <v>7</v>
      </c>
    </row>
    <row r="10" spans="1:5" x14ac:dyDescent="0.45">
      <c r="A10" t="s">
        <v>42</v>
      </c>
      <c r="B10" t="s">
        <v>43</v>
      </c>
      <c r="C10" t="s">
        <v>44</v>
      </c>
      <c r="D10" s="6">
        <v>1624</v>
      </c>
      <c r="E10">
        <v>7</v>
      </c>
    </row>
    <row r="11" spans="1:5" x14ac:dyDescent="0.45">
      <c r="A11" t="s">
        <v>30</v>
      </c>
      <c r="B11" t="s">
        <v>43</v>
      </c>
      <c r="C11" t="s">
        <v>44</v>
      </c>
      <c r="D11" s="6">
        <v>2824</v>
      </c>
      <c r="E11">
        <v>8</v>
      </c>
    </row>
    <row r="12" spans="1:5" x14ac:dyDescent="0.45">
      <c r="A12" t="s">
        <v>35</v>
      </c>
      <c r="B12" t="s">
        <v>31</v>
      </c>
      <c r="C12" t="s">
        <v>37</v>
      </c>
      <c r="D12" s="6">
        <v>9080</v>
      </c>
      <c r="E12">
        <v>1</v>
      </c>
    </row>
    <row r="13" spans="1:5" x14ac:dyDescent="0.45">
      <c r="A13" t="s">
        <v>33</v>
      </c>
      <c r="B13" t="s">
        <v>31</v>
      </c>
      <c r="C13" t="s">
        <v>29</v>
      </c>
      <c r="D13" s="6">
        <v>13216</v>
      </c>
      <c r="E13">
        <v>3</v>
      </c>
    </row>
    <row r="14" spans="1:5" x14ac:dyDescent="0.45">
      <c r="A14" t="s">
        <v>27</v>
      </c>
      <c r="B14" t="s">
        <v>38</v>
      </c>
      <c r="C14" t="s">
        <v>45</v>
      </c>
      <c r="D14" s="6">
        <v>9744</v>
      </c>
      <c r="E14">
        <v>11</v>
      </c>
    </row>
    <row r="15" spans="1:5" x14ac:dyDescent="0.45">
      <c r="A15" t="s">
        <v>30</v>
      </c>
      <c r="B15" t="s">
        <v>36</v>
      </c>
      <c r="C15" t="s">
        <v>46</v>
      </c>
      <c r="D15" s="6">
        <v>1881</v>
      </c>
      <c r="E15">
        <v>3</v>
      </c>
    </row>
    <row r="16" spans="1:5" x14ac:dyDescent="0.45">
      <c r="A16" t="s">
        <v>27</v>
      </c>
      <c r="B16" t="s">
        <v>28</v>
      </c>
      <c r="C16" t="s">
        <v>47</v>
      </c>
      <c r="D16" s="6">
        <v>8470</v>
      </c>
      <c r="E16">
        <v>11</v>
      </c>
    </row>
    <row r="17" spans="1:5" x14ac:dyDescent="0.45">
      <c r="A17" t="s">
        <v>42</v>
      </c>
      <c r="B17" t="s">
        <v>31</v>
      </c>
      <c r="C17" t="s">
        <v>48</v>
      </c>
      <c r="D17" s="6">
        <v>11615</v>
      </c>
      <c r="E17">
        <v>1</v>
      </c>
    </row>
    <row r="18" spans="1:5" x14ac:dyDescent="0.45">
      <c r="A18" t="s">
        <v>27</v>
      </c>
      <c r="B18" t="s">
        <v>43</v>
      </c>
      <c r="C18" t="s">
        <v>32</v>
      </c>
      <c r="D18" s="6">
        <v>10075</v>
      </c>
      <c r="E18">
        <v>7</v>
      </c>
    </row>
    <row r="19" spans="1:5" x14ac:dyDescent="0.45">
      <c r="A19" t="s">
        <v>30</v>
      </c>
      <c r="B19" t="s">
        <v>36</v>
      </c>
      <c r="C19" t="s">
        <v>49</v>
      </c>
      <c r="D19" s="6">
        <v>4964</v>
      </c>
      <c r="E19">
        <v>8</v>
      </c>
    </row>
    <row r="20" spans="1:5" x14ac:dyDescent="0.45">
      <c r="A20" t="s">
        <v>33</v>
      </c>
      <c r="B20" t="s">
        <v>38</v>
      </c>
      <c r="C20" t="s">
        <v>50</v>
      </c>
      <c r="D20" s="6">
        <v>15018</v>
      </c>
      <c r="E20">
        <v>3</v>
      </c>
    </row>
    <row r="21" spans="1:5" x14ac:dyDescent="0.45">
      <c r="A21" t="s">
        <v>33</v>
      </c>
      <c r="B21" t="s">
        <v>28</v>
      </c>
      <c r="C21" t="s">
        <v>51</v>
      </c>
      <c r="D21" s="6">
        <v>3645</v>
      </c>
      <c r="E21">
        <v>12</v>
      </c>
    </row>
    <row r="22" spans="1:5" x14ac:dyDescent="0.45">
      <c r="A22" t="s">
        <v>35</v>
      </c>
      <c r="B22" t="s">
        <v>31</v>
      </c>
      <c r="C22" t="s">
        <v>37</v>
      </c>
      <c r="D22" s="6">
        <v>8189</v>
      </c>
      <c r="E22">
        <v>2</v>
      </c>
    </row>
    <row r="23" spans="1:5" x14ac:dyDescent="0.45">
      <c r="A23" t="s">
        <v>42</v>
      </c>
      <c r="B23" t="s">
        <v>36</v>
      </c>
      <c r="C23" t="s">
        <v>32</v>
      </c>
      <c r="D23" s="6">
        <v>6349</v>
      </c>
      <c r="E23">
        <v>3</v>
      </c>
    </row>
    <row r="24" spans="1:5" x14ac:dyDescent="0.45">
      <c r="A24" t="s">
        <v>30</v>
      </c>
      <c r="B24" t="s">
        <v>28</v>
      </c>
      <c r="C24" t="s">
        <v>32</v>
      </c>
      <c r="D24" s="6">
        <v>4900</v>
      </c>
      <c r="E24">
        <v>9</v>
      </c>
    </row>
    <row r="25" spans="1:5" x14ac:dyDescent="0.45">
      <c r="A25" t="s">
        <v>33</v>
      </c>
      <c r="B25" t="s">
        <v>28</v>
      </c>
      <c r="C25" t="s">
        <v>52</v>
      </c>
      <c r="D25" s="6">
        <v>15362</v>
      </c>
      <c r="E25">
        <v>5</v>
      </c>
    </row>
    <row r="26" spans="1:5" x14ac:dyDescent="0.45">
      <c r="A26" t="s">
        <v>42</v>
      </c>
      <c r="B26" t="s">
        <v>43</v>
      </c>
      <c r="C26" t="s">
        <v>45</v>
      </c>
      <c r="D26" s="6">
        <v>12613</v>
      </c>
      <c r="E26">
        <v>2</v>
      </c>
    </row>
    <row r="27" spans="1:5" x14ac:dyDescent="0.45">
      <c r="A27" t="s">
        <v>35</v>
      </c>
      <c r="B27" t="s">
        <v>43</v>
      </c>
      <c r="C27" t="s">
        <v>53</v>
      </c>
      <c r="D27" s="6">
        <v>11095</v>
      </c>
      <c r="E27">
        <v>1</v>
      </c>
    </row>
    <row r="28" spans="1:5" x14ac:dyDescent="0.45">
      <c r="A28" t="s">
        <v>33</v>
      </c>
      <c r="B28" t="s">
        <v>31</v>
      </c>
      <c r="C28" t="s">
        <v>50</v>
      </c>
      <c r="D28" s="6">
        <v>8038</v>
      </c>
      <c r="E28">
        <v>6</v>
      </c>
    </row>
    <row r="29" spans="1:5" x14ac:dyDescent="0.45">
      <c r="A29" t="s">
        <v>27</v>
      </c>
      <c r="B29" t="s">
        <v>28</v>
      </c>
      <c r="C29" t="s">
        <v>54</v>
      </c>
      <c r="D29" s="6">
        <v>14831</v>
      </c>
      <c r="E29">
        <v>6</v>
      </c>
    </row>
    <row r="30" spans="1:5" x14ac:dyDescent="0.45">
      <c r="A30" t="s">
        <v>35</v>
      </c>
      <c r="B30" t="s">
        <v>36</v>
      </c>
      <c r="C30" t="s">
        <v>45</v>
      </c>
      <c r="D30" s="6">
        <v>15910</v>
      </c>
      <c r="E30">
        <v>1</v>
      </c>
    </row>
    <row r="31" spans="1:5" x14ac:dyDescent="0.45">
      <c r="A31" t="s">
        <v>33</v>
      </c>
      <c r="B31" t="s">
        <v>28</v>
      </c>
      <c r="C31" t="s">
        <v>55</v>
      </c>
      <c r="D31" s="6">
        <v>8774</v>
      </c>
      <c r="E31">
        <v>4</v>
      </c>
    </row>
    <row r="32" spans="1:5" x14ac:dyDescent="0.45">
      <c r="A32" t="s">
        <v>33</v>
      </c>
      <c r="B32" t="s">
        <v>31</v>
      </c>
      <c r="C32" t="s">
        <v>49</v>
      </c>
      <c r="D32" s="6">
        <v>13295</v>
      </c>
      <c r="E32">
        <v>5</v>
      </c>
    </row>
    <row r="33" spans="1:5" x14ac:dyDescent="0.45">
      <c r="A33" t="s">
        <v>42</v>
      </c>
      <c r="B33" t="s">
        <v>43</v>
      </c>
      <c r="C33" t="s">
        <v>29</v>
      </c>
      <c r="D33" s="6">
        <v>14017</v>
      </c>
      <c r="E33">
        <v>12</v>
      </c>
    </row>
    <row r="34" spans="1:5" x14ac:dyDescent="0.45">
      <c r="A34" t="s">
        <v>30</v>
      </c>
      <c r="B34" t="s">
        <v>28</v>
      </c>
      <c r="C34" t="s">
        <v>48</v>
      </c>
      <c r="D34" s="6">
        <v>8678</v>
      </c>
      <c r="E34">
        <v>2</v>
      </c>
    </row>
    <row r="35" spans="1:5" x14ac:dyDescent="0.45">
      <c r="A35" t="s">
        <v>27</v>
      </c>
      <c r="B35" t="s">
        <v>28</v>
      </c>
      <c r="C35" t="s">
        <v>56</v>
      </c>
      <c r="D35" s="6">
        <v>2641</v>
      </c>
      <c r="E35">
        <v>9</v>
      </c>
    </row>
    <row r="36" spans="1:5" x14ac:dyDescent="0.45">
      <c r="A36" t="s">
        <v>33</v>
      </c>
      <c r="B36" t="s">
        <v>43</v>
      </c>
      <c r="C36" t="s">
        <v>41</v>
      </c>
      <c r="D36" s="6">
        <v>10236</v>
      </c>
      <c r="E36">
        <v>3</v>
      </c>
    </row>
    <row r="37" spans="1:5" x14ac:dyDescent="0.45">
      <c r="A37" t="s">
        <v>33</v>
      </c>
      <c r="B37" t="s">
        <v>28</v>
      </c>
      <c r="C37" t="s">
        <v>48</v>
      </c>
      <c r="D37" s="6">
        <v>8206</v>
      </c>
      <c r="E37">
        <v>11</v>
      </c>
    </row>
    <row r="38" spans="1:5" x14ac:dyDescent="0.45">
      <c r="A38" t="s">
        <v>35</v>
      </c>
      <c r="B38" t="s">
        <v>31</v>
      </c>
      <c r="C38" t="s">
        <v>48</v>
      </c>
      <c r="D38" s="6">
        <v>7708</v>
      </c>
      <c r="E38">
        <v>11</v>
      </c>
    </row>
    <row r="39" spans="1:5" x14ac:dyDescent="0.45">
      <c r="A39" t="s">
        <v>35</v>
      </c>
      <c r="B39" t="s">
        <v>38</v>
      </c>
      <c r="C39" t="s">
        <v>57</v>
      </c>
      <c r="D39" s="6">
        <v>13211</v>
      </c>
      <c r="E39">
        <v>8</v>
      </c>
    </row>
    <row r="40" spans="1:5" x14ac:dyDescent="0.45">
      <c r="A40" t="s">
        <v>30</v>
      </c>
      <c r="B40" t="s">
        <v>28</v>
      </c>
      <c r="C40" t="s">
        <v>40</v>
      </c>
      <c r="D40" s="6">
        <v>4738</v>
      </c>
      <c r="E40">
        <v>6</v>
      </c>
    </row>
    <row r="41" spans="1:5" x14ac:dyDescent="0.45">
      <c r="A41" t="s">
        <v>42</v>
      </c>
      <c r="B41" t="s">
        <v>43</v>
      </c>
      <c r="C41" t="s">
        <v>58</v>
      </c>
      <c r="D41" s="6">
        <v>6339</v>
      </c>
      <c r="E41">
        <v>4</v>
      </c>
    </row>
    <row r="42" spans="1:5" x14ac:dyDescent="0.45">
      <c r="A42" t="s">
        <v>30</v>
      </c>
      <c r="B42" t="s">
        <v>43</v>
      </c>
      <c r="C42" t="s">
        <v>57</v>
      </c>
      <c r="D42" s="6">
        <v>8327</v>
      </c>
      <c r="E42">
        <v>12</v>
      </c>
    </row>
    <row r="43" spans="1:5" x14ac:dyDescent="0.45">
      <c r="A43" t="s">
        <v>30</v>
      </c>
      <c r="B43" t="s">
        <v>28</v>
      </c>
      <c r="C43" t="s">
        <v>59</v>
      </c>
      <c r="D43" s="6">
        <v>12257</v>
      </c>
      <c r="E43">
        <v>7</v>
      </c>
    </row>
    <row r="44" spans="1:5" x14ac:dyDescent="0.45">
      <c r="A44" t="s">
        <v>42</v>
      </c>
      <c r="B44" t="s">
        <v>36</v>
      </c>
      <c r="C44" t="s">
        <v>34</v>
      </c>
      <c r="D44" s="6">
        <v>10212</v>
      </c>
      <c r="E44">
        <v>4</v>
      </c>
    </row>
    <row r="45" spans="1:5" x14ac:dyDescent="0.45">
      <c r="A45" t="s">
        <v>42</v>
      </c>
      <c r="B45" t="s">
        <v>38</v>
      </c>
      <c r="C45" t="s">
        <v>48</v>
      </c>
      <c r="D45" s="6">
        <v>12514</v>
      </c>
      <c r="E45">
        <v>12</v>
      </c>
    </row>
    <row r="46" spans="1:5" x14ac:dyDescent="0.45">
      <c r="A46" t="s">
        <v>30</v>
      </c>
      <c r="B46" t="s">
        <v>38</v>
      </c>
      <c r="C46" t="s">
        <v>60</v>
      </c>
      <c r="D46" s="6">
        <v>4863</v>
      </c>
      <c r="E46">
        <v>5</v>
      </c>
    </row>
    <row r="47" spans="1:5" x14ac:dyDescent="0.45">
      <c r="A47" t="s">
        <v>27</v>
      </c>
      <c r="B47" t="s">
        <v>28</v>
      </c>
      <c r="C47" t="s">
        <v>44</v>
      </c>
      <c r="D47" s="6">
        <v>10200</v>
      </c>
      <c r="E47">
        <v>11</v>
      </c>
    </row>
    <row r="48" spans="1:5" x14ac:dyDescent="0.45">
      <c r="A48" t="s">
        <v>35</v>
      </c>
      <c r="B48" t="s">
        <v>38</v>
      </c>
      <c r="C48" t="s">
        <v>55</v>
      </c>
      <c r="D48" s="6">
        <v>6210</v>
      </c>
      <c r="E48">
        <v>4</v>
      </c>
    </row>
    <row r="49" spans="1:5" x14ac:dyDescent="0.45">
      <c r="A49" t="s">
        <v>42</v>
      </c>
      <c r="B49" t="s">
        <v>36</v>
      </c>
      <c r="C49" t="s">
        <v>48</v>
      </c>
      <c r="D49" s="6">
        <v>2738</v>
      </c>
      <c r="E49">
        <v>10</v>
      </c>
    </row>
    <row r="50" spans="1:5" x14ac:dyDescent="0.45">
      <c r="A50" t="s">
        <v>42</v>
      </c>
      <c r="B50" t="s">
        <v>36</v>
      </c>
      <c r="C50" t="s">
        <v>54</v>
      </c>
      <c r="D50" s="6">
        <v>6410</v>
      </c>
      <c r="E50">
        <v>6</v>
      </c>
    </row>
    <row r="51" spans="1:5" x14ac:dyDescent="0.45">
      <c r="A51" t="s">
        <v>35</v>
      </c>
      <c r="B51" t="s">
        <v>38</v>
      </c>
      <c r="C51" t="s">
        <v>39</v>
      </c>
      <c r="D51" s="6">
        <v>6336</v>
      </c>
      <c r="E51">
        <v>4</v>
      </c>
    </row>
    <row r="52" spans="1:5" x14ac:dyDescent="0.45">
      <c r="A52" t="s">
        <v>42</v>
      </c>
      <c r="B52" t="s">
        <v>28</v>
      </c>
      <c r="C52" t="s">
        <v>50</v>
      </c>
      <c r="D52" s="6">
        <v>14431</v>
      </c>
      <c r="E52">
        <v>3</v>
      </c>
    </row>
    <row r="53" spans="1:5" x14ac:dyDescent="0.45">
      <c r="A53" t="s">
        <v>33</v>
      </c>
      <c r="B53" t="s">
        <v>28</v>
      </c>
      <c r="C53" t="s">
        <v>40</v>
      </c>
      <c r="D53" s="6">
        <v>3604</v>
      </c>
      <c r="E53">
        <v>3</v>
      </c>
    </row>
    <row r="54" spans="1:5" x14ac:dyDescent="0.45">
      <c r="A54" t="s">
        <v>27</v>
      </c>
      <c r="B54" t="s">
        <v>28</v>
      </c>
      <c r="C54" t="s">
        <v>54</v>
      </c>
      <c r="D54" s="6">
        <v>10705</v>
      </c>
      <c r="E54">
        <v>12</v>
      </c>
    </row>
    <row r="55" spans="1:5" x14ac:dyDescent="0.45">
      <c r="A55" t="s">
        <v>30</v>
      </c>
      <c r="B55" t="s">
        <v>43</v>
      </c>
      <c r="C55" t="s">
        <v>56</v>
      </c>
      <c r="D55" s="6">
        <v>4901</v>
      </c>
      <c r="E55">
        <v>5</v>
      </c>
    </row>
    <row r="56" spans="1:5" x14ac:dyDescent="0.45">
      <c r="A56" t="s">
        <v>27</v>
      </c>
      <c r="B56" t="s">
        <v>38</v>
      </c>
      <c r="C56" t="s">
        <v>58</v>
      </c>
      <c r="D56" s="6">
        <v>7769</v>
      </c>
      <c r="E56">
        <v>3</v>
      </c>
    </row>
    <row r="57" spans="1:5" x14ac:dyDescent="0.45">
      <c r="A57" t="s">
        <v>27</v>
      </c>
      <c r="B57" t="s">
        <v>38</v>
      </c>
      <c r="C57" t="s">
        <v>49</v>
      </c>
      <c r="D57" s="6">
        <v>9304</v>
      </c>
      <c r="E57">
        <v>11</v>
      </c>
    </row>
    <row r="58" spans="1:5" x14ac:dyDescent="0.45">
      <c r="A58" t="s">
        <v>30</v>
      </c>
      <c r="B58" t="s">
        <v>36</v>
      </c>
      <c r="C58" t="s">
        <v>44</v>
      </c>
      <c r="D58" s="6">
        <v>5425</v>
      </c>
      <c r="E58">
        <v>8</v>
      </c>
    </row>
    <row r="59" spans="1:5" x14ac:dyDescent="0.45">
      <c r="A59" t="s">
        <v>35</v>
      </c>
      <c r="B59" t="s">
        <v>36</v>
      </c>
      <c r="C59" t="s">
        <v>46</v>
      </c>
      <c r="D59" s="6">
        <v>6902</v>
      </c>
      <c r="E59">
        <v>8</v>
      </c>
    </row>
    <row r="60" spans="1:5" x14ac:dyDescent="0.45">
      <c r="A60" t="s">
        <v>42</v>
      </c>
      <c r="B60" t="s">
        <v>43</v>
      </c>
      <c r="C60" t="s">
        <v>49</v>
      </c>
      <c r="D60" s="6">
        <v>13521</v>
      </c>
      <c r="E60">
        <v>1</v>
      </c>
    </row>
    <row r="61" spans="1:5" x14ac:dyDescent="0.45">
      <c r="A61" t="s">
        <v>35</v>
      </c>
      <c r="B61" t="s">
        <v>38</v>
      </c>
      <c r="C61" t="s">
        <v>56</v>
      </c>
      <c r="D61" s="6">
        <v>11879</v>
      </c>
      <c r="E61">
        <v>1</v>
      </c>
    </row>
    <row r="62" spans="1:5" x14ac:dyDescent="0.45">
      <c r="A62" t="s">
        <v>35</v>
      </c>
      <c r="B62" t="s">
        <v>43</v>
      </c>
      <c r="C62" t="s">
        <v>54</v>
      </c>
      <c r="D62" s="6">
        <v>5785</v>
      </c>
      <c r="E62">
        <v>3</v>
      </c>
    </row>
    <row r="63" spans="1:5" x14ac:dyDescent="0.45">
      <c r="A63" t="s">
        <v>30</v>
      </c>
      <c r="B63" t="s">
        <v>38</v>
      </c>
      <c r="C63" t="s">
        <v>51</v>
      </c>
      <c r="D63" s="6">
        <v>8008</v>
      </c>
      <c r="E63">
        <v>1</v>
      </c>
    </row>
    <row r="64" spans="1:5" x14ac:dyDescent="0.45">
      <c r="A64" t="s">
        <v>42</v>
      </c>
      <c r="B64" t="s">
        <v>43</v>
      </c>
      <c r="C64" t="s">
        <v>34</v>
      </c>
      <c r="D64" s="6">
        <v>5267</v>
      </c>
      <c r="E64">
        <v>9</v>
      </c>
    </row>
    <row r="65" spans="1:5" x14ac:dyDescent="0.45">
      <c r="A65" t="s">
        <v>33</v>
      </c>
      <c r="B65" t="s">
        <v>31</v>
      </c>
      <c r="C65" t="s">
        <v>60</v>
      </c>
      <c r="D65" s="6">
        <v>2442</v>
      </c>
      <c r="E65">
        <v>12</v>
      </c>
    </row>
    <row r="66" spans="1:5" x14ac:dyDescent="0.45">
      <c r="A66" t="s">
        <v>27</v>
      </c>
      <c r="B66" t="s">
        <v>31</v>
      </c>
      <c r="C66" t="s">
        <v>29</v>
      </c>
      <c r="D66" s="6">
        <v>3419</v>
      </c>
      <c r="E66">
        <v>8</v>
      </c>
    </row>
    <row r="67" spans="1:5" x14ac:dyDescent="0.45">
      <c r="A67" t="s">
        <v>30</v>
      </c>
      <c r="B67" t="s">
        <v>43</v>
      </c>
      <c r="C67" t="s">
        <v>56</v>
      </c>
      <c r="D67" s="6">
        <v>12261</v>
      </c>
      <c r="E67">
        <v>6</v>
      </c>
    </row>
    <row r="68" spans="1:5" x14ac:dyDescent="0.45">
      <c r="A68" t="s">
        <v>42</v>
      </c>
      <c r="B68" t="s">
        <v>38</v>
      </c>
      <c r="C68" t="s">
        <v>29</v>
      </c>
      <c r="D68" s="6">
        <v>14207</v>
      </c>
      <c r="E68">
        <v>9</v>
      </c>
    </row>
    <row r="69" spans="1:5" x14ac:dyDescent="0.45">
      <c r="A69" t="s">
        <v>30</v>
      </c>
      <c r="B69" t="s">
        <v>43</v>
      </c>
      <c r="C69" t="s">
        <v>49</v>
      </c>
      <c r="D69" s="6">
        <v>14856</v>
      </c>
      <c r="E69">
        <v>9</v>
      </c>
    </row>
    <row r="70" spans="1:5" x14ac:dyDescent="0.45">
      <c r="A70" t="s">
        <v>42</v>
      </c>
      <c r="B70" t="s">
        <v>36</v>
      </c>
      <c r="C70" t="s">
        <v>61</v>
      </c>
      <c r="D70" s="6">
        <v>3559</v>
      </c>
      <c r="E70">
        <v>3</v>
      </c>
    </row>
    <row r="71" spans="1:5" x14ac:dyDescent="0.45">
      <c r="A71" t="s">
        <v>30</v>
      </c>
      <c r="B71" t="s">
        <v>38</v>
      </c>
      <c r="C71" t="s">
        <v>47</v>
      </c>
      <c r="D71" s="6">
        <v>2042</v>
      </c>
      <c r="E71">
        <v>9</v>
      </c>
    </row>
    <row r="72" spans="1:5" x14ac:dyDescent="0.45">
      <c r="A72" t="s">
        <v>27</v>
      </c>
      <c r="B72" t="s">
        <v>31</v>
      </c>
      <c r="C72" t="s">
        <v>59</v>
      </c>
      <c r="D72" s="6">
        <v>15768</v>
      </c>
      <c r="E72">
        <v>12</v>
      </c>
    </row>
    <row r="73" spans="1:5" x14ac:dyDescent="0.45">
      <c r="A73" t="s">
        <v>30</v>
      </c>
      <c r="B73" t="s">
        <v>38</v>
      </c>
      <c r="C73" t="s">
        <v>37</v>
      </c>
      <c r="D73" s="6">
        <v>13960</v>
      </c>
      <c r="E73">
        <v>10</v>
      </c>
    </row>
    <row r="74" spans="1:5" x14ac:dyDescent="0.45">
      <c r="A74" t="s">
        <v>30</v>
      </c>
      <c r="B74" t="s">
        <v>43</v>
      </c>
      <c r="C74" t="s">
        <v>55</v>
      </c>
      <c r="D74" s="6">
        <v>2365</v>
      </c>
      <c r="E74">
        <v>6</v>
      </c>
    </row>
    <row r="75" spans="1:5" x14ac:dyDescent="0.45">
      <c r="A75" t="s">
        <v>27</v>
      </c>
      <c r="B75" t="s">
        <v>31</v>
      </c>
      <c r="C75" t="s">
        <v>48</v>
      </c>
      <c r="D75" s="6">
        <v>4442</v>
      </c>
      <c r="E75">
        <v>12</v>
      </c>
    </row>
    <row r="76" spans="1:5" x14ac:dyDescent="0.45">
      <c r="A76" t="s">
        <v>42</v>
      </c>
      <c r="B76" t="s">
        <v>31</v>
      </c>
      <c r="C76" t="s">
        <v>41</v>
      </c>
      <c r="D76" s="6">
        <v>12033</v>
      </c>
      <c r="E76">
        <v>9</v>
      </c>
    </row>
    <row r="77" spans="1:5" x14ac:dyDescent="0.45">
      <c r="A77" t="s">
        <v>42</v>
      </c>
      <c r="B77" t="s">
        <v>31</v>
      </c>
      <c r="C77" t="s">
        <v>50</v>
      </c>
      <c r="D77" s="6">
        <v>12675</v>
      </c>
      <c r="E77">
        <v>2</v>
      </c>
    </row>
    <row r="78" spans="1:5" x14ac:dyDescent="0.45">
      <c r="A78" t="s">
        <v>30</v>
      </c>
      <c r="B78" t="s">
        <v>38</v>
      </c>
      <c r="C78" t="s">
        <v>60</v>
      </c>
      <c r="D78" s="6">
        <v>13509</v>
      </c>
      <c r="E78">
        <v>10</v>
      </c>
    </row>
    <row r="79" spans="1:5" x14ac:dyDescent="0.45">
      <c r="A79" t="s">
        <v>42</v>
      </c>
      <c r="B79" t="s">
        <v>31</v>
      </c>
      <c r="C79" t="s">
        <v>45</v>
      </c>
      <c r="D79" s="6">
        <v>14181</v>
      </c>
      <c r="E79">
        <v>8</v>
      </c>
    </row>
    <row r="80" spans="1:5" x14ac:dyDescent="0.45">
      <c r="A80" t="s">
        <v>33</v>
      </c>
      <c r="B80" t="s">
        <v>43</v>
      </c>
      <c r="C80" t="s">
        <v>40</v>
      </c>
      <c r="D80" s="6">
        <v>11155</v>
      </c>
      <c r="E80">
        <v>1</v>
      </c>
    </row>
    <row r="81" spans="1:5" x14ac:dyDescent="0.45">
      <c r="A81" t="s">
        <v>35</v>
      </c>
      <c r="B81" t="s">
        <v>28</v>
      </c>
      <c r="C81" t="s">
        <v>53</v>
      </c>
      <c r="D81" s="6">
        <v>6425</v>
      </c>
      <c r="E81">
        <v>3</v>
      </c>
    </row>
    <row r="82" spans="1:5" x14ac:dyDescent="0.45">
      <c r="A82" t="s">
        <v>30</v>
      </c>
      <c r="B82" t="s">
        <v>36</v>
      </c>
      <c r="C82" t="s">
        <v>48</v>
      </c>
      <c r="D82" s="6">
        <v>14765</v>
      </c>
      <c r="E82">
        <v>9</v>
      </c>
    </row>
    <row r="83" spans="1:5" x14ac:dyDescent="0.45">
      <c r="A83" t="s">
        <v>33</v>
      </c>
      <c r="B83" t="s">
        <v>43</v>
      </c>
      <c r="C83" t="s">
        <v>46</v>
      </c>
      <c r="D83" s="6">
        <v>9568</v>
      </c>
      <c r="E83">
        <v>7</v>
      </c>
    </row>
    <row r="84" spans="1:5" x14ac:dyDescent="0.45">
      <c r="A84" t="s">
        <v>42</v>
      </c>
      <c r="B84" t="s">
        <v>36</v>
      </c>
      <c r="C84" t="s">
        <v>59</v>
      </c>
      <c r="D84" s="6">
        <v>4186</v>
      </c>
      <c r="E84">
        <v>10</v>
      </c>
    </row>
    <row r="85" spans="1:5" x14ac:dyDescent="0.45">
      <c r="A85" t="s">
        <v>33</v>
      </c>
      <c r="B85" t="s">
        <v>43</v>
      </c>
      <c r="C85" t="s">
        <v>57</v>
      </c>
      <c r="D85" s="6">
        <v>6856</v>
      </c>
      <c r="E85">
        <v>1</v>
      </c>
    </row>
    <row r="86" spans="1:5" x14ac:dyDescent="0.45">
      <c r="A86" t="s">
        <v>27</v>
      </c>
      <c r="B86" t="s">
        <v>43</v>
      </c>
      <c r="C86" t="s">
        <v>37</v>
      </c>
      <c r="D86" s="6">
        <v>5213</v>
      </c>
      <c r="E86">
        <v>9</v>
      </c>
    </row>
    <row r="87" spans="1:5" x14ac:dyDescent="0.45">
      <c r="A87" t="s">
        <v>30</v>
      </c>
      <c r="B87" t="s">
        <v>36</v>
      </c>
      <c r="C87" t="s">
        <v>55</v>
      </c>
      <c r="D87" s="6">
        <v>15640</v>
      </c>
      <c r="E87">
        <v>5</v>
      </c>
    </row>
    <row r="88" spans="1:5" x14ac:dyDescent="0.45">
      <c r="A88" t="s">
        <v>27</v>
      </c>
      <c r="B88" t="s">
        <v>28</v>
      </c>
      <c r="C88" t="s">
        <v>34</v>
      </c>
      <c r="D88" s="6">
        <v>13224</v>
      </c>
      <c r="E88">
        <v>4</v>
      </c>
    </row>
    <row r="89" spans="1:5" x14ac:dyDescent="0.45">
      <c r="A89" t="s">
        <v>30</v>
      </c>
      <c r="B89" t="s">
        <v>38</v>
      </c>
      <c r="C89" t="s">
        <v>54</v>
      </c>
      <c r="D89" s="6">
        <v>2394</v>
      </c>
      <c r="E89">
        <v>4</v>
      </c>
    </row>
    <row r="90" spans="1:5" x14ac:dyDescent="0.45">
      <c r="A90" t="s">
        <v>30</v>
      </c>
      <c r="B90" t="s">
        <v>43</v>
      </c>
      <c r="C90" t="s">
        <v>45</v>
      </c>
      <c r="D90" s="6">
        <v>15320</v>
      </c>
      <c r="E90">
        <v>10</v>
      </c>
    </row>
    <row r="91" spans="1:5" x14ac:dyDescent="0.45">
      <c r="A91" t="s">
        <v>42</v>
      </c>
      <c r="B91" t="s">
        <v>28</v>
      </c>
      <c r="C91" t="s">
        <v>53</v>
      </c>
      <c r="D91" s="6">
        <v>10766</v>
      </c>
      <c r="E91">
        <v>1</v>
      </c>
    </row>
    <row r="92" spans="1:5" x14ac:dyDescent="0.45">
      <c r="A92" t="s">
        <v>30</v>
      </c>
      <c r="B92" t="s">
        <v>31</v>
      </c>
      <c r="C92" t="s">
        <v>45</v>
      </c>
      <c r="D92" s="6">
        <v>11809</v>
      </c>
      <c r="E92">
        <v>5</v>
      </c>
    </row>
    <row r="93" spans="1:5" x14ac:dyDescent="0.45">
      <c r="A93" t="s">
        <v>42</v>
      </c>
      <c r="B93" t="s">
        <v>43</v>
      </c>
      <c r="C93" t="s">
        <v>45</v>
      </c>
      <c r="D93" s="6">
        <v>10998</v>
      </c>
      <c r="E93">
        <v>7</v>
      </c>
    </row>
    <row r="94" spans="1:5" x14ac:dyDescent="0.45">
      <c r="A94" t="s">
        <v>30</v>
      </c>
      <c r="B94" t="s">
        <v>36</v>
      </c>
      <c r="C94" t="s">
        <v>49</v>
      </c>
      <c r="D94" s="6">
        <v>2083</v>
      </c>
      <c r="E94">
        <v>9</v>
      </c>
    </row>
    <row r="95" spans="1:5" x14ac:dyDescent="0.45">
      <c r="A95" t="s">
        <v>27</v>
      </c>
      <c r="B95" t="s">
        <v>28</v>
      </c>
      <c r="C95" t="s">
        <v>47</v>
      </c>
      <c r="D95" s="6">
        <v>4213</v>
      </c>
      <c r="E95">
        <v>10</v>
      </c>
    </row>
    <row r="96" spans="1:5" x14ac:dyDescent="0.45">
      <c r="A96" t="s">
        <v>30</v>
      </c>
      <c r="B96" t="s">
        <v>43</v>
      </c>
      <c r="C96" t="s">
        <v>54</v>
      </c>
      <c r="D96" s="6">
        <v>3664</v>
      </c>
      <c r="E96">
        <v>8</v>
      </c>
    </row>
    <row r="97" spans="1:5" x14ac:dyDescent="0.45">
      <c r="A97" t="s">
        <v>35</v>
      </c>
      <c r="B97" t="s">
        <v>36</v>
      </c>
      <c r="C97" t="s">
        <v>59</v>
      </c>
      <c r="D97" s="6">
        <v>9724</v>
      </c>
      <c r="E97">
        <v>3</v>
      </c>
    </row>
    <row r="98" spans="1:5" x14ac:dyDescent="0.45">
      <c r="A98" t="s">
        <v>30</v>
      </c>
      <c r="B98" t="s">
        <v>38</v>
      </c>
      <c r="C98" t="s">
        <v>41</v>
      </c>
      <c r="D98" s="6">
        <v>4914</v>
      </c>
      <c r="E98">
        <v>12</v>
      </c>
    </row>
    <row r="99" spans="1:5" x14ac:dyDescent="0.45">
      <c r="A99" t="s">
        <v>42</v>
      </c>
      <c r="B99" t="s">
        <v>28</v>
      </c>
      <c r="C99" t="s">
        <v>37</v>
      </c>
      <c r="D99" s="6">
        <v>4804</v>
      </c>
      <c r="E99">
        <v>3</v>
      </c>
    </row>
    <row r="100" spans="1:5" x14ac:dyDescent="0.45">
      <c r="A100" t="s">
        <v>30</v>
      </c>
      <c r="B100" t="s">
        <v>28</v>
      </c>
      <c r="C100" t="s">
        <v>61</v>
      </c>
      <c r="D100" s="6">
        <v>5570</v>
      </c>
      <c r="E100">
        <v>3</v>
      </c>
    </row>
    <row r="101" spans="1:5" x14ac:dyDescent="0.45">
      <c r="A101" t="s">
        <v>33</v>
      </c>
      <c r="B101" t="s">
        <v>31</v>
      </c>
      <c r="C101" t="s">
        <v>49</v>
      </c>
      <c r="D101" s="6">
        <v>9951</v>
      </c>
      <c r="E101">
        <v>11</v>
      </c>
    </row>
    <row r="102" spans="1:5" x14ac:dyDescent="0.45">
      <c r="A102" t="s">
        <v>35</v>
      </c>
      <c r="B102" t="s">
        <v>38</v>
      </c>
      <c r="C102" t="s">
        <v>47</v>
      </c>
      <c r="D102" s="6">
        <v>5345</v>
      </c>
      <c r="E102">
        <v>4</v>
      </c>
    </row>
    <row r="103" spans="1:5" x14ac:dyDescent="0.45">
      <c r="A103" t="s">
        <v>35</v>
      </c>
      <c r="B103" t="s">
        <v>31</v>
      </c>
      <c r="C103" t="s">
        <v>57</v>
      </c>
      <c r="D103" s="6">
        <v>13050</v>
      </c>
      <c r="E103">
        <v>7</v>
      </c>
    </row>
    <row r="104" spans="1:5" x14ac:dyDescent="0.45">
      <c r="A104" t="s">
        <v>27</v>
      </c>
      <c r="B104" t="s">
        <v>38</v>
      </c>
      <c r="C104" t="s">
        <v>44</v>
      </c>
      <c r="D104" s="6">
        <v>2687</v>
      </c>
      <c r="E104">
        <v>4</v>
      </c>
    </row>
    <row r="105" spans="1:5" x14ac:dyDescent="0.45">
      <c r="A105" t="s">
        <v>33</v>
      </c>
      <c r="B105" t="s">
        <v>43</v>
      </c>
      <c r="C105" t="s">
        <v>55</v>
      </c>
      <c r="D105" s="6">
        <v>10750</v>
      </c>
      <c r="E105">
        <v>6</v>
      </c>
    </row>
    <row r="106" spans="1:5" x14ac:dyDescent="0.45">
      <c r="A106" t="s">
        <v>27</v>
      </c>
      <c r="B106" t="s">
        <v>31</v>
      </c>
      <c r="C106" t="s">
        <v>46</v>
      </c>
      <c r="D106" s="6">
        <v>14500</v>
      </c>
      <c r="E106">
        <v>11</v>
      </c>
    </row>
    <row r="107" spans="1:5" x14ac:dyDescent="0.45">
      <c r="A107" t="s">
        <v>42</v>
      </c>
      <c r="B107" t="s">
        <v>36</v>
      </c>
      <c r="C107" t="s">
        <v>54</v>
      </c>
      <c r="D107" s="6">
        <v>2518</v>
      </c>
      <c r="E107">
        <v>6</v>
      </c>
    </row>
    <row r="108" spans="1:5" x14ac:dyDescent="0.45">
      <c r="A108" t="s">
        <v>30</v>
      </c>
      <c r="B108" t="s">
        <v>36</v>
      </c>
      <c r="C108" t="s">
        <v>57</v>
      </c>
      <c r="D108" s="6">
        <v>6298</v>
      </c>
      <c r="E108">
        <v>3</v>
      </c>
    </row>
    <row r="109" spans="1:5" x14ac:dyDescent="0.45">
      <c r="A109" t="s">
        <v>33</v>
      </c>
      <c r="B109" t="s">
        <v>43</v>
      </c>
      <c r="C109" t="s">
        <v>53</v>
      </c>
      <c r="D109" s="6">
        <v>10957</v>
      </c>
      <c r="E109">
        <v>9</v>
      </c>
    </row>
    <row r="110" spans="1:5" x14ac:dyDescent="0.45">
      <c r="A110" t="s">
        <v>33</v>
      </c>
      <c r="B110" t="s">
        <v>31</v>
      </c>
      <c r="C110" t="s">
        <v>61</v>
      </c>
      <c r="D110" s="6">
        <v>7472</v>
      </c>
      <c r="E110">
        <v>2</v>
      </c>
    </row>
    <row r="111" spans="1:5" x14ac:dyDescent="0.45">
      <c r="A111" t="s">
        <v>30</v>
      </c>
      <c r="B111" t="s">
        <v>43</v>
      </c>
      <c r="C111" t="s">
        <v>50</v>
      </c>
      <c r="D111" s="6">
        <v>3831</v>
      </c>
      <c r="E111">
        <v>12</v>
      </c>
    </row>
    <row r="112" spans="1:5" x14ac:dyDescent="0.45">
      <c r="A112" t="s">
        <v>33</v>
      </c>
      <c r="B112" t="s">
        <v>38</v>
      </c>
      <c r="C112" t="s">
        <v>56</v>
      </c>
      <c r="D112" s="6">
        <v>4745</v>
      </c>
      <c r="E112">
        <v>8</v>
      </c>
    </row>
    <row r="113" spans="1:5" x14ac:dyDescent="0.45">
      <c r="A113" t="s">
        <v>42</v>
      </c>
      <c r="B113" t="s">
        <v>36</v>
      </c>
      <c r="C113" t="s">
        <v>59</v>
      </c>
      <c r="D113" s="6">
        <v>5294</v>
      </c>
      <c r="E113">
        <v>3</v>
      </c>
    </row>
    <row r="114" spans="1:5" x14ac:dyDescent="0.45">
      <c r="A114" t="s">
        <v>35</v>
      </c>
      <c r="B114" t="s">
        <v>36</v>
      </c>
      <c r="C114" t="s">
        <v>50</v>
      </c>
      <c r="D114" s="6">
        <v>1795</v>
      </c>
      <c r="E114">
        <v>6</v>
      </c>
    </row>
    <row r="115" spans="1:5" x14ac:dyDescent="0.45">
      <c r="A115" t="s">
        <v>33</v>
      </c>
      <c r="B115" t="s">
        <v>28</v>
      </c>
      <c r="C115" t="s">
        <v>52</v>
      </c>
      <c r="D115" s="6">
        <v>10319</v>
      </c>
      <c r="E115">
        <v>3</v>
      </c>
    </row>
    <row r="116" spans="1:5" x14ac:dyDescent="0.45">
      <c r="A116" t="s">
        <v>42</v>
      </c>
      <c r="B116" t="s">
        <v>36</v>
      </c>
      <c r="C116" t="s">
        <v>53</v>
      </c>
      <c r="D116" s="6">
        <v>4382</v>
      </c>
      <c r="E116">
        <v>4</v>
      </c>
    </row>
    <row r="117" spans="1:5" x14ac:dyDescent="0.45">
      <c r="A117" t="s">
        <v>30</v>
      </c>
      <c r="B117" t="s">
        <v>43</v>
      </c>
      <c r="C117" t="s">
        <v>37</v>
      </c>
      <c r="D117" s="6">
        <v>5692</v>
      </c>
      <c r="E117">
        <v>2</v>
      </c>
    </row>
    <row r="118" spans="1:5" x14ac:dyDescent="0.45">
      <c r="A118" t="s">
        <v>42</v>
      </c>
      <c r="B118" t="s">
        <v>28</v>
      </c>
      <c r="C118" t="s">
        <v>46</v>
      </c>
      <c r="D118" s="6">
        <v>12272</v>
      </c>
      <c r="E118">
        <v>7</v>
      </c>
    </row>
    <row r="119" spans="1:5" x14ac:dyDescent="0.45">
      <c r="A119" t="s">
        <v>42</v>
      </c>
      <c r="B119" t="s">
        <v>43</v>
      </c>
      <c r="C119" t="s">
        <v>41</v>
      </c>
      <c r="D119" s="6">
        <v>8442</v>
      </c>
      <c r="E119">
        <v>9</v>
      </c>
    </row>
    <row r="120" spans="1:5" x14ac:dyDescent="0.45">
      <c r="A120" t="s">
        <v>27</v>
      </c>
      <c r="B120" t="s">
        <v>38</v>
      </c>
      <c r="C120" t="s">
        <v>49</v>
      </c>
      <c r="D120" s="6">
        <v>5806</v>
      </c>
      <c r="E120">
        <v>6</v>
      </c>
    </row>
    <row r="121" spans="1:5" x14ac:dyDescent="0.45">
      <c r="A121" t="s">
        <v>33</v>
      </c>
      <c r="B121" t="s">
        <v>36</v>
      </c>
      <c r="C121" t="s">
        <v>56</v>
      </c>
      <c r="D121" s="6">
        <v>10202</v>
      </c>
      <c r="E121">
        <v>4</v>
      </c>
    </row>
    <row r="122" spans="1:5" x14ac:dyDescent="0.45">
      <c r="A122" t="s">
        <v>42</v>
      </c>
      <c r="B122" t="s">
        <v>36</v>
      </c>
      <c r="C122" t="s">
        <v>52</v>
      </c>
      <c r="D122" s="6">
        <v>5875</v>
      </c>
      <c r="E122">
        <v>6</v>
      </c>
    </row>
    <row r="123" spans="1:5" x14ac:dyDescent="0.45">
      <c r="A123" t="s">
        <v>35</v>
      </c>
      <c r="B123" t="s">
        <v>36</v>
      </c>
      <c r="C123" t="s">
        <v>56</v>
      </c>
      <c r="D123" s="6">
        <v>15857</v>
      </c>
      <c r="E123">
        <v>5</v>
      </c>
    </row>
    <row r="124" spans="1:5" x14ac:dyDescent="0.45">
      <c r="A124" t="s">
        <v>35</v>
      </c>
      <c r="B124" t="s">
        <v>38</v>
      </c>
      <c r="C124" t="s">
        <v>52</v>
      </c>
      <c r="D124" s="6">
        <v>4983</v>
      </c>
      <c r="E124">
        <v>8</v>
      </c>
    </row>
    <row r="125" spans="1:5" x14ac:dyDescent="0.45">
      <c r="A125" t="s">
        <v>27</v>
      </c>
      <c r="B125" t="s">
        <v>38</v>
      </c>
      <c r="C125" t="s">
        <v>53</v>
      </c>
      <c r="D125" s="6">
        <v>11361</v>
      </c>
      <c r="E125">
        <v>12</v>
      </c>
    </row>
    <row r="126" spans="1:5" x14ac:dyDescent="0.45">
      <c r="A126" t="s">
        <v>33</v>
      </c>
      <c r="B126" t="s">
        <v>36</v>
      </c>
      <c r="C126" t="s">
        <v>55</v>
      </c>
      <c r="D126" s="6">
        <v>7782</v>
      </c>
      <c r="E126">
        <v>2</v>
      </c>
    </row>
    <row r="127" spans="1:5" x14ac:dyDescent="0.45">
      <c r="A127" t="s">
        <v>42</v>
      </c>
      <c r="B127" t="s">
        <v>43</v>
      </c>
      <c r="C127" t="s">
        <v>41</v>
      </c>
      <c r="D127" s="6">
        <v>14026</v>
      </c>
      <c r="E127">
        <v>12</v>
      </c>
    </row>
    <row r="128" spans="1:5" x14ac:dyDescent="0.45">
      <c r="A128" t="s">
        <v>27</v>
      </c>
      <c r="B128" t="s">
        <v>28</v>
      </c>
      <c r="C128" t="s">
        <v>55</v>
      </c>
      <c r="D128" s="6">
        <v>6757</v>
      </c>
      <c r="E128">
        <v>9</v>
      </c>
    </row>
    <row r="129" spans="1:5" x14ac:dyDescent="0.45">
      <c r="A129" t="s">
        <v>30</v>
      </c>
      <c r="B129" t="s">
        <v>38</v>
      </c>
      <c r="C129" t="s">
        <v>58</v>
      </c>
      <c r="D129" s="6">
        <v>10258</v>
      </c>
      <c r="E129">
        <v>2</v>
      </c>
    </row>
    <row r="130" spans="1:5" x14ac:dyDescent="0.45">
      <c r="A130" t="s">
        <v>33</v>
      </c>
      <c r="B130" t="s">
        <v>28</v>
      </c>
      <c r="C130" t="s">
        <v>55</v>
      </c>
      <c r="D130" s="6">
        <v>4914</v>
      </c>
      <c r="E130">
        <v>2</v>
      </c>
    </row>
    <row r="131" spans="1:5" x14ac:dyDescent="0.45">
      <c r="A131" t="s">
        <v>35</v>
      </c>
      <c r="B131" t="s">
        <v>43</v>
      </c>
      <c r="C131" t="s">
        <v>60</v>
      </c>
      <c r="D131" s="6">
        <v>13668</v>
      </c>
      <c r="E131">
        <v>8</v>
      </c>
    </row>
    <row r="132" spans="1:5" x14ac:dyDescent="0.45">
      <c r="A132" t="s">
        <v>33</v>
      </c>
      <c r="B132" t="s">
        <v>38</v>
      </c>
      <c r="C132" t="s">
        <v>47</v>
      </c>
      <c r="D132" s="6">
        <v>12911</v>
      </c>
      <c r="E132">
        <v>1</v>
      </c>
    </row>
    <row r="133" spans="1:5" x14ac:dyDescent="0.45">
      <c r="A133" t="s">
        <v>42</v>
      </c>
      <c r="B133" t="s">
        <v>38</v>
      </c>
      <c r="C133" t="s">
        <v>47</v>
      </c>
      <c r="D133" s="6">
        <v>11891</v>
      </c>
      <c r="E133">
        <v>3</v>
      </c>
    </row>
    <row r="134" spans="1:5" x14ac:dyDescent="0.45">
      <c r="A134" t="s">
        <v>27</v>
      </c>
      <c r="B134" t="s">
        <v>31</v>
      </c>
      <c r="C134" t="s">
        <v>54</v>
      </c>
      <c r="D134" s="6">
        <v>15970</v>
      </c>
      <c r="E134">
        <v>11</v>
      </c>
    </row>
    <row r="135" spans="1:5" x14ac:dyDescent="0.45">
      <c r="A135" t="s">
        <v>35</v>
      </c>
      <c r="B135" t="s">
        <v>38</v>
      </c>
      <c r="C135" t="s">
        <v>53</v>
      </c>
      <c r="D135" s="6">
        <v>1820</v>
      </c>
      <c r="E135">
        <v>2</v>
      </c>
    </row>
    <row r="136" spans="1:5" x14ac:dyDescent="0.45">
      <c r="A136" t="s">
        <v>33</v>
      </c>
      <c r="B136" t="s">
        <v>31</v>
      </c>
      <c r="C136" t="s">
        <v>29</v>
      </c>
      <c r="D136" s="6">
        <v>12440</v>
      </c>
      <c r="E136">
        <v>11</v>
      </c>
    </row>
    <row r="137" spans="1:5" x14ac:dyDescent="0.45">
      <c r="A137" t="s">
        <v>42</v>
      </c>
      <c r="B137" t="s">
        <v>36</v>
      </c>
      <c r="C137" t="s">
        <v>54</v>
      </c>
      <c r="D137" s="6">
        <v>15104</v>
      </c>
      <c r="E137">
        <v>5</v>
      </c>
    </row>
    <row r="138" spans="1:5" x14ac:dyDescent="0.45">
      <c r="A138" t="s">
        <v>30</v>
      </c>
      <c r="B138" t="s">
        <v>31</v>
      </c>
      <c r="C138" t="s">
        <v>55</v>
      </c>
      <c r="D138" s="6">
        <v>12816</v>
      </c>
      <c r="E138">
        <v>5</v>
      </c>
    </row>
    <row r="139" spans="1:5" x14ac:dyDescent="0.45">
      <c r="A139" t="s">
        <v>30</v>
      </c>
      <c r="B139" t="s">
        <v>28</v>
      </c>
      <c r="C139" t="s">
        <v>46</v>
      </c>
      <c r="D139" s="6">
        <v>6575</v>
      </c>
      <c r="E139">
        <v>3</v>
      </c>
    </row>
    <row r="140" spans="1:5" x14ac:dyDescent="0.45">
      <c r="A140" t="s">
        <v>27</v>
      </c>
      <c r="B140" t="s">
        <v>28</v>
      </c>
      <c r="C140" t="s">
        <v>49</v>
      </c>
      <c r="D140" s="6">
        <v>3077</v>
      </c>
      <c r="E140">
        <v>2</v>
      </c>
    </row>
    <row r="141" spans="1:5" x14ac:dyDescent="0.45">
      <c r="A141" t="s">
        <v>33</v>
      </c>
      <c r="B141" t="s">
        <v>38</v>
      </c>
      <c r="C141" t="s">
        <v>48</v>
      </c>
      <c r="D141" s="6">
        <v>5599</v>
      </c>
      <c r="E141">
        <v>12</v>
      </c>
    </row>
    <row r="142" spans="1:5" x14ac:dyDescent="0.45">
      <c r="A142" t="s">
        <v>30</v>
      </c>
      <c r="B142" t="s">
        <v>43</v>
      </c>
      <c r="C142" t="s">
        <v>61</v>
      </c>
      <c r="D142" s="6">
        <v>3525</v>
      </c>
      <c r="E142">
        <v>1</v>
      </c>
    </row>
    <row r="143" spans="1:5" x14ac:dyDescent="0.45">
      <c r="A143" t="s">
        <v>35</v>
      </c>
      <c r="B143" t="s">
        <v>36</v>
      </c>
      <c r="C143" t="s">
        <v>56</v>
      </c>
      <c r="D143" s="6">
        <v>9257</v>
      </c>
      <c r="E143">
        <v>7</v>
      </c>
    </row>
    <row r="144" spans="1:5" x14ac:dyDescent="0.45">
      <c r="A144" t="s">
        <v>30</v>
      </c>
      <c r="B144" t="s">
        <v>43</v>
      </c>
      <c r="C144" t="s">
        <v>37</v>
      </c>
      <c r="D144" s="6">
        <v>9435</v>
      </c>
      <c r="E144">
        <v>4</v>
      </c>
    </row>
    <row r="145" spans="1:5" x14ac:dyDescent="0.45">
      <c r="A145" t="s">
        <v>35</v>
      </c>
      <c r="B145" t="s">
        <v>43</v>
      </c>
      <c r="C145" t="s">
        <v>60</v>
      </c>
      <c r="D145" s="6">
        <v>5633</v>
      </c>
      <c r="E145">
        <v>9</v>
      </c>
    </row>
    <row r="146" spans="1:5" x14ac:dyDescent="0.45">
      <c r="A146" t="s">
        <v>33</v>
      </c>
      <c r="B146" t="s">
        <v>31</v>
      </c>
      <c r="C146" t="s">
        <v>60</v>
      </c>
      <c r="D146" s="6">
        <v>6140</v>
      </c>
      <c r="E146">
        <v>3</v>
      </c>
    </row>
    <row r="147" spans="1:5" x14ac:dyDescent="0.45">
      <c r="A147" t="s">
        <v>30</v>
      </c>
      <c r="B147" t="s">
        <v>43</v>
      </c>
      <c r="C147" t="s">
        <v>34</v>
      </c>
      <c r="D147" s="6">
        <v>3609</v>
      </c>
      <c r="E147">
        <v>9</v>
      </c>
    </row>
    <row r="148" spans="1:5" x14ac:dyDescent="0.45">
      <c r="A148" t="s">
        <v>30</v>
      </c>
      <c r="B148" t="s">
        <v>38</v>
      </c>
      <c r="C148" t="s">
        <v>59</v>
      </c>
      <c r="D148" s="6">
        <v>11361</v>
      </c>
      <c r="E148">
        <v>9</v>
      </c>
    </row>
    <row r="149" spans="1:5" x14ac:dyDescent="0.45">
      <c r="A149" t="s">
        <v>42</v>
      </c>
      <c r="B149" t="s">
        <v>31</v>
      </c>
      <c r="C149" t="s">
        <v>44</v>
      </c>
      <c r="D149" s="6">
        <v>8627</v>
      </c>
      <c r="E149">
        <v>3</v>
      </c>
    </row>
    <row r="150" spans="1:5" x14ac:dyDescent="0.45">
      <c r="A150" t="s">
        <v>35</v>
      </c>
      <c r="B150" t="s">
        <v>36</v>
      </c>
      <c r="C150" t="s">
        <v>40</v>
      </c>
      <c r="D150" s="6">
        <v>13377</v>
      </c>
      <c r="E150">
        <v>12</v>
      </c>
    </row>
    <row r="151" spans="1:5" x14ac:dyDescent="0.45">
      <c r="A151" t="s">
        <v>27</v>
      </c>
      <c r="B151" t="s">
        <v>38</v>
      </c>
      <c r="C151" t="s">
        <v>47</v>
      </c>
      <c r="D151" s="6">
        <v>1672</v>
      </c>
      <c r="E151">
        <v>7</v>
      </c>
    </row>
    <row r="152" spans="1:5" x14ac:dyDescent="0.45">
      <c r="A152" t="s">
        <v>42</v>
      </c>
      <c r="B152" t="s">
        <v>28</v>
      </c>
      <c r="C152" t="s">
        <v>60</v>
      </c>
      <c r="D152" s="6">
        <v>3247</v>
      </c>
      <c r="E152">
        <v>2</v>
      </c>
    </row>
    <row r="153" spans="1:5" x14ac:dyDescent="0.45">
      <c r="A153" t="s">
        <v>42</v>
      </c>
      <c r="B153" t="s">
        <v>31</v>
      </c>
      <c r="C153" t="s">
        <v>47</v>
      </c>
      <c r="D153" s="6">
        <v>14225</v>
      </c>
      <c r="E153">
        <v>4</v>
      </c>
    </row>
    <row r="154" spans="1:5" x14ac:dyDescent="0.45">
      <c r="A154" t="s">
        <v>33</v>
      </c>
      <c r="B154" t="s">
        <v>31</v>
      </c>
      <c r="C154" t="s">
        <v>46</v>
      </c>
      <c r="D154" s="6">
        <v>3901</v>
      </c>
      <c r="E154">
        <v>12</v>
      </c>
    </row>
    <row r="155" spans="1:5" x14ac:dyDescent="0.45">
      <c r="A155" t="s">
        <v>33</v>
      </c>
      <c r="B155" t="s">
        <v>43</v>
      </c>
      <c r="C155" t="s">
        <v>45</v>
      </c>
      <c r="D155" s="6">
        <v>15036</v>
      </c>
      <c r="E155">
        <v>9</v>
      </c>
    </row>
    <row r="156" spans="1:5" x14ac:dyDescent="0.45">
      <c r="A156" t="s">
        <v>30</v>
      </c>
      <c r="B156" t="s">
        <v>36</v>
      </c>
      <c r="C156" t="s">
        <v>37</v>
      </c>
      <c r="D156" s="6">
        <v>3327</v>
      </c>
      <c r="E156">
        <v>6</v>
      </c>
    </row>
    <row r="157" spans="1:5" x14ac:dyDescent="0.45">
      <c r="A157" t="s">
        <v>42</v>
      </c>
      <c r="B157" t="s">
        <v>31</v>
      </c>
      <c r="C157" t="s">
        <v>48</v>
      </c>
      <c r="D157" s="6">
        <v>8127</v>
      </c>
      <c r="E157">
        <v>6</v>
      </c>
    </row>
    <row r="158" spans="1:5" x14ac:dyDescent="0.45">
      <c r="A158" t="s">
        <v>35</v>
      </c>
      <c r="B158" t="s">
        <v>36</v>
      </c>
      <c r="C158" t="s">
        <v>60</v>
      </c>
      <c r="D158" s="6">
        <v>12128</v>
      </c>
      <c r="E158">
        <v>5</v>
      </c>
    </row>
    <row r="159" spans="1:5" x14ac:dyDescent="0.45">
      <c r="A159" t="s">
        <v>27</v>
      </c>
      <c r="B159" t="s">
        <v>38</v>
      </c>
      <c r="C159" t="s">
        <v>37</v>
      </c>
      <c r="D159" s="6">
        <v>7225</v>
      </c>
      <c r="E159">
        <v>4</v>
      </c>
    </row>
    <row r="160" spans="1:5" x14ac:dyDescent="0.45">
      <c r="A160" t="s">
        <v>33</v>
      </c>
      <c r="B160" t="s">
        <v>31</v>
      </c>
      <c r="C160" t="s">
        <v>51</v>
      </c>
      <c r="D160" s="6">
        <v>13018</v>
      </c>
      <c r="E160">
        <v>6</v>
      </c>
    </row>
    <row r="161" spans="1:5" x14ac:dyDescent="0.45">
      <c r="A161" t="s">
        <v>35</v>
      </c>
      <c r="B161" t="s">
        <v>31</v>
      </c>
      <c r="C161" t="s">
        <v>29</v>
      </c>
      <c r="D161" s="6">
        <v>14786</v>
      </c>
      <c r="E161">
        <v>11</v>
      </c>
    </row>
    <row r="162" spans="1:5" x14ac:dyDescent="0.45">
      <c r="A162" t="s">
        <v>35</v>
      </c>
      <c r="B162" t="s">
        <v>38</v>
      </c>
      <c r="C162" t="s">
        <v>54</v>
      </c>
      <c r="D162" s="6">
        <v>13269</v>
      </c>
      <c r="E162">
        <v>8</v>
      </c>
    </row>
    <row r="163" spans="1:5" x14ac:dyDescent="0.45">
      <c r="A163" t="s">
        <v>30</v>
      </c>
      <c r="B163" t="s">
        <v>38</v>
      </c>
      <c r="C163" t="s">
        <v>59</v>
      </c>
      <c r="D163" s="6">
        <v>10632</v>
      </c>
      <c r="E163">
        <v>3</v>
      </c>
    </row>
    <row r="164" spans="1:5" x14ac:dyDescent="0.45">
      <c r="A164" t="s">
        <v>35</v>
      </c>
      <c r="B164" t="s">
        <v>38</v>
      </c>
      <c r="C164" t="s">
        <v>48</v>
      </c>
      <c r="D164" s="6">
        <v>1836</v>
      </c>
      <c r="E164">
        <v>1</v>
      </c>
    </row>
    <row r="165" spans="1:5" x14ac:dyDescent="0.45">
      <c r="A165" t="s">
        <v>35</v>
      </c>
      <c r="B165" t="s">
        <v>38</v>
      </c>
      <c r="C165" t="s">
        <v>59</v>
      </c>
      <c r="D165" s="6">
        <v>4003</v>
      </c>
      <c r="E165">
        <v>3</v>
      </c>
    </row>
    <row r="166" spans="1:5" x14ac:dyDescent="0.45">
      <c r="A166" t="s">
        <v>27</v>
      </c>
      <c r="B166" t="s">
        <v>36</v>
      </c>
      <c r="C166" t="s">
        <v>47</v>
      </c>
      <c r="D166" s="6">
        <v>10247</v>
      </c>
      <c r="E166">
        <v>6</v>
      </c>
    </row>
    <row r="167" spans="1:5" x14ac:dyDescent="0.45">
      <c r="A167" t="s">
        <v>35</v>
      </c>
      <c r="B167" t="s">
        <v>43</v>
      </c>
      <c r="C167" t="s">
        <v>59</v>
      </c>
      <c r="D167" s="6">
        <v>4334</v>
      </c>
      <c r="E167">
        <v>9</v>
      </c>
    </row>
    <row r="168" spans="1:5" x14ac:dyDescent="0.45">
      <c r="A168" t="s">
        <v>33</v>
      </c>
      <c r="B168" t="s">
        <v>36</v>
      </c>
      <c r="C168" t="s">
        <v>61</v>
      </c>
      <c r="D168" s="6">
        <v>10498</v>
      </c>
      <c r="E168">
        <v>5</v>
      </c>
    </row>
    <row r="169" spans="1:5" x14ac:dyDescent="0.45">
      <c r="A169" t="s">
        <v>42</v>
      </c>
      <c r="B169" t="s">
        <v>43</v>
      </c>
      <c r="C169" t="s">
        <v>54</v>
      </c>
      <c r="D169" s="6">
        <v>4754</v>
      </c>
      <c r="E169">
        <v>11</v>
      </c>
    </row>
    <row r="170" spans="1:5" x14ac:dyDescent="0.45">
      <c r="A170" t="s">
        <v>30</v>
      </c>
      <c r="B170" t="s">
        <v>36</v>
      </c>
      <c r="C170" t="s">
        <v>45</v>
      </c>
      <c r="D170" s="6">
        <v>11801</v>
      </c>
      <c r="E170">
        <v>2</v>
      </c>
    </row>
    <row r="171" spans="1:5" x14ac:dyDescent="0.45">
      <c r="A171" t="s">
        <v>27</v>
      </c>
      <c r="B171" t="s">
        <v>28</v>
      </c>
      <c r="C171" t="s">
        <v>54</v>
      </c>
      <c r="D171" s="6">
        <v>15713</v>
      </c>
      <c r="E171">
        <v>9</v>
      </c>
    </row>
    <row r="172" spans="1:5" x14ac:dyDescent="0.45">
      <c r="A172" t="s">
        <v>35</v>
      </c>
      <c r="B172" t="s">
        <v>28</v>
      </c>
      <c r="C172" t="s">
        <v>59</v>
      </c>
      <c r="D172" s="6">
        <v>11201</v>
      </c>
      <c r="E172">
        <v>11</v>
      </c>
    </row>
    <row r="173" spans="1:5" x14ac:dyDescent="0.45">
      <c r="A173" t="s">
        <v>27</v>
      </c>
      <c r="B173" t="s">
        <v>43</v>
      </c>
      <c r="C173" t="s">
        <v>46</v>
      </c>
      <c r="D173" s="6">
        <v>4838</v>
      </c>
      <c r="E173">
        <v>6</v>
      </c>
    </row>
    <row r="174" spans="1:5" x14ac:dyDescent="0.45">
      <c r="A174" t="s">
        <v>30</v>
      </c>
      <c r="B174" t="s">
        <v>36</v>
      </c>
      <c r="C174" t="s">
        <v>56</v>
      </c>
      <c r="D174" s="6">
        <v>12658</v>
      </c>
      <c r="E174">
        <v>2</v>
      </c>
    </row>
    <row r="175" spans="1:5" x14ac:dyDescent="0.45">
      <c r="A175" t="s">
        <v>42</v>
      </c>
      <c r="B175" t="s">
        <v>43</v>
      </c>
      <c r="C175" t="s">
        <v>50</v>
      </c>
      <c r="D175" s="6">
        <v>6634</v>
      </c>
      <c r="E175">
        <v>10</v>
      </c>
    </row>
    <row r="176" spans="1:5" x14ac:dyDescent="0.45">
      <c r="A176" t="s">
        <v>30</v>
      </c>
      <c r="B176" t="s">
        <v>38</v>
      </c>
      <c r="C176" t="s">
        <v>46</v>
      </c>
      <c r="D176" s="6">
        <v>11402</v>
      </c>
      <c r="E176">
        <v>11</v>
      </c>
    </row>
    <row r="177" spans="1:5" x14ac:dyDescent="0.45">
      <c r="A177" t="s">
        <v>33</v>
      </c>
      <c r="B177" t="s">
        <v>43</v>
      </c>
      <c r="C177" t="s">
        <v>54</v>
      </c>
      <c r="D177" s="6">
        <v>3612</v>
      </c>
      <c r="E177">
        <v>3</v>
      </c>
    </row>
    <row r="178" spans="1:5" x14ac:dyDescent="0.45">
      <c r="A178" t="s">
        <v>30</v>
      </c>
      <c r="B178" t="s">
        <v>43</v>
      </c>
      <c r="C178" t="s">
        <v>58</v>
      </c>
      <c r="D178" s="6">
        <v>12337</v>
      </c>
      <c r="E178">
        <v>1</v>
      </c>
    </row>
    <row r="179" spans="1:5" x14ac:dyDescent="0.45">
      <c r="A179" t="s">
        <v>35</v>
      </c>
      <c r="B179" t="s">
        <v>38</v>
      </c>
      <c r="C179" t="s">
        <v>44</v>
      </c>
      <c r="D179" s="6">
        <v>5796</v>
      </c>
      <c r="E179">
        <v>3</v>
      </c>
    </row>
    <row r="180" spans="1:5" x14ac:dyDescent="0.45">
      <c r="A180" t="s">
        <v>30</v>
      </c>
      <c r="B180" t="s">
        <v>28</v>
      </c>
      <c r="C180" t="s">
        <v>34</v>
      </c>
      <c r="D180" s="6">
        <v>10550</v>
      </c>
      <c r="E180">
        <v>3</v>
      </c>
    </row>
    <row r="181" spans="1:5" x14ac:dyDescent="0.45">
      <c r="A181" t="s">
        <v>33</v>
      </c>
      <c r="B181" t="s">
        <v>43</v>
      </c>
      <c r="C181" t="s">
        <v>54</v>
      </c>
      <c r="D181" s="6">
        <v>13667</v>
      </c>
      <c r="E181">
        <v>7</v>
      </c>
    </row>
    <row r="182" spans="1:5" x14ac:dyDescent="0.45">
      <c r="A182" t="s">
        <v>42</v>
      </c>
      <c r="B182" t="s">
        <v>43</v>
      </c>
      <c r="C182" t="s">
        <v>53</v>
      </c>
      <c r="D182" s="6">
        <v>9560</v>
      </c>
      <c r="E182">
        <v>4</v>
      </c>
    </row>
    <row r="183" spans="1:5" x14ac:dyDescent="0.45">
      <c r="A183" t="s">
        <v>27</v>
      </c>
      <c r="B183" t="s">
        <v>36</v>
      </c>
      <c r="C183" t="s">
        <v>41</v>
      </c>
      <c r="D183" s="6">
        <v>15913</v>
      </c>
      <c r="E183">
        <v>5</v>
      </c>
    </row>
    <row r="184" spans="1:5" x14ac:dyDescent="0.45">
      <c r="A184" t="s">
        <v>30</v>
      </c>
      <c r="B184" t="s">
        <v>38</v>
      </c>
      <c r="C184" t="s">
        <v>51</v>
      </c>
      <c r="D184" s="6">
        <v>3578</v>
      </c>
      <c r="E184">
        <v>8</v>
      </c>
    </row>
    <row r="185" spans="1:5" x14ac:dyDescent="0.45">
      <c r="A185" t="s">
        <v>42</v>
      </c>
      <c r="B185" t="s">
        <v>43</v>
      </c>
      <c r="C185" t="s">
        <v>44</v>
      </c>
      <c r="D185" s="6">
        <v>3612</v>
      </c>
      <c r="E185">
        <v>11</v>
      </c>
    </row>
    <row r="186" spans="1:5" x14ac:dyDescent="0.45">
      <c r="A186" t="s">
        <v>33</v>
      </c>
      <c r="B186" t="s">
        <v>38</v>
      </c>
      <c r="C186" t="s">
        <v>51</v>
      </c>
      <c r="D186" s="6">
        <v>2558</v>
      </c>
      <c r="E186">
        <v>1</v>
      </c>
    </row>
    <row r="187" spans="1:5" x14ac:dyDescent="0.45">
      <c r="A187" t="s">
        <v>30</v>
      </c>
      <c r="B187" t="s">
        <v>36</v>
      </c>
      <c r="C187" t="s">
        <v>60</v>
      </c>
      <c r="D187" s="6">
        <v>4818</v>
      </c>
      <c r="E187">
        <v>11</v>
      </c>
    </row>
    <row r="188" spans="1:5" x14ac:dyDescent="0.45">
      <c r="A188" t="s">
        <v>35</v>
      </c>
      <c r="B188" t="s">
        <v>28</v>
      </c>
      <c r="C188" t="s">
        <v>41</v>
      </c>
      <c r="D188" s="6">
        <v>11911</v>
      </c>
      <c r="E188">
        <v>12</v>
      </c>
    </row>
    <row r="189" spans="1:5" x14ac:dyDescent="0.45">
      <c r="A189" t="s">
        <v>42</v>
      </c>
      <c r="B189" t="s">
        <v>31</v>
      </c>
      <c r="C189" t="s">
        <v>61</v>
      </c>
      <c r="D189" s="6">
        <v>2231</v>
      </c>
      <c r="E189">
        <v>10</v>
      </c>
    </row>
    <row r="190" spans="1:5" x14ac:dyDescent="0.45">
      <c r="A190" t="s">
        <v>30</v>
      </c>
      <c r="B190" t="s">
        <v>31</v>
      </c>
      <c r="C190" t="s">
        <v>49</v>
      </c>
      <c r="D190" s="6">
        <v>8568</v>
      </c>
      <c r="E190">
        <v>3</v>
      </c>
    </row>
    <row r="191" spans="1:5" x14ac:dyDescent="0.45">
      <c r="A191" t="s">
        <v>30</v>
      </c>
      <c r="B191" t="s">
        <v>38</v>
      </c>
      <c r="C191" t="s">
        <v>60</v>
      </c>
      <c r="D191" s="6">
        <v>6227</v>
      </c>
      <c r="E191">
        <v>10</v>
      </c>
    </row>
    <row r="192" spans="1:5" x14ac:dyDescent="0.45">
      <c r="A192" t="s">
        <v>42</v>
      </c>
      <c r="B192" t="s">
        <v>36</v>
      </c>
      <c r="C192" t="s">
        <v>48</v>
      </c>
      <c r="D192" s="6">
        <v>2426</v>
      </c>
      <c r="E192">
        <v>11</v>
      </c>
    </row>
    <row r="193" spans="1:5" x14ac:dyDescent="0.45">
      <c r="A193" t="s">
        <v>42</v>
      </c>
      <c r="B193" t="s">
        <v>31</v>
      </c>
      <c r="C193" t="s">
        <v>39</v>
      </c>
      <c r="D193" s="6">
        <v>7946</v>
      </c>
      <c r="E193">
        <v>6</v>
      </c>
    </row>
    <row r="194" spans="1:5" x14ac:dyDescent="0.45">
      <c r="A194" t="s">
        <v>27</v>
      </c>
      <c r="B194" t="s">
        <v>31</v>
      </c>
      <c r="C194" t="s">
        <v>48</v>
      </c>
      <c r="D194" s="6">
        <v>10902</v>
      </c>
      <c r="E194">
        <v>6</v>
      </c>
    </row>
    <row r="195" spans="1:5" x14ac:dyDescent="0.45">
      <c r="A195" t="s">
        <v>30</v>
      </c>
      <c r="B195" t="s">
        <v>36</v>
      </c>
      <c r="C195" t="s">
        <v>40</v>
      </c>
      <c r="D195" s="6">
        <v>10937</v>
      </c>
      <c r="E195">
        <v>6</v>
      </c>
    </row>
    <row r="196" spans="1:5" x14ac:dyDescent="0.45">
      <c r="A196" t="s">
        <v>35</v>
      </c>
      <c r="B196" t="s">
        <v>31</v>
      </c>
      <c r="C196" t="s">
        <v>57</v>
      </c>
      <c r="D196" s="6">
        <v>8297</v>
      </c>
      <c r="E196">
        <v>11</v>
      </c>
    </row>
    <row r="197" spans="1:5" x14ac:dyDescent="0.45">
      <c r="A197" t="s">
        <v>33</v>
      </c>
      <c r="B197" t="s">
        <v>31</v>
      </c>
      <c r="C197" t="s">
        <v>34</v>
      </c>
      <c r="D197" s="6">
        <v>5662</v>
      </c>
      <c r="E197">
        <v>8</v>
      </c>
    </row>
    <row r="198" spans="1:5" x14ac:dyDescent="0.45">
      <c r="A198" t="s">
        <v>42</v>
      </c>
      <c r="B198" t="s">
        <v>28</v>
      </c>
      <c r="C198" t="s">
        <v>58</v>
      </c>
      <c r="D198" s="6">
        <v>8257</v>
      </c>
      <c r="E198">
        <v>12</v>
      </c>
    </row>
    <row r="199" spans="1:5" x14ac:dyDescent="0.45">
      <c r="A199" t="s">
        <v>33</v>
      </c>
      <c r="B199" t="s">
        <v>38</v>
      </c>
      <c r="C199" t="s">
        <v>48</v>
      </c>
      <c r="D199" s="6">
        <v>9354</v>
      </c>
      <c r="E199">
        <v>1</v>
      </c>
    </row>
    <row r="200" spans="1:5" x14ac:dyDescent="0.45">
      <c r="A200" t="s">
        <v>35</v>
      </c>
      <c r="B200" t="s">
        <v>31</v>
      </c>
      <c r="C200" t="s">
        <v>55</v>
      </c>
      <c r="D200" s="6">
        <v>1996</v>
      </c>
      <c r="E200">
        <v>12</v>
      </c>
    </row>
    <row r="201" spans="1:5" x14ac:dyDescent="0.45">
      <c r="A201" t="s">
        <v>33</v>
      </c>
      <c r="B201" t="s">
        <v>31</v>
      </c>
      <c r="C201" t="s">
        <v>45</v>
      </c>
      <c r="D201" s="6">
        <v>12548</v>
      </c>
      <c r="E201">
        <v>12</v>
      </c>
    </row>
    <row r="202" spans="1:5" x14ac:dyDescent="0.45">
      <c r="A202" t="s">
        <v>42</v>
      </c>
      <c r="B202" t="s">
        <v>31</v>
      </c>
      <c r="C202" t="s">
        <v>34</v>
      </c>
      <c r="D202" s="6">
        <v>15616</v>
      </c>
      <c r="E202">
        <v>4</v>
      </c>
    </row>
    <row r="203" spans="1:5" x14ac:dyDescent="0.45">
      <c r="A203" t="s">
        <v>33</v>
      </c>
      <c r="B203" t="s">
        <v>43</v>
      </c>
      <c r="C203" t="s">
        <v>40</v>
      </c>
      <c r="D203" s="6">
        <v>7945</v>
      </c>
      <c r="E203">
        <v>6</v>
      </c>
    </row>
    <row r="204" spans="1:5" x14ac:dyDescent="0.45">
      <c r="A204" t="s">
        <v>27</v>
      </c>
      <c r="B204" t="s">
        <v>31</v>
      </c>
      <c r="C204" t="s">
        <v>56</v>
      </c>
      <c r="D204" s="6">
        <v>7636</v>
      </c>
      <c r="E204">
        <v>3</v>
      </c>
    </row>
    <row r="205" spans="1:5" x14ac:dyDescent="0.45">
      <c r="A205" t="s">
        <v>42</v>
      </c>
      <c r="B205" t="s">
        <v>31</v>
      </c>
      <c r="C205" t="s">
        <v>44</v>
      </c>
      <c r="D205" s="6">
        <v>9096</v>
      </c>
      <c r="E205">
        <v>8</v>
      </c>
    </row>
    <row r="206" spans="1:5" x14ac:dyDescent="0.45">
      <c r="A206" t="s">
        <v>33</v>
      </c>
      <c r="B206" t="s">
        <v>28</v>
      </c>
      <c r="C206" t="s">
        <v>49</v>
      </c>
      <c r="D206" s="6">
        <v>6718</v>
      </c>
      <c r="E206">
        <v>12</v>
      </c>
    </row>
    <row r="207" spans="1:5" x14ac:dyDescent="0.45">
      <c r="A207" t="s">
        <v>30</v>
      </c>
      <c r="B207" t="s">
        <v>43</v>
      </c>
      <c r="C207" t="s">
        <v>39</v>
      </c>
      <c r="D207" s="6">
        <v>3811</v>
      </c>
      <c r="E207">
        <v>12</v>
      </c>
    </row>
    <row r="208" spans="1:5" x14ac:dyDescent="0.45">
      <c r="A208" t="s">
        <v>35</v>
      </c>
      <c r="B208" t="s">
        <v>36</v>
      </c>
      <c r="C208" t="s">
        <v>34</v>
      </c>
      <c r="D208" s="6">
        <v>8036</v>
      </c>
      <c r="E208">
        <v>9</v>
      </c>
    </row>
    <row r="209" spans="1:5" x14ac:dyDescent="0.45">
      <c r="A209" t="s">
        <v>35</v>
      </c>
      <c r="B209" t="s">
        <v>31</v>
      </c>
      <c r="C209" t="s">
        <v>60</v>
      </c>
      <c r="D209" s="6">
        <v>4973</v>
      </c>
      <c r="E209">
        <v>9</v>
      </c>
    </row>
    <row r="210" spans="1:5" x14ac:dyDescent="0.45">
      <c r="A210" t="s">
        <v>42</v>
      </c>
      <c r="B210" t="s">
        <v>28</v>
      </c>
      <c r="C210" t="s">
        <v>40</v>
      </c>
      <c r="D210" s="6">
        <v>14167</v>
      </c>
      <c r="E210">
        <v>7</v>
      </c>
    </row>
    <row r="211" spans="1:5" x14ac:dyDescent="0.45">
      <c r="A211" t="s">
        <v>35</v>
      </c>
      <c r="B211" t="s">
        <v>43</v>
      </c>
      <c r="C211" t="s">
        <v>40</v>
      </c>
      <c r="D211" s="6">
        <v>5031</v>
      </c>
      <c r="E211">
        <v>12</v>
      </c>
    </row>
    <row r="212" spans="1:5" x14ac:dyDescent="0.45">
      <c r="A212" t="s">
        <v>42</v>
      </c>
      <c r="B212" t="s">
        <v>36</v>
      </c>
      <c r="C212" t="s">
        <v>52</v>
      </c>
      <c r="D212" s="6">
        <v>11800</v>
      </c>
      <c r="E212">
        <v>4</v>
      </c>
    </row>
    <row r="213" spans="1:5" x14ac:dyDescent="0.45">
      <c r="A213" t="s">
        <v>27</v>
      </c>
      <c r="B213" t="s">
        <v>31</v>
      </c>
      <c r="C213" t="s">
        <v>52</v>
      </c>
      <c r="D213" s="6">
        <v>13169</v>
      </c>
      <c r="E213">
        <v>7</v>
      </c>
    </row>
    <row r="214" spans="1:5" x14ac:dyDescent="0.45">
      <c r="A214" t="s">
        <v>30</v>
      </c>
      <c r="B214" t="s">
        <v>43</v>
      </c>
      <c r="C214" t="s">
        <v>47</v>
      </c>
      <c r="D214" s="6">
        <v>4523</v>
      </c>
      <c r="E214">
        <v>1</v>
      </c>
    </row>
    <row r="215" spans="1:5" x14ac:dyDescent="0.45">
      <c r="A215" t="s">
        <v>42</v>
      </c>
      <c r="B215" t="s">
        <v>36</v>
      </c>
      <c r="C215" t="s">
        <v>49</v>
      </c>
      <c r="D215" s="6">
        <v>9212</v>
      </c>
      <c r="E215">
        <v>7</v>
      </c>
    </row>
    <row r="216" spans="1:5" x14ac:dyDescent="0.45">
      <c r="A216" t="s">
        <v>30</v>
      </c>
      <c r="B216" t="s">
        <v>43</v>
      </c>
      <c r="C216" t="s">
        <v>60</v>
      </c>
      <c r="D216" s="6">
        <v>7058</v>
      </c>
      <c r="E216">
        <v>9</v>
      </c>
    </row>
    <row r="217" spans="1:5" x14ac:dyDescent="0.45">
      <c r="A217" t="s">
        <v>42</v>
      </c>
      <c r="B217" t="s">
        <v>31</v>
      </c>
      <c r="C217" t="s">
        <v>49</v>
      </c>
      <c r="D217" s="6">
        <v>10612</v>
      </c>
      <c r="E217">
        <v>11</v>
      </c>
    </row>
    <row r="218" spans="1:5" x14ac:dyDescent="0.45">
      <c r="A218" t="s">
        <v>27</v>
      </c>
      <c r="B218" t="s">
        <v>38</v>
      </c>
      <c r="C218" t="s">
        <v>49</v>
      </c>
      <c r="D218" s="6">
        <v>8619</v>
      </c>
      <c r="E218">
        <v>6</v>
      </c>
    </row>
    <row r="219" spans="1:5" x14ac:dyDescent="0.45">
      <c r="A219" t="s">
        <v>33</v>
      </c>
      <c r="B219" t="s">
        <v>31</v>
      </c>
      <c r="C219" t="s">
        <v>37</v>
      </c>
      <c r="D219" s="6">
        <v>3849</v>
      </c>
      <c r="E219">
        <v>8</v>
      </c>
    </row>
    <row r="220" spans="1:5" x14ac:dyDescent="0.45">
      <c r="A220" t="s">
        <v>35</v>
      </c>
      <c r="B220" t="s">
        <v>43</v>
      </c>
      <c r="C220" t="s">
        <v>58</v>
      </c>
      <c r="D220" s="6">
        <v>15299</v>
      </c>
      <c r="E220">
        <v>3</v>
      </c>
    </row>
    <row r="221" spans="1:5" x14ac:dyDescent="0.45">
      <c r="A221" t="s">
        <v>27</v>
      </c>
      <c r="B221" t="s">
        <v>28</v>
      </c>
      <c r="C221" t="s">
        <v>60</v>
      </c>
      <c r="D221" s="6">
        <v>4502</v>
      </c>
      <c r="E221">
        <v>8</v>
      </c>
    </row>
    <row r="222" spans="1:5" x14ac:dyDescent="0.45">
      <c r="A222" t="s">
        <v>35</v>
      </c>
      <c r="B222" t="s">
        <v>28</v>
      </c>
      <c r="C222" t="s">
        <v>37</v>
      </c>
      <c r="D222" s="6">
        <v>11261</v>
      </c>
      <c r="E222">
        <v>5</v>
      </c>
    </row>
    <row r="223" spans="1:5" x14ac:dyDescent="0.45">
      <c r="A223" t="s">
        <v>35</v>
      </c>
      <c r="B223" t="s">
        <v>28</v>
      </c>
      <c r="C223" t="s">
        <v>37</v>
      </c>
      <c r="D223" s="6">
        <v>9101</v>
      </c>
      <c r="E223">
        <v>2</v>
      </c>
    </row>
    <row r="224" spans="1:5" x14ac:dyDescent="0.45">
      <c r="A224" t="s">
        <v>27</v>
      </c>
      <c r="B224" t="s">
        <v>36</v>
      </c>
      <c r="C224" t="s">
        <v>57</v>
      </c>
      <c r="D224" s="6">
        <v>8946</v>
      </c>
      <c r="E224">
        <v>4</v>
      </c>
    </row>
    <row r="225" spans="1:5" x14ac:dyDescent="0.45">
      <c r="A225" t="s">
        <v>42</v>
      </c>
      <c r="B225" t="s">
        <v>43</v>
      </c>
      <c r="C225" t="s">
        <v>41</v>
      </c>
      <c r="D225" s="6">
        <v>1690</v>
      </c>
      <c r="E225">
        <v>7</v>
      </c>
    </row>
    <row r="226" spans="1:5" x14ac:dyDescent="0.45">
      <c r="A226" t="s">
        <v>27</v>
      </c>
      <c r="B226" t="s">
        <v>43</v>
      </c>
      <c r="C226" t="s">
        <v>51</v>
      </c>
      <c r="D226" s="6">
        <v>13445</v>
      </c>
      <c r="E226">
        <v>4</v>
      </c>
    </row>
    <row r="227" spans="1:5" x14ac:dyDescent="0.45">
      <c r="A227" t="s">
        <v>30</v>
      </c>
      <c r="B227" t="s">
        <v>36</v>
      </c>
      <c r="C227" t="s">
        <v>44</v>
      </c>
      <c r="D227" s="6">
        <v>8539</v>
      </c>
      <c r="E227">
        <v>9</v>
      </c>
    </row>
    <row r="228" spans="1:5" x14ac:dyDescent="0.45">
      <c r="A228" t="s">
        <v>42</v>
      </c>
      <c r="B228" t="s">
        <v>36</v>
      </c>
      <c r="C228" t="s">
        <v>32</v>
      </c>
      <c r="D228" s="6">
        <v>11145</v>
      </c>
      <c r="E228">
        <v>12</v>
      </c>
    </row>
    <row r="229" spans="1:5" x14ac:dyDescent="0.45">
      <c r="A229" t="s">
        <v>30</v>
      </c>
      <c r="B229" t="s">
        <v>31</v>
      </c>
      <c r="C229" t="s">
        <v>52</v>
      </c>
      <c r="D229" s="6">
        <v>14138</v>
      </c>
      <c r="E229">
        <v>5</v>
      </c>
    </row>
    <row r="230" spans="1:5" x14ac:dyDescent="0.45">
      <c r="A230" t="s">
        <v>42</v>
      </c>
      <c r="B230" t="s">
        <v>43</v>
      </c>
      <c r="C230" t="s">
        <v>58</v>
      </c>
      <c r="D230" s="6">
        <v>2485</v>
      </c>
      <c r="E230">
        <v>1</v>
      </c>
    </row>
    <row r="231" spans="1:5" x14ac:dyDescent="0.45">
      <c r="A231" t="s">
        <v>30</v>
      </c>
      <c r="B231" t="s">
        <v>36</v>
      </c>
      <c r="C231" t="s">
        <v>29</v>
      </c>
      <c r="D231" s="6">
        <v>5099</v>
      </c>
      <c r="E231">
        <v>10</v>
      </c>
    </row>
    <row r="232" spans="1:5" x14ac:dyDescent="0.45">
      <c r="A232" t="s">
        <v>30</v>
      </c>
      <c r="B232" t="s">
        <v>31</v>
      </c>
      <c r="C232" t="s">
        <v>34</v>
      </c>
      <c r="D232" s="6">
        <v>13842</v>
      </c>
      <c r="E232">
        <v>1</v>
      </c>
    </row>
    <row r="233" spans="1:5" x14ac:dyDescent="0.45">
      <c r="A233" t="s">
        <v>30</v>
      </c>
      <c r="B233" t="s">
        <v>28</v>
      </c>
      <c r="C233" t="s">
        <v>56</v>
      </c>
      <c r="D233" s="6">
        <v>9303</v>
      </c>
      <c r="E233">
        <v>6</v>
      </c>
    </row>
    <row r="234" spans="1:5" x14ac:dyDescent="0.45">
      <c r="A234" t="s">
        <v>33</v>
      </c>
      <c r="B234" t="s">
        <v>43</v>
      </c>
      <c r="C234" t="s">
        <v>40</v>
      </c>
      <c r="D234" s="6">
        <v>5495</v>
      </c>
      <c r="E234">
        <v>5</v>
      </c>
    </row>
    <row r="235" spans="1:5" x14ac:dyDescent="0.45">
      <c r="A235" t="s">
        <v>42</v>
      </c>
      <c r="B235" t="s">
        <v>28</v>
      </c>
      <c r="C235" t="s">
        <v>46</v>
      </c>
      <c r="D235" s="6">
        <v>4243</v>
      </c>
      <c r="E235">
        <v>10</v>
      </c>
    </row>
    <row r="236" spans="1:5" x14ac:dyDescent="0.45">
      <c r="A236" t="s">
        <v>42</v>
      </c>
      <c r="B236" t="s">
        <v>31</v>
      </c>
      <c r="C236" t="s">
        <v>50</v>
      </c>
      <c r="D236" s="6">
        <v>14559</v>
      </c>
      <c r="E236">
        <v>5</v>
      </c>
    </row>
    <row r="237" spans="1:5" x14ac:dyDescent="0.45">
      <c r="A237" t="s">
        <v>33</v>
      </c>
      <c r="B237" t="s">
        <v>43</v>
      </c>
      <c r="C237" t="s">
        <v>45</v>
      </c>
      <c r="D237" s="6">
        <v>13092</v>
      </c>
      <c r="E237">
        <v>11</v>
      </c>
    </row>
    <row r="238" spans="1:5" x14ac:dyDescent="0.45">
      <c r="A238" t="s">
        <v>27</v>
      </c>
      <c r="B238" t="s">
        <v>43</v>
      </c>
      <c r="C238" t="s">
        <v>49</v>
      </c>
      <c r="D238" s="6">
        <v>6441</v>
      </c>
      <c r="E238">
        <v>11</v>
      </c>
    </row>
    <row r="239" spans="1:5" x14ac:dyDescent="0.45">
      <c r="A239" t="s">
        <v>27</v>
      </c>
      <c r="B239" t="s">
        <v>28</v>
      </c>
      <c r="C239" t="s">
        <v>53</v>
      </c>
      <c r="D239" s="6">
        <v>9192</v>
      </c>
      <c r="E239">
        <v>1</v>
      </c>
    </row>
    <row r="240" spans="1:5" x14ac:dyDescent="0.45">
      <c r="A240" t="s">
        <v>33</v>
      </c>
      <c r="B240" t="s">
        <v>38</v>
      </c>
      <c r="C240" t="s">
        <v>37</v>
      </c>
      <c r="D240" s="6">
        <v>2977</v>
      </c>
      <c r="E240">
        <v>6</v>
      </c>
    </row>
    <row r="241" spans="1:5" x14ac:dyDescent="0.45">
      <c r="A241" t="s">
        <v>42</v>
      </c>
      <c r="B241" t="s">
        <v>36</v>
      </c>
      <c r="C241" t="s">
        <v>54</v>
      </c>
      <c r="D241" s="6">
        <v>13161</v>
      </c>
      <c r="E241">
        <v>6</v>
      </c>
    </row>
    <row r="242" spans="1:5" x14ac:dyDescent="0.45">
      <c r="A242" t="s">
        <v>42</v>
      </c>
      <c r="B242" t="s">
        <v>31</v>
      </c>
      <c r="C242" t="s">
        <v>59</v>
      </c>
      <c r="D242" s="6">
        <v>7380</v>
      </c>
      <c r="E242">
        <v>6</v>
      </c>
    </row>
    <row r="243" spans="1:5" x14ac:dyDescent="0.45">
      <c r="A243" t="s">
        <v>35</v>
      </c>
      <c r="B243" t="s">
        <v>43</v>
      </c>
      <c r="C243" t="s">
        <v>57</v>
      </c>
      <c r="D243" s="6">
        <v>5916</v>
      </c>
      <c r="E243">
        <v>6</v>
      </c>
    </row>
    <row r="244" spans="1:5" x14ac:dyDescent="0.45">
      <c r="A244" t="s">
        <v>33</v>
      </c>
      <c r="B244" t="s">
        <v>28</v>
      </c>
      <c r="C244" t="s">
        <v>45</v>
      </c>
      <c r="D244" s="6">
        <v>11380</v>
      </c>
      <c r="E244">
        <v>4</v>
      </c>
    </row>
    <row r="245" spans="1:5" x14ac:dyDescent="0.45">
      <c r="A245" t="s">
        <v>33</v>
      </c>
      <c r="B245" t="s">
        <v>38</v>
      </c>
      <c r="C245" t="s">
        <v>47</v>
      </c>
      <c r="D245" s="6">
        <v>2938</v>
      </c>
      <c r="E245">
        <v>11</v>
      </c>
    </row>
    <row r="246" spans="1:5" x14ac:dyDescent="0.45">
      <c r="A246" t="s">
        <v>27</v>
      </c>
      <c r="B246" t="s">
        <v>36</v>
      </c>
      <c r="C246" t="s">
        <v>47</v>
      </c>
      <c r="D246" s="6">
        <v>12655</v>
      </c>
      <c r="E246">
        <v>4</v>
      </c>
    </row>
    <row r="247" spans="1:5" x14ac:dyDescent="0.45">
      <c r="A247" t="s">
        <v>42</v>
      </c>
      <c r="B247" t="s">
        <v>43</v>
      </c>
      <c r="C247" t="s">
        <v>50</v>
      </c>
      <c r="D247" s="6">
        <v>15624</v>
      </c>
      <c r="E247">
        <v>6</v>
      </c>
    </row>
    <row r="248" spans="1:5" x14ac:dyDescent="0.45">
      <c r="A248" t="s">
        <v>30</v>
      </c>
      <c r="B248" t="s">
        <v>31</v>
      </c>
      <c r="C248" t="s">
        <v>51</v>
      </c>
      <c r="D248" s="6">
        <v>15225</v>
      </c>
      <c r="E248">
        <v>3</v>
      </c>
    </row>
    <row r="249" spans="1:5" x14ac:dyDescent="0.45">
      <c r="A249" t="s">
        <v>35</v>
      </c>
      <c r="B249" t="s">
        <v>43</v>
      </c>
      <c r="C249" t="s">
        <v>44</v>
      </c>
      <c r="D249" s="6">
        <v>7997</v>
      </c>
      <c r="E249">
        <v>3</v>
      </c>
    </row>
    <row r="250" spans="1:5" x14ac:dyDescent="0.45">
      <c r="A250" t="s">
        <v>42</v>
      </c>
      <c r="B250" t="s">
        <v>43</v>
      </c>
      <c r="C250" t="s">
        <v>40</v>
      </c>
      <c r="D250" s="6">
        <v>4623</v>
      </c>
      <c r="E250">
        <v>7</v>
      </c>
    </row>
    <row r="251" spans="1:5" x14ac:dyDescent="0.45">
      <c r="A251" t="s">
        <v>33</v>
      </c>
      <c r="B251" t="s">
        <v>28</v>
      </c>
      <c r="C251" t="s">
        <v>61</v>
      </c>
      <c r="D251" s="6">
        <v>14497</v>
      </c>
      <c r="E251">
        <v>3</v>
      </c>
    </row>
    <row r="252" spans="1:5" x14ac:dyDescent="0.45">
      <c r="A252" t="s">
        <v>30</v>
      </c>
      <c r="B252" t="s">
        <v>38</v>
      </c>
      <c r="C252" t="s">
        <v>57</v>
      </c>
      <c r="D252" s="6">
        <v>1875</v>
      </c>
      <c r="E252">
        <v>11</v>
      </c>
    </row>
    <row r="253" spans="1:5" x14ac:dyDescent="0.45">
      <c r="A253" t="s">
        <v>42</v>
      </c>
      <c r="B253" t="s">
        <v>31</v>
      </c>
      <c r="C253" t="s">
        <v>51</v>
      </c>
      <c r="D253" s="6">
        <v>6500</v>
      </c>
      <c r="E253">
        <v>6</v>
      </c>
    </row>
    <row r="254" spans="1:5" x14ac:dyDescent="0.45">
      <c r="A254" t="s">
        <v>27</v>
      </c>
      <c r="B254" t="s">
        <v>31</v>
      </c>
      <c r="C254" t="s">
        <v>51</v>
      </c>
      <c r="D254" s="6">
        <v>3742</v>
      </c>
      <c r="E254">
        <v>5</v>
      </c>
    </row>
    <row r="255" spans="1:5" x14ac:dyDescent="0.45">
      <c r="A255" t="s">
        <v>33</v>
      </c>
      <c r="B255" t="s">
        <v>38</v>
      </c>
      <c r="C255" t="s">
        <v>56</v>
      </c>
      <c r="D255" s="6">
        <v>5550</v>
      </c>
      <c r="E255">
        <v>6</v>
      </c>
    </row>
    <row r="256" spans="1:5" x14ac:dyDescent="0.45">
      <c r="A256" t="s">
        <v>30</v>
      </c>
      <c r="B256" t="s">
        <v>36</v>
      </c>
      <c r="C256" t="s">
        <v>52</v>
      </c>
      <c r="D256" s="6">
        <v>5650</v>
      </c>
      <c r="E256">
        <v>7</v>
      </c>
    </row>
    <row r="257" spans="1:5" x14ac:dyDescent="0.45">
      <c r="A257" t="s">
        <v>42</v>
      </c>
      <c r="B257" t="s">
        <v>38</v>
      </c>
      <c r="C257" t="s">
        <v>47</v>
      </c>
      <c r="D257" s="6">
        <v>14725</v>
      </c>
      <c r="E257">
        <v>9</v>
      </c>
    </row>
    <row r="258" spans="1:5" x14ac:dyDescent="0.45">
      <c r="A258" t="s">
        <v>30</v>
      </c>
      <c r="B258" t="s">
        <v>36</v>
      </c>
      <c r="C258" t="s">
        <v>49</v>
      </c>
      <c r="D258" s="6">
        <v>11194</v>
      </c>
      <c r="E258">
        <v>11</v>
      </c>
    </row>
    <row r="259" spans="1:5" x14ac:dyDescent="0.45">
      <c r="A259" t="s">
        <v>30</v>
      </c>
      <c r="B259" t="s">
        <v>43</v>
      </c>
      <c r="C259" t="s">
        <v>41</v>
      </c>
      <c r="D259" s="6">
        <v>7799</v>
      </c>
      <c r="E259">
        <v>6</v>
      </c>
    </row>
    <row r="260" spans="1:5" x14ac:dyDescent="0.45">
      <c r="A260" t="s">
        <v>30</v>
      </c>
      <c r="B260" t="s">
        <v>38</v>
      </c>
      <c r="C260" t="s">
        <v>55</v>
      </c>
      <c r="D260" s="6">
        <v>5312</v>
      </c>
      <c r="E260">
        <v>4</v>
      </c>
    </row>
    <row r="261" spans="1:5" x14ac:dyDescent="0.45">
      <c r="A261" t="s">
        <v>27</v>
      </c>
      <c r="B261" t="s">
        <v>38</v>
      </c>
      <c r="C261" t="s">
        <v>60</v>
      </c>
      <c r="D261" s="6">
        <v>6100</v>
      </c>
      <c r="E261">
        <v>7</v>
      </c>
    </row>
    <row r="262" spans="1:5" x14ac:dyDescent="0.45">
      <c r="A262" t="s">
        <v>30</v>
      </c>
      <c r="B262" t="s">
        <v>28</v>
      </c>
      <c r="C262" t="s">
        <v>52</v>
      </c>
      <c r="D262" s="6">
        <v>13831</v>
      </c>
      <c r="E262">
        <v>5</v>
      </c>
    </row>
    <row r="263" spans="1:5" x14ac:dyDescent="0.45">
      <c r="A263" t="s">
        <v>35</v>
      </c>
      <c r="B263" t="s">
        <v>36</v>
      </c>
      <c r="C263" t="s">
        <v>58</v>
      </c>
      <c r="D263" s="6">
        <v>5082</v>
      </c>
      <c r="E263">
        <v>6</v>
      </c>
    </row>
    <row r="264" spans="1:5" x14ac:dyDescent="0.45">
      <c r="A264" t="s">
        <v>27</v>
      </c>
      <c r="B264" t="s">
        <v>31</v>
      </c>
      <c r="C264" t="s">
        <v>46</v>
      </c>
      <c r="D264" s="6">
        <v>10571</v>
      </c>
      <c r="E264">
        <v>12</v>
      </c>
    </row>
    <row r="265" spans="1:5" x14ac:dyDescent="0.45">
      <c r="A265" t="s">
        <v>42</v>
      </c>
      <c r="B265" t="s">
        <v>31</v>
      </c>
      <c r="C265" t="s">
        <v>51</v>
      </c>
      <c r="D265" s="6">
        <v>4742</v>
      </c>
      <c r="E265">
        <v>5</v>
      </c>
    </row>
    <row r="266" spans="1:5" x14ac:dyDescent="0.45">
      <c r="A266" t="s">
        <v>27</v>
      </c>
      <c r="B266" t="s">
        <v>36</v>
      </c>
      <c r="C266" t="s">
        <v>47</v>
      </c>
      <c r="D266" s="6">
        <v>2926</v>
      </c>
      <c r="E266">
        <v>3</v>
      </c>
    </row>
    <row r="267" spans="1:5" x14ac:dyDescent="0.45">
      <c r="A267" t="s">
        <v>42</v>
      </c>
      <c r="B267" t="s">
        <v>31</v>
      </c>
      <c r="C267" t="s">
        <v>47</v>
      </c>
      <c r="D267" s="6">
        <v>3520</v>
      </c>
      <c r="E267">
        <v>2</v>
      </c>
    </row>
    <row r="268" spans="1:5" x14ac:dyDescent="0.45">
      <c r="A268" t="s">
        <v>42</v>
      </c>
      <c r="B268" t="s">
        <v>36</v>
      </c>
      <c r="C268" t="s">
        <v>53</v>
      </c>
      <c r="D268" s="6">
        <v>13349</v>
      </c>
      <c r="E268">
        <v>5</v>
      </c>
    </row>
    <row r="269" spans="1:5" x14ac:dyDescent="0.45">
      <c r="A269" t="s">
        <v>33</v>
      </c>
      <c r="B269" t="s">
        <v>43</v>
      </c>
      <c r="C269" t="s">
        <v>45</v>
      </c>
      <c r="D269" s="6">
        <v>8792</v>
      </c>
      <c r="E269">
        <v>7</v>
      </c>
    </row>
    <row r="270" spans="1:5" x14ac:dyDescent="0.45">
      <c r="A270" t="s">
        <v>35</v>
      </c>
      <c r="B270" t="s">
        <v>36</v>
      </c>
      <c r="C270" t="s">
        <v>54</v>
      </c>
      <c r="D270" s="6">
        <v>4444</v>
      </c>
      <c r="E270">
        <v>8</v>
      </c>
    </row>
    <row r="271" spans="1:5" x14ac:dyDescent="0.45">
      <c r="A271" t="s">
        <v>30</v>
      </c>
      <c r="B271" t="s">
        <v>38</v>
      </c>
      <c r="C271" t="s">
        <v>60</v>
      </c>
      <c r="D271" s="6">
        <v>6753</v>
      </c>
      <c r="E271">
        <v>2</v>
      </c>
    </row>
    <row r="272" spans="1:5" x14ac:dyDescent="0.45">
      <c r="A272" t="s">
        <v>33</v>
      </c>
      <c r="B272" t="s">
        <v>31</v>
      </c>
      <c r="C272" t="s">
        <v>58</v>
      </c>
      <c r="D272" s="6">
        <v>6595</v>
      </c>
      <c r="E272">
        <v>11</v>
      </c>
    </row>
    <row r="273" spans="1:5" x14ac:dyDescent="0.45">
      <c r="A273" t="s">
        <v>33</v>
      </c>
      <c r="B273" t="s">
        <v>38</v>
      </c>
      <c r="C273" t="s">
        <v>51</v>
      </c>
      <c r="D273" s="6">
        <v>11949</v>
      </c>
      <c r="E273">
        <v>4</v>
      </c>
    </row>
    <row r="274" spans="1:5" x14ac:dyDescent="0.45">
      <c r="A274" t="s">
        <v>30</v>
      </c>
      <c r="B274" t="s">
        <v>36</v>
      </c>
      <c r="C274" t="s">
        <v>34</v>
      </c>
      <c r="D274" s="6">
        <v>10535</v>
      </c>
      <c r="E274">
        <v>6</v>
      </c>
    </row>
    <row r="275" spans="1:5" x14ac:dyDescent="0.45">
      <c r="A275" t="s">
        <v>30</v>
      </c>
      <c r="B275" t="s">
        <v>38</v>
      </c>
      <c r="C275" t="s">
        <v>60</v>
      </c>
      <c r="D275" s="6">
        <v>3313</v>
      </c>
      <c r="E275">
        <v>5</v>
      </c>
    </row>
    <row r="276" spans="1:5" x14ac:dyDescent="0.45">
      <c r="A276" t="s">
        <v>35</v>
      </c>
      <c r="B276" t="s">
        <v>28</v>
      </c>
      <c r="C276" t="s">
        <v>61</v>
      </c>
      <c r="D276" s="6">
        <v>4963</v>
      </c>
      <c r="E276">
        <v>2</v>
      </c>
    </row>
    <row r="277" spans="1:5" x14ac:dyDescent="0.45">
      <c r="A277" t="s">
        <v>42</v>
      </c>
      <c r="B277" t="s">
        <v>31</v>
      </c>
      <c r="C277" t="s">
        <v>41</v>
      </c>
      <c r="D277" s="6">
        <v>14661</v>
      </c>
      <c r="E277">
        <v>2</v>
      </c>
    </row>
    <row r="278" spans="1:5" x14ac:dyDescent="0.45">
      <c r="A278" t="s">
        <v>30</v>
      </c>
      <c r="B278" t="s">
        <v>31</v>
      </c>
      <c r="C278" t="s">
        <v>32</v>
      </c>
      <c r="D278" s="6">
        <v>4305</v>
      </c>
      <c r="E278">
        <v>11</v>
      </c>
    </row>
    <row r="279" spans="1:5" x14ac:dyDescent="0.45">
      <c r="A279" t="s">
        <v>27</v>
      </c>
      <c r="B279" t="s">
        <v>36</v>
      </c>
      <c r="C279" t="s">
        <v>39</v>
      </c>
      <c r="D279" s="6">
        <v>15520</v>
      </c>
      <c r="E279">
        <v>5</v>
      </c>
    </row>
    <row r="280" spans="1:5" x14ac:dyDescent="0.45">
      <c r="A280" t="s">
        <v>42</v>
      </c>
      <c r="B280" t="s">
        <v>31</v>
      </c>
      <c r="C280" t="s">
        <v>29</v>
      </c>
      <c r="D280" s="6">
        <v>15150</v>
      </c>
      <c r="E280">
        <v>9</v>
      </c>
    </row>
    <row r="281" spans="1:5" x14ac:dyDescent="0.45">
      <c r="A281" t="s">
        <v>35</v>
      </c>
      <c r="B281" t="s">
        <v>36</v>
      </c>
      <c r="C281" t="s">
        <v>57</v>
      </c>
      <c r="D281" s="6">
        <v>11609</v>
      </c>
      <c r="E281">
        <v>8</v>
      </c>
    </row>
    <row r="282" spans="1:5" x14ac:dyDescent="0.45">
      <c r="A282" t="s">
        <v>35</v>
      </c>
      <c r="B282" t="s">
        <v>28</v>
      </c>
      <c r="C282" t="s">
        <v>37</v>
      </c>
      <c r="D282" s="6">
        <v>5938</v>
      </c>
      <c r="E282">
        <v>12</v>
      </c>
    </row>
    <row r="283" spans="1:5" x14ac:dyDescent="0.45">
      <c r="A283" t="s">
        <v>35</v>
      </c>
      <c r="B283" t="s">
        <v>43</v>
      </c>
      <c r="C283" t="s">
        <v>34</v>
      </c>
      <c r="D283" s="6">
        <v>8730</v>
      </c>
      <c r="E283">
        <v>3</v>
      </c>
    </row>
    <row r="284" spans="1:5" x14ac:dyDescent="0.45">
      <c r="A284" t="s">
        <v>35</v>
      </c>
      <c r="B284" t="s">
        <v>28</v>
      </c>
      <c r="C284" t="s">
        <v>44</v>
      </c>
      <c r="D284" s="6">
        <v>7140</v>
      </c>
      <c r="E284">
        <v>8</v>
      </c>
    </row>
    <row r="285" spans="1:5" x14ac:dyDescent="0.45">
      <c r="A285" t="s">
        <v>30</v>
      </c>
      <c r="B285" t="s">
        <v>38</v>
      </c>
      <c r="C285" t="s">
        <v>37</v>
      </c>
      <c r="D285" s="6">
        <v>15721</v>
      </c>
      <c r="E285">
        <v>2</v>
      </c>
    </row>
    <row r="286" spans="1:5" x14ac:dyDescent="0.45">
      <c r="A286" t="s">
        <v>30</v>
      </c>
      <c r="B286" t="s">
        <v>36</v>
      </c>
      <c r="C286" t="s">
        <v>49</v>
      </c>
      <c r="D286" s="6">
        <v>2640</v>
      </c>
      <c r="E286">
        <v>3</v>
      </c>
    </row>
    <row r="287" spans="1:5" x14ac:dyDescent="0.45">
      <c r="A287" t="s">
        <v>35</v>
      </c>
      <c r="B287" t="s">
        <v>31</v>
      </c>
      <c r="C287" t="s">
        <v>34</v>
      </c>
      <c r="D287" s="6">
        <v>3553</v>
      </c>
      <c r="E287">
        <v>9</v>
      </c>
    </row>
    <row r="288" spans="1:5" x14ac:dyDescent="0.45">
      <c r="A288" t="s">
        <v>35</v>
      </c>
      <c r="B288" t="s">
        <v>28</v>
      </c>
      <c r="C288" t="s">
        <v>55</v>
      </c>
      <c r="D288" s="6">
        <v>12305</v>
      </c>
      <c r="E288">
        <v>5</v>
      </c>
    </row>
    <row r="289" spans="1:5" x14ac:dyDescent="0.45">
      <c r="A289" t="s">
        <v>42</v>
      </c>
      <c r="B289" t="s">
        <v>43</v>
      </c>
      <c r="C289" t="s">
        <v>50</v>
      </c>
      <c r="D289" s="6">
        <v>4543</v>
      </c>
      <c r="E289">
        <v>11</v>
      </c>
    </row>
    <row r="290" spans="1:5" x14ac:dyDescent="0.45">
      <c r="A290" t="s">
        <v>33</v>
      </c>
      <c r="B290" t="s">
        <v>38</v>
      </c>
      <c r="C290" t="s">
        <v>51</v>
      </c>
      <c r="D290" s="6">
        <v>2681</v>
      </c>
      <c r="E290">
        <v>10</v>
      </c>
    </row>
    <row r="291" spans="1:5" x14ac:dyDescent="0.45">
      <c r="A291" t="s">
        <v>30</v>
      </c>
      <c r="B291" t="s">
        <v>38</v>
      </c>
      <c r="C291" t="s">
        <v>61</v>
      </c>
      <c r="D291" s="6">
        <v>5629</v>
      </c>
      <c r="E291">
        <v>6</v>
      </c>
    </row>
    <row r="292" spans="1:5" x14ac:dyDescent="0.45">
      <c r="A292" t="s">
        <v>30</v>
      </c>
      <c r="B292" t="s">
        <v>31</v>
      </c>
      <c r="C292" t="s">
        <v>49</v>
      </c>
      <c r="D292" s="6">
        <v>14289</v>
      </c>
      <c r="E292">
        <v>8</v>
      </c>
    </row>
    <row r="293" spans="1:5" x14ac:dyDescent="0.45">
      <c r="A293" t="s">
        <v>33</v>
      </c>
      <c r="B293" t="s">
        <v>38</v>
      </c>
      <c r="C293" t="s">
        <v>60</v>
      </c>
      <c r="D293" s="6">
        <v>4258</v>
      </c>
      <c r="E293">
        <v>6</v>
      </c>
    </row>
    <row r="294" spans="1:5" x14ac:dyDescent="0.45">
      <c r="A294" t="s">
        <v>33</v>
      </c>
      <c r="B294" t="s">
        <v>31</v>
      </c>
      <c r="C294" t="s">
        <v>29</v>
      </c>
      <c r="D294" s="6">
        <v>12445</v>
      </c>
      <c r="E294">
        <v>5</v>
      </c>
    </row>
    <row r="295" spans="1:5" x14ac:dyDescent="0.45">
      <c r="A295" t="s">
        <v>33</v>
      </c>
      <c r="B295" t="s">
        <v>31</v>
      </c>
      <c r="C295" t="s">
        <v>37</v>
      </c>
      <c r="D295" s="6">
        <v>9808</v>
      </c>
      <c r="E295">
        <v>10</v>
      </c>
    </row>
    <row r="296" spans="1:5" x14ac:dyDescent="0.45">
      <c r="A296" t="s">
        <v>42</v>
      </c>
      <c r="B296" t="s">
        <v>28</v>
      </c>
      <c r="C296" t="s">
        <v>58</v>
      </c>
      <c r="D296" s="6">
        <v>10876</v>
      </c>
      <c r="E296">
        <v>3</v>
      </c>
    </row>
    <row r="297" spans="1:5" x14ac:dyDescent="0.45">
      <c r="A297" t="s">
        <v>27</v>
      </c>
      <c r="B297" t="s">
        <v>43</v>
      </c>
      <c r="C297" t="s">
        <v>49</v>
      </c>
      <c r="D297" s="6">
        <v>5712</v>
      </c>
      <c r="E297">
        <v>8</v>
      </c>
    </row>
    <row r="298" spans="1:5" x14ac:dyDescent="0.45">
      <c r="A298" t="s">
        <v>30</v>
      </c>
      <c r="B298" t="s">
        <v>31</v>
      </c>
      <c r="C298" t="s">
        <v>37</v>
      </c>
      <c r="D298" s="6">
        <v>6484</v>
      </c>
      <c r="E298">
        <v>1</v>
      </c>
    </row>
    <row r="299" spans="1:5" x14ac:dyDescent="0.45">
      <c r="A299" t="s">
        <v>35</v>
      </c>
      <c r="B299" t="s">
        <v>28</v>
      </c>
      <c r="C299" t="s">
        <v>56</v>
      </c>
      <c r="D299" s="6">
        <v>1788</v>
      </c>
      <c r="E299">
        <v>6</v>
      </c>
    </row>
    <row r="300" spans="1:5" x14ac:dyDescent="0.45">
      <c r="A300" t="s">
        <v>42</v>
      </c>
      <c r="B300" t="s">
        <v>28</v>
      </c>
      <c r="C300" t="s">
        <v>55</v>
      </c>
      <c r="D300" s="6">
        <v>3588</v>
      </c>
      <c r="E300">
        <v>10</v>
      </c>
    </row>
    <row r="301" spans="1:5" x14ac:dyDescent="0.45">
      <c r="A301" t="s">
        <v>35</v>
      </c>
      <c r="B301" t="s">
        <v>43</v>
      </c>
      <c r="C301" t="s">
        <v>44</v>
      </c>
      <c r="D301" s="6">
        <v>2976</v>
      </c>
      <c r="E301">
        <v>3</v>
      </c>
    </row>
    <row r="302" spans="1:5" x14ac:dyDescent="0.45">
      <c r="A302" t="s">
        <v>27</v>
      </c>
      <c r="B302" t="s">
        <v>38</v>
      </c>
      <c r="C302" t="s">
        <v>39</v>
      </c>
      <c r="D302" s="6">
        <v>11423</v>
      </c>
      <c r="E302">
        <v>3</v>
      </c>
    </row>
    <row r="303" spans="1:5" x14ac:dyDescent="0.45">
      <c r="A303" t="s">
        <v>35</v>
      </c>
      <c r="B303" t="s">
        <v>43</v>
      </c>
      <c r="C303" t="s">
        <v>29</v>
      </c>
      <c r="D303" s="6">
        <v>4057</v>
      </c>
      <c r="E303">
        <v>1</v>
      </c>
    </row>
    <row r="304" spans="1:5" x14ac:dyDescent="0.45">
      <c r="A304" t="s">
        <v>35</v>
      </c>
      <c r="B304" t="s">
        <v>36</v>
      </c>
      <c r="C304" t="s">
        <v>41</v>
      </c>
      <c r="D304" s="6">
        <v>3214</v>
      </c>
      <c r="E304">
        <v>10</v>
      </c>
    </row>
    <row r="305" spans="1:5" x14ac:dyDescent="0.45">
      <c r="A305" t="s">
        <v>27</v>
      </c>
      <c r="B305" t="s">
        <v>43</v>
      </c>
      <c r="C305" t="s">
        <v>57</v>
      </c>
      <c r="D305" s="6">
        <v>9785</v>
      </c>
      <c r="E305">
        <v>7</v>
      </c>
    </row>
    <row r="306" spans="1:5" x14ac:dyDescent="0.45">
      <c r="A306" t="s">
        <v>35</v>
      </c>
      <c r="B306" t="s">
        <v>38</v>
      </c>
      <c r="C306" t="s">
        <v>61</v>
      </c>
      <c r="D306" s="6">
        <v>9468</v>
      </c>
      <c r="E306">
        <v>1</v>
      </c>
    </row>
    <row r="307" spans="1:5" x14ac:dyDescent="0.45">
      <c r="A307" t="s">
        <v>35</v>
      </c>
      <c r="B307" t="s">
        <v>36</v>
      </c>
      <c r="C307" t="s">
        <v>60</v>
      </c>
      <c r="D307" s="6">
        <v>10975</v>
      </c>
      <c r="E307">
        <v>10</v>
      </c>
    </row>
    <row r="308" spans="1:5" x14ac:dyDescent="0.45">
      <c r="A308" t="s">
        <v>35</v>
      </c>
      <c r="B308" t="s">
        <v>43</v>
      </c>
      <c r="C308" t="s">
        <v>52</v>
      </c>
      <c r="D308" s="6">
        <v>7148</v>
      </c>
      <c r="E308">
        <v>6</v>
      </c>
    </row>
    <row r="309" spans="1:5" x14ac:dyDescent="0.45">
      <c r="A309" t="s">
        <v>42</v>
      </c>
      <c r="B309" t="s">
        <v>36</v>
      </c>
      <c r="C309" t="s">
        <v>49</v>
      </c>
      <c r="D309" s="6">
        <v>3455</v>
      </c>
      <c r="E309">
        <v>3</v>
      </c>
    </row>
    <row r="310" spans="1:5" x14ac:dyDescent="0.45">
      <c r="A310" t="s">
        <v>30</v>
      </c>
      <c r="B310" t="s">
        <v>43</v>
      </c>
      <c r="C310" t="s">
        <v>39</v>
      </c>
      <c r="D310" s="6">
        <v>4919</v>
      </c>
      <c r="E310">
        <v>4</v>
      </c>
    </row>
    <row r="311" spans="1:5" x14ac:dyDescent="0.45">
      <c r="A311" t="s">
        <v>35</v>
      </c>
      <c r="B311" t="s">
        <v>28</v>
      </c>
      <c r="C311" t="s">
        <v>51</v>
      </c>
      <c r="D311" s="6">
        <v>6562</v>
      </c>
      <c r="E311">
        <v>4</v>
      </c>
    </row>
    <row r="312" spans="1:5" x14ac:dyDescent="0.45">
      <c r="A312" t="s">
        <v>27</v>
      </c>
      <c r="B312" t="s">
        <v>28</v>
      </c>
      <c r="C312" t="s">
        <v>56</v>
      </c>
      <c r="D312" s="6">
        <v>15453</v>
      </c>
      <c r="E312">
        <v>12</v>
      </c>
    </row>
    <row r="313" spans="1:5" x14ac:dyDescent="0.45">
      <c r="A313" t="s">
        <v>42</v>
      </c>
      <c r="B313" t="s">
        <v>31</v>
      </c>
      <c r="C313" t="s">
        <v>29</v>
      </c>
      <c r="D313" s="6">
        <v>11162</v>
      </c>
      <c r="E313">
        <v>2</v>
      </c>
    </row>
    <row r="314" spans="1:5" x14ac:dyDescent="0.45">
      <c r="A314" t="s">
        <v>42</v>
      </c>
      <c r="B314" t="s">
        <v>28</v>
      </c>
      <c r="C314" t="s">
        <v>45</v>
      </c>
      <c r="D314" s="6">
        <v>10230</v>
      </c>
      <c r="E314">
        <v>7</v>
      </c>
    </row>
    <row r="315" spans="1:5" x14ac:dyDescent="0.45">
      <c r="A315" t="s">
        <v>35</v>
      </c>
      <c r="B315" t="s">
        <v>31</v>
      </c>
      <c r="C315" t="s">
        <v>29</v>
      </c>
      <c r="D315" s="6">
        <v>10823</v>
      </c>
      <c r="E315">
        <v>7</v>
      </c>
    </row>
    <row r="316" spans="1:5" x14ac:dyDescent="0.45">
      <c r="A316" t="s">
        <v>33</v>
      </c>
      <c r="B316" t="s">
        <v>36</v>
      </c>
      <c r="C316" t="s">
        <v>47</v>
      </c>
      <c r="D316" s="6">
        <v>2622</v>
      </c>
      <c r="E316">
        <v>6</v>
      </c>
    </row>
    <row r="317" spans="1:5" x14ac:dyDescent="0.45">
      <c r="A317" t="s">
        <v>27</v>
      </c>
      <c r="B317" t="s">
        <v>31</v>
      </c>
      <c r="C317" t="s">
        <v>52</v>
      </c>
      <c r="D317" s="6">
        <v>15053</v>
      </c>
      <c r="E317">
        <v>9</v>
      </c>
    </row>
    <row r="318" spans="1:5" x14ac:dyDescent="0.45">
      <c r="A318" t="s">
        <v>42</v>
      </c>
      <c r="B318" t="s">
        <v>36</v>
      </c>
      <c r="C318" t="s">
        <v>50</v>
      </c>
      <c r="D318" s="6">
        <v>5546</v>
      </c>
      <c r="E318">
        <v>9</v>
      </c>
    </row>
    <row r="319" spans="1:5" x14ac:dyDescent="0.45">
      <c r="A319" t="s">
        <v>33</v>
      </c>
      <c r="B319" t="s">
        <v>28</v>
      </c>
      <c r="C319" t="s">
        <v>29</v>
      </c>
      <c r="D319" s="6">
        <v>15647</v>
      </c>
      <c r="E319">
        <v>9</v>
      </c>
    </row>
    <row r="320" spans="1:5" x14ac:dyDescent="0.45">
      <c r="A320" t="s">
        <v>33</v>
      </c>
      <c r="B320" t="s">
        <v>38</v>
      </c>
      <c r="C320" t="s">
        <v>54</v>
      </c>
      <c r="D320" s="6">
        <v>11150</v>
      </c>
      <c r="E320">
        <v>10</v>
      </c>
    </row>
    <row r="321" spans="1:5" x14ac:dyDescent="0.45">
      <c r="A321" t="s">
        <v>33</v>
      </c>
      <c r="B321" t="s">
        <v>31</v>
      </c>
      <c r="C321" t="s">
        <v>60</v>
      </c>
      <c r="D321" s="6">
        <v>3725</v>
      </c>
      <c r="E321">
        <v>12</v>
      </c>
    </row>
    <row r="322" spans="1:5" x14ac:dyDescent="0.45">
      <c r="A322" t="s">
        <v>30</v>
      </c>
      <c r="B322" t="s">
        <v>31</v>
      </c>
      <c r="C322" t="s">
        <v>54</v>
      </c>
      <c r="D322" s="6">
        <v>9104</v>
      </c>
      <c r="E322">
        <v>8</v>
      </c>
    </row>
    <row r="323" spans="1:5" x14ac:dyDescent="0.45">
      <c r="A323" t="s">
        <v>33</v>
      </c>
      <c r="B323" t="s">
        <v>43</v>
      </c>
      <c r="C323" t="s">
        <v>58</v>
      </c>
      <c r="D323" s="6">
        <v>7718</v>
      </c>
      <c r="E323">
        <v>6</v>
      </c>
    </row>
    <row r="324" spans="1:5" x14ac:dyDescent="0.45">
      <c r="A324" t="s">
        <v>42</v>
      </c>
      <c r="B324" t="s">
        <v>38</v>
      </c>
      <c r="C324" t="s">
        <v>34</v>
      </c>
      <c r="D324" s="6">
        <v>2254</v>
      </c>
      <c r="E324">
        <v>4</v>
      </c>
    </row>
    <row r="325" spans="1:5" x14ac:dyDescent="0.45">
      <c r="A325" t="s">
        <v>27</v>
      </c>
      <c r="B325" t="s">
        <v>38</v>
      </c>
      <c r="C325" t="s">
        <v>57</v>
      </c>
      <c r="D325" s="6">
        <v>10250</v>
      </c>
      <c r="E325">
        <v>1</v>
      </c>
    </row>
    <row r="326" spans="1:5" x14ac:dyDescent="0.45">
      <c r="A326" t="s">
        <v>27</v>
      </c>
      <c r="B326" t="s">
        <v>28</v>
      </c>
      <c r="C326" t="s">
        <v>44</v>
      </c>
      <c r="D326" s="6">
        <v>2435</v>
      </c>
      <c r="E326">
        <v>11</v>
      </c>
    </row>
    <row r="327" spans="1:5" x14ac:dyDescent="0.45">
      <c r="A327" t="s">
        <v>30</v>
      </c>
      <c r="B327" t="s">
        <v>36</v>
      </c>
      <c r="C327" t="s">
        <v>60</v>
      </c>
      <c r="D327" s="6">
        <v>11171</v>
      </c>
      <c r="E327">
        <v>11</v>
      </c>
    </row>
    <row r="328" spans="1:5" x14ac:dyDescent="0.45">
      <c r="A328" t="s">
        <v>27</v>
      </c>
      <c r="B328" t="s">
        <v>28</v>
      </c>
      <c r="C328" t="s">
        <v>53</v>
      </c>
      <c r="D328" s="6">
        <v>4572</v>
      </c>
      <c r="E328">
        <v>4</v>
      </c>
    </row>
    <row r="329" spans="1:5" x14ac:dyDescent="0.45">
      <c r="A329" t="s">
        <v>42</v>
      </c>
      <c r="B329" t="s">
        <v>31</v>
      </c>
      <c r="C329" t="s">
        <v>44</v>
      </c>
      <c r="D329" s="6">
        <v>12118</v>
      </c>
      <c r="E329">
        <v>7</v>
      </c>
    </row>
    <row r="330" spans="1:5" x14ac:dyDescent="0.45">
      <c r="A330" t="s">
        <v>30</v>
      </c>
      <c r="B330" t="s">
        <v>31</v>
      </c>
      <c r="C330" t="s">
        <v>49</v>
      </c>
      <c r="D330" s="6">
        <v>5175</v>
      </c>
      <c r="E330">
        <v>6</v>
      </c>
    </row>
    <row r="331" spans="1:5" x14ac:dyDescent="0.45">
      <c r="A331" t="s">
        <v>27</v>
      </c>
      <c r="B331" t="s">
        <v>43</v>
      </c>
      <c r="C331" t="s">
        <v>58</v>
      </c>
      <c r="D331" s="6">
        <v>2541</v>
      </c>
      <c r="E331">
        <v>10</v>
      </c>
    </row>
    <row r="332" spans="1:5" x14ac:dyDescent="0.45">
      <c r="A332" t="s">
        <v>35</v>
      </c>
      <c r="B332" t="s">
        <v>28</v>
      </c>
      <c r="C332" t="s">
        <v>51</v>
      </c>
      <c r="D332" s="6">
        <v>13863</v>
      </c>
      <c r="E332">
        <v>4</v>
      </c>
    </row>
    <row r="333" spans="1:5" x14ac:dyDescent="0.45">
      <c r="A333" t="s">
        <v>27</v>
      </c>
      <c r="B333" t="s">
        <v>38</v>
      </c>
      <c r="C333" t="s">
        <v>50</v>
      </c>
      <c r="D333" s="6">
        <v>14726</v>
      </c>
      <c r="E333">
        <v>12</v>
      </c>
    </row>
    <row r="334" spans="1:5" x14ac:dyDescent="0.45">
      <c r="A334" t="s">
        <v>30</v>
      </c>
      <c r="B334" t="s">
        <v>36</v>
      </c>
      <c r="C334" t="s">
        <v>40</v>
      </c>
      <c r="D334" s="6">
        <v>10293</v>
      </c>
      <c r="E334">
        <v>6</v>
      </c>
    </row>
    <row r="335" spans="1:5" x14ac:dyDescent="0.45">
      <c r="A335" t="s">
        <v>30</v>
      </c>
      <c r="B335" t="s">
        <v>43</v>
      </c>
      <c r="C335" t="s">
        <v>59</v>
      </c>
      <c r="D335" s="6">
        <v>3500</v>
      </c>
      <c r="E335">
        <v>4</v>
      </c>
    </row>
    <row r="336" spans="1:5" x14ac:dyDescent="0.45">
      <c r="A336" t="s">
        <v>27</v>
      </c>
      <c r="B336" t="s">
        <v>43</v>
      </c>
      <c r="C336" t="s">
        <v>60</v>
      </c>
      <c r="D336" s="6">
        <v>7551</v>
      </c>
      <c r="E336">
        <v>10</v>
      </c>
    </row>
    <row r="337" spans="1:5" x14ac:dyDescent="0.45">
      <c r="A337" t="s">
        <v>27</v>
      </c>
      <c r="B337" t="s">
        <v>31</v>
      </c>
      <c r="C337" t="s">
        <v>53</v>
      </c>
      <c r="D337" s="6">
        <v>2708</v>
      </c>
      <c r="E337">
        <v>10</v>
      </c>
    </row>
    <row r="338" spans="1:5" x14ac:dyDescent="0.45">
      <c r="A338" t="s">
        <v>35</v>
      </c>
      <c r="B338" t="s">
        <v>36</v>
      </c>
      <c r="C338" t="s">
        <v>34</v>
      </c>
      <c r="D338" s="6">
        <v>13679</v>
      </c>
      <c r="E338">
        <v>6</v>
      </c>
    </row>
    <row r="339" spans="1:5" x14ac:dyDescent="0.45">
      <c r="A339" t="s">
        <v>35</v>
      </c>
      <c r="B339" t="s">
        <v>43</v>
      </c>
      <c r="C339" t="s">
        <v>60</v>
      </c>
      <c r="D339" s="6">
        <v>2092</v>
      </c>
      <c r="E339">
        <v>12</v>
      </c>
    </row>
    <row r="340" spans="1:5" x14ac:dyDescent="0.45">
      <c r="A340" t="s">
        <v>42</v>
      </c>
      <c r="B340" t="s">
        <v>28</v>
      </c>
      <c r="C340" t="s">
        <v>45</v>
      </c>
      <c r="D340" s="6">
        <v>4067</v>
      </c>
      <c r="E340">
        <v>5</v>
      </c>
    </row>
    <row r="341" spans="1:5" x14ac:dyDescent="0.45">
      <c r="A341" t="s">
        <v>27</v>
      </c>
      <c r="B341" t="s">
        <v>43</v>
      </c>
      <c r="C341" t="s">
        <v>51</v>
      </c>
      <c r="D341" s="6">
        <v>4665</v>
      </c>
      <c r="E341">
        <v>11</v>
      </c>
    </row>
    <row r="342" spans="1:5" x14ac:dyDescent="0.45">
      <c r="A342" t="s">
        <v>33</v>
      </c>
      <c r="B342" t="s">
        <v>38</v>
      </c>
      <c r="C342" t="s">
        <v>41</v>
      </c>
      <c r="D342" s="6">
        <v>10827</v>
      </c>
      <c r="E342">
        <v>10</v>
      </c>
    </row>
    <row r="343" spans="1:5" x14ac:dyDescent="0.45">
      <c r="A343" t="s">
        <v>35</v>
      </c>
      <c r="B343" t="s">
        <v>28</v>
      </c>
      <c r="C343" t="s">
        <v>51</v>
      </c>
      <c r="D343" s="6">
        <v>4804</v>
      </c>
      <c r="E343">
        <v>10</v>
      </c>
    </row>
    <row r="344" spans="1:5" x14ac:dyDescent="0.45">
      <c r="A344" t="s">
        <v>42</v>
      </c>
      <c r="B344" t="s">
        <v>28</v>
      </c>
      <c r="C344" t="s">
        <v>34</v>
      </c>
      <c r="D344" s="6">
        <v>4016</v>
      </c>
      <c r="E344">
        <v>4</v>
      </c>
    </row>
    <row r="345" spans="1:5" x14ac:dyDescent="0.45">
      <c r="A345" t="s">
        <v>30</v>
      </c>
      <c r="B345" t="s">
        <v>28</v>
      </c>
      <c r="C345" t="s">
        <v>40</v>
      </c>
      <c r="D345" s="6">
        <v>3421</v>
      </c>
      <c r="E345">
        <v>8</v>
      </c>
    </row>
    <row r="346" spans="1:5" x14ac:dyDescent="0.45">
      <c r="A346" t="s">
        <v>35</v>
      </c>
      <c r="B346" t="s">
        <v>36</v>
      </c>
      <c r="C346" t="s">
        <v>60</v>
      </c>
      <c r="D346" s="6">
        <v>13167</v>
      </c>
      <c r="E346">
        <v>10</v>
      </c>
    </row>
    <row r="347" spans="1:5" x14ac:dyDescent="0.45">
      <c r="A347" t="s">
        <v>35</v>
      </c>
      <c r="B347" t="s">
        <v>31</v>
      </c>
      <c r="C347" t="s">
        <v>51</v>
      </c>
      <c r="D347" s="6">
        <v>13809</v>
      </c>
      <c r="E347">
        <v>9</v>
      </c>
    </row>
    <row r="348" spans="1:5" x14ac:dyDescent="0.45">
      <c r="A348" t="s">
        <v>30</v>
      </c>
      <c r="B348" t="s">
        <v>28</v>
      </c>
      <c r="C348" t="s">
        <v>52</v>
      </c>
      <c r="D348" s="6">
        <v>14850</v>
      </c>
      <c r="E348">
        <v>4</v>
      </c>
    </row>
    <row r="349" spans="1:5" x14ac:dyDescent="0.45">
      <c r="A349" t="s">
        <v>33</v>
      </c>
      <c r="B349" t="s">
        <v>31</v>
      </c>
      <c r="C349" t="s">
        <v>49</v>
      </c>
      <c r="D349" s="6">
        <v>3840</v>
      </c>
      <c r="E349">
        <v>1</v>
      </c>
    </row>
    <row r="350" spans="1:5" x14ac:dyDescent="0.45">
      <c r="A350" t="s">
        <v>33</v>
      </c>
      <c r="B350" t="s">
        <v>43</v>
      </c>
      <c r="C350" t="s">
        <v>59</v>
      </c>
      <c r="D350" s="6">
        <v>9187</v>
      </c>
      <c r="E350">
        <v>4</v>
      </c>
    </row>
    <row r="351" spans="1:5" x14ac:dyDescent="0.45">
      <c r="A351" t="s">
        <v>27</v>
      </c>
      <c r="B351" t="s">
        <v>28</v>
      </c>
      <c r="C351" t="s">
        <v>39</v>
      </c>
      <c r="D351" s="6">
        <v>15586</v>
      </c>
      <c r="E351">
        <v>5</v>
      </c>
    </row>
    <row r="352" spans="1:5" x14ac:dyDescent="0.45">
      <c r="A352" t="s">
        <v>42</v>
      </c>
      <c r="B352" t="s">
        <v>38</v>
      </c>
      <c r="C352" t="s">
        <v>41</v>
      </c>
      <c r="D352" s="6">
        <v>11940</v>
      </c>
      <c r="E352">
        <v>12</v>
      </c>
    </row>
    <row r="353" spans="1:5" x14ac:dyDescent="0.45">
      <c r="A353" t="s">
        <v>42</v>
      </c>
      <c r="B353" t="s">
        <v>43</v>
      </c>
      <c r="C353" t="s">
        <v>52</v>
      </c>
      <c r="D353" s="6">
        <v>12079</v>
      </c>
      <c r="E353">
        <v>3</v>
      </c>
    </row>
    <row r="354" spans="1:5" x14ac:dyDescent="0.45">
      <c r="A354" t="s">
        <v>33</v>
      </c>
      <c r="B354" t="s">
        <v>36</v>
      </c>
      <c r="C354" t="s">
        <v>53</v>
      </c>
      <c r="D354" s="6">
        <v>14510</v>
      </c>
      <c r="E354">
        <v>12</v>
      </c>
    </row>
    <row r="355" spans="1:5" x14ac:dyDescent="0.45">
      <c r="A355" t="s">
        <v>30</v>
      </c>
      <c r="B355" t="s">
        <v>28</v>
      </c>
      <c r="C355" t="s">
        <v>34</v>
      </c>
      <c r="D355" s="6">
        <v>1638</v>
      </c>
      <c r="E355">
        <v>6</v>
      </c>
    </row>
    <row r="356" spans="1:5" x14ac:dyDescent="0.45">
      <c r="A356" t="s">
        <v>35</v>
      </c>
      <c r="B356" t="s">
        <v>28</v>
      </c>
      <c r="C356" t="s">
        <v>55</v>
      </c>
      <c r="D356" s="6">
        <v>7712</v>
      </c>
      <c r="E356">
        <v>12</v>
      </c>
    </row>
    <row r="357" spans="1:5" x14ac:dyDescent="0.45">
      <c r="A357" t="s">
        <v>33</v>
      </c>
      <c r="B357" t="s">
        <v>31</v>
      </c>
      <c r="C357" t="s">
        <v>55</v>
      </c>
      <c r="D357" s="6">
        <v>13310</v>
      </c>
      <c r="E357">
        <v>2</v>
      </c>
    </row>
    <row r="358" spans="1:5" x14ac:dyDescent="0.45">
      <c r="A358" t="s">
        <v>33</v>
      </c>
      <c r="B358" t="s">
        <v>38</v>
      </c>
      <c r="C358" t="s">
        <v>58</v>
      </c>
      <c r="D358" s="6">
        <v>4188</v>
      </c>
      <c r="E358">
        <v>10</v>
      </c>
    </row>
    <row r="359" spans="1:5" x14ac:dyDescent="0.45">
      <c r="A359" t="s">
        <v>30</v>
      </c>
      <c r="B359" t="s">
        <v>36</v>
      </c>
      <c r="C359" t="s">
        <v>51</v>
      </c>
      <c r="D359" s="6">
        <v>10438</v>
      </c>
      <c r="E359">
        <v>6</v>
      </c>
    </row>
    <row r="360" spans="1:5" x14ac:dyDescent="0.45">
      <c r="A360" t="s">
        <v>27</v>
      </c>
      <c r="B360" t="s">
        <v>36</v>
      </c>
      <c r="C360" t="s">
        <v>40</v>
      </c>
      <c r="D360" s="6">
        <v>12767</v>
      </c>
      <c r="E360">
        <v>5</v>
      </c>
    </row>
    <row r="361" spans="1:5" x14ac:dyDescent="0.45">
      <c r="A361" t="s">
        <v>33</v>
      </c>
      <c r="B361" t="s">
        <v>31</v>
      </c>
      <c r="C361" t="s">
        <v>61</v>
      </c>
      <c r="D361" s="6">
        <v>2776</v>
      </c>
      <c r="E361">
        <v>4</v>
      </c>
    </row>
    <row r="362" spans="1:5" x14ac:dyDescent="0.45">
      <c r="A362" t="s">
        <v>42</v>
      </c>
      <c r="B362" t="s">
        <v>43</v>
      </c>
      <c r="C362" t="s">
        <v>46</v>
      </c>
      <c r="D362" s="6">
        <v>10215</v>
      </c>
      <c r="E362">
        <v>2</v>
      </c>
    </row>
    <row r="363" spans="1:5" x14ac:dyDescent="0.45">
      <c r="A363" t="s">
        <v>35</v>
      </c>
      <c r="B363" t="s">
        <v>28</v>
      </c>
      <c r="C363" t="s">
        <v>34</v>
      </c>
      <c r="D363" s="6">
        <v>3230</v>
      </c>
      <c r="E363">
        <v>5</v>
      </c>
    </row>
    <row r="364" spans="1:5" x14ac:dyDescent="0.45">
      <c r="A364" t="s">
        <v>35</v>
      </c>
      <c r="B364" t="s">
        <v>36</v>
      </c>
      <c r="C364" t="s">
        <v>60</v>
      </c>
      <c r="D364" s="6">
        <v>5152</v>
      </c>
      <c r="E364">
        <v>3</v>
      </c>
    </row>
    <row r="365" spans="1:5" x14ac:dyDescent="0.45">
      <c r="A365" t="s">
        <v>30</v>
      </c>
      <c r="B365" t="s">
        <v>43</v>
      </c>
      <c r="C365" t="s">
        <v>57</v>
      </c>
      <c r="D365" s="6">
        <v>3176</v>
      </c>
      <c r="E365">
        <v>6</v>
      </c>
    </row>
    <row r="366" spans="1:5" x14ac:dyDescent="0.45">
      <c r="A366" t="s">
        <v>35</v>
      </c>
      <c r="B366" t="s">
        <v>43</v>
      </c>
      <c r="C366" t="s">
        <v>54</v>
      </c>
      <c r="D366" s="6">
        <v>2670</v>
      </c>
      <c r="E366">
        <v>4</v>
      </c>
    </row>
    <row r="367" spans="1:5" x14ac:dyDescent="0.45">
      <c r="A367" t="s">
        <v>35</v>
      </c>
      <c r="B367" t="s">
        <v>28</v>
      </c>
      <c r="C367" t="s">
        <v>58</v>
      </c>
      <c r="D367" s="6">
        <v>4563</v>
      </c>
      <c r="E367">
        <v>6</v>
      </c>
    </row>
    <row r="368" spans="1:5" x14ac:dyDescent="0.45">
      <c r="A368" t="s">
        <v>35</v>
      </c>
      <c r="B368" t="s">
        <v>38</v>
      </c>
      <c r="C368" t="s">
        <v>56</v>
      </c>
      <c r="D368" s="6">
        <v>14155</v>
      </c>
      <c r="E368">
        <v>8</v>
      </c>
    </row>
    <row r="369" spans="1:5" x14ac:dyDescent="0.45">
      <c r="A369" t="s">
        <v>42</v>
      </c>
      <c r="B369" t="s">
        <v>38</v>
      </c>
      <c r="C369" t="s">
        <v>53</v>
      </c>
      <c r="D369" s="6">
        <v>4146</v>
      </c>
      <c r="E369">
        <v>10</v>
      </c>
    </row>
    <row r="370" spans="1:5" x14ac:dyDescent="0.45">
      <c r="A370" t="s">
        <v>42</v>
      </c>
      <c r="B370" t="s">
        <v>36</v>
      </c>
      <c r="C370" t="s">
        <v>52</v>
      </c>
      <c r="D370" s="6">
        <v>7142</v>
      </c>
      <c r="E370">
        <v>9</v>
      </c>
    </row>
    <row r="371" spans="1:5" x14ac:dyDescent="0.45">
      <c r="A371" t="s">
        <v>27</v>
      </c>
      <c r="B371" t="s">
        <v>38</v>
      </c>
      <c r="C371" t="s">
        <v>29</v>
      </c>
      <c r="D371" s="6">
        <v>11162</v>
      </c>
      <c r="E371">
        <v>11</v>
      </c>
    </row>
    <row r="372" spans="1:5" x14ac:dyDescent="0.45">
      <c r="A372" t="s">
        <v>27</v>
      </c>
      <c r="B372" t="s">
        <v>28</v>
      </c>
      <c r="C372" t="s">
        <v>45</v>
      </c>
      <c r="D372" s="6">
        <v>4738</v>
      </c>
      <c r="E372">
        <v>8</v>
      </c>
    </row>
    <row r="373" spans="1:5" x14ac:dyDescent="0.45">
      <c r="A373" t="s">
        <v>35</v>
      </c>
      <c r="B373" t="s">
        <v>43</v>
      </c>
      <c r="C373" t="s">
        <v>48</v>
      </c>
      <c r="D373" s="6">
        <v>14871</v>
      </c>
      <c r="E373">
        <v>8</v>
      </c>
    </row>
    <row r="374" spans="1:5" x14ac:dyDescent="0.45">
      <c r="A374" t="s">
        <v>42</v>
      </c>
      <c r="B374" t="s">
        <v>36</v>
      </c>
      <c r="C374" t="s">
        <v>39</v>
      </c>
      <c r="D374" s="6">
        <v>2279</v>
      </c>
      <c r="E374">
        <v>6</v>
      </c>
    </row>
    <row r="375" spans="1:5" x14ac:dyDescent="0.45">
      <c r="A375" t="s">
        <v>27</v>
      </c>
      <c r="B375" t="s">
        <v>43</v>
      </c>
      <c r="C375" t="s">
        <v>52</v>
      </c>
      <c r="D375" s="6">
        <v>6416</v>
      </c>
      <c r="E375">
        <v>5</v>
      </c>
    </row>
    <row r="376" spans="1:5" x14ac:dyDescent="0.45">
      <c r="A376" t="s">
        <v>42</v>
      </c>
      <c r="B376" t="s">
        <v>31</v>
      </c>
      <c r="C376" t="s">
        <v>39</v>
      </c>
      <c r="D376" s="6">
        <v>2345</v>
      </c>
      <c r="E376">
        <v>2</v>
      </c>
    </row>
    <row r="377" spans="1:5" x14ac:dyDescent="0.45">
      <c r="A377" t="s">
        <v>33</v>
      </c>
      <c r="B377" t="s">
        <v>38</v>
      </c>
      <c r="C377" t="s">
        <v>40</v>
      </c>
      <c r="D377" s="6">
        <v>10959</v>
      </c>
      <c r="E377">
        <v>4</v>
      </c>
    </row>
    <row r="378" spans="1:5" x14ac:dyDescent="0.45">
      <c r="A378" t="s">
        <v>30</v>
      </c>
      <c r="B378" t="s">
        <v>31</v>
      </c>
      <c r="C378" t="s">
        <v>58</v>
      </c>
      <c r="D378" s="6">
        <v>8543</v>
      </c>
      <c r="E378">
        <v>3</v>
      </c>
    </row>
    <row r="379" spans="1:5" x14ac:dyDescent="0.45">
      <c r="A379" t="s">
        <v>30</v>
      </c>
      <c r="B379" t="s">
        <v>36</v>
      </c>
      <c r="C379" t="s">
        <v>39</v>
      </c>
      <c r="D379" s="6">
        <v>2256</v>
      </c>
      <c r="E379">
        <v>12</v>
      </c>
    </row>
    <row r="380" spans="1:5" x14ac:dyDescent="0.45">
      <c r="A380" t="s">
        <v>42</v>
      </c>
      <c r="B380" t="s">
        <v>43</v>
      </c>
      <c r="C380" t="s">
        <v>53</v>
      </c>
      <c r="D380" s="6">
        <v>8561</v>
      </c>
      <c r="E380">
        <v>8</v>
      </c>
    </row>
    <row r="381" spans="1:5" x14ac:dyDescent="0.45">
      <c r="A381" t="s">
        <v>33</v>
      </c>
      <c r="B381" t="s">
        <v>43</v>
      </c>
      <c r="C381" t="s">
        <v>29</v>
      </c>
      <c r="D381" s="6">
        <v>10288</v>
      </c>
      <c r="E381">
        <v>4</v>
      </c>
    </row>
  </sheetData>
  <conditionalFormatting sqref="D2:D381">
    <cfRule type="cellIs" dxfId="0" priority="1" operator="greaterThan">
      <formula>10000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RowHeight="14.25" x14ac:dyDescent="0.45"/>
  <cols>
    <col min="1" max="1" width="22" customWidth="1"/>
    <col min="2" max="2" width="20" customWidth="1"/>
    <col min="3" max="3" width="55" customWidth="1"/>
  </cols>
  <sheetData>
    <row r="1" spans="1:2" ht="18" x14ac:dyDescent="0.55000000000000004">
      <c r="A1" s="1" t="s">
        <v>62</v>
      </c>
    </row>
    <row r="3" spans="1:2" ht="15.75" x14ac:dyDescent="0.5">
      <c r="A3" s="2" t="s">
        <v>63</v>
      </c>
    </row>
    <row r="4" spans="1:2" x14ac:dyDescent="0.45">
      <c r="A4" s="7" t="s">
        <v>22</v>
      </c>
      <c r="B4" s="7" t="s">
        <v>64</v>
      </c>
    </row>
    <row r="5" spans="1:2" x14ac:dyDescent="0.45">
      <c r="A5" s="8" t="s">
        <v>42</v>
      </c>
      <c r="B5" s="9">
        <f>SUMIF('Club Spending Data (Solved)'!A:A,A5,'Club Spending Data (Solved)'!D:D)</f>
        <v>713131</v>
      </c>
    </row>
    <row r="6" spans="1:2" x14ac:dyDescent="0.45">
      <c r="A6" s="8" t="s">
        <v>33</v>
      </c>
      <c r="B6" s="9">
        <f>SUMIF('Club Spending Data (Solved)'!A:A,A6,'Club Spending Data (Solved)'!D:D)</f>
        <v>597878</v>
      </c>
    </row>
    <row r="7" spans="1:2" x14ac:dyDescent="0.45">
      <c r="A7" s="8" t="s">
        <v>35</v>
      </c>
      <c r="B7" s="9">
        <f>SUMIF('Club Spending Data (Solved)'!A:A,A7,'Club Spending Data (Solved)'!D:D)</f>
        <v>611151</v>
      </c>
    </row>
    <row r="8" spans="1:2" x14ac:dyDescent="0.45">
      <c r="A8" s="8" t="s">
        <v>27</v>
      </c>
      <c r="B8" s="9">
        <f>SUMIF('Club Spending Data (Solved)'!A:A,A8,'Club Spending Data (Solved)'!D:D)</f>
        <v>563124</v>
      </c>
    </row>
    <row r="9" spans="1:2" x14ac:dyDescent="0.45">
      <c r="A9" s="8" t="s">
        <v>30</v>
      </c>
      <c r="B9" s="9">
        <f>SUMIF('Club Spending Data (Solved)'!A:A,A9,'Club Spending Data (Solved)'!D:D)</f>
        <v>689313</v>
      </c>
    </row>
    <row r="11" spans="1:2" ht="15.75" x14ac:dyDescent="0.5">
      <c r="A11" s="2" t="s">
        <v>65</v>
      </c>
    </row>
    <row r="12" spans="1:2" x14ac:dyDescent="0.45">
      <c r="A12" s="7" t="s">
        <v>23</v>
      </c>
      <c r="B12" s="7" t="s">
        <v>66</v>
      </c>
    </row>
    <row r="13" spans="1:2" x14ac:dyDescent="0.45">
      <c r="A13" s="8" t="s">
        <v>31</v>
      </c>
      <c r="B13" s="8">
        <f>COUNTIF('Club Spending Data (Solved)'!B:B,A13)</f>
        <v>79</v>
      </c>
    </row>
    <row r="14" spans="1:2" x14ac:dyDescent="0.45">
      <c r="A14" s="8" t="s">
        <v>36</v>
      </c>
      <c r="B14" s="8">
        <f>COUNTIF('Club Spending Data (Solved)'!B:B,A14)</f>
        <v>74</v>
      </c>
    </row>
    <row r="15" spans="1:2" x14ac:dyDescent="0.45">
      <c r="A15" s="8" t="s">
        <v>38</v>
      </c>
      <c r="B15" s="8">
        <f>COUNTIF('Club Spending Data (Solved)'!B:B,A15)</f>
        <v>71</v>
      </c>
    </row>
    <row r="16" spans="1:2" x14ac:dyDescent="0.45">
      <c r="A16" s="8" t="s">
        <v>28</v>
      </c>
      <c r="B16" s="8">
        <f>COUNTIF('Club Spending Data (Solved)'!B:B,A16)</f>
        <v>71</v>
      </c>
    </row>
    <row r="17" spans="1:2" x14ac:dyDescent="0.45">
      <c r="A17" s="8" t="s">
        <v>43</v>
      </c>
      <c r="B17" s="8">
        <f>COUNTIF('Club Spending Data (Solved)'!B:B,A17)</f>
        <v>85</v>
      </c>
    </row>
    <row r="19" spans="1:2" ht="15.75" x14ac:dyDescent="0.5">
      <c r="A19" s="2" t="s">
        <v>67</v>
      </c>
    </row>
    <row r="20" spans="1:2" x14ac:dyDescent="0.45">
      <c r="A20" s="3" t="s">
        <v>68</v>
      </c>
      <c r="B20" s="6">
        <f>MAX('Club Spending Data (Solved)'!D:D)</f>
        <v>15970</v>
      </c>
    </row>
    <row r="21" spans="1:2" x14ac:dyDescent="0.45">
      <c r="A21" s="3" t="s">
        <v>69</v>
      </c>
      <c r="B21" s="6">
        <f>MIN('Club Spending Data (Solved)'!D:D)</f>
        <v>1624</v>
      </c>
    </row>
    <row r="23" spans="1:2" ht="15.75" x14ac:dyDescent="0.5">
      <c r="A23" s="2" t="s">
        <v>70</v>
      </c>
    </row>
    <row r="24" spans="1:2" x14ac:dyDescent="0.45">
      <c r="A24" s="3" t="s">
        <v>71</v>
      </c>
      <c r="B24" s="10">
        <f>AVERAGE('Club Spending Data (Solved)'!D:D)</f>
        <v>8354.2026315789481</v>
      </c>
    </row>
    <row r="26" spans="1:2" ht="15.75" x14ac:dyDescent="0.5">
      <c r="A26" s="2" t="s">
        <v>72</v>
      </c>
    </row>
    <row r="27" spans="1:2" x14ac:dyDescent="0.45">
      <c r="A27" s="3" t="s">
        <v>73</v>
      </c>
      <c r="B27">
        <f>COUNTIFS('Club Spending Data (Solved)'!B:B,"Marketing",'Club Spending Data (Solved)'!D:D,"&gt;5000")</f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Notes</vt:lpstr>
      <vt:lpstr>Club Spending Data (Solved)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2026-07-03T01:38:02Z</dcterms:created>
  <dcterms:modified xsi:type="dcterms:W3CDTF">2026-07-06T13:46:11Z</dcterms:modified>
</cp:coreProperties>
</file>