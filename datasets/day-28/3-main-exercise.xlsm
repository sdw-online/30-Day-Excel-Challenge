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defaultThemeVersion="202300"/>
  <mc:AlternateContent xmlns:mc="http://schemas.openxmlformats.org/markup-compatibility/2006">
    <mc:Choice Requires="x15">
      <x15ac:absPath xmlns:x15ac="http://schemas.microsoft.com/office/spreadsheetml/2010/11/ac" url="C:\Users\steph\Documents\GitHub\demo\30-Day-Excel-Challenge\datasets\day-28\"/>
    </mc:Choice>
  </mc:AlternateContent>
  <xr:revisionPtr revIDLastSave="0" documentId="8_{A0BA6C5E-9F53-42BD-849F-CF92605D3E6B}" xr6:coauthVersionLast="47" xr6:coauthVersionMax="47" xr10:uidLastSave="{00000000-0000-0000-0000-000000000000}"/>
  <bookViews>
    <workbookView xWindow="-45" yWindow="-16320" windowWidth="29040" windowHeight="15720" activeTab="4" xr2:uid="{F18F30E8-7C62-4E09-86DB-DA52F15DE0E2}"/>
  </bookViews>
  <sheets>
    <sheet name="TravelForm" sheetId="1" r:id="rId1"/>
    <sheet name="FeedbackLog" sheetId="2" r:id="rId2"/>
    <sheet name="1. Most Popular Vehicle" sheetId="4" r:id="rId3"/>
    <sheet name="2. Agent with most ratings" sheetId="5" r:id="rId4"/>
    <sheet name="Dashboard" sheetId="3" r:id="rId5"/>
  </sheets>
  <definedNames>
    <definedName name="Slicer_Concierge_Agent">#N/A</definedName>
    <definedName name="Slicer_Vehicle">#N/A</definedName>
  </definedNames>
  <calcPr calcId="191029"/>
  <pivotCaches>
    <pivotCache cacheId="0" r:id="rId6"/>
  </pivotCaches>
  <fileRecoveryPr repairLoad="1"/>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 l="1"/>
  <c r="D2" i="3"/>
  <c r="C2" i="3"/>
  <c r="A2" i="3"/>
  <c r="D32" i="1"/>
  <c r="D33" i="1" s="1"/>
</calcChain>
</file>

<file path=xl/sharedStrings.xml><?xml version="1.0" encoding="utf-8"?>
<sst xmlns="http://schemas.openxmlformats.org/spreadsheetml/2006/main" count="167" uniqueCount="81">
  <si>
    <t>Feedback Form</t>
  </si>
  <si>
    <t>Transfer Type</t>
  </si>
  <si>
    <t>Vehicle</t>
  </si>
  <si>
    <t>Feedback</t>
  </si>
  <si>
    <t>Submission Date</t>
  </si>
  <si>
    <t>Concierge Agent</t>
  </si>
  <si>
    <t>Arrival</t>
  </si>
  <si>
    <t>Departure</t>
  </si>
  <si>
    <t>Mercedes Viano</t>
  </si>
  <si>
    <t xml:space="preserve"> Tesla Model X</t>
  </si>
  <si>
    <t xml:space="preserve"> Rolls Royce Ghost</t>
  </si>
  <si>
    <t xml:space="preserve"> Private Jet</t>
  </si>
  <si>
    <t>Customer Name</t>
  </si>
  <si>
    <t>Ben Smith</t>
  </si>
  <si>
    <t>Jack Hall</t>
  </si>
  <si>
    <t>Brice Wallace</t>
  </si>
  <si>
    <t>Zach Fury</t>
  </si>
  <si>
    <t>Bridget Jackson</t>
  </si>
  <si>
    <t>Emily Fisher</t>
  </si>
  <si>
    <t>Rating</t>
  </si>
  <si>
    <t>Ratings</t>
  </si>
  <si>
    <t>Food wasn't great, decent hospitality</t>
  </si>
  <si>
    <t>Dennis Bellamy</t>
  </si>
  <si>
    <t>Enjoyed the ride, driver was super kind</t>
  </si>
  <si>
    <t>Future Date Count</t>
  </si>
  <si>
    <t>Blank Agent Names</t>
  </si>
  <si>
    <t>Rolls Royce Ghost</t>
  </si>
  <si>
    <t>Alicia Holmes</t>
  </si>
  <si>
    <t>Private Jet</t>
  </si>
  <si>
    <t>✈️ Smooth trip but a bit delayed</t>
  </si>
  <si>
    <t>Noah James</t>
  </si>
  <si>
    <t>Tesla Model X</t>
  </si>
  <si>
    <t>Absolutely loved it</t>
  </si>
  <si>
    <t>Zoe Carter</t>
  </si>
  <si>
    <t>Tesl Model X</t>
  </si>
  <si>
    <t>Lucas Martin</t>
  </si>
  <si>
    <t>Driver arrived late</t>
  </si>
  <si>
    <t>Mia Gray</t>
  </si>
  <si>
    <t>Felt premium, would book again</t>
  </si>
  <si>
    <t>Ethan Cook</t>
  </si>
  <si>
    <t>Emma Turner</t>
  </si>
  <si>
    <t>Mercedes</t>
  </si>
  <si>
    <t>Nice but no welcome drink</t>
  </si>
  <si>
    <t>Jacob Scott</t>
  </si>
  <si>
    <t>VIP lounge was amazing</t>
  </si>
  <si>
    <t>Grace Hill</t>
  </si>
  <si>
    <t>Clean and quiet</t>
  </si>
  <si>
    <t>Ava Bennett</t>
  </si>
  <si>
    <t>Logan Young</t>
  </si>
  <si>
    <t>Great car, but not much leg room</t>
  </si>
  <si>
    <t>Lily Collins</t>
  </si>
  <si>
    <t>No complaints</t>
  </si>
  <si>
    <t>Oliver Reed</t>
  </si>
  <si>
    <t>Driver used wrong name</t>
  </si>
  <si>
    <t>Sofia Peterson</t>
  </si>
  <si>
    <t>Amazing all through</t>
  </si>
  <si>
    <t>William Ross</t>
  </si>
  <si>
    <t>A/C was broken</t>
  </si>
  <si>
    <t>Emily Moore</t>
  </si>
  <si>
    <t>✨ Very stylish vehicle</t>
  </si>
  <si>
    <t>Logan Bell</t>
  </si>
  <si>
    <t>invalid_date</t>
  </si>
  <si>
    <t>Natalie Diaz</t>
  </si>
  <si>
    <t>Luxurious and clean</t>
  </si>
  <si>
    <t>Elijah Grant</t>
  </si>
  <si>
    <t>Ava Ramirez</t>
  </si>
  <si>
    <t>Forgot to stock champagne</t>
  </si>
  <si>
    <t>Carter Hayes</t>
  </si>
  <si>
    <t>Driver smelled of smoke</t>
  </si>
  <si>
    <t>Ivy Clark</t>
  </si>
  <si>
    <t>Wonderful driver, Wi-Fi was slow</t>
  </si>
  <si>
    <t>Isaac Turner</t>
  </si>
  <si>
    <t>Feedback Missing</t>
  </si>
  <si>
    <t>Ratings Missing</t>
  </si>
  <si>
    <t>Row Labels</t>
  </si>
  <si>
    <t>Grand Total</t>
  </si>
  <si>
    <t>Tesla</t>
  </si>
  <si>
    <t>Customer Count</t>
  </si>
  <si>
    <t>Most Ratings</t>
  </si>
  <si>
    <t>Mason Smith</t>
  </si>
  <si>
    <t>Driver took scenic route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</si>
</sst>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11"/>
      <color theme="1"/>
      <name val="Aptos Narrow"/>
      <family val="2"/>
      <scheme val="minor"/>
    </font>
    <font>
      <sz val="11"/>
      <color rgb="FF006100"/>
      <name val="Aptos Narrow"/>
      <family val="2"/>
      <scheme val="minor"/>
    </font>
    <font>
      <b/>
      <sz val="11"/>
      <color rgb="FF006100"/>
      <name val="Aptos Narrow"/>
      <family val="2"/>
      <scheme val="minor"/>
    </font>
    <font>
      <sz val="14"/>
      <color theme="1"/>
      <name val="Aptos Narrow"/>
      <family val="2"/>
      <scheme val="minor"/>
    </font>
    <font>
      <sz val="18"/>
      <color theme="1"/>
      <name val="Aptos Narrow"/>
      <family val="2"/>
      <scheme val="minor"/>
    </font>
    <font>
      <sz val="22"/>
      <color theme="1"/>
      <name val="Aptos Narrow"/>
      <family val="2"/>
      <scheme val="minor"/>
    </font>
    <font>
      <sz val="11"/>
      <color rgb="FF000000"/>
      <name val="Aptos Narrow"/>
      <family val="2"/>
      <scheme val="minor"/>
    </font>
  </fonts>
  <fills count="7">
    <fill>
      <patternFill patternType="none"/>
    </fill>
    <fill>
      <patternFill patternType="gray125"/>
    </fill>
    <fill>
      <patternFill patternType="solid">
        <fgColor rgb="FFC6EFCE"/>
      </patternFill>
    </fill>
    <fill>
      <patternFill patternType="solid">
        <fgColor theme="5" tint="0.79998168889431442"/>
        <bgColor indexed="65"/>
      </patternFill>
    </fill>
    <fill>
      <patternFill patternType="solid">
        <fgColor theme="5" tint="0.39997558519241921"/>
        <bgColor indexed="64"/>
      </patternFill>
    </fill>
    <fill>
      <patternFill patternType="solid">
        <fgColor theme="5" tint="0.79998168889431442"/>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2" borderId="0" applyNumberFormat="0" applyBorder="0" applyAlignment="0" applyProtection="0"/>
    <xf numFmtId="0" fontId="1" fillId="3" borderId="0" applyNumberFormat="0" applyBorder="0" applyAlignment="0" applyProtection="0"/>
  </cellStyleXfs>
  <cellXfs count="19">
    <xf numFmtId="0" fontId="0" fillId="0" borderId="0" xfId="0"/>
    <xf numFmtId="0" fontId="0" fillId="5" borderId="0" xfId="0" applyFill="1"/>
    <xf numFmtId="0" fontId="0" fillId="6" borderId="0" xfId="0" applyFill="1" applyAlignment="1">
      <alignment horizontal="center"/>
    </xf>
    <xf numFmtId="0" fontId="0" fillId="0" borderId="1" xfId="0" applyBorder="1"/>
    <xf numFmtId="0" fontId="3" fillId="2" borderId="1" xfId="1" applyFont="1" applyBorder="1"/>
    <xf numFmtId="0" fontId="4" fillId="0" borderId="1" xfId="0" applyFont="1" applyBorder="1" applyAlignment="1">
      <alignment horizontal="center"/>
    </xf>
    <xf numFmtId="14" fontId="0" fillId="6" borderId="0" xfId="0" applyNumberFormat="1" applyFill="1" applyAlignment="1">
      <alignment horizontal="center"/>
    </xf>
    <xf numFmtId="0" fontId="1" fillId="3" borderId="1" xfId="2" applyBorder="1" applyAlignment="1">
      <alignment horizontal="center"/>
    </xf>
    <xf numFmtId="0" fontId="0" fillId="3" borderId="1" xfId="2" applyFont="1" applyBorder="1" applyAlignment="1">
      <alignment horizontal="center"/>
    </xf>
    <xf numFmtId="0" fontId="0" fillId="0" borderId="0" xfId="0" applyAlignment="1">
      <alignment vertical="center" wrapText="1"/>
    </xf>
    <xf numFmtId="14" fontId="0" fillId="0" borderId="0" xfId="0" applyNumberFormat="1"/>
    <xf numFmtId="14" fontId="0" fillId="0" borderId="0" xfId="0" applyNumberFormat="1" applyAlignment="1">
      <alignment vertical="center" wrapText="1"/>
    </xf>
    <xf numFmtId="0" fontId="0" fillId="0" borderId="0" xfId="0" pivotButton="1"/>
    <xf numFmtId="0" fontId="0" fillId="0" borderId="0" xfId="0" applyAlignment="1">
      <alignment horizontal="left"/>
    </xf>
    <xf numFmtId="0" fontId="4" fillId="0" borderId="0" xfId="0" applyFont="1" applyAlignment="1">
      <alignment horizontal="center"/>
    </xf>
    <xf numFmtId="0" fontId="5" fillId="0" borderId="1" xfId="0" applyFont="1" applyBorder="1" applyAlignment="1">
      <alignment horizontal="center"/>
    </xf>
    <xf numFmtId="0" fontId="4" fillId="0" borderId="1" xfId="0" applyFont="1" applyBorder="1" applyAlignment="1">
      <alignment horizontal="center"/>
    </xf>
    <xf numFmtId="0" fontId="0" fillId="6" borderId="0" xfId="0" applyFill="1" applyAlignment="1">
      <alignment horizontal="center"/>
    </xf>
    <xf numFmtId="0" fontId="6" fillId="4" borderId="0" xfId="0" applyFont="1" applyFill="1" applyAlignment="1">
      <alignment horizontal="center"/>
    </xf>
  </cellXfs>
  <cellStyles count="3">
    <cellStyle name="20% - Accent2" xfId="2" builtinId="34"/>
    <cellStyle name="Good" xfId="1" builtinId="26"/>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[3-main-exercise.xlsm]1. Most Popular Vehicle!PivotTable25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Which vehicle is the most popular?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alpha val="68000"/>
            </a:schemeClr>
          </a:solidFill>
          <a:ln>
            <a:noFill/>
          </a:ln>
          <a:effectLst/>
        </c:spPr>
      </c:pivotFmt>
    </c:pivotFmts>
    <c:plotArea>
      <c:layout/>
      <c:barChart>
        <c:barDir val="bar"/>
        <c:grouping val="clustered"/>
        <c:varyColors val="0"/>
        <c:ser>
          <c:idx val="0"/>
          <c:order val="0"/>
          <c:tx>
            <c:strRef>
              <c:f>'1. Most Popular Vehicle'!$B$3</c:f>
              <c:strCache>
                <c:ptCount val="1"/>
                <c:pt idx="0">
                  <c:v>Total</c:v>
                </c:pt>
              </c:strCache>
            </c:strRef>
          </c:tx>
          <c:spPr>
            <a:solidFill>
              <a:schemeClr val="accent1">
                <a:lumMod val="40000"/>
                <a:lumOff val="60000"/>
              </a:schemeClr>
            </a:solidFill>
            <a:ln>
              <a:noFill/>
            </a:ln>
            <a:effectLst/>
          </c:spPr>
          <c:invertIfNegative val="0"/>
          <c:dPt>
            <c:idx val="2"/>
            <c:invertIfNegative val="0"/>
            <c:bubble3D val="0"/>
            <c:spPr>
              <a:solidFill>
                <a:schemeClr val="accent1">
                  <a:lumMod val="75000"/>
                  <a:alpha val="68000"/>
                </a:schemeClr>
              </a:solidFill>
              <a:ln>
                <a:noFill/>
              </a:ln>
              <a:effectLst/>
            </c:spPr>
            <c:extLst>
              <c:ext xmlns:c16="http://schemas.microsoft.com/office/drawing/2014/chart" uri="{C3380CC4-5D6E-409C-BE32-E72D297353CC}">
                <c16:uniqueId val="{00000001-B0A5-4F11-9F93-A8B542715D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 Most Popular Vehicle'!$A$4:$A$8</c:f>
              <c:strCache>
                <c:ptCount val="4"/>
                <c:pt idx="0">
                  <c:v>Private Jet</c:v>
                </c:pt>
                <c:pt idx="1">
                  <c:v>Rolls Royce Ghost</c:v>
                </c:pt>
                <c:pt idx="2">
                  <c:v>Mercedes</c:v>
                </c:pt>
                <c:pt idx="3">
                  <c:v>Tesla</c:v>
                </c:pt>
              </c:strCache>
            </c:strRef>
          </c:cat>
          <c:val>
            <c:numRef>
              <c:f>'1. Most Popular Vehicle'!$B$4:$B$8</c:f>
              <c:numCache>
                <c:formatCode>General</c:formatCode>
                <c:ptCount val="4"/>
                <c:pt idx="0">
                  <c:v>4</c:v>
                </c:pt>
                <c:pt idx="1">
                  <c:v>6</c:v>
                </c:pt>
                <c:pt idx="2">
                  <c:v>8</c:v>
                </c:pt>
                <c:pt idx="3">
                  <c:v>8</c:v>
                </c:pt>
              </c:numCache>
            </c:numRef>
          </c:val>
          <c:extLst>
            <c:ext xmlns:c16="http://schemas.microsoft.com/office/drawing/2014/chart" uri="{C3380CC4-5D6E-409C-BE32-E72D297353CC}">
              <c16:uniqueId val="{00000000-D773-4084-A5DF-74924459919C}"/>
            </c:ext>
          </c:extLst>
        </c:ser>
        <c:dLbls>
          <c:showLegendKey val="0"/>
          <c:showVal val="0"/>
          <c:showCatName val="0"/>
          <c:showSerName val="0"/>
          <c:showPercent val="0"/>
          <c:showBubbleSize val="0"/>
        </c:dLbls>
        <c:gapWidth val="182"/>
        <c:axId val="1050609919"/>
        <c:axId val="1050613279"/>
      </c:barChart>
      <c:catAx>
        <c:axId val="1050609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613279"/>
        <c:crosses val="autoZero"/>
        <c:auto val="1"/>
        <c:lblAlgn val="ctr"/>
        <c:lblOffset val="100"/>
        <c:noMultiLvlLbl val="0"/>
      </c:catAx>
      <c:valAx>
        <c:axId val="1050613279"/>
        <c:scaling>
          <c:orientation val="minMax"/>
        </c:scaling>
        <c:delete val="1"/>
        <c:axPos val="b"/>
        <c:numFmt formatCode="General" sourceLinked="1"/>
        <c:majorTickMark val="none"/>
        <c:minorTickMark val="none"/>
        <c:tickLblPos val="nextTo"/>
        <c:crossAx val="105060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[3-main-exercise.xlsm]2. Agent with most ratings!PivotTable26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Who are the top 2 agents with</a:t>
            </a:r>
            <a:r>
              <a:rPr lang="en-US" baseline="0"/>
              <a:t> the most ratings?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w="19050">
            <a:solidFill>
              <a:schemeClr val="lt1"/>
            </a:solidFill>
          </a:ln>
          <a:effectLst/>
        </c:spPr>
      </c:pivotFmt>
      <c:pivotFmt>
        <c:idx val="3"/>
        <c:spPr>
          <a:solidFill>
            <a:schemeClr val="accent1">
              <a:lumMod val="40000"/>
              <a:lumOff val="60000"/>
            </a:schemeClr>
          </a:solidFill>
          <a:ln w="19050">
            <a:solidFill>
              <a:schemeClr val="lt1"/>
            </a:solidFill>
          </a:ln>
          <a:effectLst/>
        </c:spPr>
      </c:pivotFmt>
      <c:pivotFmt>
        <c:idx val="4"/>
        <c:spPr>
          <a:solidFill>
            <a:schemeClr val="bg1">
              <a:lumMod val="95000"/>
            </a:schemeClr>
          </a:solidFill>
          <a:ln w="19050">
            <a:solidFill>
              <a:schemeClr val="lt1"/>
            </a:solidFill>
          </a:ln>
          <a:effectLst/>
        </c:spPr>
      </c:pivotFmt>
      <c:pivotFmt>
        <c:idx val="5"/>
        <c:spPr>
          <a:solidFill>
            <a:schemeClr val="bg1">
              <a:lumMod val="95000"/>
            </a:schemeClr>
          </a:solidFill>
          <a:ln w="19050">
            <a:solidFill>
              <a:schemeClr val="lt1"/>
            </a:solidFill>
          </a:ln>
          <a:effectLst/>
        </c:spPr>
      </c:pivotFmt>
      <c:pivotFmt>
        <c:idx val="6"/>
        <c:spPr>
          <a:solidFill>
            <a:schemeClr val="bg1">
              <a:lumMod val="95000"/>
            </a:schemeClr>
          </a:solidFill>
          <a:ln w="19050">
            <a:solidFill>
              <a:schemeClr val="lt1"/>
            </a:solidFill>
          </a:ln>
          <a:effectLst/>
        </c:spPr>
      </c:pivotFmt>
    </c:pivotFmts>
    <c:plotArea>
      <c:layout/>
      <c:pieChart>
        <c:varyColors val="1"/>
        <c:ser>
          <c:idx val="0"/>
          <c:order val="0"/>
          <c:tx>
            <c:strRef>
              <c:f>'2. Agent with most ratings'!$B$3</c:f>
              <c:strCache>
                <c:ptCount val="1"/>
                <c:pt idx="0">
                  <c:v>Total</c:v>
                </c:pt>
              </c:strCache>
            </c:strRef>
          </c:tx>
          <c:spPr>
            <a:solidFill>
              <a:schemeClr val="bg1">
                <a:lumMod val="95000"/>
              </a:schemeClr>
            </a:solidFill>
          </c:spPr>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FF8C-4340-9FFF-679F192C2916}"/>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FF8C-4340-9FFF-679F192C2916}"/>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FF8C-4340-9FFF-679F192C2916}"/>
              </c:ext>
            </c:extLst>
          </c:dPt>
          <c:dPt>
            <c:idx val="3"/>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4-4EC6-4F0A-8C71-DB8E7897AFFD}"/>
              </c:ext>
            </c:extLst>
          </c:dPt>
          <c:dPt>
            <c:idx val="4"/>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3-4EC6-4F0A-8C71-DB8E7897A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 Agent with most ratings'!$A$4:$A$9</c:f>
              <c:strCache>
                <c:ptCount val="5"/>
                <c:pt idx="0">
                  <c:v>Brice Wallace</c:v>
                </c:pt>
                <c:pt idx="1">
                  <c:v>Bridget Jackson</c:v>
                </c:pt>
                <c:pt idx="2">
                  <c:v>Emily Fisher</c:v>
                </c:pt>
                <c:pt idx="3">
                  <c:v>Jack Hall</c:v>
                </c:pt>
                <c:pt idx="4">
                  <c:v>Zach Fury</c:v>
                </c:pt>
              </c:strCache>
            </c:strRef>
          </c:cat>
          <c:val>
            <c:numRef>
              <c:f>'2. Agent with most ratings'!$B$4:$B$9</c:f>
              <c:numCache>
                <c:formatCode>General</c:formatCode>
                <c:ptCount val="5"/>
                <c:pt idx="0">
                  <c:v>12</c:v>
                </c:pt>
                <c:pt idx="1">
                  <c:v>9</c:v>
                </c:pt>
                <c:pt idx="2">
                  <c:v>10</c:v>
                </c:pt>
                <c:pt idx="3">
                  <c:v>13</c:v>
                </c:pt>
                <c:pt idx="4">
                  <c:v>21</c:v>
                </c:pt>
              </c:numCache>
            </c:numRef>
          </c:val>
          <c:extLst>
            <c:ext xmlns:c16="http://schemas.microsoft.com/office/drawing/2014/chart" uri="{C3380CC4-5D6E-409C-BE32-E72D297353CC}">
              <c16:uniqueId val="{00000000-4EC6-4F0A-8C71-DB8E7897AFF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[3-main-exercise.xlsm]1. Most Popular Vehicle!PivotTable25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Which vehicle is the most popular?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alpha val="68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alpha val="68000"/>
            </a:schemeClr>
          </a:solidFill>
          <a:ln>
            <a:noFill/>
          </a:ln>
          <a:effectLst/>
        </c:spPr>
      </c:pivotFmt>
      <c:pivotFmt>
        <c:idx val="4"/>
        <c:spPr>
          <a:solidFill>
            <a:schemeClr val="accent2">
              <a:lumMod val="40000"/>
              <a:lumOff val="60000"/>
              <a:alpha val="46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lumMod val="75000"/>
              <a:alpha val="46000"/>
            </a:schemeClr>
          </a:solidFill>
          <a:ln>
            <a:noFill/>
          </a:ln>
          <a:effectLst/>
        </c:spPr>
      </c:pivotFmt>
    </c:pivotFmts>
    <c:plotArea>
      <c:layout/>
      <c:barChart>
        <c:barDir val="bar"/>
        <c:grouping val="clustered"/>
        <c:varyColors val="0"/>
        <c:ser>
          <c:idx val="0"/>
          <c:order val="0"/>
          <c:tx>
            <c:strRef>
              <c:f>'1. Most Popular Vehicle'!$B$3</c:f>
              <c:strCache>
                <c:ptCount val="1"/>
                <c:pt idx="0">
                  <c:v>Total</c:v>
                </c:pt>
              </c:strCache>
            </c:strRef>
          </c:tx>
          <c:spPr>
            <a:solidFill>
              <a:schemeClr val="accent2">
                <a:lumMod val="40000"/>
                <a:lumOff val="60000"/>
                <a:alpha val="46000"/>
              </a:schemeClr>
            </a:solidFill>
            <a:ln>
              <a:noFill/>
            </a:ln>
            <a:effectLst/>
          </c:spPr>
          <c:invertIfNegative val="0"/>
          <c:dPt>
            <c:idx val="2"/>
            <c:invertIfNegative val="0"/>
            <c:bubble3D val="0"/>
            <c:spPr>
              <a:solidFill>
                <a:schemeClr val="accent2">
                  <a:lumMod val="75000"/>
                  <a:alpha val="46000"/>
                </a:schemeClr>
              </a:solidFill>
              <a:ln>
                <a:noFill/>
              </a:ln>
              <a:effectLst/>
            </c:spPr>
            <c:extLst>
              <c:ext xmlns:c16="http://schemas.microsoft.com/office/drawing/2014/chart" uri="{C3380CC4-5D6E-409C-BE32-E72D297353CC}">
                <c16:uniqueId val="{00000001-89C5-40F4-89CB-BBF40203B241}"/>
              </c:ext>
            </c:extLst>
          </c:dPt>
          <c:dPt>
            <c:idx val="3"/>
            <c:invertIfNegative val="0"/>
            <c:bubble3D val="0"/>
            <c:extLst>
              <c:ext xmlns:c16="http://schemas.microsoft.com/office/drawing/2014/chart" uri="{C3380CC4-5D6E-409C-BE32-E72D297353CC}">
                <c16:uniqueId val="{00000001-31E1-4E17-8CD9-637C4DCDB9F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 Most Popular Vehicle'!$A$4:$A$8</c:f>
              <c:strCache>
                <c:ptCount val="4"/>
                <c:pt idx="0">
                  <c:v>Private Jet</c:v>
                </c:pt>
                <c:pt idx="1">
                  <c:v>Rolls Royce Ghost</c:v>
                </c:pt>
                <c:pt idx="2">
                  <c:v>Mercedes</c:v>
                </c:pt>
                <c:pt idx="3">
                  <c:v>Tesla</c:v>
                </c:pt>
              </c:strCache>
            </c:strRef>
          </c:cat>
          <c:val>
            <c:numRef>
              <c:f>'1. Most Popular Vehicle'!$B$4:$B$8</c:f>
              <c:numCache>
                <c:formatCode>General</c:formatCode>
                <c:ptCount val="4"/>
                <c:pt idx="0">
                  <c:v>4</c:v>
                </c:pt>
                <c:pt idx="1">
                  <c:v>6</c:v>
                </c:pt>
                <c:pt idx="2">
                  <c:v>8</c:v>
                </c:pt>
                <c:pt idx="3">
                  <c:v>8</c:v>
                </c:pt>
              </c:numCache>
            </c:numRef>
          </c:val>
          <c:extLst>
            <c:ext xmlns:c16="http://schemas.microsoft.com/office/drawing/2014/chart" uri="{C3380CC4-5D6E-409C-BE32-E72D297353CC}">
              <c16:uniqueId val="{00000002-31E1-4E17-8CD9-637C4DCDB9F5}"/>
            </c:ext>
          </c:extLst>
        </c:ser>
        <c:dLbls>
          <c:showLegendKey val="0"/>
          <c:showVal val="0"/>
          <c:showCatName val="0"/>
          <c:showSerName val="0"/>
          <c:showPercent val="0"/>
          <c:showBubbleSize val="0"/>
        </c:dLbls>
        <c:gapWidth val="182"/>
        <c:axId val="1050609919"/>
        <c:axId val="1050613279"/>
      </c:barChart>
      <c:catAx>
        <c:axId val="1050609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0613279"/>
        <c:crosses val="autoZero"/>
        <c:auto val="1"/>
        <c:lblAlgn val="ctr"/>
        <c:lblOffset val="100"/>
        <c:noMultiLvlLbl val="0"/>
      </c:catAx>
      <c:valAx>
        <c:axId val="1050613279"/>
        <c:scaling>
          <c:orientation val="minMax"/>
        </c:scaling>
        <c:delete val="1"/>
        <c:axPos val="b"/>
        <c:numFmt formatCode="General" sourceLinked="1"/>
        <c:majorTickMark val="none"/>
        <c:minorTickMark val="none"/>
        <c:tickLblPos val="nextTo"/>
        <c:crossAx val="105060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[3-main-exercise.xlsm]2. Agent with most ratings!PivotTable26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Who are the top 2 agents with</a:t>
            </a:r>
            <a:r>
              <a:rPr lang="en-US" baseline="0"/>
              <a:t> the most ratings?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1">
              <a:lumMod val="9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w="19050">
            <a:solidFill>
              <a:schemeClr val="lt1"/>
            </a:solidFill>
          </a:ln>
          <a:effectLst/>
        </c:spPr>
      </c:pivotFmt>
      <c:pivotFmt>
        <c:idx val="3"/>
        <c:spPr>
          <a:solidFill>
            <a:schemeClr val="accent1">
              <a:lumMod val="40000"/>
              <a:lumOff val="60000"/>
            </a:schemeClr>
          </a:solidFill>
          <a:ln w="19050">
            <a:solidFill>
              <a:schemeClr val="lt1"/>
            </a:solidFill>
          </a:ln>
          <a:effectLst/>
        </c:spPr>
      </c:pivotFmt>
      <c:pivotFmt>
        <c:idx val="4"/>
        <c:spPr>
          <a:solidFill>
            <a:schemeClr val="bg1">
              <a:lumMod val="9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bg1">
              <a:lumMod val="95000"/>
            </a:schemeClr>
          </a:solidFill>
          <a:ln w="19050">
            <a:solidFill>
              <a:schemeClr val="lt1"/>
            </a:solidFill>
          </a:ln>
          <a:effectLst/>
        </c:spPr>
      </c:pivotFmt>
      <c:pivotFmt>
        <c:idx val="6"/>
        <c:spPr>
          <a:solidFill>
            <a:schemeClr val="bg1">
              <a:lumMod val="95000"/>
            </a:schemeClr>
          </a:solidFill>
          <a:ln w="19050">
            <a:solidFill>
              <a:schemeClr val="lt1"/>
            </a:solidFill>
          </a:ln>
          <a:effectLst/>
        </c:spPr>
      </c:pivotFmt>
      <c:pivotFmt>
        <c:idx val="7"/>
        <c:spPr>
          <a:solidFill>
            <a:schemeClr val="bg1">
              <a:lumMod val="95000"/>
            </a:schemeClr>
          </a:solidFill>
          <a:ln w="19050">
            <a:solidFill>
              <a:schemeClr val="lt1"/>
            </a:solidFill>
          </a:ln>
          <a:effectLst/>
        </c:spPr>
      </c:pivotFmt>
      <c:pivotFmt>
        <c:idx val="8"/>
        <c:spPr>
          <a:solidFill>
            <a:schemeClr val="accent1">
              <a:lumMod val="40000"/>
              <a:lumOff val="60000"/>
            </a:schemeClr>
          </a:solidFill>
          <a:ln w="19050">
            <a:solidFill>
              <a:schemeClr val="lt1"/>
            </a:solidFill>
          </a:ln>
          <a:effectLst/>
        </c:spPr>
      </c:pivotFmt>
      <c:pivotFmt>
        <c:idx val="9"/>
        <c:spPr>
          <a:solidFill>
            <a:schemeClr val="accent1">
              <a:lumMod val="75000"/>
            </a:schemeClr>
          </a:solidFill>
          <a:ln w="19050">
            <a:solidFill>
              <a:schemeClr val="lt1"/>
            </a:solidFill>
          </a:ln>
          <a:effectLst/>
        </c:spPr>
      </c:pivotFmt>
      <c:pivotFmt>
        <c:idx val="10"/>
        <c:spPr>
          <a:solidFill>
            <a:schemeClr val="bg1">
              <a:lumMod val="950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bg1">
              <a:lumMod val="95000"/>
            </a:schemeClr>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bg1">
              <a:lumMod val="95000"/>
            </a:schemeClr>
          </a:solidFill>
          <a:ln w="19050">
            <a:solidFill>
              <a:schemeClr val="lt1"/>
            </a:solidFill>
          </a:ln>
          <a:effectLst/>
        </c:spPr>
      </c:pivotFmt>
      <c:pivotFmt>
        <c:idx val="14"/>
        <c:spPr>
          <a:solidFill>
            <a:schemeClr val="accent2">
              <a:lumMod val="40000"/>
              <a:lumOff val="60000"/>
            </a:schemeClr>
          </a:solidFill>
          <a:ln w="19050">
            <a:solidFill>
              <a:schemeClr val="lt1"/>
            </a:solidFill>
          </a:ln>
          <a:effectLst/>
        </c:spPr>
      </c:pivotFmt>
      <c:pivotFmt>
        <c:idx val="15"/>
        <c:spPr>
          <a:solidFill>
            <a:schemeClr val="accent2">
              <a:lumMod val="75000"/>
            </a:schemeClr>
          </a:solidFill>
          <a:ln w="19050">
            <a:solidFill>
              <a:schemeClr val="lt1"/>
            </a:solidFill>
          </a:ln>
          <a:effectLst/>
        </c:spPr>
      </c:pivotFmt>
    </c:pivotFmts>
    <c:plotArea>
      <c:layout/>
      <c:pieChart>
        <c:varyColors val="1"/>
        <c:ser>
          <c:idx val="0"/>
          <c:order val="0"/>
          <c:tx>
            <c:strRef>
              <c:f>'2. Agent with most ratings'!$B$3</c:f>
              <c:strCache>
                <c:ptCount val="1"/>
                <c:pt idx="0">
                  <c:v>Total</c:v>
                </c:pt>
              </c:strCache>
            </c:strRef>
          </c:tx>
          <c:spPr>
            <a:solidFill>
              <a:schemeClr val="bg1">
                <a:lumMod val="95000"/>
              </a:schemeClr>
            </a:solidFill>
          </c:spPr>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6646-4EBE-824B-A4D4200D6116}"/>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6646-4EBE-824B-A4D4200D6116}"/>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6646-4EBE-824B-A4D4200D6116}"/>
              </c:ext>
            </c:extLst>
          </c:dPt>
          <c:dPt>
            <c:idx val="3"/>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7-6646-4EBE-824B-A4D4200D6116}"/>
              </c:ext>
            </c:extLst>
          </c:dPt>
          <c:dPt>
            <c:idx val="4"/>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9-6646-4EBE-824B-A4D4200D6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 Agent with most ratings'!$A$4:$A$9</c:f>
              <c:strCache>
                <c:ptCount val="5"/>
                <c:pt idx="0">
                  <c:v>Brice Wallace</c:v>
                </c:pt>
                <c:pt idx="1">
                  <c:v>Bridget Jackson</c:v>
                </c:pt>
                <c:pt idx="2">
                  <c:v>Emily Fisher</c:v>
                </c:pt>
                <c:pt idx="3">
                  <c:v>Jack Hall</c:v>
                </c:pt>
                <c:pt idx="4">
                  <c:v>Zach Fury</c:v>
                </c:pt>
              </c:strCache>
            </c:strRef>
          </c:cat>
          <c:val>
            <c:numRef>
              <c:f>'2. Agent with most ratings'!$B$4:$B$9</c:f>
              <c:numCache>
                <c:formatCode>General</c:formatCode>
                <c:ptCount val="5"/>
                <c:pt idx="0">
                  <c:v>12</c:v>
                </c:pt>
                <c:pt idx="1">
                  <c:v>9</c:v>
                </c:pt>
                <c:pt idx="2">
                  <c:v>10</c:v>
                </c:pt>
                <c:pt idx="3">
                  <c:v>13</c:v>
                </c:pt>
                <c:pt idx="4">
                  <c:v>21</c:v>
                </c:pt>
              </c:numCache>
            </c:numRef>
          </c:val>
          <c:extLst>
            <c:ext xmlns:c16="http://schemas.microsoft.com/office/drawing/2014/chart" uri="{C3380CC4-5D6E-409C-BE32-E72D297353CC}">
              <c16:uniqueId val="{0000000A-6646-4EBE-824B-A4D4200D611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139700</xdr:colOff>
          <xdr:row>24</xdr:row>
          <xdr:rowOff>123825</xdr:rowOff>
        </xdr:from>
        <xdr:to>
          <xdr:col>4</xdr:col>
          <xdr:colOff>2667000</xdr:colOff>
          <xdr:row>29</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Submit Feedback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368300</xdr:colOff>
          <xdr:row>23</xdr:row>
          <xdr:rowOff>123825</xdr:rowOff>
        </xdr:from>
        <xdr:to>
          <xdr:col>11</xdr:col>
          <xdr:colOff>723900</xdr:colOff>
          <xdr:row>29</xdr:row>
          <xdr:rowOff>66675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Clear Feedback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288816</xdr:colOff>
      <xdr:row>1</xdr:row>
      <xdr:rowOff>145940</xdr:rowOff>
    </xdr:from>
    <xdr:to>
      <xdr:col>13</xdr:col>
      <xdr:colOff>0</xdr:colOff>
      <xdr:row>21</xdr:row>
      <xdr:rowOff>170793</xdr:rowOff>
    </xdr:to>
    <xdr:graphicFrame macro="">
      <xdr:nvGraphicFramePr>
        <xdr:cNvPr id="3" name="Chart 2">
          <a:extLst>
            <a:ext uri="{FF2B5EF4-FFF2-40B4-BE49-F238E27FC236}">
              <a16:creationId xmlns:a16="http://schemas.microsoft.com/office/drawing/2014/main" id="{7EA2A4BC-85EE-8E07-DBBB-226496A4F1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347060</xdr:colOff>
      <xdr:row>8</xdr:row>
      <xdr:rowOff>134664</xdr:rowOff>
    </xdr:from>
    <xdr:to>
      <xdr:col>1</xdr:col>
      <xdr:colOff>908050</xdr:colOff>
      <xdr:row>22</xdr:row>
      <xdr:rowOff>172651</xdr:rowOff>
    </xdr:to>
    <mc:AlternateContent xmlns:mc="http://schemas.openxmlformats.org/markup-compatibility/2006" xmlns:a14="http://schemas.microsoft.com/office/drawing/2010/main">
      <mc:Choice Requires="a14">
        <xdr:graphicFrame macro="">
          <xdr:nvGraphicFramePr>
            <xdr:cNvPr id="4" name="Vehicle">
              <a:extLst>
                <a:ext uri="{FF2B5EF4-FFF2-40B4-BE49-F238E27FC236}">
                  <a16:creationId xmlns:a16="http://schemas.microsoft.com/office/drawing/2014/main" id="{18E437D0-E308-9573-C0A4-9E50FDD51F2A}"/>
                </a:ext>
              </a:extLst>
            </xdr:cNvPr>
            <xdr:cNvGraphicFramePr/>
          </xdr:nvGraphicFramePr>
          <xdr:xfrm>
            <a:off x="0" y="0"/>
            <a:ext cx="0" cy="0"/>
          </xdr:xfrm>
          <a:graphic>
            <a:graphicData uri="http://schemas.microsoft.com/office/drawing/2010/slicer">
              <sle:slicer xmlns:sle="http://schemas.microsoft.com/office/drawing/2010/slicer" name="Vehicle"/>
            </a:graphicData>
          </a:graphic>
        </xdr:graphicFrame>
      </mc:Choice>
      <mc:Fallback xmlns="">
        <xdr:sp macro="" textlink="">
          <xdr:nvSpPr>
            <xdr:cNvPr id="0" name=""/>
            <xdr:cNvSpPr>
              <a:spLocks noTextEdit="1"/>
            </xdr:cNvSpPr>
          </xdr:nvSpPr>
          <xdr:spPr>
            <a:xfrm>
              <a:off x="350235" y="1606112"/>
              <a:ext cx="1822450" cy="261302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478971</xdr:colOff>
      <xdr:row>1</xdr:row>
      <xdr:rowOff>2721</xdr:rowOff>
    </xdr:from>
    <xdr:to>
      <xdr:col>11</xdr:col>
      <xdr:colOff>92529</xdr:colOff>
      <xdr:row>17</xdr:row>
      <xdr:rowOff>97971</xdr:rowOff>
    </xdr:to>
    <xdr:graphicFrame macro="">
      <xdr:nvGraphicFramePr>
        <xdr:cNvPr id="2" name="Chart 1">
          <a:extLst>
            <a:ext uri="{FF2B5EF4-FFF2-40B4-BE49-F238E27FC236}">
              <a16:creationId xmlns:a16="http://schemas.microsoft.com/office/drawing/2014/main" id="{06EEE890-6858-8395-0463-1A2F8457D7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221797</xdr:colOff>
      <xdr:row>10</xdr:row>
      <xdr:rowOff>9978</xdr:rowOff>
    </xdr:from>
    <xdr:to>
      <xdr:col>2</xdr:col>
      <xdr:colOff>316253</xdr:colOff>
      <xdr:row>21</xdr:row>
      <xdr:rowOff>83342</xdr:rowOff>
    </xdr:to>
    <mc:AlternateContent xmlns:mc="http://schemas.openxmlformats.org/markup-compatibility/2006" xmlns:a14="http://schemas.microsoft.com/office/drawing/2010/main">
      <mc:Choice Requires="a14">
        <xdr:graphicFrame macro="">
          <xdr:nvGraphicFramePr>
            <xdr:cNvPr id="3" name="Concierge Agent">
              <a:extLst>
                <a:ext uri="{FF2B5EF4-FFF2-40B4-BE49-F238E27FC236}">
                  <a16:creationId xmlns:a16="http://schemas.microsoft.com/office/drawing/2014/main" id="{7E418BF0-4908-0B6D-3D07-CE0C5E0F43A9}"/>
                </a:ext>
              </a:extLst>
            </xdr:cNvPr>
            <xdr:cNvGraphicFramePr/>
          </xdr:nvGraphicFramePr>
          <xdr:xfrm>
            <a:off x="0" y="0"/>
            <a:ext cx="0" cy="0"/>
          </xdr:xfrm>
          <a:graphic>
            <a:graphicData uri="http://schemas.microsoft.com/office/drawing/2010/slicer">
              <sle:slicer xmlns:sle="http://schemas.microsoft.com/office/drawing/2010/slicer" name="Concierge Agent"/>
            </a:graphicData>
          </a:graphic>
        </xdr:graphicFrame>
      </mc:Choice>
      <mc:Fallback xmlns="">
        <xdr:sp macro="" textlink="">
          <xdr:nvSpPr>
            <xdr:cNvPr id="0" name=""/>
            <xdr:cNvSpPr>
              <a:spLocks noTextEdit="1"/>
            </xdr:cNvSpPr>
          </xdr:nvSpPr>
          <xdr:spPr>
            <a:xfrm>
              <a:off x="218622" y="1792741"/>
              <a:ext cx="1832769" cy="204424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9295</xdr:colOff>
      <xdr:row>4</xdr:row>
      <xdr:rowOff>2184</xdr:rowOff>
    </xdr:from>
    <xdr:to>
      <xdr:col>1</xdr:col>
      <xdr:colOff>2601058</xdr:colOff>
      <xdr:row>20</xdr:row>
      <xdr:rowOff>9525</xdr:rowOff>
    </xdr:to>
    <xdr:graphicFrame macro="">
      <xdr:nvGraphicFramePr>
        <xdr:cNvPr id="2" name="Chart 1">
          <a:extLst>
            <a:ext uri="{FF2B5EF4-FFF2-40B4-BE49-F238E27FC236}">
              <a16:creationId xmlns:a16="http://schemas.microsoft.com/office/drawing/2014/main" id="{B1EC4D4F-C211-4838-8CFB-3D9BB0691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131884</xdr:colOff>
      <xdr:row>4</xdr:row>
      <xdr:rowOff>6350</xdr:rowOff>
    </xdr:from>
    <xdr:to>
      <xdr:col>4</xdr:col>
      <xdr:colOff>6350</xdr:colOff>
      <xdr:row>20</xdr:row>
      <xdr:rowOff>9525</xdr:rowOff>
    </xdr:to>
    <xdr:graphicFrame macro="">
      <xdr:nvGraphicFramePr>
        <xdr:cNvPr id="3" name="Chart 2">
          <a:extLst>
            <a:ext uri="{FF2B5EF4-FFF2-40B4-BE49-F238E27FC236}">
              <a16:creationId xmlns:a16="http://schemas.microsoft.com/office/drawing/2014/main" id="{60C1038F-2F19-423F-9D85-6FDEBCE63F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phen Ilesanmi" refreshedDate="45741.113465277776" createdVersion="8" refreshedVersion="8" minRefreshableVersion="3" recordCount="65" xr:uid="{C6E122BE-44C2-40DE-ACC4-D79B8FFD1BE5}">
  <cacheSource type="worksheet">
    <worksheetSource name="Table1"/>
  </cacheSource>
  <cacheFields count="8">
    <cacheField name="Customer Name" numFmtId="0">
      <sharedItems containsBlank="1"/>
    </cacheField>
    <cacheField name="Transfer Type" numFmtId="0">
      <sharedItems containsBlank="1"/>
    </cacheField>
    <cacheField name="Vehicle" numFmtId="0">
      <sharedItems containsBlank="1" count="9">
        <s v="Rolls Royce Ghost"/>
        <s v="Mercedes Viano"/>
        <s v="Private Jet"/>
        <s v="Tesla Model X"/>
        <s v="Tesl Model X"/>
        <s v="Mercedes"/>
        <m/>
        <s v="Rolls Royce" u="1"/>
        <s v="PrivateJet" u="1"/>
      </sharedItems>
      <fieldGroup par="7"/>
    </cacheField>
    <cacheField name="Feedback" numFmtId="0">
      <sharedItems containsBlank="1"/>
    </cacheField>
    <cacheField name="Rating" numFmtId="0">
      <sharedItems containsString="0" containsBlank="1" containsNumber="1" containsInteger="1" minValue="2" maxValue="11"/>
    </cacheField>
    <cacheField name="Submission Date" numFmtId="0">
      <sharedItems containsDate="1" containsBlank="1" containsMixedTypes="1" minDate="2023-03-02T00:00:00" maxDate="2025-05-06T00:00:00"/>
    </cacheField>
    <cacheField name="Concierge Agent" numFmtId="0">
      <sharedItems containsBlank="1" count="6">
        <m/>
        <s v="Bridget Jackson"/>
        <s v="Emily Fisher"/>
        <s v="Zach Fury"/>
        <s v="Jack Hall"/>
        <s v="Brice Wallace"/>
      </sharedItems>
    </cacheField>
    <cacheField name="Vehicle2" numFmtId="0" databaseField="0">
      <fieldGroup base="2">
        <discretePr count="9">
          <x v="0"/>
          <x v="2"/>
          <x v="1"/>
          <x v="3"/>
          <x v="3"/>
          <x v="2"/>
          <x v="6"/>
          <x v="4"/>
          <x v="5"/>
        </discretePr>
        <groupItems count="7">
          <s v="Rolls Royce Ghost"/>
          <s v="Private Jet"/>
          <s v="Group1"/>
          <s v="Group2"/>
          <s v="Rolls Royce"/>
          <s v="PrivateJet"/>
          <m/>
        </groupItems>
      </fieldGroup>
    </cacheField>
  </cacheFields>
  <extLst>
    <ext xmlns:x14="http://schemas.microsoft.com/office/spreadsheetml/2009/9/main" uri="{725AE2AE-9491-48be-B2B4-4EB974FC3084}">
      <x14:pivotCacheDefinition pivotCacheId="9370521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
  <r>
    <s v="Dennis Bellamy"/>
    <s v="Arrival"/>
    <x v="0"/>
    <s v="Enjoyed the ride, driver was super kind"/>
    <n v="8"/>
    <d v="2023-03-02T00:00:00"/>
    <x v="0"/>
  </r>
  <r>
    <s v="Ben Smith"/>
    <s v="Departure"/>
    <x v="1"/>
    <s v="Food wasn't great, decent hospitality"/>
    <n v="3"/>
    <d v="2025-03-25T00:00:00"/>
    <x v="1"/>
  </r>
  <r>
    <s v="Alicia Holmes"/>
    <s v="Arrival"/>
    <x v="2"/>
    <s v="✈️ Smooth trip but a bit delayed"/>
    <n v="6"/>
    <d v="2025-03-27T00:00:00"/>
    <x v="0"/>
  </r>
  <r>
    <s v="Noah James"/>
    <s v="Departure"/>
    <x v="3"/>
    <s v="Absolutely loved it"/>
    <n v="10"/>
    <d v="2025-03-28T00:00:00"/>
    <x v="2"/>
  </r>
  <r>
    <s v="Zoe Carter"/>
    <s v="Arrival"/>
    <x v="4"/>
    <m/>
    <n v="9"/>
    <d v="2025-03-29T00:00:00"/>
    <x v="0"/>
  </r>
  <r>
    <s v="Lucas Martin"/>
    <s v="Arrival"/>
    <x v="0"/>
    <s v="Driver arrived late"/>
    <n v="4"/>
    <m/>
    <x v="3"/>
  </r>
  <r>
    <s v="Mia Gray"/>
    <s v="Departure"/>
    <x v="1"/>
    <s v="Felt premium, would book again"/>
    <n v="8"/>
    <d v="2025-03-30T00:00:00"/>
    <x v="0"/>
  </r>
  <r>
    <s v="Ethan Cook"/>
    <s v="Departure"/>
    <x v="3"/>
    <m/>
    <m/>
    <d v="2025-04-01T00:00:00"/>
    <x v="2"/>
  </r>
  <r>
    <s v="Emma Turner"/>
    <s v="Arrival"/>
    <x v="5"/>
    <s v="Nice but no welcome drink"/>
    <n v="7"/>
    <d v="2024-04-02T00:00:00"/>
    <x v="3"/>
  </r>
  <r>
    <s v="Jacob Scott"/>
    <s v="Arrival"/>
    <x v="2"/>
    <s v="VIP lounge was amazing"/>
    <n v="11"/>
    <d v="2025-04-03T00:00:00"/>
    <x v="0"/>
  </r>
  <r>
    <s v="Grace Hill"/>
    <s v="Departure"/>
    <x v="1"/>
    <s v="Clean and quiet"/>
    <n v="8"/>
    <d v="2025-04-02T00:00:00"/>
    <x v="0"/>
  </r>
  <r>
    <s v="Ava Bennett"/>
    <s v="Arrival"/>
    <x v="3"/>
    <m/>
    <n v="6"/>
    <d v="2024-04-04T00:00:00"/>
    <x v="1"/>
  </r>
  <r>
    <s v="Logan Young"/>
    <s v="Departure"/>
    <x v="1"/>
    <s v="Great car, but not much leg room"/>
    <n v="5"/>
    <d v="2025-04-05T00:00:00"/>
    <x v="3"/>
  </r>
  <r>
    <s v="Lily Collins"/>
    <s v="Arrival"/>
    <x v="2"/>
    <s v="No complaints"/>
    <m/>
    <d v="2025-04-06T00:00:00"/>
    <x v="2"/>
  </r>
  <r>
    <s v="Oliver Reed"/>
    <s v="Departure"/>
    <x v="0"/>
    <s v="Driver used wrong name"/>
    <n v="7"/>
    <d v="2025-04-06T00:00:00"/>
    <x v="4"/>
  </r>
  <r>
    <s v="Sofia Peterson"/>
    <s v="Arrival"/>
    <x v="0"/>
    <s v="Amazing all through"/>
    <n v="9"/>
    <d v="2025-04-07T00:00:00"/>
    <x v="0"/>
  </r>
  <r>
    <s v="William Ross"/>
    <s v="Arrival"/>
    <x v="1"/>
    <s v="A/C was broken"/>
    <n v="3"/>
    <d v="2025-04-08T00:00:00"/>
    <x v="3"/>
  </r>
  <r>
    <s v="Emily Moore"/>
    <s v="Departure"/>
    <x v="3"/>
    <s v="✨ Very stylish vehicle"/>
    <n v="8"/>
    <d v="2025-04-08T00:00:00"/>
    <x v="0"/>
  </r>
  <r>
    <s v="Logan Bell"/>
    <s v="Arrival"/>
    <x v="1"/>
    <m/>
    <n v="2"/>
    <s v="invalid_date"/>
    <x v="3"/>
  </r>
  <r>
    <s v="Natalie Diaz"/>
    <s v="Departure"/>
    <x v="0"/>
    <s v="Luxurious and clean"/>
    <n v="10"/>
    <d v="2025-04-09T00:00:00"/>
    <x v="0"/>
  </r>
  <r>
    <s v="Elijah Grant"/>
    <s v="Departure"/>
    <x v="3"/>
    <m/>
    <n v="6"/>
    <d v="2025-04-10T00:00:00"/>
    <x v="4"/>
  </r>
  <r>
    <s v="Ava Ramirez"/>
    <s v="Arrival"/>
    <x v="2"/>
    <s v="Forgot to stock champagne"/>
    <n v="5"/>
    <d v="2025-04-10T00:00:00"/>
    <x v="0"/>
  </r>
  <r>
    <s v="Carter Hayes"/>
    <s v="Departure"/>
    <x v="0"/>
    <s v="Driver smelled of smoke"/>
    <n v="3"/>
    <d v="2025-04-11T00:00:00"/>
    <x v="5"/>
  </r>
  <r>
    <s v="Ivy Clark"/>
    <s v="Arrival"/>
    <x v="1"/>
    <s v="Wonderful driver, Wi-Fi was slow"/>
    <m/>
    <d v="2025-04-12T00:00:00"/>
    <x v="2"/>
  </r>
  <r>
    <s v="Isaac Turner"/>
    <s v="Departure"/>
    <x v="3"/>
    <m/>
    <n v="7"/>
    <d v="2025-04-12T00:00:00"/>
    <x v="0"/>
  </r>
  <r>
    <s v="Mason Smith"/>
    <s v="Arrival"/>
    <x v="3"/>
    <s v="Driver took scenic route"/>
    <n v="9"/>
    <d v="2025-05-05T00:00:00"/>
    <x v="5"/>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r>
    <m/>
    <m/>
    <x v="6"/>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E87B74-7398-474F-BDD1-58A69E29ACA1}" name="PivotTable2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8" firstHeaderRow="1" firstDataRow="1" firstDataCol="1"/>
  <pivotFields count="8">
    <pivotField dataField="1" showAll="0"/>
    <pivotField showAll="0"/>
    <pivotField axis="axisRow" showAll="0">
      <items count="10">
        <item x="5"/>
        <item x="1"/>
        <item x="2"/>
        <item x="0"/>
        <item x="4"/>
        <item x="3"/>
        <item m="1" x="7"/>
        <item m="1" x="8"/>
        <item h="1" x="6"/>
        <item t="default"/>
      </items>
    </pivotField>
    <pivotField showAll="0"/>
    <pivotField showAll="0"/>
    <pivotField showAll="0"/>
    <pivotField showAll="0"/>
    <pivotField axis="axisRow" showAll="0" sortType="ascending">
      <items count="8">
        <item n="Mercedes" sd="0" x="2"/>
        <item sd="0" x="1"/>
        <item sd="0" x="0"/>
        <item n="Tesla" sd="0" x="3"/>
        <item sd="0" x="4"/>
        <item sd="0" x="5"/>
        <item sd="0" x="6"/>
        <item t="default"/>
      </items>
      <autoSortScope>
        <pivotArea dataOnly="0" outline="0" fieldPosition="0">
          <references count="1">
            <reference field="4294967294" count="1" selected="0">
              <x v="0"/>
            </reference>
          </references>
        </pivotArea>
      </autoSortScope>
    </pivotField>
  </pivotFields>
  <rowFields count="2">
    <field x="7"/>
    <field x="2"/>
  </rowFields>
  <rowItems count="5">
    <i>
      <x v="1"/>
    </i>
    <i>
      <x v="2"/>
    </i>
    <i>
      <x/>
    </i>
    <i>
      <x v="3"/>
    </i>
    <i t="grand">
      <x/>
    </i>
  </rowItems>
  <colItems count="1">
    <i/>
  </colItems>
  <dataFields count="1">
    <dataField name="Customer Count" fld="0" subtotal="count" baseField="0" baseItem="0"/>
  </dataFields>
  <chartFormats count="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7" count="1" selected="0">
            <x v="0"/>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4AE74B-59BC-45F5-B76B-8FC35E37D1D7}" name="PivotTable2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8">
    <pivotField showAll="0"/>
    <pivotField showAll="0"/>
    <pivotField showAll="0">
      <items count="10">
        <item x="5"/>
        <item x="1"/>
        <item x="2"/>
        <item x="0"/>
        <item x="4"/>
        <item x="3"/>
        <item m="1" x="7"/>
        <item m="1" x="8"/>
        <item x="6"/>
        <item t="default"/>
      </items>
    </pivotField>
    <pivotField showAll="0"/>
    <pivotField dataField="1" showAll="0"/>
    <pivotField showAll="0"/>
    <pivotField axis="axisRow" showAll="0">
      <items count="7">
        <item x="5"/>
        <item x="1"/>
        <item x="2"/>
        <item x="4"/>
        <item x="3"/>
        <item h="1" x="0"/>
        <item t="default"/>
      </items>
    </pivotField>
    <pivotField showAll="0" defaultSubtotal="0">
      <items count="7">
        <item x="0"/>
        <item x="1"/>
        <item x="2"/>
        <item x="3"/>
        <item x="4"/>
        <item x="5"/>
        <item x="6"/>
      </items>
    </pivotField>
  </pivotFields>
  <rowFields count="1">
    <field x="6"/>
  </rowFields>
  <rowItems count="6">
    <i>
      <x/>
    </i>
    <i>
      <x v="1"/>
    </i>
    <i>
      <x v="2"/>
    </i>
    <i>
      <x v="3"/>
    </i>
    <i>
      <x v="4"/>
    </i>
    <i t="grand">
      <x/>
    </i>
  </rowItems>
  <colItems count="1">
    <i/>
  </colItems>
  <dataFields count="1">
    <dataField name="Most Ratings" fld="4" baseField="0" baseItem="0"/>
  </dataFields>
  <chartFormats count="9">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6" count="1" selected="0">
            <x v="4"/>
          </reference>
        </references>
      </pivotArea>
    </chartFormat>
    <chartFormat chart="1" format="3">
      <pivotArea type="data" outline="0" fieldPosition="0">
        <references count="2">
          <reference field="4294967294" count="1" selected="0">
            <x v="0"/>
          </reference>
          <reference field="6" count="1" selected="0">
            <x v="3"/>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6" count="1" selected="0">
            <x v="0"/>
          </reference>
        </references>
      </pivotArea>
    </chartFormat>
    <chartFormat chart="4" format="12">
      <pivotArea type="data" outline="0" fieldPosition="0">
        <references count="2">
          <reference field="4294967294" count="1" selected="0">
            <x v="0"/>
          </reference>
          <reference field="6" count="1" selected="0">
            <x v="1"/>
          </reference>
        </references>
      </pivotArea>
    </chartFormat>
    <chartFormat chart="4" format="13">
      <pivotArea type="data" outline="0" fieldPosition="0">
        <references count="2">
          <reference field="4294967294" count="1" selected="0">
            <x v="0"/>
          </reference>
          <reference field="6" count="1" selected="0">
            <x v="2"/>
          </reference>
        </references>
      </pivotArea>
    </chartFormat>
    <chartFormat chart="4" format="14">
      <pivotArea type="data" outline="0" fieldPosition="0">
        <references count="2">
          <reference field="4294967294" count="1" selected="0">
            <x v="0"/>
          </reference>
          <reference field="6" count="1" selected="0">
            <x v="3"/>
          </reference>
        </references>
      </pivotArea>
    </chartFormat>
    <chartFormat chart="4" format="15">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cierge_Agent" xr10:uid="{EFE83046-AF5D-435E-91AC-C7E563738A6F}" sourceName="Concierge Agent">
  <pivotTables>
    <pivotTable tabId="5" name="PivotTable26"/>
  </pivotTables>
  <data>
    <tabular pivotCacheId="937052152">
      <items count="6">
        <i x="5" s="1"/>
        <i x="1" s="1"/>
        <i x="2" s="1"/>
        <i x="4" s="1"/>
        <i x="3" s="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 xr10:uid="{DE5B5699-DE78-4105-B24E-01B902E37C36}" sourceName="Vehicle">
  <pivotTables>
    <pivotTable tabId="4" name="PivotTable25"/>
  </pivotTables>
  <data>
    <tabular pivotCacheId="937052152">
      <items count="9">
        <i x="5" s="1"/>
        <i x="1" s="1"/>
        <i x="2" s="1"/>
        <i x="0" s="1"/>
        <i x="4" s="1"/>
        <i x="3" s="1"/>
        <i x="8" s="1" nd="1"/>
        <i x="7" s="1" nd="1"/>
        <i x="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hicle" xr10:uid="{9CBC3262-61BE-4C04-9C1A-13789E693BAC}" cache="Slicer_Vehicle" caption="Vehicle" startItem="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cierge Agent" xr10:uid="{D430665F-68FA-4DCD-84F2-28DBAD946EFD}" cache="Slicer_Concierge_Agent" caption="Concierge Agent"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8CFE7D-2149-41D4-8C1C-F5EEAF520508}" name="Table1" displayName="Table1" ref="A1:G66" totalsRowShown="0">
  <autoFilter ref="A1:G66" xr:uid="{618CFE7D-2149-41D4-8C1C-F5EEAF520508}"/>
  <tableColumns count="7">
    <tableColumn id="1" xr3:uid="{5FEABE62-10C9-4EAA-A9B4-11D646B5C0D4}" name="Customer Name"/>
    <tableColumn id="2" xr3:uid="{AB893BC5-C6C5-4CC7-AED6-112C7CC8AE26}" name="Transfer Type"/>
    <tableColumn id="3" xr3:uid="{C329F612-9E34-4BFC-B279-F81CACDA7AC1}" name="Vehicle"/>
    <tableColumn id="4" xr3:uid="{7B521826-EA29-48D9-A2CD-5D7D63B2372C}" name="Feedback"/>
    <tableColumn id="7" xr3:uid="{2E9961EE-3AFE-4788-9CE7-15DEF8E9AA06}" name="Rating"/>
    <tableColumn id="5" xr3:uid="{8558D110-F4D6-474B-8DA7-CD3C4C9BE6D9}" name="Submission Date"/>
    <tableColumn id="6" xr3:uid="{B184F3BA-D4D1-4BA1-8CC7-39B2AA39166B}" name="Concierge Agent"/>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7C6D4-99B0-4C11-9A34-19B4DCC5102A}">
  <dimension ref="B1:M33"/>
  <sheetViews>
    <sheetView showGridLines="0" zoomScaleNormal="100" workbookViewId="0">
      <selection activeCell="D33" sqref="D33:F33"/>
    </sheetView>
  </sheetViews>
  <sheetFormatPr defaultRowHeight="14.5" x14ac:dyDescent="0.35"/>
  <cols>
    <col min="3" max="3" width="9.81640625" customWidth="1"/>
    <col min="4" max="4" width="22.08984375" customWidth="1"/>
    <col min="5" max="5" width="38.453125" customWidth="1"/>
    <col min="6" max="6" width="33.7265625" customWidth="1"/>
    <col min="7" max="7" width="13.08984375" customWidth="1"/>
    <col min="10" max="10" width="12" customWidth="1"/>
    <col min="11" max="11" width="15.6328125" bestFit="1" customWidth="1"/>
    <col min="12" max="12" width="14.453125" bestFit="1" customWidth="1"/>
  </cols>
  <sheetData>
    <row r="1" spans="2:13" x14ac:dyDescent="0.35">
      <c r="J1" s="4" t="s">
        <v>1</v>
      </c>
      <c r="K1" s="4" t="s">
        <v>2</v>
      </c>
      <c r="L1" s="4" t="s">
        <v>5</v>
      </c>
    </row>
    <row r="2" spans="2:13" ht="28.5" x14ac:dyDescent="0.65">
      <c r="B2" s="18" t="s">
        <v>0</v>
      </c>
      <c r="C2" s="18"/>
      <c r="D2" s="18"/>
      <c r="E2" s="18"/>
      <c r="F2" s="18"/>
      <c r="G2" s="18"/>
      <c r="J2" s="3" t="s">
        <v>6</v>
      </c>
      <c r="K2" s="3" t="s">
        <v>8</v>
      </c>
      <c r="L2" s="3" t="s">
        <v>14</v>
      </c>
    </row>
    <row r="3" spans="2:13" x14ac:dyDescent="0.35">
      <c r="B3" s="1"/>
      <c r="C3" s="1"/>
      <c r="D3" s="1"/>
      <c r="E3" s="1"/>
      <c r="F3" s="1"/>
      <c r="G3" s="1"/>
      <c r="J3" s="3" t="s">
        <v>7</v>
      </c>
      <c r="K3" s="3" t="s">
        <v>9</v>
      </c>
      <c r="L3" s="3" t="s">
        <v>18</v>
      </c>
      <c r="M3" s="3"/>
    </row>
    <row r="4" spans="2:13" x14ac:dyDescent="0.35">
      <c r="B4" s="1"/>
      <c r="C4" s="1"/>
      <c r="D4" s="1"/>
      <c r="E4" s="1"/>
      <c r="F4" s="1"/>
      <c r="G4" s="1"/>
      <c r="J4" s="3"/>
      <c r="K4" s="3" t="s">
        <v>10</v>
      </c>
      <c r="L4" s="3" t="s">
        <v>16</v>
      </c>
    </row>
    <row r="5" spans="2:13" x14ac:dyDescent="0.35">
      <c r="B5" s="1"/>
      <c r="C5" s="17" t="s">
        <v>12</v>
      </c>
      <c r="D5" s="17"/>
      <c r="E5" s="1"/>
      <c r="F5" s="2" t="s">
        <v>22</v>
      </c>
      <c r="G5" s="1"/>
      <c r="J5" s="3"/>
      <c r="K5" s="3" t="s">
        <v>11</v>
      </c>
      <c r="L5" s="3" t="s">
        <v>17</v>
      </c>
    </row>
    <row r="6" spans="2:13" x14ac:dyDescent="0.35">
      <c r="B6" s="1"/>
      <c r="C6" s="1"/>
      <c r="D6" s="1"/>
      <c r="E6" s="1"/>
      <c r="F6" s="1"/>
      <c r="G6" s="1"/>
      <c r="J6" s="3"/>
      <c r="K6" s="3"/>
      <c r="L6" s="3" t="s">
        <v>15</v>
      </c>
    </row>
    <row r="7" spans="2:13" x14ac:dyDescent="0.35">
      <c r="B7" s="1"/>
      <c r="C7" s="1"/>
      <c r="D7" s="1"/>
      <c r="E7" s="1"/>
      <c r="F7" s="1"/>
      <c r="G7" s="1"/>
    </row>
    <row r="8" spans="2:13" x14ac:dyDescent="0.35">
      <c r="B8" s="1"/>
      <c r="C8" s="17" t="s">
        <v>1</v>
      </c>
      <c r="D8" s="17"/>
      <c r="E8" s="1"/>
      <c r="F8" s="2" t="s">
        <v>6</v>
      </c>
      <c r="G8" s="1"/>
    </row>
    <row r="9" spans="2:13" x14ac:dyDescent="0.35">
      <c r="B9" s="1"/>
      <c r="C9" s="1"/>
      <c r="D9" s="1"/>
      <c r="E9" s="1"/>
      <c r="F9" s="1"/>
      <c r="G9" s="1"/>
    </row>
    <row r="10" spans="2:13" x14ac:dyDescent="0.35">
      <c r="B10" s="1"/>
      <c r="C10" s="1"/>
      <c r="D10" s="1"/>
      <c r="E10" s="1"/>
      <c r="F10" s="1"/>
      <c r="G10" s="1"/>
    </row>
    <row r="11" spans="2:13" x14ac:dyDescent="0.35">
      <c r="B11" s="1"/>
      <c r="C11" s="17" t="s">
        <v>2</v>
      </c>
      <c r="D11" s="17"/>
      <c r="E11" s="1"/>
      <c r="F11" s="2" t="s">
        <v>10</v>
      </c>
      <c r="G11" s="1"/>
    </row>
    <row r="12" spans="2:13" x14ac:dyDescent="0.35">
      <c r="B12" s="1"/>
      <c r="C12" s="1"/>
      <c r="D12" s="1"/>
      <c r="E12" s="1"/>
      <c r="F12" s="1"/>
      <c r="G12" s="1"/>
    </row>
    <row r="13" spans="2:13" x14ac:dyDescent="0.35">
      <c r="B13" s="1"/>
      <c r="C13" s="1"/>
      <c r="D13" s="1"/>
      <c r="E13" s="1"/>
      <c r="F13" s="1"/>
      <c r="G13" s="1"/>
    </row>
    <row r="14" spans="2:13" x14ac:dyDescent="0.35">
      <c r="B14" s="1"/>
      <c r="C14" s="17" t="s">
        <v>3</v>
      </c>
      <c r="D14" s="17"/>
      <c r="E14" s="1"/>
      <c r="F14" s="2" t="s">
        <v>23</v>
      </c>
      <c r="G14" s="1"/>
    </row>
    <row r="15" spans="2:13" x14ac:dyDescent="0.35">
      <c r="B15" s="1"/>
      <c r="C15" s="1"/>
      <c r="D15" s="1"/>
      <c r="E15" s="1"/>
      <c r="F15" s="1"/>
      <c r="G15" s="1"/>
    </row>
    <row r="16" spans="2:13" x14ac:dyDescent="0.35">
      <c r="B16" s="1"/>
      <c r="C16" s="1"/>
      <c r="D16" s="1"/>
      <c r="E16" s="1"/>
      <c r="F16" s="1"/>
      <c r="G16" s="1"/>
    </row>
    <row r="17" spans="2:7" x14ac:dyDescent="0.35">
      <c r="B17" s="1"/>
      <c r="C17" s="17" t="s">
        <v>20</v>
      </c>
      <c r="D17" s="17"/>
      <c r="E17" s="1"/>
      <c r="F17" s="2">
        <v>8</v>
      </c>
      <c r="G17" s="1"/>
    </row>
    <row r="18" spans="2:7" x14ac:dyDescent="0.35">
      <c r="B18" s="1"/>
      <c r="C18" s="1"/>
      <c r="D18" s="1"/>
      <c r="E18" s="1"/>
      <c r="F18" s="1"/>
      <c r="G18" s="1"/>
    </row>
    <row r="19" spans="2:7" x14ac:dyDescent="0.35">
      <c r="B19" s="1"/>
      <c r="C19" s="1"/>
      <c r="D19" s="1"/>
      <c r="E19" s="1"/>
      <c r="F19" s="1"/>
      <c r="G19" s="1"/>
    </row>
    <row r="20" spans="2:7" x14ac:dyDescent="0.35">
      <c r="B20" s="1"/>
      <c r="C20" s="17" t="s">
        <v>4</v>
      </c>
      <c r="D20" s="17"/>
      <c r="E20" s="1"/>
      <c r="F20" s="6">
        <v>44987</v>
      </c>
      <c r="G20" s="1"/>
    </row>
    <row r="21" spans="2:7" x14ac:dyDescent="0.35">
      <c r="B21" s="1"/>
      <c r="C21" s="1"/>
      <c r="D21" s="1"/>
      <c r="E21" s="1"/>
      <c r="F21" s="1"/>
      <c r="G21" s="1"/>
    </row>
    <row r="22" spans="2:7" x14ac:dyDescent="0.35">
      <c r="B22" s="1"/>
      <c r="C22" s="1"/>
      <c r="D22" s="1"/>
      <c r="E22" s="1"/>
      <c r="F22" s="1"/>
      <c r="G22" s="1"/>
    </row>
    <row r="23" spans="2:7" x14ac:dyDescent="0.35">
      <c r="B23" s="1"/>
      <c r="C23" s="17" t="s">
        <v>5</v>
      </c>
      <c r="D23" s="17"/>
      <c r="E23" s="1"/>
      <c r="F23" s="2" t="s">
        <v>16</v>
      </c>
      <c r="G23" s="1"/>
    </row>
    <row r="24" spans="2:7" x14ac:dyDescent="0.35">
      <c r="B24" s="1"/>
      <c r="C24" s="1"/>
      <c r="D24" s="1"/>
      <c r="E24" s="1"/>
      <c r="F24" s="1"/>
      <c r="G24" s="1"/>
    </row>
    <row r="25" spans="2:7" x14ac:dyDescent="0.35">
      <c r="B25" s="1"/>
      <c r="C25" s="1"/>
      <c r="D25" s="1"/>
      <c r="E25" s="1"/>
      <c r="F25" s="1"/>
      <c r="G25" s="1"/>
    </row>
    <row r="26" spans="2:7" x14ac:dyDescent="0.35">
      <c r="B26" s="1"/>
      <c r="C26" s="1"/>
      <c r="D26" s="1"/>
      <c r="E26" s="1"/>
      <c r="F26" s="1"/>
      <c r="G26" s="1"/>
    </row>
    <row r="27" spans="2:7" x14ac:dyDescent="0.35">
      <c r="B27" s="1"/>
      <c r="C27" s="1"/>
      <c r="D27" s="1"/>
      <c r="E27" s="1"/>
      <c r="F27" s="1"/>
      <c r="G27" s="1"/>
    </row>
    <row r="28" spans="2:7" x14ac:dyDescent="0.35">
      <c r="B28" s="1"/>
      <c r="C28" s="1"/>
      <c r="D28" s="1"/>
      <c r="E28" s="1"/>
      <c r="F28" s="1"/>
      <c r="G28" s="1"/>
    </row>
    <row r="29" spans="2:7" x14ac:dyDescent="0.35">
      <c r="B29" s="1"/>
      <c r="C29" s="1"/>
      <c r="D29" s="1"/>
      <c r="E29" s="1"/>
      <c r="F29" s="1"/>
      <c r="G29" s="1"/>
    </row>
    <row r="30" spans="2:7" x14ac:dyDescent="0.35">
      <c r="B30" s="1"/>
      <c r="C30" s="1"/>
      <c r="D30" s="1"/>
      <c r="E30" s="1"/>
      <c r="F30" s="1"/>
      <c r="G30" s="1"/>
    </row>
    <row r="32" spans="2:7" ht="18.5" x14ac:dyDescent="0.45">
      <c r="D32" s="16" t="str">
        <f>IF(OR(F5="",F8="",F11="",F17="",F20="",F23=""),"Incomplete","Complete")</f>
        <v>Complete</v>
      </c>
      <c r="E32" s="16"/>
      <c r="F32" s="16"/>
    </row>
    <row r="33" spans="4:6" ht="23.5" x14ac:dyDescent="0.55000000000000004">
      <c r="D33" s="15" t="str">
        <f>IF(D32="Complete","Ready to submit", "Please complete all fields...")</f>
        <v>Ready to submit</v>
      </c>
      <c r="E33" s="15"/>
      <c r="F33" s="15"/>
    </row>
  </sheetData>
  <mergeCells count="10">
    <mergeCell ref="D33:F33"/>
    <mergeCell ref="D32:F32"/>
    <mergeCell ref="C14:D14"/>
    <mergeCell ref="B2:G2"/>
    <mergeCell ref="C23:D23"/>
    <mergeCell ref="C20:D20"/>
    <mergeCell ref="C17:D17"/>
    <mergeCell ref="C11:D11"/>
    <mergeCell ref="C8:D8"/>
    <mergeCell ref="C5:D5"/>
  </mergeCells>
  <conditionalFormatting sqref="D33:F33">
    <cfRule type="containsText" dxfId="1" priority="1" operator="containsText" text="Ready to submit">
      <formula>NOT(ISERROR(SEARCH("Ready to submit",D33)))</formula>
    </cfRule>
    <cfRule type="containsText" dxfId="0" priority="2" operator="containsText" text="Please complete all fields...">
      <formula>NOT(ISERROR(SEARCH("Please complete all fields...",D33)))</formula>
    </cfRule>
  </conditionalFormatting>
  <dataValidations count="4">
    <dataValidation type="list" allowBlank="1" showInputMessage="1" showErrorMessage="1" sqref="F8" xr:uid="{9F4ACAD6-09C9-4BAC-B694-23E2DE68C778}">
      <formula1>$J$2:$J$3</formula1>
    </dataValidation>
    <dataValidation type="list" allowBlank="1" showInputMessage="1" showErrorMessage="1" sqref="F11" xr:uid="{607AC027-671F-4FDA-B073-EAEA399234B7}">
      <formula1>$K$2:$K$5</formula1>
    </dataValidation>
    <dataValidation type="list" allowBlank="1" showInputMessage="1" showErrorMessage="1" sqref="F23" xr:uid="{2EC0CAA6-8CC2-4684-AEE1-21421A75848C}">
      <formula1>$L$2:$L$6</formula1>
    </dataValidation>
    <dataValidation type="whole" allowBlank="1" showInputMessage="1" showErrorMessage="1" sqref="F17" xr:uid="{EC4C43BC-5D6A-4FA8-A115-39AB1D9E5DCD}">
      <formula1>1</formula1>
      <formula2>10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SubmitFeedback">
                <anchor moveWithCells="1" sizeWithCells="1">
                  <from>
                    <xdr:col>4</xdr:col>
                    <xdr:colOff>139700</xdr:colOff>
                    <xdr:row>24</xdr:row>
                    <xdr:rowOff>127000</xdr:rowOff>
                  </from>
                  <to>
                    <xdr:col>4</xdr:col>
                    <xdr:colOff>2667000</xdr:colOff>
                    <xdr:row>29</xdr:row>
                    <xdr:rowOff>0</xdr:rowOff>
                  </to>
                </anchor>
              </controlPr>
            </control>
          </mc:Choice>
        </mc:AlternateContent>
        <mc:AlternateContent xmlns:mc="http://schemas.openxmlformats.org/markup-compatibility/2006">
          <mc:Choice Requires="x14">
            <control shapeId="1027" r:id="rId4" name="Button 3">
              <controlPr defaultSize="0" print="0" autoFill="0" autoPict="0" macro="[0]!ClearFeedbackForm">
                <anchor moveWithCells="1" sizeWithCells="1">
                  <from>
                    <xdr:col>8</xdr:col>
                    <xdr:colOff>368300</xdr:colOff>
                    <xdr:row>23</xdr:row>
                    <xdr:rowOff>127000</xdr:rowOff>
                  </from>
                  <to>
                    <xdr:col>11</xdr:col>
                    <xdr:colOff>723900</xdr:colOff>
                    <xdr:row>29</xdr:row>
                    <xdr:rowOff>69850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5065C-F100-42D5-93BC-21A69A46A988}">
  <dimension ref="A1:R66"/>
  <sheetViews>
    <sheetView zoomScale="145" zoomScaleNormal="145" workbookViewId="0">
      <selection activeCell="A2" sqref="A2"/>
    </sheetView>
  </sheetViews>
  <sheetFormatPr defaultRowHeight="14.5" x14ac:dyDescent="0.35"/>
  <cols>
    <col min="1" max="1" width="17" bestFit="1" customWidth="1"/>
    <col min="2" max="2" width="14.90625" bestFit="1" customWidth="1"/>
    <col min="3" max="3" width="15.6328125" bestFit="1" customWidth="1"/>
    <col min="4" max="4" width="31.6328125" bestFit="1" customWidth="1"/>
    <col min="5" max="5" width="9.36328125" bestFit="1" customWidth="1"/>
    <col min="6" max="6" width="18.08984375" bestFit="1" customWidth="1"/>
    <col min="7" max="7" width="17.08984375" bestFit="1" customWidth="1"/>
  </cols>
  <sheetData>
    <row r="1" spans="1:18" x14ac:dyDescent="0.35">
      <c r="A1" t="s">
        <v>12</v>
      </c>
      <c r="B1" t="s">
        <v>1</v>
      </c>
      <c r="C1" t="s">
        <v>2</v>
      </c>
      <c r="D1" t="s">
        <v>3</v>
      </c>
      <c r="E1" t="s">
        <v>19</v>
      </c>
      <c r="F1" t="s">
        <v>4</v>
      </c>
      <c r="G1" t="s">
        <v>5</v>
      </c>
      <c r="J1" s="2"/>
      <c r="L1" s="2"/>
      <c r="M1" s="2"/>
      <c r="N1" s="2"/>
      <c r="O1" s="2"/>
      <c r="P1" s="2"/>
      <c r="Q1" s="6"/>
      <c r="R1" s="2"/>
    </row>
    <row r="2" spans="1:18" x14ac:dyDescent="0.35">
      <c r="A2" s="2" t="s">
        <v>22</v>
      </c>
      <c r="B2" s="2" t="s">
        <v>6</v>
      </c>
      <c r="C2" s="2" t="s">
        <v>26</v>
      </c>
      <c r="D2" s="2" t="s">
        <v>23</v>
      </c>
      <c r="E2" s="2">
        <v>8</v>
      </c>
      <c r="F2" s="6">
        <v>44987</v>
      </c>
      <c r="G2" s="2"/>
      <c r="J2" s="2"/>
    </row>
    <row r="3" spans="1:18" x14ac:dyDescent="0.35">
      <c r="A3" s="2" t="s">
        <v>13</v>
      </c>
      <c r="B3" s="2" t="s">
        <v>7</v>
      </c>
      <c r="C3" s="2" t="s">
        <v>8</v>
      </c>
      <c r="D3" s="2" t="s">
        <v>21</v>
      </c>
      <c r="E3" s="2">
        <v>3</v>
      </c>
      <c r="F3" s="6">
        <v>45741</v>
      </c>
      <c r="G3" s="2" t="s">
        <v>17</v>
      </c>
      <c r="J3" s="2"/>
    </row>
    <row r="4" spans="1:18" x14ac:dyDescent="0.35">
      <c r="A4" t="s">
        <v>27</v>
      </c>
      <c r="B4" t="s">
        <v>6</v>
      </c>
      <c r="C4" t="s">
        <v>28</v>
      </c>
      <c r="D4" t="s">
        <v>29</v>
      </c>
      <c r="E4">
        <v>6</v>
      </c>
      <c r="F4" s="10">
        <v>45743</v>
      </c>
      <c r="J4" s="2"/>
    </row>
    <row r="5" spans="1:18" x14ac:dyDescent="0.35">
      <c r="A5" t="s">
        <v>30</v>
      </c>
      <c r="B5" t="s">
        <v>7</v>
      </c>
      <c r="C5" t="s">
        <v>31</v>
      </c>
      <c r="D5" t="s">
        <v>32</v>
      </c>
      <c r="E5">
        <v>10</v>
      </c>
      <c r="F5" s="10">
        <v>45744</v>
      </c>
      <c r="G5" t="s">
        <v>18</v>
      </c>
      <c r="J5" s="2"/>
    </row>
    <row r="6" spans="1:18" x14ac:dyDescent="0.35">
      <c r="A6" t="s">
        <v>33</v>
      </c>
      <c r="B6" t="s">
        <v>6</v>
      </c>
      <c r="C6" t="s">
        <v>34</v>
      </c>
      <c r="E6">
        <v>9</v>
      </c>
      <c r="F6" s="10">
        <v>45745</v>
      </c>
      <c r="J6" s="6"/>
    </row>
    <row r="7" spans="1:18" x14ac:dyDescent="0.35">
      <c r="A7" t="s">
        <v>35</v>
      </c>
      <c r="B7" t="s">
        <v>6</v>
      </c>
      <c r="C7" t="s">
        <v>26</v>
      </c>
      <c r="D7" t="s">
        <v>36</v>
      </c>
      <c r="E7">
        <v>4</v>
      </c>
      <c r="G7" t="s">
        <v>16</v>
      </c>
      <c r="J7" s="2"/>
    </row>
    <row r="8" spans="1:18" x14ac:dyDescent="0.35">
      <c r="A8" t="s">
        <v>37</v>
      </c>
      <c r="B8" t="s">
        <v>7</v>
      </c>
      <c r="C8" t="s">
        <v>8</v>
      </c>
      <c r="D8" t="s">
        <v>38</v>
      </c>
      <c r="E8">
        <v>8</v>
      </c>
      <c r="F8" s="10">
        <v>45746</v>
      </c>
    </row>
    <row r="9" spans="1:18" x14ac:dyDescent="0.35">
      <c r="A9" t="s">
        <v>39</v>
      </c>
      <c r="B9" t="s">
        <v>7</v>
      </c>
      <c r="C9" t="s">
        <v>31</v>
      </c>
      <c r="F9" s="10">
        <v>45748</v>
      </c>
      <c r="G9" t="s">
        <v>18</v>
      </c>
    </row>
    <row r="10" spans="1:18" x14ac:dyDescent="0.35">
      <c r="A10" t="s">
        <v>40</v>
      </c>
      <c r="B10" t="s">
        <v>6</v>
      </c>
      <c r="C10" t="s">
        <v>41</v>
      </c>
      <c r="D10" t="s">
        <v>42</v>
      </c>
      <c r="E10">
        <v>7</v>
      </c>
      <c r="F10" s="10">
        <v>45384</v>
      </c>
      <c r="G10" t="s">
        <v>16</v>
      </c>
    </row>
    <row r="11" spans="1:18" x14ac:dyDescent="0.35">
      <c r="A11" t="s">
        <v>43</v>
      </c>
      <c r="B11" t="s">
        <v>6</v>
      </c>
      <c r="C11" t="s">
        <v>28</v>
      </c>
      <c r="D11" t="s">
        <v>44</v>
      </c>
      <c r="E11">
        <v>11</v>
      </c>
      <c r="F11" s="10">
        <v>45750</v>
      </c>
    </row>
    <row r="12" spans="1:18" x14ac:dyDescent="0.35">
      <c r="A12" t="s">
        <v>45</v>
      </c>
      <c r="B12" t="s">
        <v>7</v>
      </c>
      <c r="C12" t="s">
        <v>8</v>
      </c>
      <c r="D12" t="s">
        <v>46</v>
      </c>
      <c r="E12">
        <v>8</v>
      </c>
      <c r="F12" s="10">
        <v>45749</v>
      </c>
    </row>
    <row r="13" spans="1:18" x14ac:dyDescent="0.35">
      <c r="A13" t="s">
        <v>47</v>
      </c>
      <c r="B13" t="s">
        <v>6</v>
      </c>
      <c r="C13" t="s">
        <v>31</v>
      </c>
      <c r="E13">
        <v>6</v>
      </c>
      <c r="F13" s="10">
        <v>45386</v>
      </c>
      <c r="G13" t="s">
        <v>17</v>
      </c>
    </row>
    <row r="14" spans="1:18" x14ac:dyDescent="0.35">
      <c r="A14" t="s">
        <v>48</v>
      </c>
      <c r="B14" t="s">
        <v>7</v>
      </c>
      <c r="C14" t="s">
        <v>8</v>
      </c>
      <c r="D14" t="s">
        <v>49</v>
      </c>
      <c r="E14">
        <v>5</v>
      </c>
      <c r="F14" s="10">
        <v>45752</v>
      </c>
      <c r="G14" t="s">
        <v>16</v>
      </c>
    </row>
    <row r="15" spans="1:18" x14ac:dyDescent="0.35">
      <c r="A15" t="s">
        <v>50</v>
      </c>
      <c r="B15" t="s">
        <v>6</v>
      </c>
      <c r="C15" t="s">
        <v>28</v>
      </c>
      <c r="D15" t="s">
        <v>51</v>
      </c>
      <c r="F15" s="10">
        <v>45753</v>
      </c>
      <c r="G15" t="s">
        <v>18</v>
      </c>
    </row>
    <row r="16" spans="1:18" x14ac:dyDescent="0.35">
      <c r="A16" t="s">
        <v>52</v>
      </c>
      <c r="B16" t="s">
        <v>7</v>
      </c>
      <c r="C16" t="s">
        <v>26</v>
      </c>
      <c r="D16" t="s">
        <v>53</v>
      </c>
      <c r="E16">
        <v>7</v>
      </c>
      <c r="F16" s="10">
        <v>45753</v>
      </c>
      <c r="G16" t="s">
        <v>14</v>
      </c>
    </row>
    <row r="17" spans="1:7" x14ac:dyDescent="0.35">
      <c r="A17" t="s">
        <v>54</v>
      </c>
      <c r="B17" t="s">
        <v>6</v>
      </c>
      <c r="C17" t="s">
        <v>26</v>
      </c>
      <c r="D17" t="s">
        <v>55</v>
      </c>
      <c r="E17">
        <v>9</v>
      </c>
      <c r="F17" s="10">
        <v>45754</v>
      </c>
    </row>
    <row r="18" spans="1:7" x14ac:dyDescent="0.35">
      <c r="A18" t="s">
        <v>56</v>
      </c>
      <c r="B18" t="s">
        <v>6</v>
      </c>
      <c r="C18" t="s">
        <v>8</v>
      </c>
      <c r="D18" t="s">
        <v>57</v>
      </c>
      <c r="E18">
        <v>3</v>
      </c>
      <c r="F18" s="10">
        <v>45755</v>
      </c>
      <c r="G18" t="s">
        <v>16</v>
      </c>
    </row>
    <row r="19" spans="1:7" x14ac:dyDescent="0.35">
      <c r="A19" t="s">
        <v>58</v>
      </c>
      <c r="B19" t="s">
        <v>7</v>
      </c>
      <c r="C19" t="s">
        <v>31</v>
      </c>
      <c r="D19" t="s">
        <v>59</v>
      </c>
      <c r="E19">
        <v>8</v>
      </c>
      <c r="F19" s="10">
        <v>45755</v>
      </c>
    </row>
    <row r="20" spans="1:7" x14ac:dyDescent="0.35">
      <c r="A20" t="s">
        <v>60</v>
      </c>
      <c r="B20" t="s">
        <v>6</v>
      </c>
      <c r="C20" t="s">
        <v>8</v>
      </c>
      <c r="E20">
        <v>2</v>
      </c>
      <c r="F20" t="s">
        <v>61</v>
      </c>
      <c r="G20" t="s">
        <v>16</v>
      </c>
    </row>
    <row r="21" spans="1:7" x14ac:dyDescent="0.35">
      <c r="A21" t="s">
        <v>62</v>
      </c>
      <c r="B21" t="s">
        <v>7</v>
      </c>
      <c r="C21" t="s">
        <v>26</v>
      </c>
      <c r="D21" t="s">
        <v>63</v>
      </c>
      <c r="E21">
        <v>10</v>
      </c>
      <c r="F21" s="10">
        <v>45756</v>
      </c>
    </row>
    <row r="22" spans="1:7" x14ac:dyDescent="0.35">
      <c r="A22" t="s">
        <v>64</v>
      </c>
      <c r="B22" t="s">
        <v>7</v>
      </c>
      <c r="C22" t="s">
        <v>31</v>
      </c>
      <c r="E22">
        <v>6</v>
      </c>
      <c r="F22" s="10">
        <v>45757</v>
      </c>
      <c r="G22" t="s">
        <v>14</v>
      </c>
    </row>
    <row r="23" spans="1:7" x14ac:dyDescent="0.35">
      <c r="A23" t="s">
        <v>65</v>
      </c>
      <c r="B23" t="s">
        <v>6</v>
      </c>
      <c r="C23" t="s">
        <v>28</v>
      </c>
      <c r="D23" t="s">
        <v>66</v>
      </c>
      <c r="E23">
        <v>5</v>
      </c>
      <c r="F23" s="10">
        <v>45757</v>
      </c>
    </row>
    <row r="24" spans="1:7" x14ac:dyDescent="0.35">
      <c r="A24" t="s">
        <v>67</v>
      </c>
      <c r="B24" t="s">
        <v>7</v>
      </c>
      <c r="C24" t="s">
        <v>26</v>
      </c>
      <c r="D24" t="s">
        <v>68</v>
      </c>
      <c r="E24">
        <v>3</v>
      </c>
      <c r="F24" s="10">
        <v>45758</v>
      </c>
      <c r="G24" t="s">
        <v>15</v>
      </c>
    </row>
    <row r="25" spans="1:7" x14ac:dyDescent="0.35">
      <c r="A25" t="s">
        <v>69</v>
      </c>
      <c r="B25" t="s">
        <v>6</v>
      </c>
      <c r="C25" t="s">
        <v>8</v>
      </c>
      <c r="D25" t="s">
        <v>70</v>
      </c>
      <c r="F25" s="10">
        <v>45759</v>
      </c>
      <c r="G25" t="s">
        <v>18</v>
      </c>
    </row>
    <row r="26" spans="1:7" x14ac:dyDescent="0.35">
      <c r="A26" t="s">
        <v>71</v>
      </c>
      <c r="B26" t="s">
        <v>7</v>
      </c>
      <c r="C26" t="s">
        <v>31</v>
      </c>
      <c r="E26">
        <v>7</v>
      </c>
      <c r="F26" s="10">
        <v>45759</v>
      </c>
    </row>
    <row r="27" spans="1:7" x14ac:dyDescent="0.35">
      <c r="A27" s="9" t="s">
        <v>79</v>
      </c>
      <c r="B27" s="9" t="s">
        <v>6</v>
      </c>
      <c r="C27" s="9" t="s">
        <v>31</v>
      </c>
      <c r="D27" s="9" t="s">
        <v>80</v>
      </c>
      <c r="E27" s="9">
        <v>9</v>
      </c>
      <c r="F27" s="11">
        <v>45782</v>
      </c>
      <c r="G27" s="9" t="s">
        <v>15</v>
      </c>
    </row>
    <row r="28" spans="1:7" x14ac:dyDescent="0.35">
      <c r="A28" s="9"/>
      <c r="B28" s="9"/>
      <c r="C28" s="9"/>
      <c r="D28" s="9"/>
      <c r="E28" s="9"/>
      <c r="F28" s="9"/>
      <c r="G28" s="9"/>
    </row>
    <row r="29" spans="1:7" x14ac:dyDescent="0.35">
      <c r="A29" s="9"/>
      <c r="B29" s="9"/>
      <c r="C29" s="9"/>
      <c r="D29" s="9"/>
      <c r="E29" s="9"/>
      <c r="F29" s="11"/>
      <c r="G29" s="9"/>
    </row>
    <row r="30" spans="1:7" x14ac:dyDescent="0.35">
      <c r="A30" s="9"/>
      <c r="B30" s="9"/>
      <c r="C30" s="9"/>
      <c r="D30" s="9"/>
      <c r="E30" s="9"/>
      <c r="F30" s="11"/>
      <c r="G30" s="9"/>
    </row>
    <row r="31" spans="1:7" x14ac:dyDescent="0.35">
      <c r="A31" s="9"/>
      <c r="B31" s="9"/>
      <c r="C31" s="9"/>
      <c r="D31" s="9"/>
      <c r="E31" s="9"/>
      <c r="F31" s="11"/>
      <c r="G31" s="9"/>
    </row>
    <row r="32" spans="1:7" x14ac:dyDescent="0.35">
      <c r="A32" s="9"/>
      <c r="B32" s="9"/>
      <c r="C32" s="9"/>
      <c r="D32" s="9"/>
      <c r="E32" s="9"/>
      <c r="F32" s="11"/>
      <c r="G32" s="9"/>
    </row>
    <row r="33" spans="1:7" x14ac:dyDescent="0.35">
      <c r="A33" s="9"/>
      <c r="B33" s="9"/>
      <c r="C33" s="9"/>
      <c r="D33" s="9"/>
      <c r="E33" s="9"/>
      <c r="F33" s="11"/>
      <c r="G33" s="9"/>
    </row>
    <row r="34" spans="1:7" x14ac:dyDescent="0.35">
      <c r="A34" s="9"/>
      <c r="B34" s="9"/>
      <c r="C34" s="9"/>
      <c r="D34" s="9"/>
      <c r="E34" s="9"/>
      <c r="F34" s="11"/>
      <c r="G34" s="9"/>
    </row>
    <row r="35" spans="1:7" x14ac:dyDescent="0.35">
      <c r="A35" s="9"/>
      <c r="B35" s="9"/>
      <c r="C35" s="9"/>
      <c r="D35" s="9"/>
      <c r="E35" s="9"/>
      <c r="F35" s="11"/>
      <c r="G35" s="9"/>
    </row>
    <row r="36" spans="1:7" x14ac:dyDescent="0.35">
      <c r="A36" s="9"/>
      <c r="B36" s="9"/>
      <c r="C36" s="9"/>
      <c r="D36" s="9"/>
      <c r="E36" s="9"/>
      <c r="F36" s="11"/>
      <c r="G36" s="9"/>
    </row>
    <row r="37" spans="1:7" x14ac:dyDescent="0.35">
      <c r="A37" s="9"/>
      <c r="B37" s="9"/>
      <c r="C37" s="9"/>
      <c r="D37" s="9"/>
      <c r="E37" s="9"/>
      <c r="F37" s="11"/>
      <c r="G37" s="9"/>
    </row>
    <row r="38" spans="1:7" x14ac:dyDescent="0.35">
      <c r="A38" s="9"/>
      <c r="B38" s="9"/>
      <c r="C38" s="9"/>
      <c r="D38" s="9"/>
      <c r="E38" s="9"/>
      <c r="F38" s="11"/>
      <c r="G38" s="9"/>
    </row>
    <row r="39" spans="1:7" x14ac:dyDescent="0.35">
      <c r="A39" s="9"/>
      <c r="B39" s="9"/>
      <c r="C39" s="9"/>
      <c r="D39" s="9"/>
      <c r="E39" s="9"/>
      <c r="F39" s="11"/>
      <c r="G39" s="9"/>
    </row>
    <row r="40" spans="1:7" x14ac:dyDescent="0.35">
      <c r="A40" s="9"/>
      <c r="B40" s="9"/>
      <c r="C40" s="9"/>
      <c r="D40" s="9"/>
      <c r="E40" s="9"/>
      <c r="F40" s="11"/>
      <c r="G40" s="9"/>
    </row>
    <row r="41" spans="1:7" x14ac:dyDescent="0.35">
      <c r="A41" s="9"/>
      <c r="B41" s="9"/>
      <c r="C41" s="9"/>
      <c r="D41" s="9"/>
      <c r="E41" s="9"/>
      <c r="F41" s="11"/>
      <c r="G41" s="9"/>
    </row>
    <row r="42" spans="1:7" x14ac:dyDescent="0.35">
      <c r="A42" s="9"/>
      <c r="B42" s="9"/>
      <c r="C42" s="9"/>
      <c r="D42" s="9"/>
      <c r="E42" s="9"/>
      <c r="F42" s="11"/>
      <c r="G42" s="9"/>
    </row>
    <row r="43" spans="1:7" x14ac:dyDescent="0.35">
      <c r="A43" s="9"/>
      <c r="B43" s="9"/>
      <c r="C43" s="9"/>
      <c r="D43" s="9"/>
      <c r="E43" s="9"/>
      <c r="F43" s="11"/>
      <c r="G43" s="9"/>
    </row>
    <row r="44" spans="1:7" x14ac:dyDescent="0.35">
      <c r="A44" s="9"/>
      <c r="B44" s="9"/>
      <c r="C44" s="9"/>
      <c r="D44" s="9"/>
      <c r="E44" s="9"/>
      <c r="F44" s="11"/>
      <c r="G44" s="9"/>
    </row>
    <row r="45" spans="1:7" x14ac:dyDescent="0.35">
      <c r="A45" s="9"/>
      <c r="B45" s="9"/>
      <c r="C45" s="9"/>
      <c r="D45" s="9"/>
      <c r="E45" s="9"/>
      <c r="F45" s="11"/>
      <c r="G45" s="9"/>
    </row>
    <row r="46" spans="1:7" x14ac:dyDescent="0.35">
      <c r="A46" s="9"/>
      <c r="B46" s="9"/>
      <c r="C46" s="9"/>
      <c r="D46" s="9"/>
      <c r="E46" s="9"/>
      <c r="F46" s="11"/>
      <c r="G46" s="9"/>
    </row>
    <row r="47" spans="1:7" x14ac:dyDescent="0.35">
      <c r="A47" s="9"/>
      <c r="B47" s="9"/>
      <c r="C47" s="9"/>
      <c r="D47" s="9"/>
      <c r="E47" s="9"/>
      <c r="F47" s="11"/>
      <c r="G47" s="9"/>
    </row>
    <row r="48" spans="1:7" x14ac:dyDescent="0.35">
      <c r="A48" s="9"/>
      <c r="B48" s="9"/>
      <c r="C48" s="9"/>
      <c r="D48" s="9"/>
      <c r="E48" s="9"/>
      <c r="F48" s="11"/>
      <c r="G48" s="9"/>
    </row>
    <row r="49" spans="1:7" x14ac:dyDescent="0.35">
      <c r="A49" s="9"/>
      <c r="B49" s="9"/>
      <c r="C49" s="9"/>
      <c r="D49" s="9"/>
      <c r="E49" s="9"/>
      <c r="F49" s="11"/>
      <c r="G49" s="9"/>
    </row>
    <row r="50" spans="1:7" x14ac:dyDescent="0.35">
      <c r="A50" s="9"/>
      <c r="B50" s="9"/>
      <c r="C50" s="9"/>
      <c r="D50" s="9"/>
      <c r="E50" s="9"/>
      <c r="F50" s="9"/>
      <c r="G50" s="9"/>
    </row>
    <row r="51" spans="1:7" x14ac:dyDescent="0.35">
      <c r="A51" s="9"/>
      <c r="B51" s="9"/>
      <c r="C51" s="9"/>
      <c r="D51" s="9"/>
      <c r="E51" s="9"/>
      <c r="F51" s="11"/>
      <c r="G51" s="9"/>
    </row>
    <row r="52" spans="1:7" x14ac:dyDescent="0.35">
      <c r="A52" s="9"/>
      <c r="B52" s="9"/>
      <c r="C52" s="9"/>
      <c r="D52" s="9"/>
      <c r="E52" s="9"/>
      <c r="F52" s="11"/>
      <c r="G52" s="9"/>
    </row>
    <row r="53" spans="1:7" x14ac:dyDescent="0.35">
      <c r="A53" s="9"/>
      <c r="B53" s="9"/>
      <c r="C53" s="9"/>
      <c r="D53" s="9"/>
      <c r="E53" s="9"/>
      <c r="F53" s="11"/>
      <c r="G53" s="9"/>
    </row>
    <row r="54" spans="1:7" x14ac:dyDescent="0.35">
      <c r="A54" s="9"/>
      <c r="B54" s="9"/>
      <c r="C54" s="9"/>
      <c r="D54" s="9"/>
      <c r="E54" s="9"/>
      <c r="F54" s="11"/>
      <c r="G54" s="9"/>
    </row>
    <row r="55" spans="1:7" x14ac:dyDescent="0.35">
      <c r="A55" s="9"/>
      <c r="B55" s="9"/>
      <c r="C55" s="9"/>
      <c r="D55" s="9"/>
      <c r="E55" s="9"/>
      <c r="F55" s="11"/>
      <c r="G55" s="9"/>
    </row>
    <row r="56" spans="1:7" x14ac:dyDescent="0.35">
      <c r="A56" s="9"/>
      <c r="B56" s="9"/>
      <c r="C56" s="9"/>
      <c r="D56" s="9"/>
      <c r="E56" s="9"/>
      <c r="F56" s="11"/>
      <c r="G56" s="9"/>
    </row>
    <row r="57" spans="1:7" x14ac:dyDescent="0.35">
      <c r="A57" s="9"/>
      <c r="B57" s="9"/>
      <c r="C57" s="9"/>
      <c r="D57" s="9"/>
      <c r="E57" s="9"/>
      <c r="F57" s="11"/>
      <c r="G57" s="9"/>
    </row>
    <row r="58" spans="1:7" x14ac:dyDescent="0.35">
      <c r="A58" s="9"/>
      <c r="B58" s="9"/>
      <c r="C58" s="9"/>
      <c r="D58" s="9"/>
      <c r="E58" s="9"/>
      <c r="F58" s="11"/>
      <c r="G58" s="9"/>
    </row>
    <row r="59" spans="1:7" x14ac:dyDescent="0.35">
      <c r="A59" s="9"/>
      <c r="B59" s="9"/>
      <c r="C59" s="9"/>
      <c r="D59" s="9"/>
      <c r="E59" s="9"/>
      <c r="F59" s="11"/>
      <c r="G59" s="9"/>
    </row>
    <row r="60" spans="1:7" x14ac:dyDescent="0.35">
      <c r="A60" s="9"/>
      <c r="B60" s="9"/>
      <c r="C60" s="9"/>
      <c r="D60" s="9"/>
      <c r="E60" s="9"/>
      <c r="F60" s="11"/>
      <c r="G60" s="9"/>
    </row>
    <row r="61" spans="1:7" x14ac:dyDescent="0.35">
      <c r="A61" s="9"/>
      <c r="B61" s="9"/>
      <c r="C61" s="9"/>
      <c r="D61" s="9"/>
      <c r="E61" s="9"/>
      <c r="F61" s="11"/>
      <c r="G61" s="9"/>
    </row>
    <row r="62" spans="1:7" x14ac:dyDescent="0.35">
      <c r="A62" s="9"/>
      <c r="B62" s="9"/>
      <c r="C62" s="9"/>
      <c r="D62" s="9"/>
      <c r="E62" s="9"/>
      <c r="F62" s="11"/>
      <c r="G62" s="9"/>
    </row>
    <row r="63" spans="1:7" x14ac:dyDescent="0.35">
      <c r="A63" s="9"/>
      <c r="B63" s="9"/>
      <c r="C63" s="9"/>
      <c r="D63" s="9"/>
      <c r="E63" s="9"/>
      <c r="F63" s="11"/>
      <c r="G63" s="9"/>
    </row>
    <row r="64" spans="1:7" x14ac:dyDescent="0.35">
      <c r="A64" s="9"/>
      <c r="B64" s="9"/>
      <c r="C64" s="9"/>
      <c r="D64" s="9"/>
      <c r="E64" s="9"/>
      <c r="F64" s="11"/>
      <c r="G64" s="9"/>
    </row>
    <row r="65" spans="1:7" x14ac:dyDescent="0.35">
      <c r="A65" s="9"/>
      <c r="B65" s="9"/>
      <c r="C65" s="9"/>
      <c r="D65" s="9"/>
      <c r="E65" s="9"/>
      <c r="F65" s="11"/>
      <c r="G65" s="9"/>
    </row>
    <row r="66" spans="1:7" x14ac:dyDescent="0.35">
      <c r="A66" s="9"/>
      <c r="B66" s="9"/>
      <c r="C66" s="9"/>
      <c r="D66" s="9"/>
      <c r="E66" s="9"/>
      <c r="F66" s="11"/>
      <c r="G66" s="9"/>
    </row>
  </sheetData>
  <dataValidations count="4">
    <dataValidation type="list" allowBlank="1" showInputMessage="1" showErrorMessage="1" sqref="B2:B3 J2 M1" xr:uid="{43C6FF43-AE66-4563-A989-7A666B2CF6BC}">
      <formula1>$J$2:$J$3</formula1>
    </dataValidation>
    <dataValidation type="list" allowBlank="1" showInputMessage="1" showErrorMessage="1" sqref="C2:C3 J3 N1" xr:uid="{9221B6A0-667E-449A-BEE9-3CEEE8E6A838}">
      <formula1>$K$2:$K$5</formula1>
    </dataValidation>
    <dataValidation type="whole" allowBlank="1" showInputMessage="1" showErrorMessage="1" sqref="E2:E3 J5 P1" xr:uid="{D6D74859-0AE0-4BD7-B9E7-8158F7BE380D}">
      <formula1>1</formula1>
      <formula2>10</formula2>
    </dataValidation>
    <dataValidation type="list" allowBlank="1" showInputMessage="1" showErrorMessage="1" sqref="G2:G3 J7 R1" xr:uid="{F1938683-6F1F-4DFB-AFCE-B32B93DFF4E4}">
      <formula1>$L$2:$L$6</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24744-E624-4F39-94FA-792CCED976A7}">
  <dimension ref="A3:B8"/>
  <sheetViews>
    <sheetView zoomScale="145" zoomScaleNormal="145" workbookViewId="0">
      <selection activeCell="A3" sqref="A3"/>
    </sheetView>
  </sheetViews>
  <sheetFormatPr defaultRowHeight="14.5" x14ac:dyDescent="0.35"/>
  <cols>
    <col min="1" max="1" width="18.08984375" bestFit="1" customWidth="1"/>
    <col min="2" max="2" width="14.54296875" bestFit="1" customWidth="1"/>
  </cols>
  <sheetData>
    <row r="3" spans="1:2" x14ac:dyDescent="0.35">
      <c r="A3" s="12" t="s">
        <v>74</v>
      </c>
      <c r="B3" t="s">
        <v>77</v>
      </c>
    </row>
    <row r="4" spans="1:2" x14ac:dyDescent="0.35">
      <c r="A4" s="13" t="s">
        <v>28</v>
      </c>
      <c r="B4">
        <v>4</v>
      </c>
    </row>
    <row r="5" spans="1:2" x14ac:dyDescent="0.35">
      <c r="A5" s="13" t="s">
        <v>26</v>
      </c>
      <c r="B5">
        <v>6</v>
      </c>
    </row>
    <row r="6" spans="1:2" x14ac:dyDescent="0.35">
      <c r="A6" s="13" t="s">
        <v>41</v>
      </c>
      <c r="B6">
        <v>8</v>
      </c>
    </row>
    <row r="7" spans="1:2" x14ac:dyDescent="0.35">
      <c r="A7" s="13" t="s">
        <v>76</v>
      </c>
      <c r="B7">
        <v>8</v>
      </c>
    </row>
    <row r="8" spans="1:2" x14ac:dyDescent="0.35">
      <c r="A8" s="13" t="s">
        <v>75</v>
      </c>
      <c r="B8">
        <v>26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8BD73-FF69-4A48-AEE3-2FFA09BD0876}">
  <dimension ref="A3:B9"/>
  <sheetViews>
    <sheetView zoomScale="160" zoomScaleNormal="160" workbookViewId="0">
      <selection activeCell="C13" sqref="C13"/>
    </sheetView>
  </sheetViews>
  <sheetFormatPr defaultRowHeight="14.5" x14ac:dyDescent="0.35"/>
  <cols>
    <col min="1" max="1" width="13.453125" bestFit="1" customWidth="1"/>
    <col min="2" max="2" width="11.453125" bestFit="1" customWidth="1"/>
    <col min="3" max="3" width="12.54296875" bestFit="1" customWidth="1"/>
  </cols>
  <sheetData>
    <row r="3" spans="1:2" x14ac:dyDescent="0.35">
      <c r="A3" s="12" t="s">
        <v>74</v>
      </c>
      <c r="B3" t="s">
        <v>78</v>
      </c>
    </row>
    <row r="4" spans="1:2" x14ac:dyDescent="0.35">
      <c r="A4" s="13" t="s">
        <v>15</v>
      </c>
      <c r="B4">
        <v>12</v>
      </c>
    </row>
    <row r="5" spans="1:2" x14ac:dyDescent="0.35">
      <c r="A5" s="13" t="s">
        <v>17</v>
      </c>
      <c r="B5">
        <v>9</v>
      </c>
    </row>
    <row r="6" spans="1:2" x14ac:dyDescent="0.35">
      <c r="A6" s="13" t="s">
        <v>18</v>
      </c>
      <c r="B6">
        <v>10</v>
      </c>
    </row>
    <row r="7" spans="1:2" x14ac:dyDescent="0.35">
      <c r="A7" s="13" t="s">
        <v>14</v>
      </c>
      <c r="B7">
        <v>13</v>
      </c>
    </row>
    <row r="8" spans="1:2" x14ac:dyDescent="0.35">
      <c r="A8" s="13" t="s">
        <v>16</v>
      </c>
      <c r="B8">
        <v>21</v>
      </c>
    </row>
    <row r="9" spans="1:2" x14ac:dyDescent="0.35">
      <c r="A9" s="13" t="s">
        <v>75</v>
      </c>
      <c r="B9">
        <v>65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9A9DF-40BE-4E52-A464-89A3D34F3D94}">
  <dimension ref="A1:D3"/>
  <sheetViews>
    <sheetView showGridLines="0" tabSelected="1" zoomScale="145" zoomScaleNormal="145" workbookViewId="0">
      <selection activeCell="D21" sqref="D21"/>
    </sheetView>
  </sheetViews>
  <sheetFormatPr defaultRowHeight="14.5" x14ac:dyDescent="0.35"/>
  <cols>
    <col min="1" max="4" width="39.08984375" customWidth="1"/>
  </cols>
  <sheetData>
    <row r="1" spans="1:4" ht="18.5" customHeight="1" x14ac:dyDescent="0.35">
      <c r="A1" s="8" t="s">
        <v>72</v>
      </c>
      <c r="B1" s="8" t="s">
        <v>73</v>
      </c>
      <c r="C1" s="7" t="s">
        <v>24</v>
      </c>
      <c r="D1" s="7" t="s">
        <v>25</v>
      </c>
    </row>
    <row r="2" spans="1:4" ht="18.5" x14ac:dyDescent="0.45">
      <c r="A2" s="5">
        <f>COUNTIF(Table1[Feedback],"")</f>
        <v>45</v>
      </c>
      <c r="B2" s="5">
        <f>COUNTIF(Table1[Rating],"")</f>
        <v>42</v>
      </c>
      <c r="C2" s="5">
        <f ca="1">COUNTIF(Table1[Submission Date], "&gt;"&amp;TODAY())</f>
        <v>20</v>
      </c>
      <c r="D2" s="5">
        <f>COUNTIF(Table1[Concierge Agent],"")</f>
        <v>50</v>
      </c>
    </row>
    <row r="3" spans="1:4" ht="18.5" x14ac:dyDescent="0.45">
      <c r="A3" s="14"/>
      <c r="B3" s="14"/>
      <c r="C3" s="14"/>
      <c r="D3" s="1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TravelForm</vt:lpstr>
      <vt:lpstr>FeedbackLog</vt:lpstr>
      <vt:lpstr>1. Most Popular Vehicle</vt:lpstr>
      <vt:lpstr>2. Agent with most ratings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David-Williams</dc:creator>
  <cp:lastModifiedBy>Stephen Ilesanmi</cp:lastModifiedBy>
  <dcterms:created xsi:type="dcterms:W3CDTF">2025-03-25T01:31:07Z</dcterms:created>
  <dcterms:modified xsi:type="dcterms:W3CDTF">2025-03-26T17:52:37Z</dcterms:modified>
</cp:coreProperties>
</file>