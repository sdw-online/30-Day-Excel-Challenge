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teph\Documents\GitHub\demo\30-Day-Excel-Challenge\datasets\day-27\"/>
    </mc:Choice>
  </mc:AlternateContent>
  <xr:revisionPtr revIDLastSave="0" documentId="13_ncr:1_{20BFF3C2-83AA-43A7-8197-CAB96CF2EE55}" xr6:coauthVersionLast="47" xr6:coauthVersionMax="47" xr10:uidLastSave="{00000000-0000-0000-0000-000000000000}"/>
  <bookViews>
    <workbookView xWindow="-45" yWindow="-16320" windowWidth="29040" windowHeight="15720" activeTab="1" xr2:uid="{9C2343E3-28E0-4E56-82BF-A2392808A173}"/>
  </bookViews>
  <sheets>
    <sheet name="ReturnsLog" sheetId="1" r:id="rId1"/>
    <sheet name="Returns Log 2" sheetId="2" r:id="rId2"/>
  </sheets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I2" i="2"/>
  <c r="L2" i="2"/>
  <c r="K2" i="2"/>
  <c r="H2" i="2"/>
  <c r="H5" i="1"/>
  <c r="I2" i="1"/>
  <c r="L2" i="1"/>
  <c r="K2" i="1"/>
  <c r="H2" i="1"/>
</calcChain>
</file>

<file path=xl/sharedStrings.xml><?xml version="1.0" encoding="utf-8"?>
<sst xmlns="http://schemas.openxmlformats.org/spreadsheetml/2006/main" count="200" uniqueCount="102">
  <si>
    <t>Customer Name</t>
  </si>
  <si>
    <t>Return Date</t>
  </si>
  <si>
    <t>Product</t>
  </si>
  <si>
    <t>Return Reason</t>
  </si>
  <si>
    <t>Status</t>
  </si>
  <si>
    <t>Amy Johnson</t>
  </si>
  <si>
    <t>Bluetooth Mouse</t>
  </si>
  <si>
    <t>Faulty item</t>
  </si>
  <si>
    <t>Approved for Refund</t>
  </si>
  <si>
    <t>Michael Lee</t>
  </si>
  <si>
    <t>Desk Lamp</t>
  </si>
  <si>
    <t>Change of mind</t>
  </si>
  <si>
    <t>Olivia Smith</t>
  </si>
  <si>
    <t>Laptop Stand</t>
  </si>
  <si>
    <t>Not Approved</t>
  </si>
  <si>
    <t>Lucas Brown</t>
  </si>
  <si>
    <t>Monitor 24"</t>
  </si>
  <si>
    <t>Screen issue</t>
  </si>
  <si>
    <t>Emma Clark</t>
  </si>
  <si>
    <t>Office Chair</t>
  </si>
  <si>
    <t>Packaging damaged</t>
  </si>
  <si>
    <t>William Davis</t>
  </si>
  <si>
    <t>Standing Desk</t>
  </si>
  <si>
    <t>Broken part</t>
  </si>
  <si>
    <t>Isabella Adams</t>
  </si>
  <si>
    <t>USB Hub</t>
  </si>
  <si>
    <t>Wrong item sent</t>
  </si>
  <si>
    <t>Benjamin Moore</t>
  </si>
  <si>
    <t>Keyboard</t>
  </si>
  <si>
    <t>Mia Walker</t>
  </si>
  <si>
    <t>Monitor 27"</t>
  </si>
  <si>
    <t>Cracked screen</t>
  </si>
  <si>
    <t>Henry Martinez</t>
  </si>
  <si>
    <t>Webcam</t>
  </si>
  <si>
    <t>No longer needed</t>
  </si>
  <si>
    <t>Ella Hall</t>
  </si>
  <si>
    <t>Jack Allen</t>
  </si>
  <si>
    <t>Desk Mat</t>
  </si>
  <si>
    <t>Not working properly</t>
  </si>
  <si>
    <t>Grace Turner</t>
  </si>
  <si>
    <t>Faulty switch</t>
  </si>
  <si>
    <t>Logan Scott</t>
  </si>
  <si>
    <t>Flickering display</t>
  </si>
  <si>
    <t>Lily Evans</t>
  </si>
  <si>
    <t>Incompatible</t>
  </si>
  <si>
    <t>Aiden Mitchell</t>
  </si>
  <si>
    <t>Zoe Parker</t>
  </si>
  <si>
    <t>Broken motor</t>
  </si>
  <si>
    <t>Samuel Barnes</t>
  </si>
  <si>
    <t>Aria Coleman</t>
  </si>
  <si>
    <t>Keys not responsive</t>
  </si>
  <si>
    <t>David Foster</t>
  </si>
  <si>
    <t>Carter Howard</t>
  </si>
  <si>
    <t>Mila Gonzalez</t>
  </si>
  <si>
    <t>Item too large</t>
  </si>
  <si>
    <t>Ethan Ramirez</t>
  </si>
  <si>
    <t>Wrong color</t>
  </si>
  <si>
    <t>Scarlett Morgan</t>
  </si>
  <si>
    <t>Owen Jenkins</t>
  </si>
  <si>
    <t>No sound</t>
  </si>
  <si>
    <t>Avery Bell</t>
  </si>
  <si>
    <t>ReadyToClean</t>
  </si>
  <si>
    <t>Missing Reason Count</t>
  </si>
  <si>
    <t>ApprovedCount</t>
  </si>
  <si>
    <t>Invalid Date Count</t>
  </si>
  <si>
    <t>Chloe Wright</t>
  </si>
  <si>
    <t>Wrong size</t>
  </si>
  <si>
    <t>Isaac Newman</t>
  </si>
  <si>
    <t>Bluetooth Keyboard</t>
  </si>
  <si>
    <t>Lily Adams</t>
  </si>
  <si>
    <t>Camera not working</t>
  </si>
  <si>
    <t>Nathan Hayes</t>
  </si>
  <si>
    <t>Zoe Patterson</t>
  </si>
  <si>
    <t>Elijah Bennett</t>
  </si>
  <si>
    <t>Mia Brooks</t>
  </si>
  <si>
    <t>Motor failed</t>
  </si>
  <si>
    <t>Logan Perry</t>
  </si>
  <si>
    <t>Seat wobbly</t>
  </si>
  <si>
    <t>Ava Young</t>
  </si>
  <si>
    <t>Henry Bell</t>
  </si>
  <si>
    <t>Broken base</t>
  </si>
  <si>
    <t>Ella Cooper</t>
  </si>
  <si>
    <t>Incompatible device</t>
  </si>
  <si>
    <t>Mason Torres</t>
  </si>
  <si>
    <t>Grace Powell</t>
  </si>
  <si>
    <t>Levi Carter</t>
  </si>
  <si>
    <t>Ports not working</t>
  </si>
  <si>
    <t>Scarlett Rivera</t>
  </si>
  <si>
    <t>Ethan James</t>
  </si>
  <si>
    <t>Flickering screen</t>
  </si>
  <si>
    <t>Stella Howard</t>
  </si>
  <si>
    <t>Daniel Morgan</t>
  </si>
  <si>
    <t>Blurry image</t>
  </si>
  <si>
    <t>Hannah Ross</t>
  </si>
  <si>
    <t>Jack Reed</t>
  </si>
  <si>
    <t>Screen not turning on</t>
  </si>
  <si>
    <t>Ellie Griffin</t>
  </si>
  <si>
    <t>Aria Bennett</t>
  </si>
  <si>
    <t>Dim light</t>
  </si>
  <si>
    <t>Jayden Foster</t>
  </si>
  <si>
    <t>Zoe Murphy</t>
  </si>
  <si>
    <t>Oliver Martinez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</si>
</sst>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14" fontId="4" fillId="0" borderId="1" xfId="0" applyNumberFormat="1" applyFont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0" fontId="3" fillId="5" borderId="1" xfId="0" applyFont="1" applyFill="1" applyBorder="1" applyAlignment="1">
      <alignment horizontal="center" vertical="center" wrapText="1"/>
    </xf>
    <xf numFmtId="0" fontId="4" fillId="0" borderId="0" xfId="0" applyFont="1"/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/>
  </cellXfs>
  <cellStyles count="1">
    <cellStyle name="Normal" xfId="0" builtinId="0"/>
  </cellStyles>
  <dxfs count="12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2485</xdr:colOff>
          <xdr:row>6</xdr:row>
          <xdr:rowOff>14495</xdr:rowOff>
        </xdr:from>
        <xdr:to>
          <xdr:col>9</xdr:col>
          <xdr:colOff>453473</xdr:colOff>
          <xdr:row>7</xdr:row>
          <xdr:rowOff>194227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Returns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4954-76BE-4A7B-8B32-544B1B44B5BE}">
  <dimension ref="A1:L27"/>
  <sheetViews>
    <sheetView zoomScale="145" zoomScaleNormal="145" workbookViewId="0">
      <selection activeCell="C4" sqref="C4"/>
    </sheetView>
  </sheetViews>
  <sheetFormatPr defaultRowHeight="14.5" x14ac:dyDescent="0.35"/>
  <cols>
    <col min="1" max="4" width="12.81640625" customWidth="1"/>
    <col min="5" max="5" width="14.08984375" customWidth="1"/>
    <col min="8" max="10" width="14.7265625" customWidth="1"/>
    <col min="11" max="11" width="18.7265625" bestFit="1" customWidth="1"/>
    <col min="12" max="12" width="15.6328125" bestFit="1" customWidth="1"/>
    <col min="13" max="13" width="14.7265625" customWidth="1"/>
  </cols>
  <sheetData>
    <row r="1" spans="1:12" ht="2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H1" s="6" t="s">
        <v>63</v>
      </c>
      <c r="I1" s="6" t="s">
        <v>61</v>
      </c>
      <c r="K1" s="7" t="s">
        <v>62</v>
      </c>
      <c r="L1" s="7" t="s">
        <v>64</v>
      </c>
    </row>
    <row r="2" spans="1:12" ht="29" x14ac:dyDescent="0.35">
      <c r="A2" s="4" t="s">
        <v>5</v>
      </c>
      <c r="B2" s="5">
        <v>45748</v>
      </c>
      <c r="C2" s="4" t="s">
        <v>6</v>
      </c>
      <c r="D2" s="4" t="s">
        <v>7</v>
      </c>
      <c r="E2" s="4" t="s">
        <v>8</v>
      </c>
      <c r="H2" s="1">
        <f>COUNTIF(E2:E27,"Approved for Refund")</f>
        <v>20</v>
      </c>
      <c r="I2" s="1" t="str">
        <f>IF(H2&gt;10,"YES","NO")</f>
        <v>YES</v>
      </c>
      <c r="K2" s="1">
        <f>COUNTIF(D2:D27,"")</f>
        <v>9</v>
      </c>
      <c r="L2" s="1">
        <f>COUNTIF(B2:B27,"")</f>
        <v>0</v>
      </c>
    </row>
    <row r="3" spans="1:12" ht="29" x14ac:dyDescent="0.35">
      <c r="A3" s="4" t="s">
        <v>9</v>
      </c>
      <c r="B3" s="5">
        <v>45748</v>
      </c>
      <c r="C3" s="4" t="s">
        <v>10</v>
      </c>
      <c r="D3" s="4" t="s">
        <v>11</v>
      </c>
      <c r="E3" s="4" t="s">
        <v>8</v>
      </c>
    </row>
    <row r="4" spans="1:12" x14ac:dyDescent="0.35">
      <c r="A4" s="4" t="s">
        <v>12</v>
      </c>
      <c r="B4" s="5">
        <v>45749</v>
      </c>
      <c r="C4" s="4" t="s">
        <v>13</v>
      </c>
      <c r="D4" s="4"/>
      <c r="E4" s="4" t="s">
        <v>14</v>
      </c>
    </row>
    <row r="5" spans="1:12" ht="29" x14ac:dyDescent="0.45">
      <c r="A5" s="4" t="s">
        <v>15</v>
      </c>
      <c r="B5" s="5">
        <v>45749</v>
      </c>
      <c r="C5" s="4" t="s">
        <v>16</v>
      </c>
      <c r="D5" s="4" t="s">
        <v>17</v>
      </c>
      <c r="E5" s="4" t="s">
        <v>8</v>
      </c>
      <c r="H5" s="2" t="str">
        <f>IF(I2="YES","Run Macro NOW", "Add more approved returns before formatting")</f>
        <v>Run Macro NOW</v>
      </c>
      <c r="I5" s="2"/>
    </row>
    <row r="6" spans="1:12" ht="29" x14ac:dyDescent="0.35">
      <c r="A6" s="4" t="s">
        <v>18</v>
      </c>
      <c r="B6" s="5">
        <v>45750</v>
      </c>
      <c r="C6" s="4" t="s">
        <v>19</v>
      </c>
      <c r="D6" s="4" t="s">
        <v>20</v>
      </c>
      <c r="E6" s="4" t="s">
        <v>8</v>
      </c>
    </row>
    <row r="7" spans="1:12" ht="29" x14ac:dyDescent="0.35">
      <c r="A7" s="4" t="s">
        <v>21</v>
      </c>
      <c r="B7" s="5">
        <v>45750</v>
      </c>
      <c r="C7" s="4" t="s">
        <v>22</v>
      </c>
      <c r="D7" s="4" t="s">
        <v>23</v>
      </c>
      <c r="E7" s="4" t="s">
        <v>8</v>
      </c>
    </row>
    <row r="8" spans="1:12" ht="29" x14ac:dyDescent="0.35">
      <c r="A8" s="4" t="s">
        <v>24</v>
      </c>
      <c r="B8" s="5">
        <v>45751</v>
      </c>
      <c r="C8" s="4" t="s">
        <v>25</v>
      </c>
      <c r="D8" s="4" t="s">
        <v>26</v>
      </c>
      <c r="E8" s="4" t="s">
        <v>8</v>
      </c>
    </row>
    <row r="9" spans="1:12" ht="29" x14ac:dyDescent="0.35">
      <c r="A9" s="4" t="s">
        <v>27</v>
      </c>
      <c r="B9" s="5">
        <v>45751</v>
      </c>
      <c r="C9" s="4" t="s">
        <v>28</v>
      </c>
      <c r="D9" s="4"/>
      <c r="E9" s="4" t="s">
        <v>14</v>
      </c>
    </row>
    <row r="10" spans="1:12" ht="29" x14ac:dyDescent="0.35">
      <c r="A10" s="4" t="s">
        <v>29</v>
      </c>
      <c r="B10" s="5">
        <v>45752</v>
      </c>
      <c r="C10" s="4" t="s">
        <v>30</v>
      </c>
      <c r="D10" s="4" t="s">
        <v>31</v>
      </c>
      <c r="E10" s="4" t="s">
        <v>8</v>
      </c>
    </row>
    <row r="11" spans="1:12" ht="29" x14ac:dyDescent="0.35">
      <c r="A11" s="4" t="s">
        <v>32</v>
      </c>
      <c r="B11" s="5">
        <v>45752</v>
      </c>
      <c r="C11" s="4" t="s">
        <v>33</v>
      </c>
      <c r="D11" s="4" t="s">
        <v>34</v>
      </c>
      <c r="E11" s="4" t="s">
        <v>8</v>
      </c>
    </row>
    <row r="12" spans="1:12" x14ac:dyDescent="0.35">
      <c r="A12" s="4" t="s">
        <v>35</v>
      </c>
      <c r="B12" s="5">
        <v>45753</v>
      </c>
      <c r="C12" s="4" t="s">
        <v>19</v>
      </c>
      <c r="D12" s="4"/>
      <c r="E12" s="4" t="s">
        <v>14</v>
      </c>
    </row>
    <row r="13" spans="1:12" ht="29" x14ac:dyDescent="0.35">
      <c r="A13" s="4" t="s">
        <v>36</v>
      </c>
      <c r="B13" s="5">
        <v>45753</v>
      </c>
      <c r="C13" s="4" t="s">
        <v>37</v>
      </c>
      <c r="D13" s="4" t="s">
        <v>38</v>
      </c>
      <c r="E13" s="4" t="s">
        <v>8</v>
      </c>
    </row>
    <row r="14" spans="1:12" ht="29" x14ac:dyDescent="0.35">
      <c r="A14" s="4" t="s">
        <v>39</v>
      </c>
      <c r="B14" s="5">
        <v>45754</v>
      </c>
      <c r="C14" s="4" t="s">
        <v>10</v>
      </c>
      <c r="D14" s="4" t="s">
        <v>40</v>
      </c>
      <c r="E14" s="4" t="s">
        <v>8</v>
      </c>
    </row>
    <row r="15" spans="1:12" ht="29" x14ac:dyDescent="0.35">
      <c r="A15" s="4" t="s">
        <v>41</v>
      </c>
      <c r="B15" s="5">
        <v>45754</v>
      </c>
      <c r="C15" s="4" t="s">
        <v>16</v>
      </c>
      <c r="D15" s="4" t="s">
        <v>42</v>
      </c>
      <c r="E15" s="4" t="s">
        <v>8</v>
      </c>
    </row>
    <row r="16" spans="1:12" ht="29" x14ac:dyDescent="0.35">
      <c r="A16" s="4" t="s">
        <v>43</v>
      </c>
      <c r="B16" s="5">
        <v>45755</v>
      </c>
      <c r="C16" s="4" t="s">
        <v>33</v>
      </c>
      <c r="D16" s="4" t="s">
        <v>44</v>
      </c>
      <c r="E16" s="4" t="s">
        <v>8</v>
      </c>
    </row>
    <row r="17" spans="1:5" x14ac:dyDescent="0.35">
      <c r="A17" s="4" t="s">
        <v>45</v>
      </c>
      <c r="B17" s="5">
        <v>45755</v>
      </c>
      <c r="C17" s="4" t="s">
        <v>25</v>
      </c>
      <c r="D17" s="4"/>
      <c r="E17" s="4" t="s">
        <v>14</v>
      </c>
    </row>
    <row r="18" spans="1:5" ht="29" x14ac:dyDescent="0.35">
      <c r="A18" s="4" t="s">
        <v>46</v>
      </c>
      <c r="B18" s="5">
        <v>45756</v>
      </c>
      <c r="C18" s="4" t="s">
        <v>22</v>
      </c>
      <c r="D18" s="4" t="s">
        <v>47</v>
      </c>
      <c r="E18" s="4" t="s">
        <v>8</v>
      </c>
    </row>
    <row r="19" spans="1:5" ht="29" x14ac:dyDescent="0.35">
      <c r="A19" s="4" t="s">
        <v>48</v>
      </c>
      <c r="B19" s="5">
        <v>45756</v>
      </c>
      <c r="C19" s="4" t="s">
        <v>6</v>
      </c>
      <c r="D19" s="4"/>
      <c r="E19" s="4" t="s">
        <v>8</v>
      </c>
    </row>
    <row r="20" spans="1:5" ht="29" x14ac:dyDescent="0.35">
      <c r="A20" s="4" t="s">
        <v>49</v>
      </c>
      <c r="B20" s="5">
        <v>45757</v>
      </c>
      <c r="C20" s="4" t="s">
        <v>28</v>
      </c>
      <c r="D20" s="4" t="s">
        <v>50</v>
      </c>
      <c r="E20" s="4" t="s">
        <v>8</v>
      </c>
    </row>
    <row r="21" spans="1:5" ht="29" x14ac:dyDescent="0.35">
      <c r="A21" s="4" t="s">
        <v>51</v>
      </c>
      <c r="B21" s="5">
        <v>45757</v>
      </c>
      <c r="C21" s="4" t="s">
        <v>19</v>
      </c>
      <c r="D21" s="4"/>
      <c r="E21" s="4" t="s">
        <v>8</v>
      </c>
    </row>
    <row r="22" spans="1:5" ht="29" x14ac:dyDescent="0.35">
      <c r="A22" s="4" t="s">
        <v>52</v>
      </c>
      <c r="B22" s="5">
        <v>45758</v>
      </c>
      <c r="C22" s="4" t="s">
        <v>30</v>
      </c>
      <c r="D22" s="4"/>
      <c r="E22" s="4" t="s">
        <v>14</v>
      </c>
    </row>
    <row r="23" spans="1:5" ht="29" x14ac:dyDescent="0.35">
      <c r="A23" s="4" t="s">
        <v>53</v>
      </c>
      <c r="B23" s="5">
        <v>45758</v>
      </c>
      <c r="C23" s="4" t="s">
        <v>13</v>
      </c>
      <c r="D23" s="4" t="s">
        <v>54</v>
      </c>
      <c r="E23" s="4" t="s">
        <v>8</v>
      </c>
    </row>
    <row r="24" spans="1:5" ht="29" x14ac:dyDescent="0.35">
      <c r="A24" s="4" t="s">
        <v>55</v>
      </c>
      <c r="B24" s="5">
        <v>45759</v>
      </c>
      <c r="C24" s="4" t="s">
        <v>37</v>
      </c>
      <c r="D24" s="4" t="s">
        <v>56</v>
      </c>
      <c r="E24" s="4" t="s">
        <v>8</v>
      </c>
    </row>
    <row r="25" spans="1:5" ht="29" x14ac:dyDescent="0.35">
      <c r="A25" s="4" t="s">
        <v>57</v>
      </c>
      <c r="B25" s="5">
        <v>45759</v>
      </c>
      <c r="C25" s="4" t="s">
        <v>25</v>
      </c>
      <c r="D25" s="4"/>
      <c r="E25" s="4" t="s">
        <v>14</v>
      </c>
    </row>
    <row r="26" spans="1:5" ht="29" x14ac:dyDescent="0.35">
      <c r="A26" s="4" t="s">
        <v>58</v>
      </c>
      <c r="B26" s="5">
        <v>45760</v>
      </c>
      <c r="C26" s="4" t="s">
        <v>33</v>
      </c>
      <c r="D26" s="4" t="s">
        <v>59</v>
      </c>
      <c r="E26" s="4" t="s">
        <v>8</v>
      </c>
    </row>
    <row r="27" spans="1:5" ht="29" x14ac:dyDescent="0.35">
      <c r="A27" s="4" t="s">
        <v>60</v>
      </c>
      <c r="B27" s="5">
        <v>45760</v>
      </c>
      <c r="C27" s="4" t="s">
        <v>6</v>
      </c>
      <c r="D27" s="4"/>
      <c r="E27" s="4" t="s">
        <v>8</v>
      </c>
    </row>
  </sheetData>
  <mergeCells count="1">
    <mergeCell ref="H5:I5"/>
  </mergeCells>
  <conditionalFormatting sqref="I2">
    <cfRule type="containsText" dxfId="11" priority="4" operator="containsText" text="NO">
      <formula>NOT(ISERROR(SEARCH("NO",I2)))</formula>
    </cfRule>
    <cfRule type="containsText" dxfId="10" priority="3" operator="containsText" text="YES">
      <formula>NOT(ISERROR(SEARCH("YES",I2)))</formula>
    </cfRule>
  </conditionalFormatting>
  <conditionalFormatting sqref="H5:I5">
    <cfRule type="containsText" dxfId="8" priority="2" operator="containsText" text="Run Macro NOW">
      <formula>NOT(ISERROR(SEARCH("Run Macro NOW",H5)))</formula>
    </cfRule>
    <cfRule type="containsText" dxfId="9" priority="1" operator="containsText" text="Add more approved returns before formatting">
      <formula>NOT(ISERROR(SEARCH("Add more approved returns before formatting",H5)))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975C8-E072-44B2-88C7-2E3DF25BEDD3}">
  <dimension ref="A1:L27"/>
  <sheetViews>
    <sheetView tabSelected="1" topLeftCell="A3" zoomScale="115" zoomScaleNormal="115" workbookViewId="0">
      <selection activeCell="K15" sqref="K15"/>
    </sheetView>
  </sheetViews>
  <sheetFormatPr defaultRowHeight="14.5" x14ac:dyDescent="0.35"/>
  <cols>
    <col min="1" max="5" width="17.08984375" customWidth="1"/>
    <col min="8" max="8" width="14.7265625" customWidth="1"/>
    <col min="9" max="9" width="12.54296875" bestFit="1" customWidth="1"/>
    <col min="10" max="10" width="14.7265625" customWidth="1"/>
    <col min="11" max="11" width="19.453125" bestFit="1" customWidth="1"/>
    <col min="12" max="12" width="16.08984375" bestFit="1" customWidth="1"/>
    <col min="13" max="13" width="14.7265625" customWidth="1"/>
  </cols>
  <sheetData>
    <row r="1" spans="1:12" x14ac:dyDescent="0.3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H1" s="10" t="s">
        <v>63</v>
      </c>
      <c r="I1" s="10" t="s">
        <v>61</v>
      </c>
      <c r="K1" s="11" t="s">
        <v>62</v>
      </c>
      <c r="L1" s="11" t="s">
        <v>64</v>
      </c>
    </row>
    <row r="2" spans="1:12" x14ac:dyDescent="0.35">
      <c r="A2" s="4" t="s">
        <v>65</v>
      </c>
      <c r="B2" s="5">
        <v>45761</v>
      </c>
      <c r="C2" s="4" t="s">
        <v>10</v>
      </c>
      <c r="D2" s="4" t="s">
        <v>66</v>
      </c>
      <c r="E2" s="4" t="s">
        <v>14</v>
      </c>
      <c r="H2" s="1">
        <f>COUNTIF(E2:E27,"Approved for Refund")</f>
        <v>10</v>
      </c>
      <c r="I2" s="1" t="str">
        <f>IF(H2&gt;10,"YES","NO")</f>
        <v>NO</v>
      </c>
      <c r="K2" s="1">
        <f>COUNTIF(D2:D27,"")</f>
        <v>14</v>
      </c>
      <c r="L2" s="1">
        <f>COUNTIF(B2:B27,"")</f>
        <v>1</v>
      </c>
    </row>
    <row r="3" spans="1:12" ht="29" x14ac:dyDescent="0.35">
      <c r="A3" s="4" t="s">
        <v>67</v>
      </c>
      <c r="B3" s="5">
        <v>45761</v>
      </c>
      <c r="C3" s="4" t="s">
        <v>68</v>
      </c>
      <c r="D3" s="4"/>
      <c r="E3" s="4" t="s">
        <v>14</v>
      </c>
    </row>
    <row r="4" spans="1:12" ht="29" x14ac:dyDescent="0.35">
      <c r="A4" s="4" t="s">
        <v>69</v>
      </c>
      <c r="B4" s="5">
        <v>45762</v>
      </c>
      <c r="C4" s="4" t="s">
        <v>33</v>
      </c>
      <c r="D4" s="4" t="s">
        <v>70</v>
      </c>
      <c r="E4" s="4" t="s">
        <v>8</v>
      </c>
    </row>
    <row r="5" spans="1:12" ht="29" x14ac:dyDescent="0.45">
      <c r="A5" s="4" t="s">
        <v>71</v>
      </c>
      <c r="B5" s="5">
        <v>45762</v>
      </c>
      <c r="C5" s="4" t="s">
        <v>30</v>
      </c>
      <c r="D5" s="4" t="s">
        <v>42</v>
      </c>
      <c r="E5" s="4" t="s">
        <v>8</v>
      </c>
      <c r="H5" s="2" t="str">
        <f>IF(I2="YES","Run Macro NOW", "Add more approved returns before formatting")</f>
        <v>Add more approved returns before formatting</v>
      </c>
      <c r="I5" s="2"/>
    </row>
    <row r="6" spans="1:12" x14ac:dyDescent="0.35">
      <c r="A6" s="4" t="s">
        <v>72</v>
      </c>
      <c r="B6" s="5">
        <v>45763</v>
      </c>
      <c r="C6" s="4" t="s">
        <v>25</v>
      </c>
      <c r="D6" s="4"/>
      <c r="E6" s="4" t="s">
        <v>14</v>
      </c>
    </row>
    <row r="7" spans="1:12" ht="29" x14ac:dyDescent="0.35">
      <c r="A7" s="4" t="s">
        <v>73</v>
      </c>
      <c r="B7" s="5">
        <v>45763</v>
      </c>
      <c r="C7" s="4" t="s">
        <v>37</v>
      </c>
      <c r="D7" s="4"/>
      <c r="E7" s="4" t="s">
        <v>8</v>
      </c>
    </row>
    <row r="8" spans="1:12" x14ac:dyDescent="0.35">
      <c r="A8" s="4" t="s">
        <v>74</v>
      </c>
      <c r="B8" s="5">
        <v>45764</v>
      </c>
      <c r="C8" s="4" t="s">
        <v>22</v>
      </c>
      <c r="D8" s="4" t="s">
        <v>75</v>
      </c>
      <c r="E8" s="4" t="s">
        <v>14</v>
      </c>
    </row>
    <row r="9" spans="1:12" ht="29" x14ac:dyDescent="0.35">
      <c r="A9" s="4" t="s">
        <v>76</v>
      </c>
      <c r="B9" s="5">
        <v>45764</v>
      </c>
      <c r="C9" s="4" t="s">
        <v>19</v>
      </c>
      <c r="D9" s="4" t="s">
        <v>77</v>
      </c>
      <c r="E9" s="4" t="s">
        <v>8</v>
      </c>
    </row>
    <row r="10" spans="1:12" x14ac:dyDescent="0.35">
      <c r="A10" s="4" t="s">
        <v>78</v>
      </c>
      <c r="B10" s="5">
        <v>45765</v>
      </c>
      <c r="C10" s="4" t="s">
        <v>13</v>
      </c>
      <c r="D10" s="4"/>
      <c r="E10" s="4" t="s">
        <v>14</v>
      </c>
    </row>
    <row r="11" spans="1:12" x14ac:dyDescent="0.35">
      <c r="A11" s="4" t="s">
        <v>79</v>
      </c>
      <c r="B11" s="5">
        <v>45765</v>
      </c>
      <c r="C11" s="4" t="s">
        <v>16</v>
      </c>
      <c r="D11" s="4" t="s">
        <v>80</v>
      </c>
      <c r="E11" s="4" t="s">
        <v>14</v>
      </c>
    </row>
    <row r="12" spans="1:12" ht="29" x14ac:dyDescent="0.35">
      <c r="A12" s="4" t="s">
        <v>81</v>
      </c>
      <c r="B12" s="5">
        <v>45766</v>
      </c>
      <c r="C12" s="4" t="s">
        <v>33</v>
      </c>
      <c r="D12" s="4" t="s">
        <v>82</v>
      </c>
      <c r="E12" s="4" t="s">
        <v>8</v>
      </c>
    </row>
    <row r="13" spans="1:12" x14ac:dyDescent="0.35">
      <c r="A13" s="4" t="s">
        <v>83</v>
      </c>
      <c r="B13" s="5">
        <v>45766</v>
      </c>
      <c r="C13" s="4" t="s">
        <v>10</v>
      </c>
      <c r="D13" s="4"/>
      <c r="E13" s="4" t="s">
        <v>14</v>
      </c>
    </row>
    <row r="14" spans="1:12" x14ac:dyDescent="0.35">
      <c r="A14" s="4" t="s">
        <v>84</v>
      </c>
      <c r="B14" s="5">
        <v>45767</v>
      </c>
      <c r="C14" s="4" t="s">
        <v>19</v>
      </c>
      <c r="D14" s="4"/>
      <c r="E14" s="4" t="s">
        <v>14</v>
      </c>
    </row>
    <row r="15" spans="1:12" x14ac:dyDescent="0.35">
      <c r="A15" s="4" t="s">
        <v>85</v>
      </c>
      <c r="B15" s="5">
        <v>45767</v>
      </c>
      <c r="C15" s="4" t="s">
        <v>25</v>
      </c>
      <c r="D15" s="4" t="s">
        <v>86</v>
      </c>
      <c r="E15" s="4" t="s">
        <v>14</v>
      </c>
    </row>
    <row r="16" spans="1:12" x14ac:dyDescent="0.35">
      <c r="A16" s="4" t="s">
        <v>87</v>
      </c>
      <c r="B16" s="5">
        <v>45768</v>
      </c>
      <c r="C16" s="4" t="s">
        <v>13</v>
      </c>
      <c r="D16" s="4"/>
      <c r="E16" s="4" t="s">
        <v>14</v>
      </c>
    </row>
    <row r="17" spans="1:5" ht="29" x14ac:dyDescent="0.35">
      <c r="A17" s="4" t="s">
        <v>88</v>
      </c>
      <c r="B17" s="5">
        <v>45768</v>
      </c>
      <c r="C17" s="4" t="s">
        <v>30</v>
      </c>
      <c r="D17" s="4" t="s">
        <v>89</v>
      </c>
      <c r="E17" s="4" t="s">
        <v>8</v>
      </c>
    </row>
    <row r="18" spans="1:5" x14ac:dyDescent="0.35">
      <c r="A18" s="4" t="s">
        <v>90</v>
      </c>
      <c r="B18" s="5">
        <v>45769</v>
      </c>
      <c r="C18" s="4" t="s">
        <v>6</v>
      </c>
      <c r="D18" s="4"/>
      <c r="E18" s="4" t="s">
        <v>14</v>
      </c>
    </row>
    <row r="19" spans="1:5" ht="29" x14ac:dyDescent="0.35">
      <c r="A19" s="4" t="s">
        <v>91</v>
      </c>
      <c r="B19" s="5">
        <v>45769</v>
      </c>
      <c r="C19" s="4" t="s">
        <v>33</v>
      </c>
      <c r="D19" s="4" t="s">
        <v>92</v>
      </c>
      <c r="E19" s="4" t="s">
        <v>8</v>
      </c>
    </row>
    <row r="20" spans="1:5" ht="29" x14ac:dyDescent="0.35">
      <c r="A20" s="4" t="s">
        <v>93</v>
      </c>
      <c r="B20" s="5">
        <v>45770</v>
      </c>
      <c r="C20" s="4" t="s">
        <v>37</v>
      </c>
      <c r="D20" s="4"/>
      <c r="E20" s="4" t="s">
        <v>8</v>
      </c>
    </row>
    <row r="21" spans="1:5" ht="29" x14ac:dyDescent="0.35">
      <c r="A21" s="4" t="s">
        <v>94</v>
      </c>
      <c r="B21" s="5">
        <v>45770</v>
      </c>
      <c r="C21" s="4" t="s">
        <v>16</v>
      </c>
      <c r="D21" s="4" t="s">
        <v>95</v>
      </c>
      <c r="E21" s="4" t="s">
        <v>14</v>
      </c>
    </row>
    <row r="22" spans="1:5" x14ac:dyDescent="0.35">
      <c r="A22" s="4" t="s">
        <v>96</v>
      </c>
      <c r="B22" s="5">
        <v>45771</v>
      </c>
      <c r="C22" s="4" t="s">
        <v>25</v>
      </c>
      <c r="D22" s="4"/>
      <c r="E22" s="4" t="s">
        <v>14</v>
      </c>
    </row>
    <row r="23" spans="1:5" ht="29" x14ac:dyDescent="0.35">
      <c r="A23" s="4" t="s">
        <v>97</v>
      </c>
      <c r="B23" s="5">
        <v>45771</v>
      </c>
      <c r="C23" s="4" t="s">
        <v>10</v>
      </c>
      <c r="D23" s="4" t="s">
        <v>98</v>
      </c>
      <c r="E23" s="4" t="s">
        <v>8</v>
      </c>
    </row>
    <row r="24" spans="1:5" ht="29" x14ac:dyDescent="0.35">
      <c r="A24" s="4" t="s">
        <v>99</v>
      </c>
      <c r="B24" s="5">
        <v>45772</v>
      </c>
      <c r="C24" s="4" t="s">
        <v>22</v>
      </c>
      <c r="D24" s="4"/>
      <c r="E24" s="4" t="s">
        <v>8</v>
      </c>
    </row>
    <row r="25" spans="1:5" x14ac:dyDescent="0.35">
      <c r="A25" s="4" t="s">
        <v>100</v>
      </c>
      <c r="B25" s="5">
        <v>45772</v>
      </c>
      <c r="C25" s="4" t="s">
        <v>33</v>
      </c>
      <c r="D25" s="4"/>
      <c r="E25" s="4" t="s">
        <v>14</v>
      </c>
    </row>
    <row r="26" spans="1:5" x14ac:dyDescent="0.35">
      <c r="A26" s="4" t="s">
        <v>101</v>
      </c>
      <c r="B26" s="5">
        <v>45773</v>
      </c>
      <c r="C26" s="4" t="s">
        <v>19</v>
      </c>
      <c r="D26" s="4"/>
      <c r="E26" s="4" t="s">
        <v>14</v>
      </c>
    </row>
    <row r="27" spans="1:5" x14ac:dyDescent="0.35">
      <c r="A27" s="9"/>
      <c r="B27" s="9"/>
      <c r="C27" s="9"/>
      <c r="D27" s="9"/>
      <c r="E27" s="9"/>
    </row>
  </sheetData>
  <mergeCells count="1">
    <mergeCell ref="H5:I5"/>
  </mergeCells>
  <conditionalFormatting sqref="I2">
    <cfRule type="containsText" dxfId="5" priority="8" operator="containsText" text="NO">
      <formula>NOT(ISERROR(SEARCH("NO",I2)))</formula>
    </cfRule>
    <cfRule type="containsText" dxfId="4" priority="7" operator="containsText" text="YES">
      <formula>NOT(ISERROR(SEARCH("YES",I2)))</formula>
    </cfRule>
    <cfRule type="containsText" dxfId="3" priority="4" operator="containsText" text="NO">
      <formula>NOT(ISERROR(SEARCH("NO",I2)))</formula>
    </cfRule>
    <cfRule type="containsText" dxfId="2" priority="3" operator="containsText" text="YES">
      <formula>NOT(ISERROR(SEARCH("YES",I2)))</formula>
    </cfRule>
  </conditionalFormatting>
  <conditionalFormatting sqref="H5">
    <cfRule type="containsText" dxfId="7" priority="6" operator="containsText" text="Run Macro NOW">
      <formula>NOT(ISERROR(SEARCH("Run Macro NOW",H5)))</formula>
    </cfRule>
    <cfRule type="containsText" dxfId="6" priority="5" operator="containsText" text="Add more approved returns before formatting">
      <formula>NOT(ISERROR(SEARCH("Add more approved returns before formatting",H5)))</formula>
    </cfRule>
  </conditionalFormatting>
  <conditionalFormatting sqref="H5:I5">
    <cfRule type="containsText" dxfId="1" priority="2" operator="containsText" text="Run Macro NOW">
      <formula>NOT(ISERROR(SEARCH("Run Macro NOW",H5)))</formula>
    </cfRule>
    <cfRule type="containsText" dxfId="0" priority="1" operator="containsText" text="Add more approved returns before formatting">
      <formula>NOT(ISERROR(SEARCH("Add more approved returns before formatting",H5)))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ReturnsLog">
                <anchor moveWithCells="1" sizeWithCells="1">
                  <from>
                    <xdr:col>7</xdr:col>
                    <xdr:colOff>0</xdr:colOff>
                    <xdr:row>6</xdr:row>
                    <xdr:rowOff>12700</xdr:rowOff>
                  </from>
                  <to>
                    <xdr:col>9</xdr:col>
                    <xdr:colOff>450850</xdr:colOff>
                    <xdr:row>7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ReturnsLog</vt:lpstr>
      <vt:lpstr>Returns Log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David-Williams</dc:creator>
  <cp:lastModifiedBy>Stephen David-Williams</cp:lastModifiedBy>
  <dcterms:created xsi:type="dcterms:W3CDTF">2025-03-23T17:26:55Z</dcterms:created>
  <dcterms:modified xsi:type="dcterms:W3CDTF">2025-03-23T19:43:43Z</dcterms:modified>
</cp:coreProperties>
</file>