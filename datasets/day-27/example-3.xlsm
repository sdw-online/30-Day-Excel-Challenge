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eph\Documents\GitHub\demo\30-Day-Excel-Challenge\datasets\day-27\"/>
    </mc:Choice>
  </mc:AlternateContent>
  <xr:revisionPtr revIDLastSave="0" documentId="13_ncr:1_{9A0A93F0-A030-426A-807C-6FEB3D474AA9}" xr6:coauthVersionLast="47" xr6:coauthVersionMax="47" xr10:uidLastSave="{00000000-0000-0000-0000-000000000000}"/>
  <bookViews>
    <workbookView xWindow="-45" yWindow="-16320" windowWidth="29040" windowHeight="15720" activeTab="1" xr2:uid="{18416C0A-7065-4489-BB63-E6DBFCFB00B4}"/>
  </bookViews>
  <sheets>
    <sheet name="Timesheet" sheetId="1" r:id="rId1"/>
    <sheet name="Timesheets 2" sheetId="2" r:id="rId2"/>
  </sheets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I2" i="2" s="1"/>
  <c r="H6" i="2" s="1"/>
  <c r="H6" i="1"/>
  <c r="I2" i="1"/>
  <c r="H2" i="1"/>
</calcChain>
</file>

<file path=xl/sharedStrings.xml><?xml version="1.0" encoding="utf-8"?>
<sst xmlns="http://schemas.openxmlformats.org/spreadsheetml/2006/main" count="180" uniqueCount="91">
  <si>
    <t>Name</t>
  </si>
  <si>
    <t>Date</t>
  </si>
  <si>
    <t>HoursWorked</t>
  </si>
  <si>
    <t>Daniel Wilson</t>
  </si>
  <si>
    <t>Julia Kim</t>
  </si>
  <si>
    <t>Luis Patel</t>
  </si>
  <si>
    <t>Emma Henderson</t>
  </si>
  <si>
    <t>seven</t>
  </si>
  <si>
    <t>Tyler Murphy</t>
  </si>
  <si>
    <t>Angela Ramirez</t>
  </si>
  <si>
    <t>Zachary Hayes</t>
  </si>
  <si>
    <t>Madison Scott</t>
  </si>
  <si>
    <t>Blake Taylor</t>
  </si>
  <si>
    <t>Nora Flores</t>
  </si>
  <si>
    <t>Brandon Lee</t>
  </si>
  <si>
    <t>Kylie Price</t>
  </si>
  <si>
    <t>Ella Castillo</t>
  </si>
  <si>
    <t>Cameron Perez</t>
  </si>
  <si>
    <t>Lucy Hughes</t>
  </si>
  <si>
    <t>eight</t>
  </si>
  <si>
    <t>Jayden Diaz</t>
  </si>
  <si>
    <t>Penelope Morris</t>
  </si>
  <si>
    <t>Jackson Ward</t>
  </si>
  <si>
    <t>Brooke Gibson</t>
  </si>
  <si>
    <t>Ryan Shaw</t>
  </si>
  <si>
    <t>Aria Reed</t>
  </si>
  <si>
    <t>Kennedy Hunter</t>
  </si>
  <si>
    <t>Leo Sullivan</t>
  </si>
  <si>
    <t>Claire Grant</t>
  </si>
  <si>
    <t>Xavier Baker</t>
  </si>
  <si>
    <t>Ivy Foster</t>
  </si>
  <si>
    <t>Ethan Turner</t>
  </si>
  <si>
    <t>Lauren Ross</t>
  </si>
  <si>
    <t>Isaac Carter</t>
  </si>
  <si>
    <t>Victoria Sanders</t>
  </si>
  <si>
    <t>Cooper Barnes</t>
  </si>
  <si>
    <t>Maya Harrison</t>
  </si>
  <si>
    <t>Ethan Kim</t>
  </si>
  <si>
    <t>Mia Gonzales</t>
  </si>
  <si>
    <t>Samuel Young</t>
  </si>
  <si>
    <t>Chloe Rivera</t>
  </si>
  <si>
    <t>Lucas Perry</t>
  </si>
  <si>
    <t>Stella Long</t>
  </si>
  <si>
    <t>Nolan Bell</t>
  </si>
  <si>
    <t>Zoe Stone</t>
  </si>
  <si>
    <t>Status</t>
  </si>
  <si>
    <t>Not Approved</t>
  </si>
  <si>
    <t>Approved</t>
  </si>
  <si>
    <t>ReadyToCleanTimesheets</t>
  </si>
  <si>
    <t>ApprovedTimesheetCount</t>
  </si>
  <si>
    <t>Ava Simmons</t>
  </si>
  <si>
    <t>Liam Foster</t>
  </si>
  <si>
    <t>Noah Bennett</t>
  </si>
  <si>
    <t>six</t>
  </si>
  <si>
    <t>Mia Thompson</t>
  </si>
  <si>
    <t>Elijah Gray</t>
  </si>
  <si>
    <t>Amelia White</t>
  </si>
  <si>
    <t>James Collins</t>
  </si>
  <si>
    <t>Harper King</t>
  </si>
  <si>
    <t>Benjamin Murphy</t>
  </si>
  <si>
    <t>Charlotte Rivera</t>
  </si>
  <si>
    <t>Lucas Brooks</t>
  </si>
  <si>
    <t>Evelyn Jenkins</t>
  </si>
  <si>
    <t>Logan Powell</t>
  </si>
  <si>
    <t>Scarlett Hughes</t>
  </si>
  <si>
    <t>Henry Wallace</t>
  </si>
  <si>
    <t>Chloe Perry</t>
  </si>
  <si>
    <t>Aiden Rogers</t>
  </si>
  <si>
    <t>Layla Long</t>
  </si>
  <si>
    <t>Oliver Patterson</t>
  </si>
  <si>
    <t>Isla Sanders</t>
  </si>
  <si>
    <t>Jack Bryant</t>
  </si>
  <si>
    <t>Ellie Russell</t>
  </si>
  <si>
    <t>Levi Griffin</t>
  </si>
  <si>
    <t>Grace Ford</t>
  </si>
  <si>
    <t>Wyatt Bishop</t>
  </si>
  <si>
    <t>Lily Wheeler</t>
  </si>
  <si>
    <t>Carter Hayes</t>
  </si>
  <si>
    <t>Nora Daniels</t>
  </si>
  <si>
    <t>Sebastian Stone</t>
  </si>
  <si>
    <t>Aurora Barrett</t>
  </si>
  <si>
    <t>David Holland</t>
  </si>
  <si>
    <t>Zoe Webb</t>
  </si>
  <si>
    <t>Julian Marsh</t>
  </si>
  <si>
    <t>Hannah Beck</t>
  </si>
  <si>
    <t>Theo Walters</t>
  </si>
  <si>
    <t>Savannah Gilbert</t>
  </si>
  <si>
    <t>Caleb Page</t>
  </si>
  <si>
    <t>Madison Riley</t>
  </si>
  <si>
    <t>Isaac Holland</t>
  </si>
  <si>
    <t>Aria Wallace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</si>
</sst>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4" fontId="2" fillId="0" borderId="1" xfId="0" applyNumberFormat="1" applyFont="1" applyBorder="1" applyAlignment="1">
      <alignment vertical="center" wrapText="1"/>
    </xf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9</xdr:row>
          <xdr:rowOff>12700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Process Timesheets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EB26-E3A9-4541-8478-3EDE71713714}">
  <sheetPr codeName="Sheet1"/>
  <dimension ref="A1:I41"/>
  <sheetViews>
    <sheetView zoomScale="130" zoomScaleNormal="130" workbookViewId="0">
      <selection activeCell="H12" sqref="H12"/>
    </sheetView>
  </sheetViews>
  <sheetFormatPr defaultRowHeight="14.5" x14ac:dyDescent="0.35"/>
  <cols>
    <col min="1" max="4" width="19.08984375" customWidth="1"/>
    <col min="5" max="5" width="9.26953125" bestFit="1" customWidth="1"/>
    <col min="8" max="8" width="25.08984375" customWidth="1"/>
    <col min="9" max="9" width="24.36328125" customWidth="1"/>
  </cols>
  <sheetData>
    <row r="1" spans="1:9" x14ac:dyDescent="0.35">
      <c r="A1" s="2" t="s">
        <v>0</v>
      </c>
      <c r="B1" s="2" t="s">
        <v>1</v>
      </c>
      <c r="C1" s="2" t="s">
        <v>2</v>
      </c>
      <c r="D1" s="2" t="s">
        <v>45</v>
      </c>
      <c r="H1" s="6" t="s">
        <v>49</v>
      </c>
      <c r="I1" s="6" t="s">
        <v>48</v>
      </c>
    </row>
    <row r="2" spans="1:9" x14ac:dyDescent="0.35">
      <c r="A2" s="3" t="s">
        <v>3</v>
      </c>
      <c r="B2" s="4">
        <v>45726</v>
      </c>
      <c r="C2" s="3">
        <v>8</v>
      </c>
      <c r="D2" s="3" t="s">
        <v>46</v>
      </c>
      <c r="H2" s="1">
        <f>COUNTIF(D2:D41,"Approved")</f>
        <v>21</v>
      </c>
      <c r="I2" s="1" t="str">
        <f>IF(H2&gt;20,"YES","NO")</f>
        <v>YES</v>
      </c>
    </row>
    <row r="3" spans="1:9" x14ac:dyDescent="0.35">
      <c r="A3" s="3" t="s">
        <v>4</v>
      </c>
      <c r="B3" s="4">
        <v>45727</v>
      </c>
      <c r="C3" s="3">
        <v>7.25</v>
      </c>
      <c r="D3" s="3" t="s">
        <v>47</v>
      </c>
    </row>
    <row r="4" spans="1:9" x14ac:dyDescent="0.35">
      <c r="A4" s="3" t="s">
        <v>5</v>
      </c>
      <c r="B4" s="4">
        <v>45727</v>
      </c>
      <c r="C4" s="3">
        <v>9</v>
      </c>
      <c r="D4" s="3" t="s">
        <v>47</v>
      </c>
    </row>
    <row r="5" spans="1:9" x14ac:dyDescent="0.35">
      <c r="A5" s="3" t="s">
        <v>6</v>
      </c>
      <c r="B5" s="4">
        <v>45728</v>
      </c>
      <c r="C5" s="3" t="s">
        <v>7</v>
      </c>
      <c r="D5" s="3" t="s">
        <v>46</v>
      </c>
    </row>
    <row r="6" spans="1:9" ht="23.5" x14ac:dyDescent="0.55000000000000004">
      <c r="A6" s="3" t="s">
        <v>8</v>
      </c>
      <c r="B6" s="4">
        <v>45728</v>
      </c>
      <c r="C6" s="3"/>
      <c r="D6" s="3" t="s">
        <v>47</v>
      </c>
      <c r="H6" s="5" t="str">
        <f>IF(I2="YES","RUN MACRO NOW","DO NOT PROCESS TIMESHEETS!")</f>
        <v>RUN MACRO NOW</v>
      </c>
      <c r="I6" s="5"/>
    </row>
    <row r="7" spans="1:9" x14ac:dyDescent="0.35">
      <c r="A7" s="3" t="s">
        <v>9</v>
      </c>
      <c r="B7" s="4">
        <v>45729</v>
      </c>
      <c r="C7" s="3">
        <v>8</v>
      </c>
      <c r="D7" s="3" t="s">
        <v>47</v>
      </c>
    </row>
    <row r="8" spans="1:9" x14ac:dyDescent="0.35">
      <c r="A8" s="3" t="s">
        <v>10</v>
      </c>
      <c r="B8" s="4">
        <v>45729</v>
      </c>
      <c r="C8" s="3">
        <v>6.5</v>
      </c>
      <c r="D8" s="3" t="s">
        <v>47</v>
      </c>
    </row>
    <row r="9" spans="1:9" x14ac:dyDescent="0.35">
      <c r="A9" s="3" t="s">
        <v>11</v>
      </c>
      <c r="B9" s="4">
        <v>45730</v>
      </c>
      <c r="C9" s="3">
        <v>7.5</v>
      </c>
      <c r="D9" s="3" t="s">
        <v>47</v>
      </c>
    </row>
    <row r="10" spans="1:9" x14ac:dyDescent="0.35">
      <c r="A10" s="3" t="s">
        <v>12</v>
      </c>
      <c r="B10" s="4">
        <v>45730</v>
      </c>
      <c r="C10" s="3"/>
      <c r="D10" s="3" t="s">
        <v>47</v>
      </c>
    </row>
    <row r="11" spans="1:9" x14ac:dyDescent="0.35">
      <c r="A11" s="3" t="s">
        <v>13</v>
      </c>
      <c r="B11" s="4">
        <v>45731</v>
      </c>
      <c r="C11" s="3">
        <v>8</v>
      </c>
      <c r="D11" s="3" t="s">
        <v>47</v>
      </c>
    </row>
    <row r="12" spans="1:9" x14ac:dyDescent="0.35">
      <c r="A12" s="3" t="s">
        <v>14</v>
      </c>
      <c r="B12" s="4">
        <v>45731</v>
      </c>
      <c r="C12" s="3">
        <v>9</v>
      </c>
      <c r="D12" s="3" t="s">
        <v>46</v>
      </c>
    </row>
    <row r="13" spans="1:9" x14ac:dyDescent="0.35">
      <c r="A13" s="3" t="s">
        <v>15</v>
      </c>
      <c r="B13" s="4">
        <v>45732</v>
      </c>
      <c r="C13" s="3"/>
      <c r="D13" s="3" t="s">
        <v>47</v>
      </c>
    </row>
    <row r="14" spans="1:9" x14ac:dyDescent="0.35">
      <c r="A14" s="3" t="s">
        <v>16</v>
      </c>
      <c r="B14" s="4">
        <v>45732</v>
      </c>
      <c r="C14" s="3">
        <v>7</v>
      </c>
      <c r="D14" s="3" t="s">
        <v>46</v>
      </c>
    </row>
    <row r="15" spans="1:9" x14ac:dyDescent="0.35">
      <c r="A15" s="3" t="s">
        <v>17</v>
      </c>
      <c r="B15" s="4">
        <v>45733</v>
      </c>
      <c r="C15" s="3"/>
      <c r="D15" s="3" t="s">
        <v>46</v>
      </c>
    </row>
    <row r="16" spans="1:9" x14ac:dyDescent="0.35">
      <c r="A16" s="3" t="s">
        <v>18</v>
      </c>
      <c r="B16" s="4">
        <v>45733</v>
      </c>
      <c r="C16" s="3" t="s">
        <v>19</v>
      </c>
      <c r="D16" s="3" t="s">
        <v>46</v>
      </c>
    </row>
    <row r="17" spans="1:4" x14ac:dyDescent="0.35">
      <c r="A17" s="3" t="s">
        <v>20</v>
      </c>
      <c r="B17" s="4">
        <v>45734</v>
      </c>
      <c r="C17" s="3">
        <v>7.5</v>
      </c>
      <c r="D17" s="3" t="s">
        <v>47</v>
      </c>
    </row>
    <row r="18" spans="1:4" x14ac:dyDescent="0.35">
      <c r="A18" s="3" t="s">
        <v>21</v>
      </c>
      <c r="B18" s="4">
        <v>45734</v>
      </c>
      <c r="C18" s="3">
        <v>6</v>
      </c>
      <c r="D18" s="3" t="s">
        <v>47</v>
      </c>
    </row>
    <row r="19" spans="1:4" x14ac:dyDescent="0.35">
      <c r="A19" s="3" t="s">
        <v>22</v>
      </c>
      <c r="B19" s="4">
        <v>45735</v>
      </c>
      <c r="C19" s="3">
        <v>9</v>
      </c>
      <c r="D19" s="3" t="s">
        <v>47</v>
      </c>
    </row>
    <row r="20" spans="1:4" x14ac:dyDescent="0.35">
      <c r="A20" s="3" t="s">
        <v>23</v>
      </c>
      <c r="B20" s="4">
        <v>45735</v>
      </c>
      <c r="C20" s="3">
        <v>7</v>
      </c>
      <c r="D20" s="3" t="s">
        <v>47</v>
      </c>
    </row>
    <row r="21" spans="1:4" x14ac:dyDescent="0.35">
      <c r="A21" s="3" t="s">
        <v>24</v>
      </c>
      <c r="B21" s="4">
        <v>45736</v>
      </c>
      <c r="C21" s="3"/>
      <c r="D21" s="3" t="s">
        <v>47</v>
      </c>
    </row>
    <row r="22" spans="1:4" x14ac:dyDescent="0.35">
      <c r="A22" s="3" t="s">
        <v>25</v>
      </c>
      <c r="B22" s="4">
        <v>45736</v>
      </c>
      <c r="C22" s="3">
        <v>7.25</v>
      </c>
      <c r="D22" s="3" t="s">
        <v>47</v>
      </c>
    </row>
    <row r="23" spans="1:4" x14ac:dyDescent="0.35">
      <c r="A23" s="3" t="s">
        <v>26</v>
      </c>
      <c r="B23" s="4">
        <v>45737</v>
      </c>
      <c r="C23" s="3">
        <v>8</v>
      </c>
      <c r="D23" s="3" t="s">
        <v>47</v>
      </c>
    </row>
    <row r="24" spans="1:4" x14ac:dyDescent="0.35">
      <c r="A24" s="3" t="s">
        <v>27</v>
      </c>
      <c r="B24" s="4">
        <v>45737</v>
      </c>
      <c r="C24" s="3"/>
      <c r="D24" s="3" t="s">
        <v>47</v>
      </c>
    </row>
    <row r="25" spans="1:4" x14ac:dyDescent="0.35">
      <c r="A25" s="3" t="s">
        <v>28</v>
      </c>
      <c r="B25" s="4">
        <v>45738</v>
      </c>
      <c r="C25" s="3">
        <v>7</v>
      </c>
      <c r="D25" s="3" t="s">
        <v>47</v>
      </c>
    </row>
    <row r="26" spans="1:4" x14ac:dyDescent="0.35">
      <c r="A26" s="3" t="s">
        <v>29</v>
      </c>
      <c r="B26" s="4">
        <v>45738</v>
      </c>
      <c r="C26" s="3">
        <v>6.5</v>
      </c>
      <c r="D26" s="3" t="s">
        <v>47</v>
      </c>
    </row>
    <row r="27" spans="1:4" x14ac:dyDescent="0.35">
      <c r="A27" s="3" t="s">
        <v>30</v>
      </c>
      <c r="B27" s="4">
        <v>45739</v>
      </c>
      <c r="C27" s="3"/>
      <c r="D27" s="3" t="s">
        <v>47</v>
      </c>
    </row>
    <row r="28" spans="1:4" x14ac:dyDescent="0.35">
      <c r="A28" s="3" t="s">
        <v>31</v>
      </c>
      <c r="B28" s="4">
        <v>45739</v>
      </c>
      <c r="C28" s="3">
        <v>9</v>
      </c>
      <c r="D28" s="3" t="s">
        <v>47</v>
      </c>
    </row>
    <row r="29" spans="1:4" x14ac:dyDescent="0.35">
      <c r="A29" s="3" t="s">
        <v>32</v>
      </c>
      <c r="B29" s="4">
        <v>45740</v>
      </c>
      <c r="C29" s="3"/>
      <c r="D29" s="3" t="s">
        <v>46</v>
      </c>
    </row>
    <row r="30" spans="1:4" x14ac:dyDescent="0.35">
      <c r="A30" s="3" t="s">
        <v>33</v>
      </c>
      <c r="B30" s="4">
        <v>45740</v>
      </c>
      <c r="C30" s="3">
        <v>8</v>
      </c>
      <c r="D30" s="3" t="s">
        <v>46</v>
      </c>
    </row>
    <row r="31" spans="1:4" x14ac:dyDescent="0.35">
      <c r="A31" s="3" t="s">
        <v>34</v>
      </c>
      <c r="B31" s="4">
        <v>45741</v>
      </c>
      <c r="C31" s="3">
        <v>7.5</v>
      </c>
      <c r="D31" s="3" t="s">
        <v>46</v>
      </c>
    </row>
    <row r="32" spans="1:4" x14ac:dyDescent="0.35">
      <c r="A32" s="3" t="s">
        <v>35</v>
      </c>
      <c r="B32" s="4">
        <v>45741</v>
      </c>
      <c r="C32" s="3">
        <v>6</v>
      </c>
      <c r="D32" s="3" t="s">
        <v>46</v>
      </c>
    </row>
    <row r="33" spans="1:4" x14ac:dyDescent="0.35">
      <c r="A33" s="3" t="s">
        <v>36</v>
      </c>
      <c r="B33" s="4">
        <v>45742</v>
      </c>
      <c r="C33" s="3"/>
      <c r="D33" s="3" t="s">
        <v>46</v>
      </c>
    </row>
    <row r="34" spans="1:4" x14ac:dyDescent="0.35">
      <c r="A34" s="3" t="s">
        <v>37</v>
      </c>
      <c r="B34" s="4">
        <v>45742</v>
      </c>
      <c r="C34" s="3">
        <v>8</v>
      </c>
      <c r="D34" s="3" t="s">
        <v>46</v>
      </c>
    </row>
    <row r="35" spans="1:4" x14ac:dyDescent="0.35">
      <c r="A35" s="3" t="s">
        <v>38</v>
      </c>
      <c r="B35" s="4">
        <v>45743</v>
      </c>
      <c r="C35" s="3"/>
      <c r="D35" s="3" t="s">
        <v>46</v>
      </c>
    </row>
    <row r="36" spans="1:4" x14ac:dyDescent="0.35">
      <c r="A36" s="3" t="s">
        <v>39</v>
      </c>
      <c r="B36" s="4">
        <v>45743</v>
      </c>
      <c r="C36" s="3" t="s">
        <v>19</v>
      </c>
      <c r="D36" s="3" t="s">
        <v>46</v>
      </c>
    </row>
    <row r="37" spans="1:4" x14ac:dyDescent="0.35">
      <c r="A37" s="3" t="s">
        <v>40</v>
      </c>
      <c r="B37" s="4">
        <v>45744</v>
      </c>
      <c r="C37" s="3">
        <v>6.75</v>
      </c>
      <c r="D37" s="3" t="s">
        <v>46</v>
      </c>
    </row>
    <row r="38" spans="1:4" x14ac:dyDescent="0.35">
      <c r="A38" s="3" t="s">
        <v>41</v>
      </c>
      <c r="B38" s="4">
        <v>45744</v>
      </c>
      <c r="C38" s="3"/>
      <c r="D38" s="3" t="s">
        <v>46</v>
      </c>
    </row>
    <row r="39" spans="1:4" x14ac:dyDescent="0.35">
      <c r="A39" s="3" t="s">
        <v>42</v>
      </c>
      <c r="B39" s="4">
        <v>45745</v>
      </c>
      <c r="C39" s="3">
        <v>7.5</v>
      </c>
      <c r="D39" s="3" t="s">
        <v>46</v>
      </c>
    </row>
    <row r="40" spans="1:4" x14ac:dyDescent="0.35">
      <c r="A40" s="3" t="s">
        <v>43</v>
      </c>
      <c r="B40" s="4">
        <v>45746</v>
      </c>
      <c r="C40" s="3">
        <v>6</v>
      </c>
      <c r="D40" s="3" t="s">
        <v>46</v>
      </c>
    </row>
    <row r="41" spans="1:4" x14ac:dyDescent="0.35">
      <c r="A41" s="3" t="s">
        <v>44</v>
      </c>
      <c r="B41" s="4">
        <v>45746</v>
      </c>
      <c r="C41" s="3" t="s">
        <v>7</v>
      </c>
      <c r="D41" s="3" t="s">
        <v>46</v>
      </c>
    </row>
  </sheetData>
  <mergeCells count="1">
    <mergeCell ref="H6:I6"/>
  </mergeCells>
  <conditionalFormatting sqref="I2">
    <cfRule type="containsText" dxfId="4" priority="2" operator="containsText" text="NO">
      <formula>NOT(ISERROR(SEARCH("NO",I2)))</formula>
    </cfRule>
    <cfRule type="containsText" dxfId="5" priority="1" operator="containsText" text="YES">
      <formula>NOT(ISERROR(SEARCH("YES",I2)))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ED15A-EF78-435E-90A5-12E4EE14734E}">
  <sheetPr codeName="Sheet2"/>
  <dimension ref="A1:I41"/>
  <sheetViews>
    <sheetView tabSelected="1" zoomScale="115" zoomScaleNormal="115" workbookViewId="0">
      <selection activeCell="G15" sqref="G15"/>
    </sheetView>
  </sheetViews>
  <sheetFormatPr defaultRowHeight="14.5" x14ac:dyDescent="0.35"/>
  <cols>
    <col min="1" max="3" width="20.26953125" customWidth="1"/>
    <col min="4" max="4" width="17.26953125" customWidth="1"/>
    <col min="8" max="8" width="25.08984375" customWidth="1"/>
    <col min="9" max="9" width="24.36328125" customWidth="1"/>
  </cols>
  <sheetData>
    <row r="1" spans="1:9" x14ac:dyDescent="0.35">
      <c r="A1" s="2" t="s">
        <v>0</v>
      </c>
      <c r="B1" s="2" t="s">
        <v>1</v>
      </c>
      <c r="C1" s="2" t="s">
        <v>2</v>
      </c>
      <c r="D1" s="2" t="s">
        <v>45</v>
      </c>
      <c r="H1" s="6" t="s">
        <v>49</v>
      </c>
      <c r="I1" s="6" t="s">
        <v>48</v>
      </c>
    </row>
    <row r="2" spans="1:9" x14ac:dyDescent="0.35">
      <c r="A2" s="3" t="s">
        <v>50</v>
      </c>
      <c r="B2" s="4">
        <v>45748</v>
      </c>
      <c r="C2" s="3">
        <v>7.5</v>
      </c>
      <c r="D2" s="3" t="s">
        <v>46</v>
      </c>
      <c r="H2" s="1">
        <f>COUNTIF(D2:D41,"Approved")</f>
        <v>21</v>
      </c>
      <c r="I2" s="1" t="str">
        <f>IF(H2&gt;20,"YES","NO")</f>
        <v>YES</v>
      </c>
    </row>
    <row r="3" spans="1:9" x14ac:dyDescent="0.35">
      <c r="A3" s="3" t="s">
        <v>51</v>
      </c>
      <c r="B3" s="4">
        <v>45748</v>
      </c>
      <c r="C3" s="3">
        <v>8</v>
      </c>
      <c r="D3" s="3" t="s">
        <v>46</v>
      </c>
    </row>
    <row r="4" spans="1:9" ht="29" customHeight="1" x14ac:dyDescent="0.35">
      <c r="A4" s="3" t="s">
        <v>52</v>
      </c>
      <c r="B4" s="4">
        <v>45749</v>
      </c>
      <c r="C4" s="3" t="s">
        <v>53</v>
      </c>
      <c r="D4" s="3" t="s">
        <v>47</v>
      </c>
    </row>
    <row r="5" spans="1:9" x14ac:dyDescent="0.35">
      <c r="A5" s="3" t="s">
        <v>54</v>
      </c>
      <c r="B5" s="4">
        <v>45749</v>
      </c>
      <c r="C5" s="3">
        <v>7.25</v>
      </c>
      <c r="D5" s="3" t="s">
        <v>47</v>
      </c>
    </row>
    <row r="6" spans="1:9" ht="29" customHeight="1" x14ac:dyDescent="0.55000000000000004">
      <c r="A6" s="3" t="s">
        <v>55</v>
      </c>
      <c r="B6" s="4">
        <v>45750</v>
      </c>
      <c r="C6" s="3"/>
      <c r="D6" s="3" t="s">
        <v>47</v>
      </c>
      <c r="H6" s="5" t="str">
        <f>IF(I2="YES","RUN MACRO NOW","DO NOT PROCESS TIMESHEETS!")</f>
        <v>RUN MACRO NOW</v>
      </c>
      <c r="I6" s="5"/>
    </row>
    <row r="7" spans="1:9" x14ac:dyDescent="0.35">
      <c r="A7" s="3" t="s">
        <v>56</v>
      </c>
      <c r="B7" s="4">
        <v>45750</v>
      </c>
      <c r="C7" s="3">
        <v>8.5</v>
      </c>
      <c r="D7" s="3" t="s">
        <v>47</v>
      </c>
    </row>
    <row r="8" spans="1:9" ht="29" customHeight="1" x14ac:dyDescent="0.35">
      <c r="A8" s="3" t="s">
        <v>57</v>
      </c>
      <c r="B8" s="4">
        <v>45751</v>
      </c>
      <c r="C8" s="3">
        <v>7</v>
      </c>
      <c r="D8" s="3" t="s">
        <v>47</v>
      </c>
    </row>
    <row r="9" spans="1:9" ht="29" customHeight="1" x14ac:dyDescent="0.35">
      <c r="A9" s="3" t="s">
        <v>58</v>
      </c>
      <c r="B9" s="4">
        <v>45751</v>
      </c>
      <c r="C9" s="3"/>
      <c r="D9" s="3" t="s">
        <v>47</v>
      </c>
    </row>
    <row r="10" spans="1:9" ht="29" customHeight="1" x14ac:dyDescent="0.35">
      <c r="A10" s="3" t="s">
        <v>59</v>
      </c>
      <c r="B10" s="4">
        <v>45752</v>
      </c>
      <c r="C10" s="3">
        <v>9</v>
      </c>
      <c r="D10" s="3" t="s">
        <v>47</v>
      </c>
    </row>
    <row r="11" spans="1:9" ht="29" customHeight="1" x14ac:dyDescent="0.35">
      <c r="A11" s="3" t="s">
        <v>60</v>
      </c>
      <c r="B11" s="4">
        <v>45752</v>
      </c>
      <c r="C11" s="3" t="s">
        <v>7</v>
      </c>
      <c r="D11" s="3" t="s">
        <v>47</v>
      </c>
    </row>
    <row r="12" spans="1:9" ht="29" customHeight="1" x14ac:dyDescent="0.35">
      <c r="A12" s="3" t="s">
        <v>61</v>
      </c>
      <c r="B12" s="4">
        <v>45753</v>
      </c>
      <c r="C12" s="3">
        <v>8</v>
      </c>
      <c r="D12" s="3" t="s">
        <v>46</v>
      </c>
    </row>
    <row r="13" spans="1:9" ht="29" customHeight="1" x14ac:dyDescent="0.35">
      <c r="A13" s="3" t="s">
        <v>62</v>
      </c>
      <c r="B13" s="4">
        <v>45753</v>
      </c>
      <c r="C13" s="3">
        <v>7</v>
      </c>
      <c r="D13" s="3" t="s">
        <v>47</v>
      </c>
    </row>
    <row r="14" spans="1:9" ht="29" customHeight="1" x14ac:dyDescent="0.35">
      <c r="A14" s="3" t="s">
        <v>63</v>
      </c>
      <c r="B14" s="4">
        <v>45754</v>
      </c>
      <c r="C14" s="3"/>
      <c r="D14" s="3" t="s">
        <v>46</v>
      </c>
    </row>
    <row r="15" spans="1:9" ht="29" customHeight="1" x14ac:dyDescent="0.35">
      <c r="A15" s="3" t="s">
        <v>64</v>
      </c>
      <c r="B15" s="4">
        <v>45754</v>
      </c>
      <c r="C15" s="3">
        <v>6.5</v>
      </c>
      <c r="D15" s="3" t="s">
        <v>46</v>
      </c>
    </row>
    <row r="16" spans="1:9" ht="29" customHeight="1" x14ac:dyDescent="0.35">
      <c r="A16" s="3" t="s">
        <v>65</v>
      </c>
      <c r="B16" s="4">
        <v>45755</v>
      </c>
      <c r="C16" s="3">
        <v>8</v>
      </c>
      <c r="D16" s="3" t="s">
        <v>46</v>
      </c>
    </row>
    <row r="17" spans="1:4" ht="29" customHeight="1" x14ac:dyDescent="0.35">
      <c r="A17" s="3" t="s">
        <v>66</v>
      </c>
      <c r="B17" s="4">
        <v>45755</v>
      </c>
      <c r="C17" s="3">
        <v>7.75</v>
      </c>
      <c r="D17" s="3" t="s">
        <v>47</v>
      </c>
    </row>
    <row r="18" spans="1:4" ht="29" customHeight="1" x14ac:dyDescent="0.35">
      <c r="A18" s="3" t="s">
        <v>67</v>
      </c>
      <c r="B18" s="4">
        <v>45756</v>
      </c>
      <c r="C18" s="3">
        <v>6</v>
      </c>
      <c r="D18" s="3" t="s">
        <v>47</v>
      </c>
    </row>
    <row r="19" spans="1:4" ht="29" customHeight="1" x14ac:dyDescent="0.35">
      <c r="A19" s="3" t="s">
        <v>68</v>
      </c>
      <c r="B19" s="4">
        <v>45756</v>
      </c>
      <c r="C19" s="3"/>
      <c r="D19" s="3" t="s">
        <v>47</v>
      </c>
    </row>
    <row r="20" spans="1:4" ht="29" customHeight="1" x14ac:dyDescent="0.35">
      <c r="A20" s="3" t="s">
        <v>69</v>
      </c>
      <c r="B20" s="4">
        <v>45757</v>
      </c>
      <c r="C20" s="3" t="s">
        <v>19</v>
      </c>
      <c r="D20" s="3" t="s">
        <v>47</v>
      </c>
    </row>
    <row r="21" spans="1:4" ht="29" customHeight="1" x14ac:dyDescent="0.35">
      <c r="A21" s="3" t="s">
        <v>70</v>
      </c>
      <c r="B21" s="4">
        <v>45757</v>
      </c>
      <c r="C21" s="3">
        <v>7.25</v>
      </c>
      <c r="D21" s="3" t="s">
        <v>47</v>
      </c>
    </row>
    <row r="22" spans="1:4" ht="29" customHeight="1" x14ac:dyDescent="0.35">
      <c r="A22" s="3" t="s">
        <v>71</v>
      </c>
      <c r="B22" s="4">
        <v>45758</v>
      </c>
      <c r="C22" s="3"/>
      <c r="D22" s="3" t="s">
        <v>47</v>
      </c>
    </row>
    <row r="23" spans="1:4" ht="29" customHeight="1" x14ac:dyDescent="0.35">
      <c r="A23" s="3" t="s">
        <v>72</v>
      </c>
      <c r="B23" s="4">
        <v>45758</v>
      </c>
      <c r="C23" s="3">
        <v>6.75</v>
      </c>
      <c r="D23" s="3" t="s">
        <v>47</v>
      </c>
    </row>
    <row r="24" spans="1:4" ht="29" customHeight="1" x14ac:dyDescent="0.35">
      <c r="A24" s="3" t="s">
        <v>73</v>
      </c>
      <c r="B24" s="4">
        <v>45759</v>
      </c>
      <c r="C24" s="3">
        <v>8</v>
      </c>
      <c r="D24" s="3" t="s">
        <v>47</v>
      </c>
    </row>
    <row r="25" spans="1:4" ht="29" customHeight="1" x14ac:dyDescent="0.35">
      <c r="A25" s="3" t="s">
        <v>74</v>
      </c>
      <c r="B25" s="4">
        <v>45759</v>
      </c>
      <c r="C25" s="3"/>
      <c r="D25" s="3" t="s">
        <v>47</v>
      </c>
    </row>
    <row r="26" spans="1:4" ht="29" customHeight="1" x14ac:dyDescent="0.35">
      <c r="A26" s="3" t="s">
        <v>75</v>
      </c>
      <c r="B26" s="4">
        <v>45760</v>
      </c>
      <c r="C26" s="3">
        <v>7</v>
      </c>
      <c r="D26" s="3" t="s">
        <v>47</v>
      </c>
    </row>
    <row r="27" spans="1:4" ht="29" customHeight="1" x14ac:dyDescent="0.35">
      <c r="A27" s="3" t="s">
        <v>76</v>
      </c>
      <c r="B27" s="4">
        <v>45760</v>
      </c>
      <c r="C27" s="3">
        <v>8</v>
      </c>
      <c r="D27" s="3" t="s">
        <v>47</v>
      </c>
    </row>
    <row r="28" spans="1:4" ht="29" customHeight="1" x14ac:dyDescent="0.35">
      <c r="A28" s="3" t="s">
        <v>77</v>
      </c>
      <c r="B28" s="4">
        <v>45761</v>
      </c>
      <c r="C28" s="3"/>
      <c r="D28" s="3" t="s">
        <v>47</v>
      </c>
    </row>
    <row r="29" spans="1:4" ht="29" customHeight="1" x14ac:dyDescent="0.35">
      <c r="A29" s="3" t="s">
        <v>78</v>
      </c>
      <c r="B29" s="4">
        <v>45761</v>
      </c>
      <c r="C29" s="3">
        <v>6.5</v>
      </c>
      <c r="D29" s="3" t="s">
        <v>46</v>
      </c>
    </row>
    <row r="30" spans="1:4" ht="29" customHeight="1" x14ac:dyDescent="0.35">
      <c r="A30" s="3" t="s">
        <v>79</v>
      </c>
      <c r="B30" s="4">
        <v>45762</v>
      </c>
      <c r="C30" s="3">
        <v>8</v>
      </c>
      <c r="D30" s="3" t="s">
        <v>46</v>
      </c>
    </row>
    <row r="31" spans="1:4" ht="29" customHeight="1" x14ac:dyDescent="0.35">
      <c r="A31" s="3" t="s">
        <v>80</v>
      </c>
      <c r="B31" s="4">
        <v>45762</v>
      </c>
      <c r="C31" s="3"/>
      <c r="D31" s="3" t="s">
        <v>46</v>
      </c>
    </row>
    <row r="32" spans="1:4" ht="29" customHeight="1" x14ac:dyDescent="0.35">
      <c r="A32" s="3" t="s">
        <v>81</v>
      </c>
      <c r="B32" s="4">
        <v>45763</v>
      </c>
      <c r="C32" s="3">
        <v>9</v>
      </c>
      <c r="D32" s="3" t="s">
        <v>46</v>
      </c>
    </row>
    <row r="33" spans="1:4" x14ac:dyDescent="0.35">
      <c r="A33" s="3" t="s">
        <v>82</v>
      </c>
      <c r="B33" s="4">
        <v>45763</v>
      </c>
      <c r="C33" s="3">
        <v>7.5</v>
      </c>
      <c r="D33" s="3" t="s">
        <v>46</v>
      </c>
    </row>
    <row r="34" spans="1:4" ht="29" customHeight="1" x14ac:dyDescent="0.35">
      <c r="A34" s="3" t="s">
        <v>83</v>
      </c>
      <c r="B34" s="4">
        <v>45764</v>
      </c>
      <c r="C34" s="3"/>
      <c r="D34" s="3" t="s">
        <v>46</v>
      </c>
    </row>
    <row r="35" spans="1:4" ht="29" customHeight="1" x14ac:dyDescent="0.35">
      <c r="A35" s="3" t="s">
        <v>84</v>
      </c>
      <c r="B35" s="4">
        <v>45764</v>
      </c>
      <c r="C35" s="3">
        <v>8</v>
      </c>
      <c r="D35" s="3" t="s">
        <v>46</v>
      </c>
    </row>
    <row r="36" spans="1:4" ht="29" customHeight="1" x14ac:dyDescent="0.35">
      <c r="A36" s="3" t="s">
        <v>85</v>
      </c>
      <c r="B36" s="4">
        <v>45765</v>
      </c>
      <c r="C36" s="3">
        <v>6</v>
      </c>
      <c r="D36" s="3" t="s">
        <v>46</v>
      </c>
    </row>
    <row r="37" spans="1:4" ht="29" customHeight="1" x14ac:dyDescent="0.35">
      <c r="A37" s="3" t="s">
        <v>86</v>
      </c>
      <c r="B37" s="4">
        <v>45765</v>
      </c>
      <c r="C37" s="3" t="s">
        <v>7</v>
      </c>
      <c r="D37" s="3" t="s">
        <v>46</v>
      </c>
    </row>
    <row r="38" spans="1:4" ht="29" customHeight="1" x14ac:dyDescent="0.35">
      <c r="A38" s="3" t="s">
        <v>87</v>
      </c>
      <c r="B38" s="4">
        <v>45766</v>
      </c>
      <c r="C38" s="3">
        <v>7</v>
      </c>
      <c r="D38" s="3" t="s">
        <v>46</v>
      </c>
    </row>
    <row r="39" spans="1:4" ht="29" customHeight="1" x14ac:dyDescent="0.35">
      <c r="A39" s="3" t="s">
        <v>88</v>
      </c>
      <c r="B39" s="4">
        <v>45766</v>
      </c>
      <c r="C39" s="3">
        <v>8</v>
      </c>
      <c r="D39" s="3" t="s">
        <v>46</v>
      </c>
    </row>
    <row r="40" spans="1:4" ht="29" customHeight="1" x14ac:dyDescent="0.35">
      <c r="A40" s="3" t="s">
        <v>89</v>
      </c>
      <c r="B40" s="4">
        <v>45767</v>
      </c>
      <c r="C40" s="3"/>
      <c r="D40" s="3" t="s">
        <v>46</v>
      </c>
    </row>
    <row r="41" spans="1:4" ht="29" customHeight="1" x14ac:dyDescent="0.35">
      <c r="A41" s="3" t="s">
        <v>90</v>
      </c>
      <c r="B41" s="4">
        <v>45767</v>
      </c>
      <c r="C41" s="3">
        <v>6.75</v>
      </c>
      <c r="D41" s="3" t="s">
        <v>46</v>
      </c>
    </row>
  </sheetData>
  <mergeCells count="1">
    <mergeCell ref="H6:I6"/>
  </mergeCells>
  <conditionalFormatting sqref="I2">
    <cfRule type="containsText" dxfId="3" priority="4" operator="containsText" text="NO">
      <formula>NOT(ISERROR(SEARCH("NO",I2)))</formula>
    </cfRule>
    <cfRule type="containsText" dxfId="2" priority="3" operator="containsText" text="YES">
      <formula>NOT(ISERROR(SEARCH("YES",I2)))</formula>
    </cfRule>
    <cfRule type="containsText" dxfId="1" priority="2" operator="containsText" text="NO">
      <formula>NOT(ISERROR(SEARCH("NO",I2)))</formula>
    </cfRule>
    <cfRule type="containsText" dxfId="0" priority="1" operator="containsText" text="YES">
      <formula>NOT(ISERROR(SEARCH("YES",I2)))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Timesheets">
                <anchor moveWithCells="1" sizeWithCells="1">
                  <from>
                    <xdr:col>10</xdr:col>
                    <xdr:colOff>19050</xdr:colOff>
                    <xdr:row>9</xdr:row>
                    <xdr:rowOff>12700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Timesheet</vt:lpstr>
      <vt:lpstr>Timesheets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David-Williams</dc:creator>
  <cp:lastModifiedBy>Stephen David-Williams</cp:lastModifiedBy>
  <dcterms:created xsi:type="dcterms:W3CDTF">2025-03-23T14:47:18Z</dcterms:created>
  <dcterms:modified xsi:type="dcterms:W3CDTF">2025-03-23T19:43:39Z</dcterms:modified>
</cp:coreProperties>
</file>