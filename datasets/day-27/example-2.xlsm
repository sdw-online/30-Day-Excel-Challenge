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teph\Documents\GitHub\demo\30-Day-Excel-Challenge\datasets\day-27\"/>
    </mc:Choice>
  </mc:AlternateContent>
  <xr:revisionPtr revIDLastSave="0" documentId="8_{BB3BD23C-3737-405A-8A32-FF3DE6C02198}" xr6:coauthVersionLast="47" xr6:coauthVersionMax="47" xr10:uidLastSave="{00000000-0000-0000-0000-000000000000}"/>
  <bookViews>
    <workbookView xWindow="-45" yWindow="-16320" windowWidth="29040" windowHeight="15720" activeTab="2" xr2:uid="{8F191093-04CD-430D-B4D2-706570DEA076}"/>
  </bookViews>
  <sheets>
    <sheet name="Timesheet 1" sheetId="1" r:id="rId1"/>
    <sheet name="Timesheet 2" sheetId="2" r:id="rId2"/>
    <sheet name="Timesheet 3" sheetId="3" r:id="rId3"/>
  </sheets>
  <definedNames>
    <definedName name="_xlnm._FilterDatabase" localSheetId="0" hidden="1">'Timesheet 1'!$A$1:$F$42</definedName>
    <definedName name="_xlnm._FilterDatabase" localSheetId="1" hidden="1">'Timesheet 2'!$A$1:$F$43</definedName>
    <definedName name="_xlnm._FilterDatabase" localSheetId="2" hidden="1">'Timesheet 3'!$A$1:$F$43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2" i="3"/>
  <c r="L2" i="3"/>
  <c r="K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2" i="3"/>
  <c r="M2" i="3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2" i="3"/>
  <c r="L2" i="2"/>
  <c r="K2" i="2"/>
  <c r="G3" i="2"/>
  <c r="G4" i="2"/>
  <c r="G5" i="2"/>
  <c r="G6" i="2"/>
  <c r="G7" i="2"/>
  <c r="G8" i="2"/>
  <c r="G9" i="2"/>
  <c r="G10" i="2"/>
  <c r="G11" i="2"/>
  <c r="G12" i="2"/>
  <c r="G13" i="2"/>
  <c r="M2" i="2" s="1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2" i="2"/>
  <c r="L2" i="1"/>
  <c r="K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2" i="1"/>
  <c r="M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2" i="1"/>
  <c r="N2" i="3" l="1"/>
  <c r="N2" i="2"/>
  <c r="N2" i="1"/>
</calcChain>
</file>

<file path=xl/sharedStrings.xml><?xml version="1.0" encoding="utf-8"?>
<sst xmlns="http://schemas.openxmlformats.org/spreadsheetml/2006/main" count="288" uniqueCount="85">
  <si>
    <t>Name</t>
  </si>
  <si>
    <t>Date</t>
  </si>
  <si>
    <t>HoursWorked</t>
  </si>
  <si>
    <t>eight</t>
  </si>
  <si>
    <t>six</t>
  </si>
  <si>
    <t>seven</t>
  </si>
  <si>
    <t>maya HARRISON</t>
  </si>
  <si>
    <t>TempPlaceholder</t>
  </si>
  <si>
    <t>zzz</t>
  </si>
  <si>
    <t>IsBlankRow</t>
  </si>
  <si>
    <t>ProperName</t>
  </si>
  <si>
    <t>Amy Jones</t>
  </si>
  <si>
    <t/>
  </si>
  <si>
    <t>Brian Smith</t>
  </si>
  <si>
    <t>Zoey Martin</t>
  </si>
  <si>
    <t>Jackson Lee</t>
  </si>
  <si>
    <t>Grace Thompson</t>
  </si>
  <si>
    <t>Aiden Murphy</t>
  </si>
  <si>
    <t>Scarlett Patel</t>
  </si>
  <si>
    <t>Caleb Adams</t>
  </si>
  <si>
    <t>Natalie White</t>
  </si>
  <si>
    <t>Leo Simmons</t>
  </si>
  <si>
    <t>Hannah Carter</t>
  </si>
  <si>
    <t>Mason Wright</t>
  </si>
  <si>
    <t>Chloe Nguyen</t>
  </si>
  <si>
    <t>Owen Garcia</t>
  </si>
  <si>
    <t>Mila Rivera</t>
  </si>
  <si>
    <t>Benjamin Ross</t>
  </si>
  <si>
    <t>Layla Scott</t>
  </si>
  <si>
    <t>Dylan Price</t>
  </si>
  <si>
    <t>Riley Morgan</t>
  </si>
  <si>
    <t>Savannah Hill</t>
  </si>
  <si>
    <t>Levi Bennett</t>
  </si>
  <si>
    <t>Ellie Mitchell</t>
  </si>
  <si>
    <t>Lucas Wood</t>
  </si>
  <si>
    <t>Penelope Bell</t>
  </si>
  <si>
    <t>Jayden Cox</t>
  </si>
  <si>
    <t>Zoey Turner</t>
  </si>
  <si>
    <t>Carter Coleman</t>
  </si>
  <si>
    <t>Aurora Watson</t>
  </si>
  <si>
    <t>Henry Peterson</t>
  </si>
  <si>
    <t>Addison Lane</t>
  </si>
  <si>
    <t>Lincoln Parker</t>
  </si>
  <si>
    <t>Stella Rivera</t>
  </si>
  <si>
    <t>Elijah Gonzales</t>
  </si>
  <si>
    <t>Bella Mitchell</t>
  </si>
  <si>
    <t>Nathan Reed</t>
  </si>
  <si>
    <t>Victoria Lopez</t>
  </si>
  <si>
    <t>Tyler Cook</t>
  </si>
  <si>
    <t>IsHoursNumeric</t>
  </si>
  <si>
    <t>BlankNames</t>
  </si>
  <si>
    <t>Missing/Blank Hours</t>
  </si>
  <si>
    <t>Non-numeric Hrs</t>
  </si>
  <si>
    <t>Total Issues</t>
  </si>
  <si>
    <t>Daniel Wilson</t>
  </si>
  <si>
    <t>Julia Kim</t>
  </si>
  <si>
    <t>Luis Patel</t>
  </si>
  <si>
    <t>Emma Henderson</t>
  </si>
  <si>
    <t>Tyler Murphy</t>
  </si>
  <si>
    <t>Angela Ramirez</t>
  </si>
  <si>
    <t>Zachary Hayes</t>
  </si>
  <si>
    <t>Madison Scott</t>
  </si>
  <si>
    <t>Blake Taylor</t>
  </si>
  <si>
    <t>Nora Flores</t>
  </si>
  <si>
    <t>Brandon Lee</t>
  </si>
  <si>
    <t>Kylie Price</t>
  </si>
  <si>
    <t>Ella Castillo</t>
  </si>
  <si>
    <t>Cameron Perez</t>
  </si>
  <si>
    <t>Lucy Hughes</t>
  </si>
  <si>
    <t>Jayden Diaz</t>
  </si>
  <si>
    <t>Penelope Morris</t>
  </si>
  <si>
    <t>Jackson Ward</t>
  </si>
  <si>
    <t>Brooke Gibson</t>
  </si>
  <si>
    <t>Ryan Shaw</t>
  </si>
  <si>
    <t>Aria Reed</t>
  </si>
  <si>
    <t>Kennedy Hunter</t>
  </si>
  <si>
    <t>Leo Sullivan</t>
  </si>
  <si>
    <t>Claire Grant</t>
  </si>
  <si>
    <t>Xavier Baker</t>
  </si>
  <si>
    <t>Ivy Foster</t>
  </si>
  <si>
    <t>Ethan Turner</t>
  </si>
  <si>
    <t>Lauren Ross</t>
  </si>
  <si>
    <t>Isaac Carter</t>
  </si>
  <si>
    <t>Victoria Sanders</t>
  </si>
  <si>
    <t>Cooper Barnes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</si>
</sst>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0" fontId="1" fillId="5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19050</xdr:rowOff>
        </xdr:from>
        <xdr:to>
          <xdr:col>14</xdr:col>
          <xdr:colOff>9525</xdr:colOff>
          <xdr:row>13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Timesheet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22</xdr:row>
          <xdr:rowOff>12700</xdr:rowOff>
        </xdr:from>
        <xdr:to>
          <xdr:col>14</xdr:col>
          <xdr:colOff>0</xdr:colOff>
          <xdr:row>24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Timesheet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074C-8A7D-4A13-9718-7E2A940EFA9E}">
  <dimension ref="A1:N42"/>
  <sheetViews>
    <sheetView zoomScale="115" zoomScaleNormal="115" workbookViewId="0">
      <selection activeCell="N2" sqref="N2"/>
    </sheetView>
  </sheetViews>
  <sheetFormatPr defaultRowHeight="14.5" x14ac:dyDescent="0.35"/>
  <cols>
    <col min="1" max="7" width="17.6328125" customWidth="1"/>
    <col min="11" max="11" width="11.26953125" bestFit="1" customWidth="1"/>
    <col min="12" max="12" width="17.81640625" bestFit="1" customWidth="1"/>
    <col min="13" max="13" width="15.08984375" bestFit="1" customWidth="1"/>
    <col min="14" max="14" width="10.6328125" bestFit="1" customWidth="1"/>
  </cols>
  <sheetData>
    <row r="1" spans="1:14" x14ac:dyDescent="0.35">
      <c r="A1" s="5" t="s">
        <v>0</v>
      </c>
      <c r="B1" s="5" t="s">
        <v>1</v>
      </c>
      <c r="C1" s="5" t="s">
        <v>2</v>
      </c>
      <c r="D1" s="5" t="s">
        <v>7</v>
      </c>
      <c r="E1" s="5" t="s">
        <v>9</v>
      </c>
      <c r="F1" s="5" t="s">
        <v>10</v>
      </c>
      <c r="G1" s="5" t="s">
        <v>49</v>
      </c>
      <c r="K1" s="4" t="s">
        <v>50</v>
      </c>
      <c r="L1" s="4" t="s">
        <v>51</v>
      </c>
      <c r="M1" s="4" t="s">
        <v>52</v>
      </c>
      <c r="N1" s="4" t="s">
        <v>53</v>
      </c>
    </row>
    <row r="2" spans="1:14" x14ac:dyDescent="0.35">
      <c r="A2" s="1" t="s">
        <v>11</v>
      </c>
      <c r="B2" s="2">
        <v>45728</v>
      </c>
      <c r="C2" s="1">
        <v>7.5</v>
      </c>
      <c r="D2" t="s">
        <v>8</v>
      </c>
      <c r="E2" t="str">
        <f>IF(COUNTA(A2:C2)&gt;0,"No","Yes")</f>
        <v>No</v>
      </c>
      <c r="F2" t="str">
        <f>PROPER(A2)</f>
        <v>Amy Jones</v>
      </c>
      <c r="G2" t="b">
        <f>ISNUMBER(C2)</f>
        <v>1</v>
      </c>
      <c r="K2" s="3">
        <f>COUNTBLANK(A2:A42)</f>
        <v>4</v>
      </c>
      <c r="L2" s="3">
        <f>COUNTBLANK(C2:C42)</f>
        <v>12</v>
      </c>
      <c r="M2" s="3">
        <f>COUNTIF(G2:G42,FALSE)</f>
        <v>15</v>
      </c>
      <c r="N2" s="3">
        <f>SUM(K2:M2)</f>
        <v>31</v>
      </c>
    </row>
    <row r="3" spans="1:14" x14ac:dyDescent="0.35">
      <c r="A3" s="1" t="s">
        <v>12</v>
      </c>
      <c r="B3" s="1"/>
      <c r="C3" s="1"/>
      <c r="D3" t="s">
        <v>8</v>
      </c>
      <c r="E3" t="str">
        <f t="shared" ref="E3:E42" si="0">IF(COUNTA(A3:C3)&gt;0,"No","Yes")</f>
        <v>No</v>
      </c>
      <c r="F3" t="str">
        <f t="shared" ref="F3:F42" si="1">PROPER(A3)</f>
        <v/>
      </c>
      <c r="G3" t="b">
        <f t="shared" ref="G3:G42" si="2">ISNUMBER(C3)</f>
        <v>0</v>
      </c>
    </row>
    <row r="4" spans="1:14" x14ac:dyDescent="0.35">
      <c r="A4" s="1" t="s">
        <v>13</v>
      </c>
      <c r="B4" s="2">
        <v>45729</v>
      </c>
      <c r="C4" s="1">
        <v>8</v>
      </c>
      <c r="D4" t="s">
        <v>8</v>
      </c>
      <c r="E4" t="str">
        <f t="shared" si="0"/>
        <v>No</v>
      </c>
      <c r="F4" t="str">
        <f t="shared" si="1"/>
        <v>Brian Smith</v>
      </c>
      <c r="G4" t="b">
        <f t="shared" si="2"/>
        <v>1</v>
      </c>
    </row>
    <row r="5" spans="1:14" x14ac:dyDescent="0.35">
      <c r="A5" s="1" t="s">
        <v>14</v>
      </c>
      <c r="B5" s="2">
        <v>45729</v>
      </c>
      <c r="C5" s="1">
        <v>6.5</v>
      </c>
      <c r="D5" t="s">
        <v>8</v>
      </c>
      <c r="E5" t="str">
        <f t="shared" si="0"/>
        <v>No</v>
      </c>
      <c r="F5" t="str">
        <f t="shared" si="1"/>
        <v>Zoey Martin</v>
      </c>
      <c r="G5" t="b">
        <f t="shared" si="2"/>
        <v>1</v>
      </c>
    </row>
    <row r="6" spans="1:14" x14ac:dyDescent="0.35">
      <c r="A6" s="1" t="s">
        <v>15</v>
      </c>
      <c r="B6" s="2">
        <v>45730</v>
      </c>
      <c r="C6" s="1"/>
      <c r="D6" t="s">
        <v>8</v>
      </c>
      <c r="E6" t="str">
        <f t="shared" si="0"/>
        <v>No</v>
      </c>
      <c r="F6" t="str">
        <f t="shared" si="1"/>
        <v>Jackson Lee</v>
      </c>
      <c r="G6" t="b">
        <f t="shared" si="2"/>
        <v>0</v>
      </c>
    </row>
    <row r="7" spans="1:14" x14ac:dyDescent="0.35">
      <c r="A7" s="1" t="s">
        <v>16</v>
      </c>
      <c r="B7" s="2">
        <v>45730</v>
      </c>
      <c r="C7" s="1">
        <v>7</v>
      </c>
      <c r="D7" t="s">
        <v>8</v>
      </c>
      <c r="E7" t="str">
        <f t="shared" si="0"/>
        <v>No</v>
      </c>
      <c r="F7" t="str">
        <f t="shared" si="1"/>
        <v>Grace Thompson</v>
      </c>
      <c r="G7" t="b">
        <f t="shared" si="2"/>
        <v>1</v>
      </c>
    </row>
    <row r="8" spans="1:14" x14ac:dyDescent="0.35">
      <c r="A8" s="1" t="s">
        <v>17</v>
      </c>
      <c r="B8" s="2">
        <v>45731</v>
      </c>
      <c r="C8" s="1" t="s">
        <v>3</v>
      </c>
      <c r="D8" t="s">
        <v>8</v>
      </c>
      <c r="E8" t="str">
        <f t="shared" si="0"/>
        <v>No</v>
      </c>
      <c r="F8" t="str">
        <f t="shared" si="1"/>
        <v>Aiden Murphy</v>
      </c>
      <c r="G8" t="b">
        <f t="shared" si="2"/>
        <v>0</v>
      </c>
    </row>
    <row r="9" spans="1:14" x14ac:dyDescent="0.35">
      <c r="A9" s="1" t="s">
        <v>18</v>
      </c>
      <c r="B9" s="2">
        <v>45731</v>
      </c>
      <c r="C9" s="1">
        <v>8</v>
      </c>
      <c r="D9" t="s">
        <v>8</v>
      </c>
      <c r="E9" t="str">
        <f t="shared" si="0"/>
        <v>No</v>
      </c>
      <c r="F9" t="str">
        <f t="shared" si="1"/>
        <v>Scarlett Patel</v>
      </c>
      <c r="G9" t="b">
        <f t="shared" si="2"/>
        <v>1</v>
      </c>
    </row>
    <row r="10" spans="1:14" x14ac:dyDescent="0.35">
      <c r="A10" s="1" t="s">
        <v>12</v>
      </c>
      <c r="B10" s="1"/>
      <c r="C10" s="1"/>
      <c r="D10" t="s">
        <v>8</v>
      </c>
      <c r="E10" t="str">
        <f t="shared" si="0"/>
        <v>No</v>
      </c>
      <c r="F10" t="str">
        <f t="shared" si="1"/>
        <v/>
      </c>
      <c r="G10" t="b">
        <f t="shared" si="2"/>
        <v>0</v>
      </c>
    </row>
    <row r="11" spans="1:14" x14ac:dyDescent="0.35">
      <c r="A11" s="1" t="s">
        <v>19</v>
      </c>
      <c r="B11" s="2">
        <v>45732</v>
      </c>
      <c r="C11" s="1">
        <v>7.5</v>
      </c>
      <c r="D11" t="s">
        <v>8</v>
      </c>
      <c r="E11" t="str">
        <f t="shared" si="0"/>
        <v>No</v>
      </c>
      <c r="F11" t="str">
        <f t="shared" si="1"/>
        <v>Caleb Adams</v>
      </c>
      <c r="G11" t="b">
        <f t="shared" si="2"/>
        <v>1</v>
      </c>
    </row>
    <row r="12" spans="1:14" x14ac:dyDescent="0.35">
      <c r="A12" s="1" t="s">
        <v>20</v>
      </c>
      <c r="B12" s="2">
        <v>45733</v>
      </c>
      <c r="C12" s="1">
        <v>8.5</v>
      </c>
      <c r="D12" t="s">
        <v>8</v>
      </c>
      <c r="E12" t="str">
        <f t="shared" si="0"/>
        <v>No</v>
      </c>
      <c r="F12" t="str">
        <f t="shared" si="1"/>
        <v>Natalie White</v>
      </c>
      <c r="G12" t="b">
        <f t="shared" si="2"/>
        <v>1</v>
      </c>
    </row>
    <row r="13" spans="1:14" x14ac:dyDescent="0.35">
      <c r="A13" s="1" t="s">
        <v>21</v>
      </c>
      <c r="B13" s="2">
        <v>45733</v>
      </c>
      <c r="C13" s="1"/>
      <c r="D13" t="s">
        <v>8</v>
      </c>
      <c r="E13" t="str">
        <f t="shared" si="0"/>
        <v>No</v>
      </c>
      <c r="F13" t="str">
        <f t="shared" si="1"/>
        <v>Leo Simmons</v>
      </c>
      <c r="G13" t="b">
        <f t="shared" si="2"/>
        <v>0</v>
      </c>
    </row>
    <row r="14" spans="1:14" x14ac:dyDescent="0.35">
      <c r="A14" s="1" t="s">
        <v>22</v>
      </c>
      <c r="B14" s="2">
        <v>45734</v>
      </c>
      <c r="C14" s="1">
        <v>7.25</v>
      </c>
      <c r="D14" t="s">
        <v>8</v>
      </c>
      <c r="E14" t="str">
        <f t="shared" si="0"/>
        <v>No</v>
      </c>
      <c r="F14" t="str">
        <f t="shared" si="1"/>
        <v>Hannah Carter</v>
      </c>
      <c r="G14" t="b">
        <f t="shared" si="2"/>
        <v>1</v>
      </c>
    </row>
    <row r="15" spans="1:14" x14ac:dyDescent="0.35">
      <c r="A15" s="1" t="s">
        <v>23</v>
      </c>
      <c r="B15" s="2">
        <v>45734</v>
      </c>
      <c r="C15" s="1">
        <v>6</v>
      </c>
      <c r="D15" t="s">
        <v>8</v>
      </c>
      <c r="E15" t="str">
        <f t="shared" si="0"/>
        <v>No</v>
      </c>
      <c r="F15" t="str">
        <f t="shared" si="1"/>
        <v>Mason Wright</v>
      </c>
      <c r="G15" t="b">
        <f t="shared" si="2"/>
        <v>1</v>
      </c>
    </row>
    <row r="16" spans="1:14" x14ac:dyDescent="0.35">
      <c r="A16" s="1" t="s">
        <v>24</v>
      </c>
      <c r="B16" s="2">
        <v>45735</v>
      </c>
      <c r="C16" s="1"/>
      <c r="D16" t="s">
        <v>8</v>
      </c>
      <c r="E16" t="str">
        <f t="shared" si="0"/>
        <v>No</v>
      </c>
      <c r="F16" t="str">
        <f t="shared" si="1"/>
        <v>Chloe Nguyen</v>
      </c>
      <c r="G16" t="b">
        <f t="shared" si="2"/>
        <v>0</v>
      </c>
    </row>
    <row r="17" spans="1:7" x14ac:dyDescent="0.35">
      <c r="A17" s="1" t="s">
        <v>12</v>
      </c>
      <c r="B17" s="1"/>
      <c r="C17" s="1"/>
      <c r="D17" t="s">
        <v>8</v>
      </c>
      <c r="E17" t="str">
        <f t="shared" si="0"/>
        <v>No</v>
      </c>
      <c r="F17" t="str">
        <f t="shared" si="1"/>
        <v/>
      </c>
      <c r="G17" t="b">
        <f t="shared" si="2"/>
        <v>0</v>
      </c>
    </row>
    <row r="18" spans="1:7" x14ac:dyDescent="0.35">
      <c r="A18" s="1" t="s">
        <v>25</v>
      </c>
      <c r="B18" s="2">
        <v>45736</v>
      </c>
      <c r="C18" s="1">
        <v>8</v>
      </c>
      <c r="D18" t="s">
        <v>8</v>
      </c>
      <c r="E18" t="str">
        <f t="shared" si="0"/>
        <v>No</v>
      </c>
      <c r="F18" t="str">
        <f t="shared" si="1"/>
        <v>Owen Garcia</v>
      </c>
      <c r="G18" t="b">
        <f t="shared" si="2"/>
        <v>1</v>
      </c>
    </row>
    <row r="19" spans="1:7" x14ac:dyDescent="0.35">
      <c r="A19" s="1" t="s">
        <v>26</v>
      </c>
      <c r="B19" s="2">
        <v>45736</v>
      </c>
      <c r="C19" s="1"/>
      <c r="D19" t="s">
        <v>8</v>
      </c>
      <c r="E19" t="str">
        <f t="shared" si="0"/>
        <v>No</v>
      </c>
      <c r="F19" t="str">
        <f t="shared" si="1"/>
        <v>Mila Rivera</v>
      </c>
      <c r="G19" t="b">
        <f t="shared" si="2"/>
        <v>0</v>
      </c>
    </row>
    <row r="20" spans="1:7" x14ac:dyDescent="0.35">
      <c r="A20" s="1" t="s">
        <v>27</v>
      </c>
      <c r="B20" s="2">
        <v>45737</v>
      </c>
      <c r="C20" s="1">
        <v>7.5</v>
      </c>
      <c r="D20" t="s">
        <v>8</v>
      </c>
      <c r="E20" t="str">
        <f t="shared" si="0"/>
        <v>No</v>
      </c>
      <c r="F20" t="str">
        <f t="shared" si="1"/>
        <v>Benjamin Ross</v>
      </c>
      <c r="G20" t="b">
        <f t="shared" si="2"/>
        <v>1</v>
      </c>
    </row>
    <row r="21" spans="1:7" x14ac:dyDescent="0.35">
      <c r="A21" s="1" t="s">
        <v>28</v>
      </c>
      <c r="B21" s="2">
        <v>45737</v>
      </c>
      <c r="C21" s="1" t="s">
        <v>4</v>
      </c>
      <c r="D21" t="s">
        <v>8</v>
      </c>
      <c r="E21" t="str">
        <f t="shared" si="0"/>
        <v>No</v>
      </c>
      <c r="F21" t="str">
        <f t="shared" si="1"/>
        <v>Layla Scott</v>
      </c>
      <c r="G21" t="b">
        <f t="shared" si="2"/>
        <v>0</v>
      </c>
    </row>
    <row r="22" spans="1:7" x14ac:dyDescent="0.35">
      <c r="A22" s="1" t="s">
        <v>29</v>
      </c>
      <c r="B22" s="2">
        <v>45738</v>
      </c>
      <c r="C22" s="1">
        <v>8</v>
      </c>
      <c r="D22" t="s">
        <v>8</v>
      </c>
      <c r="E22" t="str">
        <f t="shared" si="0"/>
        <v>No</v>
      </c>
      <c r="F22" t="str">
        <f t="shared" si="1"/>
        <v>Dylan Price</v>
      </c>
      <c r="G22" t="b">
        <f t="shared" si="2"/>
        <v>1</v>
      </c>
    </row>
    <row r="23" spans="1:7" x14ac:dyDescent="0.35">
      <c r="A23" s="1" t="s">
        <v>30</v>
      </c>
      <c r="B23" s="2">
        <v>45738</v>
      </c>
      <c r="C23" s="1"/>
      <c r="D23" t="s">
        <v>8</v>
      </c>
      <c r="E23" t="str">
        <f t="shared" si="0"/>
        <v>No</v>
      </c>
      <c r="F23" t="str">
        <f t="shared" si="1"/>
        <v>Riley Morgan</v>
      </c>
      <c r="G23" t="b">
        <f t="shared" si="2"/>
        <v>0</v>
      </c>
    </row>
    <row r="24" spans="1:7" x14ac:dyDescent="0.35">
      <c r="A24" s="1" t="s">
        <v>31</v>
      </c>
      <c r="B24" s="2">
        <v>45739</v>
      </c>
      <c r="C24" s="1">
        <v>7.25</v>
      </c>
      <c r="D24" t="s">
        <v>8</v>
      </c>
      <c r="E24" t="str">
        <f t="shared" si="0"/>
        <v>No</v>
      </c>
      <c r="F24" t="str">
        <f t="shared" si="1"/>
        <v>Savannah Hill</v>
      </c>
      <c r="G24" t="b">
        <f t="shared" si="2"/>
        <v>1</v>
      </c>
    </row>
    <row r="25" spans="1:7" x14ac:dyDescent="0.35">
      <c r="A25" s="1" t="s">
        <v>32</v>
      </c>
      <c r="B25" s="2">
        <v>45739</v>
      </c>
      <c r="C25" s="1">
        <v>8</v>
      </c>
      <c r="D25" t="s">
        <v>8</v>
      </c>
      <c r="E25" t="str">
        <f t="shared" si="0"/>
        <v>No</v>
      </c>
      <c r="F25" t="str">
        <f t="shared" si="1"/>
        <v>Levi Bennett</v>
      </c>
      <c r="G25" t="b">
        <f t="shared" si="2"/>
        <v>1</v>
      </c>
    </row>
    <row r="26" spans="1:7" x14ac:dyDescent="0.35">
      <c r="A26" s="1" t="s">
        <v>33</v>
      </c>
      <c r="B26" s="2">
        <v>45740</v>
      </c>
      <c r="C26" s="1">
        <v>7.75</v>
      </c>
      <c r="D26" t="s">
        <v>8</v>
      </c>
      <c r="E26" t="str">
        <f t="shared" si="0"/>
        <v>No</v>
      </c>
      <c r="F26" t="str">
        <f t="shared" si="1"/>
        <v>Ellie Mitchell</v>
      </c>
      <c r="G26" t="b">
        <f t="shared" si="2"/>
        <v>1</v>
      </c>
    </row>
    <row r="27" spans="1:7" x14ac:dyDescent="0.35">
      <c r="A27" s="1" t="s">
        <v>34</v>
      </c>
      <c r="B27" s="2">
        <v>45740</v>
      </c>
      <c r="C27" s="1">
        <v>7.5</v>
      </c>
      <c r="D27" t="s">
        <v>8</v>
      </c>
      <c r="E27" t="str">
        <f t="shared" si="0"/>
        <v>No</v>
      </c>
      <c r="F27" t="str">
        <f t="shared" si="1"/>
        <v>Lucas Wood</v>
      </c>
      <c r="G27" t="b">
        <f t="shared" si="2"/>
        <v>1</v>
      </c>
    </row>
    <row r="28" spans="1:7" x14ac:dyDescent="0.35">
      <c r="A28" s="1" t="s">
        <v>35</v>
      </c>
      <c r="B28" s="2">
        <v>45741</v>
      </c>
      <c r="C28" s="1">
        <v>8</v>
      </c>
      <c r="D28" t="s">
        <v>8</v>
      </c>
      <c r="E28" t="str">
        <f t="shared" si="0"/>
        <v>No</v>
      </c>
      <c r="F28" t="str">
        <f t="shared" si="1"/>
        <v>Penelope Bell</v>
      </c>
      <c r="G28" t="b">
        <f t="shared" si="2"/>
        <v>1</v>
      </c>
    </row>
    <row r="29" spans="1:7" x14ac:dyDescent="0.35">
      <c r="A29" s="1" t="s">
        <v>36</v>
      </c>
      <c r="B29" s="2">
        <v>45741</v>
      </c>
      <c r="C29" s="1">
        <v>7</v>
      </c>
      <c r="D29" t="s">
        <v>8</v>
      </c>
      <c r="E29" t="str">
        <f t="shared" si="0"/>
        <v>No</v>
      </c>
      <c r="F29" t="str">
        <f t="shared" si="1"/>
        <v>Jayden Cox</v>
      </c>
      <c r="G29" t="b">
        <f t="shared" si="2"/>
        <v>1</v>
      </c>
    </row>
    <row r="30" spans="1:7" x14ac:dyDescent="0.35">
      <c r="A30" s="1" t="s">
        <v>37</v>
      </c>
      <c r="B30" s="2">
        <v>45742</v>
      </c>
      <c r="C30" s="1"/>
      <c r="D30" t="s">
        <v>8</v>
      </c>
      <c r="E30" t="str">
        <f t="shared" si="0"/>
        <v>No</v>
      </c>
      <c r="F30" t="str">
        <f t="shared" si="1"/>
        <v>Zoey Turner</v>
      </c>
      <c r="G30" t="b">
        <f t="shared" si="2"/>
        <v>0</v>
      </c>
    </row>
    <row r="31" spans="1:7" x14ac:dyDescent="0.35">
      <c r="A31" s="1" t="s">
        <v>38</v>
      </c>
      <c r="B31" s="2">
        <v>45742</v>
      </c>
      <c r="C31" s="1">
        <v>7.25</v>
      </c>
      <c r="D31" t="s">
        <v>8</v>
      </c>
      <c r="E31" t="str">
        <f t="shared" si="0"/>
        <v>No</v>
      </c>
      <c r="F31" t="str">
        <f t="shared" si="1"/>
        <v>Carter Coleman</v>
      </c>
      <c r="G31" t="b">
        <f t="shared" si="2"/>
        <v>1</v>
      </c>
    </row>
    <row r="32" spans="1:7" x14ac:dyDescent="0.35">
      <c r="A32" s="1" t="s">
        <v>39</v>
      </c>
      <c r="B32" s="2">
        <v>45743</v>
      </c>
      <c r="C32" s="1">
        <v>6.75</v>
      </c>
      <c r="D32" t="s">
        <v>8</v>
      </c>
      <c r="E32" t="str">
        <f t="shared" si="0"/>
        <v>No</v>
      </c>
      <c r="F32" t="str">
        <f t="shared" si="1"/>
        <v>Aurora Watson</v>
      </c>
      <c r="G32" t="b">
        <f t="shared" si="2"/>
        <v>1</v>
      </c>
    </row>
    <row r="33" spans="1:7" x14ac:dyDescent="0.35">
      <c r="A33" s="1" t="s">
        <v>40</v>
      </c>
      <c r="B33" s="2">
        <v>45743</v>
      </c>
      <c r="C33" s="1"/>
      <c r="D33" t="s">
        <v>8</v>
      </c>
      <c r="E33" t="str">
        <f t="shared" si="0"/>
        <v>No</v>
      </c>
      <c r="F33" t="str">
        <f t="shared" si="1"/>
        <v>Henry Peterson</v>
      </c>
      <c r="G33" t="b">
        <f t="shared" si="2"/>
        <v>0</v>
      </c>
    </row>
    <row r="34" spans="1:7" x14ac:dyDescent="0.35">
      <c r="A34" s="1" t="s">
        <v>12</v>
      </c>
      <c r="B34" s="1"/>
      <c r="C34" s="1"/>
      <c r="D34" t="s">
        <v>8</v>
      </c>
      <c r="E34" t="str">
        <f t="shared" si="0"/>
        <v>No</v>
      </c>
      <c r="F34" t="str">
        <f t="shared" si="1"/>
        <v/>
      </c>
      <c r="G34" t="b">
        <f t="shared" si="2"/>
        <v>0</v>
      </c>
    </row>
    <row r="35" spans="1:7" x14ac:dyDescent="0.35">
      <c r="A35" s="1" t="s">
        <v>41</v>
      </c>
      <c r="B35" s="2">
        <v>45744</v>
      </c>
      <c r="C35" s="1">
        <v>7.5</v>
      </c>
      <c r="D35" t="s">
        <v>8</v>
      </c>
      <c r="E35" t="str">
        <f t="shared" si="0"/>
        <v>No</v>
      </c>
      <c r="F35" t="str">
        <f t="shared" si="1"/>
        <v>Addison Lane</v>
      </c>
      <c r="G35" t="b">
        <f t="shared" si="2"/>
        <v>1</v>
      </c>
    </row>
    <row r="36" spans="1:7" x14ac:dyDescent="0.35">
      <c r="A36" s="1" t="s">
        <v>42</v>
      </c>
      <c r="B36" s="2">
        <v>45744</v>
      </c>
      <c r="C36" s="1">
        <v>6.25</v>
      </c>
      <c r="D36" t="s">
        <v>8</v>
      </c>
      <c r="E36" t="str">
        <f t="shared" si="0"/>
        <v>No</v>
      </c>
      <c r="F36" t="str">
        <f t="shared" si="1"/>
        <v>Lincoln Parker</v>
      </c>
      <c r="G36" t="b">
        <f t="shared" si="2"/>
        <v>1</v>
      </c>
    </row>
    <row r="37" spans="1:7" x14ac:dyDescent="0.35">
      <c r="A37" s="1" t="s">
        <v>43</v>
      </c>
      <c r="B37" s="2">
        <v>45745</v>
      </c>
      <c r="C37" s="1">
        <v>8</v>
      </c>
      <c r="D37" t="s">
        <v>8</v>
      </c>
      <c r="E37" t="str">
        <f t="shared" si="0"/>
        <v>No</v>
      </c>
      <c r="F37" t="str">
        <f t="shared" si="1"/>
        <v>Stella Rivera</v>
      </c>
      <c r="G37" t="b">
        <f t="shared" si="2"/>
        <v>1</v>
      </c>
    </row>
    <row r="38" spans="1:7" x14ac:dyDescent="0.35">
      <c r="A38" s="1" t="s">
        <v>44</v>
      </c>
      <c r="B38" s="2">
        <v>45745</v>
      </c>
      <c r="C38" s="1">
        <v>7.25</v>
      </c>
      <c r="D38" t="s">
        <v>8</v>
      </c>
      <c r="E38" t="str">
        <f t="shared" si="0"/>
        <v>No</v>
      </c>
      <c r="F38" t="str">
        <f t="shared" si="1"/>
        <v>Elijah Gonzales</v>
      </c>
      <c r="G38" t="b">
        <f t="shared" si="2"/>
        <v>1</v>
      </c>
    </row>
    <row r="39" spans="1:7" x14ac:dyDescent="0.35">
      <c r="A39" s="1" t="s">
        <v>45</v>
      </c>
      <c r="B39" s="2">
        <v>45746</v>
      </c>
      <c r="C39" s="1"/>
      <c r="D39" t="s">
        <v>8</v>
      </c>
      <c r="E39" t="str">
        <f t="shared" si="0"/>
        <v>No</v>
      </c>
      <c r="F39" t="str">
        <f t="shared" si="1"/>
        <v>Bella Mitchell</v>
      </c>
      <c r="G39" t="b">
        <f t="shared" si="2"/>
        <v>0</v>
      </c>
    </row>
    <row r="40" spans="1:7" x14ac:dyDescent="0.35">
      <c r="A40" s="1" t="s">
        <v>46</v>
      </c>
      <c r="B40" s="2">
        <v>45746</v>
      </c>
      <c r="C40" s="1">
        <v>6.75</v>
      </c>
      <c r="D40" t="s">
        <v>8</v>
      </c>
      <c r="E40" t="str">
        <f t="shared" si="0"/>
        <v>No</v>
      </c>
      <c r="F40" t="str">
        <f t="shared" si="1"/>
        <v>Nathan Reed</v>
      </c>
      <c r="G40" t="b">
        <f t="shared" si="2"/>
        <v>1</v>
      </c>
    </row>
    <row r="41" spans="1:7" x14ac:dyDescent="0.35">
      <c r="A41" s="1" t="s">
        <v>47</v>
      </c>
      <c r="B41" s="2">
        <v>45747</v>
      </c>
      <c r="C41" s="1" t="s">
        <v>3</v>
      </c>
      <c r="D41" t="s">
        <v>8</v>
      </c>
      <c r="E41" t="str">
        <f t="shared" si="0"/>
        <v>No</v>
      </c>
      <c r="F41" t="str">
        <f t="shared" si="1"/>
        <v>Victoria Lopez</v>
      </c>
      <c r="G41" t="b">
        <f t="shared" si="2"/>
        <v>0</v>
      </c>
    </row>
    <row r="42" spans="1:7" x14ac:dyDescent="0.35">
      <c r="A42" s="1" t="s">
        <v>48</v>
      </c>
      <c r="B42" s="2">
        <v>45747</v>
      </c>
      <c r="C42" s="1">
        <v>7.5</v>
      </c>
      <c r="D42" t="s">
        <v>8</v>
      </c>
      <c r="E42" t="str">
        <f t="shared" si="0"/>
        <v>No</v>
      </c>
      <c r="F42" t="str">
        <f t="shared" si="1"/>
        <v>Tyler Cook</v>
      </c>
      <c r="G42" t="b">
        <f t="shared" si="2"/>
        <v>1</v>
      </c>
    </row>
  </sheetData>
  <autoFilter ref="A1:F42" xr:uid="{882A074C-8A7D-4A13-9718-7E2A940EFA9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D2DA-953E-4CCF-9580-39AF0AA8503F}">
  <dimension ref="A1:N44"/>
  <sheetViews>
    <sheetView workbookViewId="0">
      <selection activeCell="N2" sqref="N2"/>
    </sheetView>
  </sheetViews>
  <sheetFormatPr defaultRowHeight="14.5" x14ac:dyDescent="0.35"/>
  <cols>
    <col min="1" max="7" width="17.6328125" customWidth="1"/>
    <col min="11" max="11" width="11.7265625" bestFit="1" customWidth="1"/>
    <col min="12" max="12" width="18.6328125" bestFit="1" customWidth="1"/>
    <col min="13" max="13" width="15.54296875" bestFit="1" customWidth="1"/>
    <col min="14" max="14" width="11" bestFit="1" customWidth="1"/>
  </cols>
  <sheetData>
    <row r="1" spans="1:14" x14ac:dyDescent="0.35">
      <c r="A1" s="7" t="s">
        <v>0</v>
      </c>
      <c r="B1" s="7" t="s">
        <v>1</v>
      </c>
      <c r="C1" s="7" t="s">
        <v>2</v>
      </c>
      <c r="D1" s="8" t="s">
        <v>7</v>
      </c>
      <c r="E1" s="8" t="s">
        <v>9</v>
      </c>
      <c r="F1" s="8" t="s">
        <v>10</v>
      </c>
      <c r="G1" s="8" t="s">
        <v>49</v>
      </c>
      <c r="K1" s="6" t="s">
        <v>50</v>
      </c>
      <c r="L1" s="6" t="s">
        <v>51</v>
      </c>
      <c r="M1" s="6" t="s">
        <v>52</v>
      </c>
      <c r="N1" s="6" t="s">
        <v>53</v>
      </c>
    </row>
    <row r="2" spans="1:14" x14ac:dyDescent="0.35">
      <c r="A2" s="1" t="s">
        <v>54</v>
      </c>
      <c r="B2" s="2">
        <v>45726</v>
      </c>
      <c r="C2" s="1">
        <v>8</v>
      </c>
      <c r="D2" t="s">
        <v>8</v>
      </c>
      <c r="E2" t="str">
        <f>IF(COUNTA(A2:C2)&gt;0,"No","Yes")</f>
        <v>No</v>
      </c>
      <c r="F2" t="str">
        <f>PROPER(A2)</f>
        <v>Daniel Wilson</v>
      </c>
      <c r="G2" t="b">
        <f>ISNUMBER(C2)</f>
        <v>1</v>
      </c>
      <c r="K2" s="3">
        <f>COUNTBLANK(A2:A42)</f>
        <v>10</v>
      </c>
      <c r="L2" s="3">
        <f>COUNTBLANK(C2:C42)</f>
        <v>18</v>
      </c>
      <c r="M2" s="3">
        <f>COUNTIF(G2:G42,FALSE)</f>
        <v>20</v>
      </c>
      <c r="N2" s="3">
        <f>SUM(K2:M2)</f>
        <v>48</v>
      </c>
    </row>
    <row r="3" spans="1:14" x14ac:dyDescent="0.35">
      <c r="A3" s="1" t="s">
        <v>55</v>
      </c>
      <c r="B3" s="2">
        <v>45727</v>
      </c>
      <c r="C3" s="1">
        <v>7.25</v>
      </c>
      <c r="D3" t="s">
        <v>8</v>
      </c>
      <c r="E3" t="str">
        <f t="shared" ref="E3:E42" si="0">IF(COUNTA(A3:C3)&gt;0,"No","Yes")</f>
        <v>No</v>
      </c>
      <c r="F3" t="str">
        <f t="shared" ref="F3:F42" si="1">PROPER(A3)</f>
        <v>Julia Kim</v>
      </c>
      <c r="G3" t="b">
        <f t="shared" ref="G3:G42" si="2">ISNUMBER(C3)</f>
        <v>1</v>
      </c>
    </row>
    <row r="4" spans="1:14" x14ac:dyDescent="0.35">
      <c r="A4" s="1" t="s">
        <v>12</v>
      </c>
      <c r="B4" s="1"/>
      <c r="C4" s="1"/>
      <c r="D4" t="s">
        <v>8</v>
      </c>
      <c r="E4" t="str">
        <f t="shared" si="0"/>
        <v>No</v>
      </c>
      <c r="F4" t="str">
        <f t="shared" si="1"/>
        <v/>
      </c>
      <c r="G4" t="b">
        <f t="shared" si="2"/>
        <v>0</v>
      </c>
    </row>
    <row r="5" spans="1:14" x14ac:dyDescent="0.35">
      <c r="A5" s="1" t="s">
        <v>56</v>
      </c>
      <c r="B5" s="2">
        <v>45727</v>
      </c>
      <c r="C5" s="1">
        <v>9</v>
      </c>
      <c r="D5" t="s">
        <v>8</v>
      </c>
      <c r="E5" t="str">
        <f t="shared" si="0"/>
        <v>No</v>
      </c>
      <c r="F5" t="str">
        <f t="shared" si="1"/>
        <v>Luis Patel</v>
      </c>
      <c r="G5" t="b">
        <f t="shared" si="2"/>
        <v>1</v>
      </c>
    </row>
    <row r="6" spans="1:14" x14ac:dyDescent="0.35">
      <c r="A6" s="1" t="s">
        <v>57</v>
      </c>
      <c r="B6" s="2">
        <v>45728</v>
      </c>
      <c r="C6" s="1" t="s">
        <v>5</v>
      </c>
      <c r="D6" t="s">
        <v>8</v>
      </c>
      <c r="E6" t="str">
        <f t="shared" si="0"/>
        <v>No</v>
      </c>
      <c r="F6" t="str">
        <f t="shared" si="1"/>
        <v>Emma Henderson</v>
      </c>
      <c r="G6" t="b">
        <f t="shared" si="2"/>
        <v>0</v>
      </c>
    </row>
    <row r="7" spans="1:14" x14ac:dyDescent="0.35">
      <c r="A7" s="1" t="s">
        <v>58</v>
      </c>
      <c r="B7" s="2">
        <v>45728</v>
      </c>
      <c r="C7" s="1"/>
      <c r="D7" t="s">
        <v>8</v>
      </c>
      <c r="E7" t="str">
        <f t="shared" si="0"/>
        <v>No</v>
      </c>
      <c r="F7" t="str">
        <f t="shared" si="1"/>
        <v>Tyler Murphy</v>
      </c>
      <c r="G7" t="b">
        <f t="shared" si="2"/>
        <v>0</v>
      </c>
    </row>
    <row r="8" spans="1:14" x14ac:dyDescent="0.35">
      <c r="A8" s="1" t="s">
        <v>12</v>
      </c>
      <c r="B8" s="1"/>
      <c r="C8" s="1"/>
      <c r="D8" t="s">
        <v>8</v>
      </c>
      <c r="E8" t="str">
        <f t="shared" si="0"/>
        <v>No</v>
      </c>
      <c r="F8" t="str">
        <f t="shared" si="1"/>
        <v/>
      </c>
      <c r="G8" t="b">
        <f t="shared" si="2"/>
        <v>0</v>
      </c>
    </row>
    <row r="9" spans="1:14" x14ac:dyDescent="0.35">
      <c r="A9" s="1" t="s">
        <v>59</v>
      </c>
      <c r="B9" s="2">
        <v>45729</v>
      </c>
      <c r="C9" s="1">
        <v>8</v>
      </c>
      <c r="D9" t="s">
        <v>8</v>
      </c>
      <c r="E9" t="str">
        <f t="shared" si="0"/>
        <v>No</v>
      </c>
      <c r="F9" t="str">
        <f t="shared" si="1"/>
        <v>Angela Ramirez</v>
      </c>
      <c r="G9" t="b">
        <f t="shared" si="2"/>
        <v>1</v>
      </c>
    </row>
    <row r="10" spans="1:14" x14ac:dyDescent="0.35">
      <c r="A10" s="1" t="s">
        <v>60</v>
      </c>
      <c r="B10" s="2">
        <v>45729</v>
      </c>
      <c r="C10" s="1">
        <v>6.5</v>
      </c>
      <c r="D10" t="s">
        <v>8</v>
      </c>
      <c r="E10" t="str">
        <f t="shared" si="0"/>
        <v>No</v>
      </c>
      <c r="F10" t="str">
        <f t="shared" si="1"/>
        <v>Zachary Hayes</v>
      </c>
      <c r="G10" t="b">
        <f t="shared" si="2"/>
        <v>1</v>
      </c>
    </row>
    <row r="11" spans="1:14" x14ac:dyDescent="0.35">
      <c r="A11" s="1" t="s">
        <v>61</v>
      </c>
      <c r="B11" s="2">
        <v>45730</v>
      </c>
      <c r="C11" s="1">
        <v>7.5</v>
      </c>
      <c r="D11" t="s">
        <v>8</v>
      </c>
      <c r="E11" t="str">
        <f t="shared" si="0"/>
        <v>No</v>
      </c>
      <c r="F11" t="str">
        <f t="shared" si="1"/>
        <v>Madison Scott</v>
      </c>
      <c r="G11" t="b">
        <f t="shared" si="2"/>
        <v>1</v>
      </c>
    </row>
    <row r="12" spans="1:14" x14ac:dyDescent="0.35">
      <c r="A12" s="1" t="s">
        <v>62</v>
      </c>
      <c r="B12" s="2">
        <v>45730</v>
      </c>
      <c r="C12" s="1"/>
      <c r="D12" t="s">
        <v>8</v>
      </c>
      <c r="E12" t="str">
        <f t="shared" si="0"/>
        <v>No</v>
      </c>
      <c r="F12" t="str">
        <f t="shared" si="1"/>
        <v>Blake Taylor</v>
      </c>
      <c r="G12" t="b">
        <f t="shared" si="2"/>
        <v>0</v>
      </c>
    </row>
    <row r="13" spans="1:14" x14ac:dyDescent="0.35">
      <c r="A13" s="1" t="s">
        <v>63</v>
      </c>
      <c r="B13" s="2">
        <v>45731</v>
      </c>
      <c r="C13" s="1">
        <v>8</v>
      </c>
      <c r="D13" t="s">
        <v>8</v>
      </c>
      <c r="E13" t="str">
        <f t="shared" si="0"/>
        <v>No</v>
      </c>
      <c r="F13" t="str">
        <f t="shared" si="1"/>
        <v>Nora Flores</v>
      </c>
      <c r="G13" t="b">
        <f t="shared" si="2"/>
        <v>1</v>
      </c>
    </row>
    <row r="14" spans="1:14" x14ac:dyDescent="0.35">
      <c r="A14" s="1" t="s">
        <v>64</v>
      </c>
      <c r="B14" s="2">
        <v>45731</v>
      </c>
      <c r="C14" s="1">
        <v>9</v>
      </c>
      <c r="D14" t="s">
        <v>8</v>
      </c>
      <c r="E14" t="str">
        <f t="shared" si="0"/>
        <v>No</v>
      </c>
      <c r="F14" t="str">
        <f t="shared" si="1"/>
        <v>Brandon Lee</v>
      </c>
      <c r="G14" t="b">
        <f t="shared" si="2"/>
        <v>1</v>
      </c>
    </row>
    <row r="15" spans="1:14" x14ac:dyDescent="0.35">
      <c r="A15" s="1" t="s">
        <v>65</v>
      </c>
      <c r="B15" s="2">
        <v>45732</v>
      </c>
      <c r="C15" s="1"/>
      <c r="D15" t="s">
        <v>8</v>
      </c>
      <c r="E15" t="str">
        <f t="shared" si="0"/>
        <v>No</v>
      </c>
      <c r="F15" t="str">
        <f t="shared" si="1"/>
        <v>Kylie Price</v>
      </c>
      <c r="G15" t="b">
        <f t="shared" si="2"/>
        <v>0</v>
      </c>
    </row>
    <row r="16" spans="1:14" x14ac:dyDescent="0.35">
      <c r="A16" s="1" t="s">
        <v>12</v>
      </c>
      <c r="B16" s="1"/>
      <c r="C16" s="1"/>
      <c r="D16" t="s">
        <v>8</v>
      </c>
      <c r="E16" t="str">
        <f t="shared" si="0"/>
        <v>No</v>
      </c>
      <c r="F16" t="str">
        <f t="shared" si="1"/>
        <v/>
      </c>
      <c r="G16" t="b">
        <f t="shared" si="2"/>
        <v>0</v>
      </c>
    </row>
    <row r="17" spans="1:7" x14ac:dyDescent="0.35">
      <c r="A17" s="1" t="s">
        <v>66</v>
      </c>
      <c r="B17" s="2">
        <v>45732</v>
      </c>
      <c r="C17" s="1">
        <v>7</v>
      </c>
      <c r="D17" t="s">
        <v>8</v>
      </c>
      <c r="E17" t="str">
        <f t="shared" si="0"/>
        <v>No</v>
      </c>
      <c r="F17" t="str">
        <f t="shared" si="1"/>
        <v>Ella Castillo</v>
      </c>
      <c r="G17" t="b">
        <f t="shared" si="2"/>
        <v>1</v>
      </c>
    </row>
    <row r="18" spans="1:7" x14ac:dyDescent="0.35">
      <c r="A18" s="1" t="s">
        <v>67</v>
      </c>
      <c r="B18" s="2">
        <v>45733</v>
      </c>
      <c r="C18" s="1"/>
      <c r="D18" t="s">
        <v>8</v>
      </c>
      <c r="E18" t="str">
        <f t="shared" si="0"/>
        <v>No</v>
      </c>
      <c r="F18" t="str">
        <f t="shared" si="1"/>
        <v>Cameron Perez</v>
      </c>
      <c r="G18" t="b">
        <f t="shared" si="2"/>
        <v>0</v>
      </c>
    </row>
    <row r="19" spans="1:7" x14ac:dyDescent="0.35">
      <c r="A19" s="1" t="s">
        <v>68</v>
      </c>
      <c r="B19" s="2">
        <v>45733</v>
      </c>
      <c r="C19" s="1" t="s">
        <v>3</v>
      </c>
      <c r="D19" t="s">
        <v>8</v>
      </c>
      <c r="E19" t="str">
        <f t="shared" si="0"/>
        <v>No</v>
      </c>
      <c r="F19" t="str">
        <f t="shared" si="1"/>
        <v>Lucy Hughes</v>
      </c>
      <c r="G19" t="b">
        <f t="shared" si="2"/>
        <v>0</v>
      </c>
    </row>
    <row r="20" spans="1:7" x14ac:dyDescent="0.35">
      <c r="A20" s="1" t="s">
        <v>69</v>
      </c>
      <c r="B20" s="2">
        <v>45734</v>
      </c>
      <c r="C20" s="1">
        <v>7.5</v>
      </c>
      <c r="D20" t="s">
        <v>8</v>
      </c>
      <c r="E20" t="str">
        <f t="shared" si="0"/>
        <v>No</v>
      </c>
      <c r="F20" t="str">
        <f t="shared" si="1"/>
        <v>Jayden Diaz</v>
      </c>
      <c r="G20" t="b">
        <f t="shared" si="2"/>
        <v>1</v>
      </c>
    </row>
    <row r="21" spans="1:7" x14ac:dyDescent="0.35">
      <c r="A21" s="1" t="s">
        <v>12</v>
      </c>
      <c r="B21" s="1"/>
      <c r="C21" s="1"/>
      <c r="D21" t="s">
        <v>8</v>
      </c>
      <c r="E21" t="str">
        <f t="shared" si="0"/>
        <v>No</v>
      </c>
      <c r="F21" t="str">
        <f t="shared" si="1"/>
        <v/>
      </c>
      <c r="G21" t="b">
        <f t="shared" si="2"/>
        <v>0</v>
      </c>
    </row>
    <row r="22" spans="1:7" x14ac:dyDescent="0.35">
      <c r="A22" s="1" t="s">
        <v>70</v>
      </c>
      <c r="B22" s="2">
        <v>45734</v>
      </c>
      <c r="C22" s="1">
        <v>6</v>
      </c>
      <c r="D22" t="s">
        <v>8</v>
      </c>
      <c r="E22" t="str">
        <f t="shared" si="0"/>
        <v>No</v>
      </c>
      <c r="F22" t="str">
        <f t="shared" si="1"/>
        <v>Penelope Morris</v>
      </c>
      <c r="G22" t="b">
        <f t="shared" si="2"/>
        <v>1</v>
      </c>
    </row>
    <row r="23" spans="1:7" x14ac:dyDescent="0.35">
      <c r="A23" s="1" t="s">
        <v>71</v>
      </c>
      <c r="B23" s="2">
        <v>45735</v>
      </c>
      <c r="C23" s="1">
        <v>9</v>
      </c>
      <c r="D23" t="s">
        <v>8</v>
      </c>
      <c r="E23" t="str">
        <f t="shared" si="0"/>
        <v>No</v>
      </c>
      <c r="F23" t="str">
        <f t="shared" si="1"/>
        <v>Jackson Ward</v>
      </c>
      <c r="G23" t="b">
        <f t="shared" si="2"/>
        <v>1</v>
      </c>
    </row>
    <row r="24" spans="1:7" x14ac:dyDescent="0.35">
      <c r="A24" s="1" t="s">
        <v>12</v>
      </c>
      <c r="B24" s="1"/>
      <c r="C24" s="1"/>
      <c r="D24" t="s">
        <v>8</v>
      </c>
      <c r="E24" t="str">
        <f t="shared" si="0"/>
        <v>No</v>
      </c>
      <c r="F24" t="str">
        <f t="shared" si="1"/>
        <v/>
      </c>
      <c r="G24" t="b">
        <f t="shared" si="2"/>
        <v>0</v>
      </c>
    </row>
    <row r="25" spans="1:7" x14ac:dyDescent="0.35">
      <c r="A25" s="1" t="s">
        <v>72</v>
      </c>
      <c r="B25" s="2">
        <v>45735</v>
      </c>
      <c r="C25" s="1">
        <v>7</v>
      </c>
      <c r="D25" t="s">
        <v>8</v>
      </c>
      <c r="E25" t="str">
        <f t="shared" si="0"/>
        <v>No</v>
      </c>
      <c r="F25" t="str">
        <f t="shared" si="1"/>
        <v>Brooke Gibson</v>
      </c>
      <c r="G25" t="b">
        <f t="shared" si="2"/>
        <v>1</v>
      </c>
    </row>
    <row r="26" spans="1:7" x14ac:dyDescent="0.35">
      <c r="A26" s="1" t="s">
        <v>73</v>
      </c>
      <c r="B26" s="2">
        <v>45736</v>
      </c>
      <c r="C26" s="1"/>
      <c r="D26" t="s">
        <v>8</v>
      </c>
      <c r="E26" t="str">
        <f t="shared" si="0"/>
        <v>No</v>
      </c>
      <c r="F26" t="str">
        <f t="shared" si="1"/>
        <v>Ryan Shaw</v>
      </c>
      <c r="G26" t="b">
        <f t="shared" si="2"/>
        <v>0</v>
      </c>
    </row>
    <row r="27" spans="1:7" x14ac:dyDescent="0.35">
      <c r="A27" s="1" t="s">
        <v>74</v>
      </c>
      <c r="B27" s="2">
        <v>45736</v>
      </c>
      <c r="C27" s="1">
        <v>7.25</v>
      </c>
      <c r="D27" t="s">
        <v>8</v>
      </c>
      <c r="E27" t="str">
        <f t="shared" si="0"/>
        <v>No</v>
      </c>
      <c r="F27" t="str">
        <f t="shared" si="1"/>
        <v>Aria Reed</v>
      </c>
      <c r="G27" t="b">
        <f t="shared" si="2"/>
        <v>1</v>
      </c>
    </row>
    <row r="28" spans="1:7" x14ac:dyDescent="0.35">
      <c r="A28" s="1" t="s">
        <v>12</v>
      </c>
      <c r="B28" s="1"/>
      <c r="C28" s="1"/>
      <c r="D28" t="s">
        <v>8</v>
      </c>
      <c r="E28" t="str">
        <f t="shared" si="0"/>
        <v>No</v>
      </c>
      <c r="F28" t="str">
        <f t="shared" si="1"/>
        <v/>
      </c>
      <c r="G28" t="b">
        <f t="shared" si="2"/>
        <v>0</v>
      </c>
    </row>
    <row r="29" spans="1:7" x14ac:dyDescent="0.35">
      <c r="A29" s="1" t="s">
        <v>75</v>
      </c>
      <c r="B29" s="2">
        <v>45737</v>
      </c>
      <c r="C29" s="1">
        <v>8</v>
      </c>
      <c r="D29" t="s">
        <v>8</v>
      </c>
      <c r="E29" t="str">
        <f t="shared" si="0"/>
        <v>No</v>
      </c>
      <c r="F29" t="str">
        <f t="shared" si="1"/>
        <v>Kennedy Hunter</v>
      </c>
      <c r="G29" t="b">
        <f t="shared" si="2"/>
        <v>1</v>
      </c>
    </row>
    <row r="30" spans="1:7" x14ac:dyDescent="0.35">
      <c r="A30" s="1" t="s">
        <v>76</v>
      </c>
      <c r="B30" s="2">
        <v>45737</v>
      </c>
      <c r="C30" s="1"/>
      <c r="D30" t="s">
        <v>8</v>
      </c>
      <c r="E30" t="str">
        <f t="shared" si="0"/>
        <v>No</v>
      </c>
      <c r="F30" t="str">
        <f t="shared" si="1"/>
        <v>Leo Sullivan</v>
      </c>
      <c r="G30" t="b">
        <f t="shared" si="2"/>
        <v>0</v>
      </c>
    </row>
    <row r="31" spans="1:7" x14ac:dyDescent="0.35">
      <c r="A31" s="1" t="s">
        <v>12</v>
      </c>
      <c r="B31" s="1"/>
      <c r="C31" s="1"/>
      <c r="D31" t="s">
        <v>8</v>
      </c>
      <c r="E31" t="str">
        <f t="shared" si="0"/>
        <v>No</v>
      </c>
      <c r="F31" t="str">
        <f t="shared" si="1"/>
        <v/>
      </c>
      <c r="G31" t="b">
        <f t="shared" si="2"/>
        <v>0</v>
      </c>
    </row>
    <row r="32" spans="1:7" x14ac:dyDescent="0.35">
      <c r="A32" s="1" t="s">
        <v>77</v>
      </c>
      <c r="B32" s="2">
        <v>45738</v>
      </c>
      <c r="C32" s="1">
        <v>7</v>
      </c>
      <c r="D32" t="s">
        <v>8</v>
      </c>
      <c r="E32" t="str">
        <f t="shared" si="0"/>
        <v>No</v>
      </c>
      <c r="F32" t="str">
        <f t="shared" si="1"/>
        <v>Claire Grant</v>
      </c>
      <c r="G32" t="b">
        <f t="shared" si="2"/>
        <v>1</v>
      </c>
    </row>
    <row r="33" spans="1:7" x14ac:dyDescent="0.35">
      <c r="A33" s="1" t="s">
        <v>78</v>
      </c>
      <c r="B33" s="2">
        <v>45738</v>
      </c>
      <c r="C33" s="1">
        <v>6.5</v>
      </c>
      <c r="D33" t="s">
        <v>8</v>
      </c>
      <c r="E33" t="str">
        <f t="shared" si="0"/>
        <v>No</v>
      </c>
      <c r="F33" t="str">
        <f t="shared" si="1"/>
        <v>Xavier Baker</v>
      </c>
      <c r="G33" t="b">
        <f t="shared" si="2"/>
        <v>1</v>
      </c>
    </row>
    <row r="34" spans="1:7" x14ac:dyDescent="0.35">
      <c r="A34" s="1" t="s">
        <v>79</v>
      </c>
      <c r="B34" s="2">
        <v>45739</v>
      </c>
      <c r="C34" s="1"/>
      <c r="D34" t="s">
        <v>8</v>
      </c>
      <c r="E34" t="str">
        <f t="shared" si="0"/>
        <v>No</v>
      </c>
      <c r="F34" t="str">
        <f t="shared" si="1"/>
        <v>Ivy Foster</v>
      </c>
      <c r="G34" t="b">
        <f t="shared" si="2"/>
        <v>0</v>
      </c>
    </row>
    <row r="35" spans="1:7" x14ac:dyDescent="0.35">
      <c r="A35" s="1" t="s">
        <v>12</v>
      </c>
      <c r="B35" s="1"/>
      <c r="C35" s="1"/>
      <c r="D35" t="s">
        <v>8</v>
      </c>
      <c r="E35" t="str">
        <f t="shared" si="0"/>
        <v>No</v>
      </c>
      <c r="F35" t="str">
        <f t="shared" si="1"/>
        <v/>
      </c>
      <c r="G35" t="b">
        <f t="shared" si="2"/>
        <v>0</v>
      </c>
    </row>
    <row r="36" spans="1:7" x14ac:dyDescent="0.35">
      <c r="A36" s="1" t="s">
        <v>80</v>
      </c>
      <c r="B36" s="2">
        <v>45739</v>
      </c>
      <c r="C36" s="1">
        <v>9</v>
      </c>
      <c r="D36" t="s">
        <v>8</v>
      </c>
      <c r="E36" t="str">
        <f t="shared" si="0"/>
        <v>No</v>
      </c>
      <c r="F36" t="str">
        <f t="shared" si="1"/>
        <v>Ethan Turner</v>
      </c>
      <c r="G36" t="b">
        <f t="shared" si="2"/>
        <v>1</v>
      </c>
    </row>
    <row r="37" spans="1:7" x14ac:dyDescent="0.35">
      <c r="A37" s="1" t="s">
        <v>81</v>
      </c>
      <c r="B37" s="2">
        <v>45740</v>
      </c>
      <c r="C37" s="1"/>
      <c r="D37" t="s">
        <v>8</v>
      </c>
      <c r="E37" t="str">
        <f t="shared" si="0"/>
        <v>No</v>
      </c>
      <c r="F37" t="str">
        <f t="shared" si="1"/>
        <v>Lauren Ross</v>
      </c>
      <c r="G37" t="b">
        <f t="shared" si="2"/>
        <v>0</v>
      </c>
    </row>
    <row r="38" spans="1:7" x14ac:dyDescent="0.35">
      <c r="A38" s="1" t="s">
        <v>12</v>
      </c>
      <c r="B38" s="1"/>
      <c r="C38" s="1"/>
      <c r="D38" t="s">
        <v>8</v>
      </c>
      <c r="E38" t="str">
        <f t="shared" si="0"/>
        <v>No</v>
      </c>
      <c r="F38" t="str">
        <f t="shared" si="1"/>
        <v/>
      </c>
      <c r="G38" t="b">
        <f t="shared" si="2"/>
        <v>0</v>
      </c>
    </row>
    <row r="39" spans="1:7" x14ac:dyDescent="0.35">
      <c r="A39" s="1" t="s">
        <v>82</v>
      </c>
      <c r="B39" s="2">
        <v>45740</v>
      </c>
      <c r="C39" s="1">
        <v>8</v>
      </c>
      <c r="D39" t="s">
        <v>8</v>
      </c>
      <c r="E39" t="str">
        <f t="shared" si="0"/>
        <v>No</v>
      </c>
      <c r="F39" t="str">
        <f t="shared" si="1"/>
        <v>Isaac Carter</v>
      </c>
      <c r="G39" t="b">
        <f t="shared" si="2"/>
        <v>1</v>
      </c>
    </row>
    <row r="40" spans="1:7" x14ac:dyDescent="0.35">
      <c r="A40" s="1" t="s">
        <v>83</v>
      </c>
      <c r="B40" s="2">
        <v>45741</v>
      </c>
      <c r="C40" s="1">
        <v>7.5</v>
      </c>
      <c r="D40" t="s">
        <v>8</v>
      </c>
      <c r="E40" t="str">
        <f t="shared" si="0"/>
        <v>No</v>
      </c>
      <c r="F40" t="str">
        <f t="shared" si="1"/>
        <v>Victoria Sanders</v>
      </c>
      <c r="G40" t="b">
        <f t="shared" si="2"/>
        <v>1</v>
      </c>
    </row>
    <row r="41" spans="1:7" x14ac:dyDescent="0.35">
      <c r="A41" s="1" t="s">
        <v>12</v>
      </c>
      <c r="B41" s="1"/>
      <c r="C41" s="1"/>
      <c r="D41" t="s">
        <v>8</v>
      </c>
      <c r="E41" t="str">
        <f t="shared" si="0"/>
        <v>No</v>
      </c>
      <c r="F41" t="str">
        <f t="shared" si="1"/>
        <v/>
      </c>
      <c r="G41" t="b">
        <f t="shared" si="2"/>
        <v>0</v>
      </c>
    </row>
    <row r="42" spans="1:7" x14ac:dyDescent="0.35">
      <c r="A42" s="1" t="s">
        <v>84</v>
      </c>
      <c r="B42" s="2">
        <v>45741</v>
      </c>
      <c r="C42" s="1">
        <v>6</v>
      </c>
      <c r="D42" t="s">
        <v>8</v>
      </c>
      <c r="E42" t="str">
        <f t="shared" si="0"/>
        <v>No</v>
      </c>
      <c r="F42" t="str">
        <f t="shared" si="1"/>
        <v>Cooper Barnes</v>
      </c>
      <c r="G42" t="b">
        <f t="shared" si="2"/>
        <v>1</v>
      </c>
    </row>
    <row r="43" spans="1:7" x14ac:dyDescent="0.35">
      <c r="A43" s="1" t="s">
        <v>6</v>
      </c>
      <c r="B43" s="2">
        <v>45742</v>
      </c>
      <c r="C43" s="1"/>
    </row>
    <row r="44" spans="1:7" x14ac:dyDescent="0.35">
      <c r="A44" s="1"/>
      <c r="B44" s="1"/>
      <c r="C44" s="1"/>
    </row>
  </sheetData>
  <autoFilter ref="A1:F43" xr:uid="{07CFD2DA-953E-4CCF-9580-39AF0AA8503F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Timesheet">
                <anchor moveWithCells="1" sizeWithCells="1">
                  <from>
                    <xdr:col>11</xdr:col>
                    <xdr:colOff>0</xdr:colOff>
                    <xdr:row>11</xdr:row>
                    <xdr:rowOff>19050</xdr:rowOff>
                  </from>
                  <to>
                    <xdr:col>14</xdr:col>
                    <xdr:colOff>12700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07B46-2A3A-4AF0-9CF3-00690243A4ED}">
  <dimension ref="A1:N44"/>
  <sheetViews>
    <sheetView tabSelected="1" zoomScale="115" zoomScaleNormal="115" workbookViewId="0">
      <selection activeCell="G4" sqref="G4"/>
    </sheetView>
  </sheetViews>
  <sheetFormatPr defaultRowHeight="14.5" x14ac:dyDescent="0.35"/>
  <cols>
    <col min="1" max="7" width="17.6328125" customWidth="1"/>
    <col min="11" max="11" width="11.7265625" bestFit="1" customWidth="1"/>
    <col min="12" max="12" width="18.6328125" bestFit="1" customWidth="1"/>
    <col min="13" max="13" width="15.54296875" bestFit="1" customWidth="1"/>
    <col min="14" max="14" width="11" bestFit="1" customWidth="1"/>
  </cols>
  <sheetData>
    <row r="1" spans="1:14" x14ac:dyDescent="0.35">
      <c r="A1" s="7" t="s">
        <v>0</v>
      </c>
      <c r="B1" s="7" t="s">
        <v>1</v>
      </c>
      <c r="C1" s="7" t="s">
        <v>2</v>
      </c>
      <c r="D1" s="8" t="s">
        <v>7</v>
      </c>
      <c r="E1" s="8" t="s">
        <v>9</v>
      </c>
      <c r="F1" s="8" t="s">
        <v>10</v>
      </c>
      <c r="G1" s="8" t="s">
        <v>49</v>
      </c>
      <c r="K1" s="6" t="s">
        <v>50</v>
      </c>
      <c r="L1" s="6" t="s">
        <v>51</v>
      </c>
      <c r="M1" s="6" t="s">
        <v>52</v>
      </c>
      <c r="N1" s="6" t="s">
        <v>53</v>
      </c>
    </row>
    <row r="2" spans="1:14" x14ac:dyDescent="0.35">
      <c r="A2" s="1" t="s">
        <v>54</v>
      </c>
      <c r="B2" s="2">
        <v>45726</v>
      </c>
      <c r="C2" s="1">
        <v>8</v>
      </c>
      <c r="D2" t="s">
        <v>8</v>
      </c>
      <c r="E2" t="str">
        <f>IF(COUNTBLANK(A2:C2)&gt;0,"Yes","No")</f>
        <v>No</v>
      </c>
      <c r="F2" t="str">
        <f>PROPER(A2)</f>
        <v>Daniel Wilson</v>
      </c>
      <c r="G2" t="b">
        <f>ISNUMBER(C2)</f>
        <v>1</v>
      </c>
      <c r="K2" s="3">
        <f>COUNTBLANK(A2:A42)</f>
        <v>10</v>
      </c>
      <c r="L2" s="3">
        <f>COUNTBLANK(C2:C42)</f>
        <v>18</v>
      </c>
      <c r="M2" s="3">
        <f>COUNTIF(G2:G42,FALSE)</f>
        <v>20</v>
      </c>
      <c r="N2" s="3">
        <f>SUM(K2:M2)</f>
        <v>48</v>
      </c>
    </row>
    <row r="3" spans="1:14" x14ac:dyDescent="0.35">
      <c r="A3" s="1" t="s">
        <v>55</v>
      </c>
      <c r="B3" s="2">
        <v>45727</v>
      </c>
      <c r="C3" s="1">
        <v>7.25</v>
      </c>
      <c r="D3" t="s">
        <v>8</v>
      </c>
      <c r="E3" t="str">
        <f t="shared" ref="E3:E42" si="0">IF(COUNTBLANK(A3:C3)&gt;0,"Yes","No")</f>
        <v>No</v>
      </c>
      <c r="F3" t="str">
        <f t="shared" ref="F3:F42" si="1">PROPER(A3)</f>
        <v>Julia Kim</v>
      </c>
      <c r="G3" t="b">
        <f t="shared" ref="G3:G42" si="2">ISNUMBER(C3)</f>
        <v>1</v>
      </c>
    </row>
    <row r="4" spans="1:14" x14ac:dyDescent="0.35">
      <c r="A4" s="1" t="s">
        <v>12</v>
      </c>
      <c r="B4" s="1"/>
      <c r="C4" s="1"/>
      <c r="D4" t="s">
        <v>8</v>
      </c>
      <c r="E4" t="str">
        <f t="shared" si="0"/>
        <v>Yes</v>
      </c>
      <c r="F4" t="str">
        <f t="shared" si="1"/>
        <v/>
      </c>
      <c r="G4" t="b">
        <f t="shared" si="2"/>
        <v>0</v>
      </c>
    </row>
    <row r="5" spans="1:14" x14ac:dyDescent="0.35">
      <c r="A5" s="1" t="s">
        <v>56</v>
      </c>
      <c r="B5" s="2">
        <v>45727</v>
      </c>
      <c r="C5" s="1">
        <v>9</v>
      </c>
      <c r="D5" t="s">
        <v>8</v>
      </c>
      <c r="E5" t="str">
        <f t="shared" si="0"/>
        <v>No</v>
      </c>
      <c r="F5" t="str">
        <f t="shared" si="1"/>
        <v>Luis Patel</v>
      </c>
      <c r="G5" t="b">
        <f t="shared" si="2"/>
        <v>1</v>
      </c>
    </row>
    <row r="6" spans="1:14" x14ac:dyDescent="0.35">
      <c r="A6" s="1" t="s">
        <v>57</v>
      </c>
      <c r="B6" s="2">
        <v>45728</v>
      </c>
      <c r="C6" s="1" t="s">
        <v>5</v>
      </c>
      <c r="D6" t="s">
        <v>8</v>
      </c>
      <c r="E6" t="str">
        <f t="shared" si="0"/>
        <v>No</v>
      </c>
      <c r="F6" t="str">
        <f t="shared" si="1"/>
        <v>Emma Henderson</v>
      </c>
      <c r="G6" t="b">
        <f t="shared" si="2"/>
        <v>0</v>
      </c>
    </row>
    <row r="7" spans="1:14" x14ac:dyDescent="0.35">
      <c r="A7" s="1" t="s">
        <v>58</v>
      </c>
      <c r="B7" s="2">
        <v>45728</v>
      </c>
      <c r="C7" s="1"/>
      <c r="D7" t="s">
        <v>8</v>
      </c>
      <c r="E7" t="str">
        <f t="shared" si="0"/>
        <v>Yes</v>
      </c>
      <c r="F7" t="str">
        <f t="shared" si="1"/>
        <v>Tyler Murphy</v>
      </c>
      <c r="G7" t="b">
        <f t="shared" si="2"/>
        <v>0</v>
      </c>
    </row>
    <row r="8" spans="1:14" x14ac:dyDescent="0.35">
      <c r="A8" s="1" t="s">
        <v>12</v>
      </c>
      <c r="B8" s="1"/>
      <c r="C8" s="1"/>
      <c r="D8" t="s">
        <v>8</v>
      </c>
      <c r="E8" t="str">
        <f t="shared" si="0"/>
        <v>Yes</v>
      </c>
      <c r="F8" t="str">
        <f t="shared" si="1"/>
        <v/>
      </c>
      <c r="G8" t="b">
        <f t="shared" si="2"/>
        <v>0</v>
      </c>
    </row>
    <row r="9" spans="1:14" x14ac:dyDescent="0.35">
      <c r="A9" s="1" t="s">
        <v>59</v>
      </c>
      <c r="B9" s="2">
        <v>45729</v>
      </c>
      <c r="C9" s="1">
        <v>8</v>
      </c>
      <c r="D9" t="s">
        <v>8</v>
      </c>
      <c r="E9" t="str">
        <f t="shared" si="0"/>
        <v>No</v>
      </c>
      <c r="F9" t="str">
        <f t="shared" si="1"/>
        <v>Angela Ramirez</v>
      </c>
      <c r="G9" t="b">
        <f t="shared" si="2"/>
        <v>1</v>
      </c>
    </row>
    <row r="10" spans="1:14" x14ac:dyDescent="0.35">
      <c r="A10" s="1" t="s">
        <v>60</v>
      </c>
      <c r="B10" s="2">
        <v>45729</v>
      </c>
      <c r="C10" s="1">
        <v>6.5</v>
      </c>
      <c r="D10" t="s">
        <v>8</v>
      </c>
      <c r="E10" t="str">
        <f t="shared" si="0"/>
        <v>No</v>
      </c>
      <c r="F10" t="str">
        <f t="shared" si="1"/>
        <v>Zachary Hayes</v>
      </c>
      <c r="G10" t="b">
        <f t="shared" si="2"/>
        <v>1</v>
      </c>
    </row>
    <row r="11" spans="1:14" x14ac:dyDescent="0.35">
      <c r="A11" s="1" t="s">
        <v>61</v>
      </c>
      <c r="B11" s="2">
        <v>45730</v>
      </c>
      <c r="C11" s="1">
        <v>7.5</v>
      </c>
      <c r="D11" t="s">
        <v>8</v>
      </c>
      <c r="E11" t="str">
        <f t="shared" si="0"/>
        <v>No</v>
      </c>
      <c r="F11" t="str">
        <f t="shared" si="1"/>
        <v>Madison Scott</v>
      </c>
      <c r="G11" t="b">
        <f t="shared" si="2"/>
        <v>1</v>
      </c>
    </row>
    <row r="12" spans="1:14" x14ac:dyDescent="0.35">
      <c r="A12" s="1" t="s">
        <v>62</v>
      </c>
      <c r="B12" s="2">
        <v>45730</v>
      </c>
      <c r="C12" s="1"/>
      <c r="D12" t="s">
        <v>8</v>
      </c>
      <c r="E12" t="str">
        <f t="shared" si="0"/>
        <v>Yes</v>
      </c>
      <c r="F12" t="str">
        <f t="shared" si="1"/>
        <v>Blake Taylor</v>
      </c>
      <c r="G12" t="b">
        <f t="shared" si="2"/>
        <v>0</v>
      </c>
    </row>
    <row r="13" spans="1:14" x14ac:dyDescent="0.35">
      <c r="A13" s="1" t="s">
        <v>63</v>
      </c>
      <c r="B13" s="2">
        <v>45731</v>
      </c>
      <c r="C13" s="1">
        <v>8</v>
      </c>
      <c r="D13" t="s">
        <v>8</v>
      </c>
      <c r="E13" t="str">
        <f t="shared" si="0"/>
        <v>No</v>
      </c>
      <c r="F13" t="str">
        <f t="shared" si="1"/>
        <v>Nora Flores</v>
      </c>
      <c r="G13" t="b">
        <f t="shared" si="2"/>
        <v>1</v>
      </c>
    </row>
    <row r="14" spans="1:14" x14ac:dyDescent="0.35">
      <c r="A14" s="1" t="s">
        <v>64</v>
      </c>
      <c r="B14" s="2">
        <v>45731</v>
      </c>
      <c r="C14" s="1">
        <v>9</v>
      </c>
      <c r="D14" t="s">
        <v>8</v>
      </c>
      <c r="E14" t="str">
        <f t="shared" si="0"/>
        <v>No</v>
      </c>
      <c r="F14" t="str">
        <f t="shared" si="1"/>
        <v>Brandon Lee</v>
      </c>
      <c r="G14" t="b">
        <f t="shared" si="2"/>
        <v>1</v>
      </c>
    </row>
    <row r="15" spans="1:14" x14ac:dyDescent="0.35">
      <c r="A15" s="1" t="s">
        <v>65</v>
      </c>
      <c r="B15" s="2">
        <v>45732</v>
      </c>
      <c r="C15" s="1"/>
      <c r="D15" t="s">
        <v>8</v>
      </c>
      <c r="E15" t="str">
        <f t="shared" si="0"/>
        <v>Yes</v>
      </c>
      <c r="F15" t="str">
        <f t="shared" si="1"/>
        <v>Kylie Price</v>
      </c>
      <c r="G15" t="b">
        <f t="shared" si="2"/>
        <v>0</v>
      </c>
    </row>
    <row r="16" spans="1:14" x14ac:dyDescent="0.35">
      <c r="A16" s="1" t="s">
        <v>12</v>
      </c>
      <c r="B16" s="1"/>
      <c r="C16" s="1"/>
      <c r="D16" t="s">
        <v>8</v>
      </c>
      <c r="E16" t="str">
        <f t="shared" si="0"/>
        <v>Yes</v>
      </c>
      <c r="F16" t="str">
        <f t="shared" si="1"/>
        <v/>
      </c>
      <c r="G16" t="b">
        <f t="shared" si="2"/>
        <v>0</v>
      </c>
    </row>
    <row r="17" spans="1:7" x14ac:dyDescent="0.35">
      <c r="A17" s="1" t="s">
        <v>66</v>
      </c>
      <c r="B17" s="2">
        <v>45732</v>
      </c>
      <c r="C17" s="1">
        <v>7</v>
      </c>
      <c r="D17" t="s">
        <v>8</v>
      </c>
      <c r="E17" t="str">
        <f t="shared" si="0"/>
        <v>No</v>
      </c>
      <c r="F17" t="str">
        <f t="shared" si="1"/>
        <v>Ella Castillo</v>
      </c>
      <c r="G17" t="b">
        <f t="shared" si="2"/>
        <v>1</v>
      </c>
    </row>
    <row r="18" spans="1:7" x14ac:dyDescent="0.35">
      <c r="A18" s="1" t="s">
        <v>67</v>
      </c>
      <c r="B18" s="2">
        <v>45733</v>
      </c>
      <c r="C18" s="1"/>
      <c r="D18" t="s">
        <v>8</v>
      </c>
      <c r="E18" t="str">
        <f t="shared" si="0"/>
        <v>Yes</v>
      </c>
      <c r="F18" t="str">
        <f t="shared" si="1"/>
        <v>Cameron Perez</v>
      </c>
      <c r="G18" t="b">
        <f t="shared" si="2"/>
        <v>0</v>
      </c>
    </row>
    <row r="19" spans="1:7" x14ac:dyDescent="0.35">
      <c r="A19" s="1" t="s">
        <v>68</v>
      </c>
      <c r="B19" s="2">
        <v>45733</v>
      </c>
      <c r="C19" s="1" t="s">
        <v>3</v>
      </c>
      <c r="D19" t="s">
        <v>8</v>
      </c>
      <c r="E19" t="str">
        <f t="shared" si="0"/>
        <v>No</v>
      </c>
      <c r="F19" t="str">
        <f t="shared" si="1"/>
        <v>Lucy Hughes</v>
      </c>
      <c r="G19" t="b">
        <f t="shared" si="2"/>
        <v>0</v>
      </c>
    </row>
    <row r="20" spans="1:7" x14ac:dyDescent="0.35">
      <c r="A20" s="1" t="s">
        <v>69</v>
      </c>
      <c r="B20" s="2">
        <v>45734</v>
      </c>
      <c r="C20" s="1">
        <v>7.5</v>
      </c>
      <c r="D20" t="s">
        <v>8</v>
      </c>
      <c r="E20" t="str">
        <f t="shared" si="0"/>
        <v>No</v>
      </c>
      <c r="F20" t="str">
        <f t="shared" si="1"/>
        <v>Jayden Diaz</v>
      </c>
      <c r="G20" t="b">
        <f t="shared" si="2"/>
        <v>1</v>
      </c>
    </row>
    <row r="21" spans="1:7" x14ac:dyDescent="0.35">
      <c r="A21" s="1" t="s">
        <v>12</v>
      </c>
      <c r="B21" s="1"/>
      <c r="C21" s="1"/>
      <c r="D21" t="s">
        <v>8</v>
      </c>
      <c r="E21" t="str">
        <f t="shared" si="0"/>
        <v>Yes</v>
      </c>
      <c r="F21" t="str">
        <f t="shared" si="1"/>
        <v/>
      </c>
      <c r="G21" t="b">
        <f t="shared" si="2"/>
        <v>0</v>
      </c>
    </row>
    <row r="22" spans="1:7" x14ac:dyDescent="0.35">
      <c r="A22" s="1" t="s">
        <v>70</v>
      </c>
      <c r="B22" s="2">
        <v>45734</v>
      </c>
      <c r="C22" s="1">
        <v>6</v>
      </c>
      <c r="D22" t="s">
        <v>8</v>
      </c>
      <c r="E22" t="str">
        <f t="shared" si="0"/>
        <v>No</v>
      </c>
      <c r="F22" t="str">
        <f t="shared" si="1"/>
        <v>Penelope Morris</v>
      </c>
      <c r="G22" t="b">
        <f t="shared" si="2"/>
        <v>1</v>
      </c>
    </row>
    <row r="23" spans="1:7" x14ac:dyDescent="0.35">
      <c r="A23" s="1" t="s">
        <v>71</v>
      </c>
      <c r="B23" s="2">
        <v>45735</v>
      </c>
      <c r="C23" s="1">
        <v>9</v>
      </c>
      <c r="D23" t="s">
        <v>8</v>
      </c>
      <c r="E23" t="str">
        <f t="shared" si="0"/>
        <v>No</v>
      </c>
      <c r="F23" t="str">
        <f t="shared" si="1"/>
        <v>Jackson Ward</v>
      </c>
      <c r="G23" t="b">
        <f t="shared" si="2"/>
        <v>1</v>
      </c>
    </row>
    <row r="24" spans="1:7" x14ac:dyDescent="0.35">
      <c r="A24" s="1" t="s">
        <v>12</v>
      </c>
      <c r="B24" s="1"/>
      <c r="C24" s="1"/>
      <c r="D24" t="s">
        <v>8</v>
      </c>
      <c r="E24" t="str">
        <f t="shared" si="0"/>
        <v>Yes</v>
      </c>
      <c r="F24" t="str">
        <f t="shared" si="1"/>
        <v/>
      </c>
      <c r="G24" t="b">
        <f t="shared" si="2"/>
        <v>0</v>
      </c>
    </row>
    <row r="25" spans="1:7" x14ac:dyDescent="0.35">
      <c r="A25" s="1" t="s">
        <v>72</v>
      </c>
      <c r="B25" s="2">
        <v>45735</v>
      </c>
      <c r="C25" s="1">
        <v>7</v>
      </c>
      <c r="D25" t="s">
        <v>8</v>
      </c>
      <c r="E25" t="str">
        <f t="shared" si="0"/>
        <v>No</v>
      </c>
      <c r="F25" t="str">
        <f t="shared" si="1"/>
        <v>Brooke Gibson</v>
      </c>
      <c r="G25" t="b">
        <f t="shared" si="2"/>
        <v>1</v>
      </c>
    </row>
    <row r="26" spans="1:7" x14ac:dyDescent="0.35">
      <c r="A26" s="1" t="s">
        <v>73</v>
      </c>
      <c r="B26" s="2">
        <v>45736</v>
      </c>
      <c r="C26" s="1"/>
      <c r="D26" t="s">
        <v>8</v>
      </c>
      <c r="E26" t="str">
        <f t="shared" si="0"/>
        <v>Yes</v>
      </c>
      <c r="F26" t="str">
        <f t="shared" si="1"/>
        <v>Ryan Shaw</v>
      </c>
      <c r="G26" t="b">
        <f t="shared" si="2"/>
        <v>0</v>
      </c>
    </row>
    <row r="27" spans="1:7" x14ac:dyDescent="0.35">
      <c r="A27" s="1" t="s">
        <v>74</v>
      </c>
      <c r="B27" s="2">
        <v>45736</v>
      </c>
      <c r="C27" s="1">
        <v>7.25</v>
      </c>
      <c r="D27" t="s">
        <v>8</v>
      </c>
      <c r="E27" t="str">
        <f t="shared" si="0"/>
        <v>No</v>
      </c>
      <c r="F27" t="str">
        <f t="shared" si="1"/>
        <v>Aria Reed</v>
      </c>
      <c r="G27" t="b">
        <f t="shared" si="2"/>
        <v>1</v>
      </c>
    </row>
    <row r="28" spans="1:7" x14ac:dyDescent="0.35">
      <c r="A28" s="1" t="s">
        <v>12</v>
      </c>
      <c r="B28" s="1"/>
      <c r="C28" s="1"/>
      <c r="D28" t="s">
        <v>8</v>
      </c>
      <c r="E28" t="str">
        <f t="shared" si="0"/>
        <v>Yes</v>
      </c>
      <c r="F28" t="str">
        <f t="shared" si="1"/>
        <v/>
      </c>
      <c r="G28" t="b">
        <f t="shared" si="2"/>
        <v>0</v>
      </c>
    </row>
    <row r="29" spans="1:7" x14ac:dyDescent="0.35">
      <c r="A29" s="1" t="s">
        <v>75</v>
      </c>
      <c r="B29" s="2">
        <v>45737</v>
      </c>
      <c r="C29" s="1">
        <v>8</v>
      </c>
      <c r="D29" t="s">
        <v>8</v>
      </c>
      <c r="E29" t="str">
        <f t="shared" si="0"/>
        <v>No</v>
      </c>
      <c r="F29" t="str">
        <f t="shared" si="1"/>
        <v>Kennedy Hunter</v>
      </c>
      <c r="G29" t="b">
        <f t="shared" si="2"/>
        <v>1</v>
      </c>
    </row>
    <row r="30" spans="1:7" x14ac:dyDescent="0.35">
      <c r="A30" s="1" t="s">
        <v>76</v>
      </c>
      <c r="B30" s="2">
        <v>45737</v>
      </c>
      <c r="C30" s="1"/>
      <c r="D30" t="s">
        <v>8</v>
      </c>
      <c r="E30" t="str">
        <f t="shared" si="0"/>
        <v>Yes</v>
      </c>
      <c r="F30" t="str">
        <f t="shared" si="1"/>
        <v>Leo Sullivan</v>
      </c>
      <c r="G30" t="b">
        <f t="shared" si="2"/>
        <v>0</v>
      </c>
    </row>
    <row r="31" spans="1:7" x14ac:dyDescent="0.35">
      <c r="A31" s="1" t="s">
        <v>12</v>
      </c>
      <c r="B31" s="1"/>
      <c r="C31" s="1"/>
      <c r="D31" t="s">
        <v>8</v>
      </c>
      <c r="E31" t="str">
        <f t="shared" si="0"/>
        <v>Yes</v>
      </c>
      <c r="F31" t="str">
        <f t="shared" si="1"/>
        <v/>
      </c>
      <c r="G31" t="b">
        <f t="shared" si="2"/>
        <v>0</v>
      </c>
    </row>
    <row r="32" spans="1:7" x14ac:dyDescent="0.35">
      <c r="A32" s="1" t="s">
        <v>77</v>
      </c>
      <c r="B32" s="2">
        <v>45738</v>
      </c>
      <c r="C32" s="1">
        <v>7</v>
      </c>
      <c r="D32" t="s">
        <v>8</v>
      </c>
      <c r="E32" t="str">
        <f t="shared" si="0"/>
        <v>No</v>
      </c>
      <c r="F32" t="str">
        <f t="shared" si="1"/>
        <v>Claire Grant</v>
      </c>
      <c r="G32" t="b">
        <f t="shared" si="2"/>
        <v>1</v>
      </c>
    </row>
    <row r="33" spans="1:7" x14ac:dyDescent="0.35">
      <c r="A33" s="1" t="s">
        <v>78</v>
      </c>
      <c r="B33" s="2">
        <v>45738</v>
      </c>
      <c r="C33" s="1">
        <v>6.5</v>
      </c>
      <c r="D33" t="s">
        <v>8</v>
      </c>
      <c r="E33" t="str">
        <f t="shared" si="0"/>
        <v>No</v>
      </c>
      <c r="F33" t="str">
        <f t="shared" si="1"/>
        <v>Xavier Baker</v>
      </c>
      <c r="G33" t="b">
        <f t="shared" si="2"/>
        <v>1</v>
      </c>
    </row>
    <row r="34" spans="1:7" x14ac:dyDescent="0.35">
      <c r="A34" s="1" t="s">
        <v>79</v>
      </c>
      <c r="B34" s="2">
        <v>45739</v>
      </c>
      <c r="C34" s="1"/>
      <c r="D34" t="s">
        <v>8</v>
      </c>
      <c r="E34" t="str">
        <f t="shared" si="0"/>
        <v>Yes</v>
      </c>
      <c r="F34" t="str">
        <f t="shared" si="1"/>
        <v>Ivy Foster</v>
      </c>
      <c r="G34" t="b">
        <f t="shared" si="2"/>
        <v>0</v>
      </c>
    </row>
    <row r="35" spans="1:7" x14ac:dyDescent="0.35">
      <c r="A35" s="1" t="s">
        <v>12</v>
      </c>
      <c r="B35" s="1"/>
      <c r="C35" s="1"/>
      <c r="D35" t="s">
        <v>8</v>
      </c>
      <c r="E35" t="str">
        <f t="shared" si="0"/>
        <v>Yes</v>
      </c>
      <c r="F35" t="str">
        <f t="shared" si="1"/>
        <v/>
      </c>
      <c r="G35" t="b">
        <f t="shared" si="2"/>
        <v>0</v>
      </c>
    </row>
    <row r="36" spans="1:7" x14ac:dyDescent="0.35">
      <c r="A36" s="1" t="s">
        <v>80</v>
      </c>
      <c r="B36" s="2">
        <v>45739</v>
      </c>
      <c r="C36" s="1">
        <v>9</v>
      </c>
      <c r="D36" t="s">
        <v>8</v>
      </c>
      <c r="E36" t="str">
        <f t="shared" si="0"/>
        <v>No</v>
      </c>
      <c r="F36" t="str">
        <f t="shared" si="1"/>
        <v>Ethan Turner</v>
      </c>
      <c r="G36" t="b">
        <f t="shared" si="2"/>
        <v>1</v>
      </c>
    </row>
    <row r="37" spans="1:7" x14ac:dyDescent="0.35">
      <c r="A37" s="1" t="s">
        <v>81</v>
      </c>
      <c r="B37" s="2">
        <v>45740</v>
      </c>
      <c r="C37" s="1"/>
      <c r="D37" t="s">
        <v>8</v>
      </c>
      <c r="E37" t="str">
        <f t="shared" si="0"/>
        <v>Yes</v>
      </c>
      <c r="F37" t="str">
        <f t="shared" si="1"/>
        <v>Lauren Ross</v>
      </c>
      <c r="G37" t="b">
        <f t="shared" si="2"/>
        <v>0</v>
      </c>
    </row>
    <row r="38" spans="1:7" x14ac:dyDescent="0.35">
      <c r="A38" s="1" t="s">
        <v>12</v>
      </c>
      <c r="B38" s="1"/>
      <c r="C38" s="1"/>
      <c r="D38" t="s">
        <v>8</v>
      </c>
      <c r="E38" t="str">
        <f t="shared" si="0"/>
        <v>Yes</v>
      </c>
      <c r="F38" t="str">
        <f t="shared" si="1"/>
        <v/>
      </c>
      <c r="G38" t="b">
        <f t="shared" si="2"/>
        <v>0</v>
      </c>
    </row>
    <row r="39" spans="1:7" x14ac:dyDescent="0.35">
      <c r="A39" s="1" t="s">
        <v>82</v>
      </c>
      <c r="B39" s="2">
        <v>45740</v>
      </c>
      <c r="C39" s="1">
        <v>8</v>
      </c>
      <c r="D39" t="s">
        <v>8</v>
      </c>
      <c r="E39" t="str">
        <f t="shared" si="0"/>
        <v>No</v>
      </c>
      <c r="F39" t="str">
        <f t="shared" si="1"/>
        <v>Isaac Carter</v>
      </c>
      <c r="G39" t="b">
        <f t="shared" si="2"/>
        <v>1</v>
      </c>
    </row>
    <row r="40" spans="1:7" x14ac:dyDescent="0.35">
      <c r="A40" s="1" t="s">
        <v>83</v>
      </c>
      <c r="B40" s="2">
        <v>45741</v>
      </c>
      <c r="C40" s="1">
        <v>7.5</v>
      </c>
      <c r="D40" t="s">
        <v>8</v>
      </c>
      <c r="E40" t="str">
        <f t="shared" si="0"/>
        <v>No</v>
      </c>
      <c r="F40" t="str">
        <f t="shared" si="1"/>
        <v>Victoria Sanders</v>
      </c>
      <c r="G40" t="b">
        <f t="shared" si="2"/>
        <v>1</v>
      </c>
    </row>
    <row r="41" spans="1:7" x14ac:dyDescent="0.35">
      <c r="A41" s="1" t="s">
        <v>12</v>
      </c>
      <c r="B41" s="1"/>
      <c r="C41" s="1"/>
      <c r="D41" t="s">
        <v>8</v>
      </c>
      <c r="E41" t="str">
        <f t="shared" si="0"/>
        <v>Yes</v>
      </c>
      <c r="F41" t="str">
        <f t="shared" si="1"/>
        <v/>
      </c>
      <c r="G41" t="b">
        <f t="shared" si="2"/>
        <v>0</v>
      </c>
    </row>
    <row r="42" spans="1:7" x14ac:dyDescent="0.35">
      <c r="A42" s="1" t="s">
        <v>84</v>
      </c>
      <c r="B42" s="2">
        <v>45741</v>
      </c>
      <c r="C42" s="1">
        <v>6</v>
      </c>
      <c r="D42" t="s">
        <v>8</v>
      </c>
      <c r="E42" t="str">
        <f t="shared" si="0"/>
        <v>No</v>
      </c>
      <c r="F42" t="str">
        <f t="shared" si="1"/>
        <v>Cooper Barnes</v>
      </c>
      <c r="G42" t="b">
        <f t="shared" si="2"/>
        <v>1</v>
      </c>
    </row>
    <row r="43" spans="1:7" x14ac:dyDescent="0.35">
      <c r="A43" s="1" t="s">
        <v>6</v>
      </c>
      <c r="B43" s="2">
        <v>45742</v>
      </c>
      <c r="C43" s="1"/>
    </row>
    <row r="44" spans="1:7" x14ac:dyDescent="0.35">
      <c r="A44" s="1"/>
      <c r="B44" s="1"/>
      <c r="C44" s="1"/>
    </row>
  </sheetData>
  <autoFilter ref="A1:F43" xr:uid="{5B507B46-2A3A-4AF0-9CF3-00690243A4ED}"/>
  <conditionalFormatting sqref="E1:E1048576">
    <cfRule type="containsText" dxfId="2" priority="2" operator="containsText" text="Yes">
      <formula>NOT(ISERROR(SEARCH("Yes",E1)))</formula>
    </cfRule>
  </conditionalFormatting>
  <conditionalFormatting sqref="G1:G1048576">
    <cfRule type="containsText" dxfId="0" priority="1" operator="containsText" text="FALSE">
      <formula>NOT(ISERROR(SEARCH("FALSE",G1)))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Timesheet">
                <anchor moveWithCells="1" sizeWithCells="1">
                  <from>
                    <xdr:col>11</xdr:col>
                    <xdr:colOff>19050</xdr:colOff>
                    <xdr:row>22</xdr:row>
                    <xdr:rowOff>12700</xdr:rowOff>
                  </from>
                  <to>
                    <xdr:col>14</xdr:col>
                    <xdr:colOff>0</xdr:colOff>
                    <xdr:row>24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Timesheet 1</vt:lpstr>
      <vt:lpstr>Timesheet 2</vt:lpstr>
      <vt:lpstr>Timesheet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David-Williams</dc:creator>
  <cp:lastModifiedBy>Stephen David-Williams</cp:lastModifiedBy>
  <dcterms:created xsi:type="dcterms:W3CDTF">2025-03-23T02:39:45Z</dcterms:created>
  <dcterms:modified xsi:type="dcterms:W3CDTF">2025-03-23T14:51:18Z</dcterms:modified>
</cp:coreProperties>
</file>