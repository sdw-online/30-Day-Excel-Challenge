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teph\Documents\GitHub\30-Day-Excel-Challenge\day_19_data_cleaning\practice\"/>
    </mc:Choice>
  </mc:AlternateContent>
  <xr:revisionPtr revIDLastSave="0" documentId="13_ncr:1_{9666DCC2-50A3-47AF-AF29-B80B46C5C640}" xr6:coauthVersionLast="47" xr6:coauthVersionMax="47" xr10:uidLastSave="{00000000-0000-0000-0000-000000000000}"/>
  <bookViews>
    <workbookView xWindow="-98" yWindow="-98" windowWidth="21795" windowHeight="12975" xr2:uid="{00000000-000D-0000-FFFF-FFFF00000000}"/>
  </bookViews>
  <sheets>
    <sheet name="Solution Notes" sheetId="1" r:id="rId1"/>
    <sheet name="ProductCatalog (Solved)" sheetId="2" r:id="rId2"/>
    <sheet name="Cleaned Output (No Duplicates)" sheetId="3" r:id="rId3"/>
  </sheets>
  <definedNames>
    <definedName name="_xlnm._FilterDatabase" localSheetId="2" hidden="1">'Cleaned Output (No Duplicates)'!$A$1:$E$60</definedName>
    <definedName name="_xlnm._FilterDatabase" localSheetId="1" hidden="1">'ProductCatalog (Solved)'!$A$1:$S$565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5" i="2" l="1"/>
  <c r="Q565" i="2" s="1"/>
  <c r="M565" i="2"/>
  <c r="L565" i="2"/>
  <c r="P565" i="2" s="1"/>
  <c r="J565" i="2"/>
  <c r="K565" i="2" s="1"/>
  <c r="H565" i="2"/>
  <c r="F565" i="2"/>
  <c r="O564" i="2"/>
  <c r="Q564" i="2" s="1"/>
  <c r="M564" i="2"/>
  <c r="L564" i="2"/>
  <c r="P564" i="2" s="1"/>
  <c r="J564" i="2"/>
  <c r="K564" i="2" s="1"/>
  <c r="H564" i="2"/>
  <c r="F564" i="2"/>
  <c r="O563" i="2"/>
  <c r="Q563" i="2" s="1"/>
  <c r="M563" i="2"/>
  <c r="L563" i="2"/>
  <c r="P563" i="2" s="1"/>
  <c r="J563" i="2"/>
  <c r="K563" i="2" s="1"/>
  <c r="H563" i="2"/>
  <c r="F563" i="2"/>
  <c r="O562" i="2"/>
  <c r="Q562" i="2" s="1"/>
  <c r="M562" i="2"/>
  <c r="L562" i="2"/>
  <c r="P562" i="2" s="1"/>
  <c r="J562" i="2"/>
  <c r="K562" i="2" s="1"/>
  <c r="H562" i="2"/>
  <c r="F562" i="2"/>
  <c r="O561" i="2"/>
  <c r="Q561" i="2" s="1"/>
  <c r="M561" i="2"/>
  <c r="L561" i="2"/>
  <c r="P561" i="2" s="1"/>
  <c r="J561" i="2"/>
  <c r="K561" i="2" s="1"/>
  <c r="H561" i="2"/>
  <c r="F561" i="2"/>
  <c r="O560" i="2"/>
  <c r="Q560" i="2" s="1"/>
  <c r="M560" i="2"/>
  <c r="L560" i="2"/>
  <c r="P560" i="2" s="1"/>
  <c r="J560" i="2"/>
  <c r="K560" i="2" s="1"/>
  <c r="H560" i="2"/>
  <c r="F560" i="2"/>
  <c r="O559" i="2"/>
  <c r="Q559" i="2" s="1"/>
  <c r="M559" i="2"/>
  <c r="L559" i="2"/>
  <c r="P559" i="2" s="1"/>
  <c r="J559" i="2"/>
  <c r="K559" i="2" s="1"/>
  <c r="H559" i="2"/>
  <c r="F559" i="2"/>
  <c r="O558" i="2"/>
  <c r="Q558" i="2" s="1"/>
  <c r="M558" i="2"/>
  <c r="L558" i="2"/>
  <c r="P558" i="2" s="1"/>
  <c r="J558" i="2"/>
  <c r="K558" i="2" s="1"/>
  <c r="H558" i="2"/>
  <c r="F558" i="2"/>
  <c r="O557" i="2"/>
  <c r="Q557" i="2" s="1"/>
  <c r="M557" i="2"/>
  <c r="L557" i="2"/>
  <c r="P557" i="2" s="1"/>
  <c r="J557" i="2"/>
  <c r="K557" i="2" s="1"/>
  <c r="H557" i="2"/>
  <c r="F557" i="2"/>
  <c r="O556" i="2"/>
  <c r="Q556" i="2" s="1"/>
  <c r="M556" i="2"/>
  <c r="L556" i="2"/>
  <c r="P556" i="2" s="1"/>
  <c r="J556" i="2"/>
  <c r="K556" i="2" s="1"/>
  <c r="H556" i="2"/>
  <c r="F556" i="2"/>
  <c r="O555" i="2"/>
  <c r="Q555" i="2" s="1"/>
  <c r="M555" i="2"/>
  <c r="L555" i="2"/>
  <c r="P555" i="2" s="1"/>
  <c r="J555" i="2"/>
  <c r="K555" i="2" s="1"/>
  <c r="H555" i="2"/>
  <c r="F555" i="2"/>
  <c r="O554" i="2"/>
  <c r="Q554" i="2" s="1"/>
  <c r="M554" i="2"/>
  <c r="L554" i="2"/>
  <c r="P554" i="2" s="1"/>
  <c r="J554" i="2"/>
  <c r="K554" i="2" s="1"/>
  <c r="H554" i="2"/>
  <c r="F554" i="2"/>
  <c r="O553" i="2"/>
  <c r="Q553" i="2" s="1"/>
  <c r="M553" i="2"/>
  <c r="L553" i="2"/>
  <c r="P553" i="2" s="1"/>
  <c r="J553" i="2"/>
  <c r="K553" i="2" s="1"/>
  <c r="H553" i="2"/>
  <c r="F553" i="2"/>
  <c r="O552" i="2"/>
  <c r="Q552" i="2" s="1"/>
  <c r="M552" i="2"/>
  <c r="L552" i="2"/>
  <c r="P552" i="2" s="1"/>
  <c r="J552" i="2"/>
  <c r="K552" i="2" s="1"/>
  <c r="H552" i="2"/>
  <c r="F552" i="2"/>
  <c r="O551" i="2"/>
  <c r="Q551" i="2" s="1"/>
  <c r="M551" i="2"/>
  <c r="L551" i="2"/>
  <c r="P551" i="2" s="1"/>
  <c r="J551" i="2"/>
  <c r="K551" i="2" s="1"/>
  <c r="H551" i="2"/>
  <c r="F551" i="2"/>
  <c r="O550" i="2"/>
  <c r="Q550" i="2" s="1"/>
  <c r="M550" i="2"/>
  <c r="L550" i="2"/>
  <c r="P550" i="2" s="1"/>
  <c r="J550" i="2"/>
  <c r="K550" i="2" s="1"/>
  <c r="H550" i="2"/>
  <c r="F550" i="2"/>
  <c r="O549" i="2"/>
  <c r="Q549" i="2" s="1"/>
  <c r="M549" i="2"/>
  <c r="L549" i="2"/>
  <c r="P549" i="2" s="1"/>
  <c r="J549" i="2"/>
  <c r="K549" i="2" s="1"/>
  <c r="H549" i="2"/>
  <c r="F549" i="2"/>
  <c r="O548" i="2"/>
  <c r="Q548" i="2" s="1"/>
  <c r="M548" i="2"/>
  <c r="L548" i="2"/>
  <c r="P548" i="2" s="1"/>
  <c r="J548" i="2"/>
  <c r="K548" i="2" s="1"/>
  <c r="H548" i="2"/>
  <c r="F548" i="2"/>
  <c r="O547" i="2"/>
  <c r="Q547" i="2" s="1"/>
  <c r="M547" i="2"/>
  <c r="L547" i="2"/>
  <c r="P547" i="2" s="1"/>
  <c r="J547" i="2"/>
  <c r="K547" i="2" s="1"/>
  <c r="H547" i="2"/>
  <c r="F547" i="2"/>
  <c r="O546" i="2"/>
  <c r="Q546" i="2" s="1"/>
  <c r="M546" i="2"/>
  <c r="L546" i="2"/>
  <c r="P546" i="2" s="1"/>
  <c r="J546" i="2"/>
  <c r="K546" i="2" s="1"/>
  <c r="H546" i="2"/>
  <c r="F546" i="2"/>
  <c r="O545" i="2"/>
  <c r="Q545" i="2" s="1"/>
  <c r="M545" i="2"/>
  <c r="L545" i="2"/>
  <c r="P545" i="2" s="1"/>
  <c r="J545" i="2"/>
  <c r="K545" i="2" s="1"/>
  <c r="H545" i="2"/>
  <c r="F545" i="2"/>
  <c r="O544" i="2"/>
  <c r="Q544" i="2" s="1"/>
  <c r="M544" i="2"/>
  <c r="L544" i="2"/>
  <c r="P544" i="2" s="1"/>
  <c r="J544" i="2"/>
  <c r="K544" i="2" s="1"/>
  <c r="H544" i="2"/>
  <c r="F544" i="2"/>
  <c r="O543" i="2"/>
  <c r="Q543" i="2" s="1"/>
  <c r="M543" i="2"/>
  <c r="L543" i="2"/>
  <c r="P543" i="2" s="1"/>
  <c r="J543" i="2"/>
  <c r="K543" i="2" s="1"/>
  <c r="H543" i="2"/>
  <c r="F543" i="2"/>
  <c r="O542" i="2"/>
  <c r="Q542" i="2" s="1"/>
  <c r="M542" i="2"/>
  <c r="L542" i="2"/>
  <c r="P542" i="2" s="1"/>
  <c r="J542" i="2"/>
  <c r="K542" i="2" s="1"/>
  <c r="H542" i="2"/>
  <c r="F542" i="2"/>
  <c r="O541" i="2"/>
  <c r="Q541" i="2" s="1"/>
  <c r="M541" i="2"/>
  <c r="L541" i="2"/>
  <c r="P541" i="2" s="1"/>
  <c r="J541" i="2"/>
  <c r="K541" i="2" s="1"/>
  <c r="H541" i="2"/>
  <c r="F541" i="2"/>
  <c r="O540" i="2"/>
  <c r="Q540" i="2" s="1"/>
  <c r="M540" i="2"/>
  <c r="L540" i="2"/>
  <c r="P540" i="2" s="1"/>
  <c r="J540" i="2"/>
  <c r="K540" i="2" s="1"/>
  <c r="H540" i="2"/>
  <c r="F540" i="2"/>
  <c r="O539" i="2"/>
  <c r="Q539" i="2" s="1"/>
  <c r="M539" i="2"/>
  <c r="L539" i="2"/>
  <c r="P539" i="2" s="1"/>
  <c r="J539" i="2"/>
  <c r="K539" i="2" s="1"/>
  <c r="H539" i="2"/>
  <c r="F539" i="2"/>
  <c r="O538" i="2"/>
  <c r="Q538" i="2" s="1"/>
  <c r="M538" i="2"/>
  <c r="L538" i="2"/>
  <c r="P538" i="2" s="1"/>
  <c r="J538" i="2"/>
  <c r="K538" i="2" s="1"/>
  <c r="H538" i="2"/>
  <c r="F538" i="2"/>
  <c r="O537" i="2"/>
  <c r="Q537" i="2" s="1"/>
  <c r="M537" i="2"/>
  <c r="L537" i="2"/>
  <c r="P537" i="2" s="1"/>
  <c r="J537" i="2"/>
  <c r="K537" i="2" s="1"/>
  <c r="H537" i="2"/>
  <c r="F537" i="2"/>
  <c r="O536" i="2"/>
  <c r="Q536" i="2" s="1"/>
  <c r="M536" i="2"/>
  <c r="L536" i="2"/>
  <c r="P536" i="2" s="1"/>
  <c r="J536" i="2"/>
  <c r="K536" i="2" s="1"/>
  <c r="H536" i="2"/>
  <c r="F536" i="2"/>
  <c r="O535" i="2"/>
  <c r="Q535" i="2" s="1"/>
  <c r="M535" i="2"/>
  <c r="L535" i="2"/>
  <c r="P535" i="2" s="1"/>
  <c r="J535" i="2"/>
  <c r="K535" i="2" s="1"/>
  <c r="H535" i="2"/>
  <c r="F535" i="2"/>
  <c r="O534" i="2"/>
  <c r="Q534" i="2" s="1"/>
  <c r="M534" i="2"/>
  <c r="L534" i="2"/>
  <c r="P534" i="2" s="1"/>
  <c r="J534" i="2"/>
  <c r="K534" i="2" s="1"/>
  <c r="H534" i="2"/>
  <c r="F534" i="2"/>
  <c r="O533" i="2"/>
  <c r="Q533" i="2" s="1"/>
  <c r="M533" i="2"/>
  <c r="L533" i="2"/>
  <c r="P533" i="2" s="1"/>
  <c r="J533" i="2"/>
  <c r="K533" i="2" s="1"/>
  <c r="H533" i="2"/>
  <c r="F533" i="2"/>
  <c r="O532" i="2"/>
  <c r="Q532" i="2" s="1"/>
  <c r="M532" i="2"/>
  <c r="L532" i="2"/>
  <c r="P532" i="2" s="1"/>
  <c r="J532" i="2"/>
  <c r="K532" i="2" s="1"/>
  <c r="H532" i="2"/>
  <c r="F532" i="2"/>
  <c r="O531" i="2"/>
  <c r="Q531" i="2" s="1"/>
  <c r="M531" i="2"/>
  <c r="L531" i="2"/>
  <c r="P531" i="2" s="1"/>
  <c r="J531" i="2"/>
  <c r="K531" i="2" s="1"/>
  <c r="H531" i="2"/>
  <c r="F531" i="2"/>
  <c r="O530" i="2"/>
  <c r="Q530" i="2" s="1"/>
  <c r="M530" i="2"/>
  <c r="L530" i="2"/>
  <c r="P530" i="2" s="1"/>
  <c r="J530" i="2"/>
  <c r="K530" i="2" s="1"/>
  <c r="H530" i="2"/>
  <c r="F530" i="2"/>
  <c r="O529" i="2"/>
  <c r="Q529" i="2" s="1"/>
  <c r="M529" i="2"/>
  <c r="L529" i="2"/>
  <c r="P529" i="2" s="1"/>
  <c r="J529" i="2"/>
  <c r="K529" i="2" s="1"/>
  <c r="H529" i="2"/>
  <c r="F529" i="2"/>
  <c r="O528" i="2"/>
  <c r="Q528" i="2" s="1"/>
  <c r="M528" i="2"/>
  <c r="L528" i="2"/>
  <c r="P528" i="2" s="1"/>
  <c r="J528" i="2"/>
  <c r="K528" i="2" s="1"/>
  <c r="H528" i="2"/>
  <c r="F528" i="2"/>
  <c r="O527" i="2"/>
  <c r="Q527" i="2" s="1"/>
  <c r="M527" i="2"/>
  <c r="L527" i="2"/>
  <c r="P527" i="2" s="1"/>
  <c r="J527" i="2"/>
  <c r="K527" i="2" s="1"/>
  <c r="H527" i="2"/>
  <c r="F527" i="2"/>
  <c r="O526" i="2"/>
  <c r="Q526" i="2" s="1"/>
  <c r="M526" i="2"/>
  <c r="L526" i="2"/>
  <c r="P526" i="2" s="1"/>
  <c r="J526" i="2"/>
  <c r="K526" i="2" s="1"/>
  <c r="H526" i="2"/>
  <c r="F526" i="2"/>
  <c r="O525" i="2"/>
  <c r="Q525" i="2" s="1"/>
  <c r="M525" i="2"/>
  <c r="L525" i="2"/>
  <c r="P525" i="2" s="1"/>
  <c r="J525" i="2"/>
  <c r="K525" i="2" s="1"/>
  <c r="H525" i="2"/>
  <c r="F525" i="2"/>
  <c r="O524" i="2"/>
  <c r="Q524" i="2" s="1"/>
  <c r="M524" i="2"/>
  <c r="L524" i="2"/>
  <c r="P524" i="2" s="1"/>
  <c r="J524" i="2"/>
  <c r="K524" i="2" s="1"/>
  <c r="H524" i="2"/>
  <c r="F524" i="2"/>
  <c r="O523" i="2"/>
  <c r="Q523" i="2" s="1"/>
  <c r="M523" i="2"/>
  <c r="L523" i="2"/>
  <c r="P523" i="2" s="1"/>
  <c r="J523" i="2"/>
  <c r="K523" i="2" s="1"/>
  <c r="H523" i="2"/>
  <c r="F523" i="2"/>
  <c r="O522" i="2"/>
  <c r="Q522" i="2" s="1"/>
  <c r="M522" i="2"/>
  <c r="L522" i="2"/>
  <c r="P522" i="2" s="1"/>
  <c r="J522" i="2"/>
  <c r="K522" i="2" s="1"/>
  <c r="H522" i="2"/>
  <c r="F522" i="2"/>
  <c r="O521" i="2"/>
  <c r="Q521" i="2" s="1"/>
  <c r="M521" i="2"/>
  <c r="L521" i="2"/>
  <c r="P521" i="2" s="1"/>
  <c r="J521" i="2"/>
  <c r="K521" i="2" s="1"/>
  <c r="H521" i="2"/>
  <c r="F521" i="2"/>
  <c r="O520" i="2"/>
  <c r="Q520" i="2" s="1"/>
  <c r="M520" i="2"/>
  <c r="L520" i="2"/>
  <c r="P520" i="2" s="1"/>
  <c r="J520" i="2"/>
  <c r="K520" i="2" s="1"/>
  <c r="H520" i="2"/>
  <c r="F520" i="2"/>
  <c r="O519" i="2"/>
  <c r="Q519" i="2" s="1"/>
  <c r="M519" i="2"/>
  <c r="L519" i="2"/>
  <c r="P519" i="2" s="1"/>
  <c r="J519" i="2"/>
  <c r="K519" i="2" s="1"/>
  <c r="H519" i="2"/>
  <c r="F519" i="2"/>
  <c r="O518" i="2"/>
  <c r="Q518" i="2" s="1"/>
  <c r="M518" i="2"/>
  <c r="L518" i="2"/>
  <c r="P518" i="2" s="1"/>
  <c r="J518" i="2"/>
  <c r="K518" i="2" s="1"/>
  <c r="H518" i="2"/>
  <c r="F518" i="2"/>
  <c r="O517" i="2"/>
  <c r="Q517" i="2" s="1"/>
  <c r="M517" i="2"/>
  <c r="L517" i="2"/>
  <c r="P517" i="2" s="1"/>
  <c r="J517" i="2"/>
  <c r="K517" i="2" s="1"/>
  <c r="H517" i="2"/>
  <c r="F517" i="2"/>
  <c r="O516" i="2"/>
  <c r="Q516" i="2" s="1"/>
  <c r="M516" i="2"/>
  <c r="L516" i="2"/>
  <c r="P516" i="2" s="1"/>
  <c r="J516" i="2"/>
  <c r="K516" i="2" s="1"/>
  <c r="H516" i="2"/>
  <c r="F516" i="2"/>
  <c r="O515" i="2"/>
  <c r="Q515" i="2" s="1"/>
  <c r="M515" i="2"/>
  <c r="L515" i="2"/>
  <c r="P515" i="2" s="1"/>
  <c r="J515" i="2"/>
  <c r="K515" i="2" s="1"/>
  <c r="H515" i="2"/>
  <c r="F515" i="2"/>
  <c r="O514" i="2"/>
  <c r="Q514" i="2" s="1"/>
  <c r="M514" i="2"/>
  <c r="L514" i="2"/>
  <c r="P514" i="2" s="1"/>
  <c r="J514" i="2"/>
  <c r="K514" i="2" s="1"/>
  <c r="H514" i="2"/>
  <c r="F514" i="2"/>
  <c r="O513" i="2"/>
  <c r="Q513" i="2" s="1"/>
  <c r="M513" i="2"/>
  <c r="L513" i="2"/>
  <c r="P513" i="2" s="1"/>
  <c r="J513" i="2"/>
  <c r="K513" i="2" s="1"/>
  <c r="H513" i="2"/>
  <c r="F513" i="2"/>
  <c r="O512" i="2"/>
  <c r="Q512" i="2" s="1"/>
  <c r="M512" i="2"/>
  <c r="L512" i="2"/>
  <c r="P512" i="2" s="1"/>
  <c r="J512" i="2"/>
  <c r="K512" i="2" s="1"/>
  <c r="H512" i="2"/>
  <c r="F512" i="2"/>
  <c r="O511" i="2"/>
  <c r="Q511" i="2" s="1"/>
  <c r="M511" i="2"/>
  <c r="L511" i="2"/>
  <c r="P511" i="2" s="1"/>
  <c r="J511" i="2"/>
  <c r="K511" i="2" s="1"/>
  <c r="H511" i="2"/>
  <c r="F511" i="2"/>
  <c r="O510" i="2"/>
  <c r="Q510" i="2" s="1"/>
  <c r="M510" i="2"/>
  <c r="L510" i="2"/>
  <c r="P510" i="2" s="1"/>
  <c r="J510" i="2"/>
  <c r="K510" i="2" s="1"/>
  <c r="H510" i="2"/>
  <c r="F510" i="2"/>
  <c r="O509" i="2"/>
  <c r="Q509" i="2" s="1"/>
  <c r="M509" i="2"/>
  <c r="L509" i="2"/>
  <c r="P509" i="2" s="1"/>
  <c r="J509" i="2"/>
  <c r="K509" i="2" s="1"/>
  <c r="H509" i="2"/>
  <c r="F509" i="2"/>
  <c r="O508" i="2"/>
  <c r="Q508" i="2" s="1"/>
  <c r="M508" i="2"/>
  <c r="L508" i="2"/>
  <c r="P508" i="2" s="1"/>
  <c r="J508" i="2"/>
  <c r="K508" i="2" s="1"/>
  <c r="H508" i="2"/>
  <c r="F508" i="2"/>
  <c r="O507" i="2"/>
  <c r="Q507" i="2" s="1"/>
  <c r="M507" i="2"/>
  <c r="L507" i="2"/>
  <c r="P507" i="2" s="1"/>
  <c r="J507" i="2"/>
  <c r="K507" i="2" s="1"/>
  <c r="H507" i="2"/>
  <c r="F507" i="2"/>
  <c r="O506" i="2"/>
  <c r="Q506" i="2" s="1"/>
  <c r="M506" i="2"/>
  <c r="L506" i="2"/>
  <c r="P506" i="2" s="1"/>
  <c r="J506" i="2"/>
  <c r="K506" i="2" s="1"/>
  <c r="H506" i="2"/>
  <c r="F506" i="2"/>
  <c r="O505" i="2"/>
  <c r="Q505" i="2" s="1"/>
  <c r="M505" i="2"/>
  <c r="L505" i="2"/>
  <c r="P505" i="2" s="1"/>
  <c r="J505" i="2"/>
  <c r="K505" i="2" s="1"/>
  <c r="H505" i="2"/>
  <c r="F505" i="2"/>
  <c r="O504" i="2"/>
  <c r="Q504" i="2" s="1"/>
  <c r="M504" i="2"/>
  <c r="L504" i="2"/>
  <c r="P504" i="2" s="1"/>
  <c r="J504" i="2"/>
  <c r="K504" i="2" s="1"/>
  <c r="H504" i="2"/>
  <c r="F504" i="2"/>
  <c r="O503" i="2"/>
  <c r="Q503" i="2" s="1"/>
  <c r="M503" i="2"/>
  <c r="L503" i="2"/>
  <c r="P503" i="2" s="1"/>
  <c r="J503" i="2"/>
  <c r="K503" i="2" s="1"/>
  <c r="H503" i="2"/>
  <c r="F503" i="2"/>
  <c r="O502" i="2"/>
  <c r="Q502" i="2" s="1"/>
  <c r="M502" i="2"/>
  <c r="L502" i="2"/>
  <c r="P502" i="2" s="1"/>
  <c r="J502" i="2"/>
  <c r="K502" i="2" s="1"/>
  <c r="H502" i="2"/>
  <c r="F502" i="2"/>
  <c r="O501" i="2"/>
  <c r="Q501" i="2" s="1"/>
  <c r="M501" i="2"/>
  <c r="L501" i="2"/>
  <c r="P501" i="2" s="1"/>
  <c r="J501" i="2"/>
  <c r="K501" i="2" s="1"/>
  <c r="H501" i="2"/>
  <c r="F501" i="2"/>
  <c r="O500" i="2"/>
  <c r="Q500" i="2" s="1"/>
  <c r="M500" i="2"/>
  <c r="L500" i="2"/>
  <c r="P500" i="2" s="1"/>
  <c r="J500" i="2"/>
  <c r="K500" i="2" s="1"/>
  <c r="H500" i="2"/>
  <c r="F500" i="2"/>
  <c r="O499" i="2"/>
  <c r="Q499" i="2" s="1"/>
  <c r="M499" i="2"/>
  <c r="L499" i="2"/>
  <c r="P499" i="2" s="1"/>
  <c r="J499" i="2"/>
  <c r="K499" i="2" s="1"/>
  <c r="H499" i="2"/>
  <c r="F499" i="2"/>
  <c r="O498" i="2"/>
  <c r="Q498" i="2" s="1"/>
  <c r="M498" i="2"/>
  <c r="L498" i="2"/>
  <c r="P498" i="2" s="1"/>
  <c r="J498" i="2"/>
  <c r="K498" i="2" s="1"/>
  <c r="H498" i="2"/>
  <c r="F498" i="2"/>
  <c r="O497" i="2"/>
  <c r="Q497" i="2" s="1"/>
  <c r="M497" i="2"/>
  <c r="L497" i="2"/>
  <c r="P497" i="2" s="1"/>
  <c r="J497" i="2"/>
  <c r="K497" i="2" s="1"/>
  <c r="H497" i="2"/>
  <c r="F497" i="2"/>
  <c r="O496" i="2"/>
  <c r="Q496" i="2" s="1"/>
  <c r="M496" i="2"/>
  <c r="L496" i="2"/>
  <c r="P496" i="2" s="1"/>
  <c r="J496" i="2"/>
  <c r="K496" i="2" s="1"/>
  <c r="H496" i="2"/>
  <c r="F496" i="2"/>
  <c r="O495" i="2"/>
  <c r="Q495" i="2" s="1"/>
  <c r="N495" i="2"/>
  <c r="M495" i="2"/>
  <c r="L495" i="2"/>
  <c r="P495" i="2" s="1"/>
  <c r="R495" i="2" s="1"/>
  <c r="J495" i="2"/>
  <c r="K495" i="2" s="1"/>
  <c r="H495" i="2"/>
  <c r="I495" i="2" s="1"/>
  <c r="F495" i="2"/>
  <c r="O494" i="2"/>
  <c r="Q494" i="2" s="1"/>
  <c r="M494" i="2"/>
  <c r="L494" i="2"/>
  <c r="P494" i="2" s="1"/>
  <c r="J494" i="2"/>
  <c r="K494" i="2" s="1"/>
  <c r="H494" i="2"/>
  <c r="F494" i="2"/>
  <c r="O493" i="2"/>
  <c r="Q493" i="2" s="1"/>
  <c r="M493" i="2"/>
  <c r="L493" i="2"/>
  <c r="P493" i="2" s="1"/>
  <c r="J493" i="2"/>
  <c r="K493" i="2" s="1"/>
  <c r="H493" i="2"/>
  <c r="F493" i="2"/>
  <c r="O492" i="2"/>
  <c r="Q492" i="2" s="1"/>
  <c r="M492" i="2"/>
  <c r="L492" i="2"/>
  <c r="P492" i="2" s="1"/>
  <c r="J492" i="2"/>
  <c r="K492" i="2" s="1"/>
  <c r="H492" i="2"/>
  <c r="F492" i="2"/>
  <c r="O491" i="2"/>
  <c r="Q491" i="2" s="1"/>
  <c r="M491" i="2"/>
  <c r="L491" i="2"/>
  <c r="P491" i="2" s="1"/>
  <c r="J491" i="2"/>
  <c r="K491" i="2" s="1"/>
  <c r="H491" i="2"/>
  <c r="F491" i="2"/>
  <c r="O490" i="2"/>
  <c r="Q490" i="2" s="1"/>
  <c r="M490" i="2"/>
  <c r="L490" i="2"/>
  <c r="P490" i="2" s="1"/>
  <c r="J490" i="2"/>
  <c r="K490" i="2" s="1"/>
  <c r="H490" i="2"/>
  <c r="F490" i="2"/>
  <c r="O489" i="2"/>
  <c r="Q489" i="2" s="1"/>
  <c r="M489" i="2"/>
  <c r="L489" i="2"/>
  <c r="P489" i="2" s="1"/>
  <c r="J489" i="2"/>
  <c r="K489" i="2" s="1"/>
  <c r="H489" i="2"/>
  <c r="F489" i="2"/>
  <c r="O488" i="2"/>
  <c r="Q488" i="2" s="1"/>
  <c r="M488" i="2"/>
  <c r="L488" i="2"/>
  <c r="P488" i="2" s="1"/>
  <c r="J488" i="2"/>
  <c r="K488" i="2" s="1"/>
  <c r="H488" i="2"/>
  <c r="F488" i="2"/>
  <c r="O487" i="2"/>
  <c r="Q487" i="2" s="1"/>
  <c r="M487" i="2"/>
  <c r="L487" i="2"/>
  <c r="P487" i="2" s="1"/>
  <c r="J487" i="2"/>
  <c r="K487" i="2" s="1"/>
  <c r="H487" i="2"/>
  <c r="F487" i="2"/>
  <c r="O486" i="2"/>
  <c r="Q486" i="2" s="1"/>
  <c r="M486" i="2"/>
  <c r="L486" i="2"/>
  <c r="P486" i="2" s="1"/>
  <c r="J486" i="2"/>
  <c r="K486" i="2" s="1"/>
  <c r="H486" i="2"/>
  <c r="F486" i="2"/>
  <c r="O485" i="2"/>
  <c r="Q485" i="2" s="1"/>
  <c r="M485" i="2"/>
  <c r="L485" i="2"/>
  <c r="P485" i="2" s="1"/>
  <c r="J485" i="2"/>
  <c r="K485" i="2" s="1"/>
  <c r="H485" i="2"/>
  <c r="F485" i="2"/>
  <c r="O484" i="2"/>
  <c r="Q484" i="2" s="1"/>
  <c r="M484" i="2"/>
  <c r="L484" i="2"/>
  <c r="P484" i="2" s="1"/>
  <c r="J484" i="2"/>
  <c r="K484" i="2" s="1"/>
  <c r="H484" i="2"/>
  <c r="F484" i="2"/>
  <c r="O483" i="2"/>
  <c r="Q483" i="2" s="1"/>
  <c r="M483" i="2"/>
  <c r="L483" i="2"/>
  <c r="P483" i="2" s="1"/>
  <c r="J483" i="2"/>
  <c r="K483" i="2" s="1"/>
  <c r="H483" i="2"/>
  <c r="F483" i="2"/>
  <c r="O482" i="2"/>
  <c r="Q482" i="2" s="1"/>
  <c r="M482" i="2"/>
  <c r="L482" i="2"/>
  <c r="P482" i="2" s="1"/>
  <c r="J482" i="2"/>
  <c r="K482" i="2" s="1"/>
  <c r="H482" i="2"/>
  <c r="F482" i="2"/>
  <c r="O481" i="2"/>
  <c r="Q481" i="2" s="1"/>
  <c r="M481" i="2"/>
  <c r="L481" i="2"/>
  <c r="P481" i="2" s="1"/>
  <c r="J481" i="2"/>
  <c r="K481" i="2" s="1"/>
  <c r="H481" i="2"/>
  <c r="F481" i="2"/>
  <c r="O480" i="2"/>
  <c r="Q480" i="2" s="1"/>
  <c r="M480" i="2"/>
  <c r="L480" i="2"/>
  <c r="P480" i="2" s="1"/>
  <c r="J480" i="2"/>
  <c r="K480" i="2" s="1"/>
  <c r="H480" i="2"/>
  <c r="F480" i="2"/>
  <c r="O479" i="2"/>
  <c r="Q479" i="2" s="1"/>
  <c r="M479" i="2"/>
  <c r="L479" i="2"/>
  <c r="P479" i="2" s="1"/>
  <c r="J479" i="2"/>
  <c r="K479" i="2" s="1"/>
  <c r="H479" i="2"/>
  <c r="F479" i="2"/>
  <c r="O478" i="2"/>
  <c r="Q478" i="2" s="1"/>
  <c r="M478" i="2"/>
  <c r="L478" i="2"/>
  <c r="P478" i="2" s="1"/>
  <c r="J478" i="2"/>
  <c r="K478" i="2" s="1"/>
  <c r="H478" i="2"/>
  <c r="F478" i="2"/>
  <c r="O477" i="2"/>
  <c r="Q477" i="2" s="1"/>
  <c r="M477" i="2"/>
  <c r="L477" i="2"/>
  <c r="P477" i="2" s="1"/>
  <c r="J477" i="2"/>
  <c r="K477" i="2" s="1"/>
  <c r="H477" i="2"/>
  <c r="F477" i="2"/>
  <c r="O476" i="2"/>
  <c r="Q476" i="2" s="1"/>
  <c r="M476" i="2"/>
  <c r="L476" i="2"/>
  <c r="P476" i="2" s="1"/>
  <c r="J476" i="2"/>
  <c r="K476" i="2" s="1"/>
  <c r="H476" i="2"/>
  <c r="F476" i="2"/>
  <c r="O475" i="2"/>
  <c r="Q475" i="2" s="1"/>
  <c r="M475" i="2"/>
  <c r="L475" i="2"/>
  <c r="P475" i="2" s="1"/>
  <c r="J475" i="2"/>
  <c r="K475" i="2" s="1"/>
  <c r="H475" i="2"/>
  <c r="F475" i="2"/>
  <c r="O474" i="2"/>
  <c r="Q474" i="2" s="1"/>
  <c r="M474" i="2"/>
  <c r="L474" i="2"/>
  <c r="P474" i="2" s="1"/>
  <c r="J474" i="2"/>
  <c r="K474" i="2" s="1"/>
  <c r="H474" i="2"/>
  <c r="F474" i="2"/>
  <c r="O473" i="2"/>
  <c r="Q473" i="2" s="1"/>
  <c r="M473" i="2"/>
  <c r="L473" i="2"/>
  <c r="P473" i="2" s="1"/>
  <c r="J473" i="2"/>
  <c r="K473" i="2" s="1"/>
  <c r="H473" i="2"/>
  <c r="F473" i="2"/>
  <c r="O472" i="2"/>
  <c r="Q472" i="2" s="1"/>
  <c r="M472" i="2"/>
  <c r="L472" i="2"/>
  <c r="P472" i="2" s="1"/>
  <c r="J472" i="2"/>
  <c r="K472" i="2" s="1"/>
  <c r="H472" i="2"/>
  <c r="F472" i="2"/>
  <c r="O471" i="2"/>
  <c r="Q471" i="2" s="1"/>
  <c r="M471" i="2"/>
  <c r="L471" i="2"/>
  <c r="P471" i="2" s="1"/>
  <c r="J471" i="2"/>
  <c r="K471" i="2" s="1"/>
  <c r="H471" i="2"/>
  <c r="F471" i="2"/>
  <c r="O470" i="2"/>
  <c r="Q470" i="2" s="1"/>
  <c r="M470" i="2"/>
  <c r="L470" i="2"/>
  <c r="P470" i="2" s="1"/>
  <c r="J470" i="2"/>
  <c r="K470" i="2" s="1"/>
  <c r="H470" i="2"/>
  <c r="F470" i="2"/>
  <c r="O469" i="2"/>
  <c r="Q469" i="2" s="1"/>
  <c r="M469" i="2"/>
  <c r="L469" i="2"/>
  <c r="P469" i="2" s="1"/>
  <c r="J469" i="2"/>
  <c r="K469" i="2" s="1"/>
  <c r="H469" i="2"/>
  <c r="F469" i="2"/>
  <c r="O468" i="2"/>
  <c r="Q468" i="2" s="1"/>
  <c r="M468" i="2"/>
  <c r="L468" i="2"/>
  <c r="P468" i="2" s="1"/>
  <c r="J468" i="2"/>
  <c r="K468" i="2" s="1"/>
  <c r="H468" i="2"/>
  <c r="F468" i="2"/>
  <c r="O467" i="2"/>
  <c r="Q467" i="2" s="1"/>
  <c r="M467" i="2"/>
  <c r="L467" i="2"/>
  <c r="P467" i="2" s="1"/>
  <c r="J467" i="2"/>
  <c r="K467" i="2" s="1"/>
  <c r="H467" i="2"/>
  <c r="F467" i="2"/>
  <c r="O466" i="2"/>
  <c r="Q466" i="2" s="1"/>
  <c r="M466" i="2"/>
  <c r="L466" i="2"/>
  <c r="P466" i="2" s="1"/>
  <c r="J466" i="2"/>
  <c r="K466" i="2" s="1"/>
  <c r="H466" i="2"/>
  <c r="F466" i="2"/>
  <c r="O465" i="2"/>
  <c r="Q465" i="2" s="1"/>
  <c r="M465" i="2"/>
  <c r="L465" i="2"/>
  <c r="P465" i="2" s="1"/>
  <c r="J465" i="2"/>
  <c r="K465" i="2" s="1"/>
  <c r="H465" i="2"/>
  <c r="F465" i="2"/>
  <c r="O464" i="2"/>
  <c r="Q464" i="2" s="1"/>
  <c r="M464" i="2"/>
  <c r="L464" i="2"/>
  <c r="P464" i="2" s="1"/>
  <c r="J464" i="2"/>
  <c r="K464" i="2" s="1"/>
  <c r="H464" i="2"/>
  <c r="F464" i="2"/>
  <c r="O463" i="2"/>
  <c r="Q463" i="2" s="1"/>
  <c r="M463" i="2"/>
  <c r="L463" i="2"/>
  <c r="P463" i="2" s="1"/>
  <c r="J463" i="2"/>
  <c r="K463" i="2" s="1"/>
  <c r="H463" i="2"/>
  <c r="F463" i="2"/>
  <c r="O462" i="2"/>
  <c r="Q462" i="2" s="1"/>
  <c r="M462" i="2"/>
  <c r="L462" i="2"/>
  <c r="P462" i="2" s="1"/>
  <c r="J462" i="2"/>
  <c r="K462" i="2" s="1"/>
  <c r="H462" i="2"/>
  <c r="F462" i="2"/>
  <c r="O461" i="2"/>
  <c r="Q461" i="2" s="1"/>
  <c r="M461" i="2"/>
  <c r="L461" i="2"/>
  <c r="P461" i="2" s="1"/>
  <c r="J461" i="2"/>
  <c r="K461" i="2" s="1"/>
  <c r="H461" i="2"/>
  <c r="F461" i="2"/>
  <c r="O460" i="2"/>
  <c r="Q460" i="2" s="1"/>
  <c r="M460" i="2"/>
  <c r="L460" i="2"/>
  <c r="P460" i="2" s="1"/>
  <c r="J460" i="2"/>
  <c r="K460" i="2" s="1"/>
  <c r="H460" i="2"/>
  <c r="F460" i="2"/>
  <c r="O459" i="2"/>
  <c r="Q459" i="2" s="1"/>
  <c r="M459" i="2"/>
  <c r="L459" i="2"/>
  <c r="P459" i="2" s="1"/>
  <c r="J459" i="2"/>
  <c r="K459" i="2" s="1"/>
  <c r="H459" i="2"/>
  <c r="F459" i="2"/>
  <c r="O458" i="2"/>
  <c r="Q458" i="2" s="1"/>
  <c r="M458" i="2"/>
  <c r="L458" i="2"/>
  <c r="P458" i="2" s="1"/>
  <c r="J458" i="2"/>
  <c r="K458" i="2" s="1"/>
  <c r="H458" i="2"/>
  <c r="F458" i="2"/>
  <c r="O457" i="2"/>
  <c r="Q457" i="2" s="1"/>
  <c r="M457" i="2"/>
  <c r="L457" i="2"/>
  <c r="P457" i="2" s="1"/>
  <c r="J457" i="2"/>
  <c r="K457" i="2" s="1"/>
  <c r="H457" i="2"/>
  <c r="F457" i="2"/>
  <c r="O456" i="2"/>
  <c r="Q456" i="2" s="1"/>
  <c r="M456" i="2"/>
  <c r="L456" i="2"/>
  <c r="P456" i="2" s="1"/>
  <c r="J456" i="2"/>
  <c r="K456" i="2" s="1"/>
  <c r="H456" i="2"/>
  <c r="F456" i="2"/>
  <c r="O455" i="2"/>
  <c r="Q455" i="2" s="1"/>
  <c r="M455" i="2"/>
  <c r="L455" i="2"/>
  <c r="P455" i="2" s="1"/>
  <c r="J455" i="2"/>
  <c r="K455" i="2" s="1"/>
  <c r="H455" i="2"/>
  <c r="F455" i="2"/>
  <c r="O454" i="2"/>
  <c r="Q454" i="2" s="1"/>
  <c r="M454" i="2"/>
  <c r="L454" i="2"/>
  <c r="P454" i="2" s="1"/>
  <c r="J454" i="2"/>
  <c r="K454" i="2" s="1"/>
  <c r="H454" i="2"/>
  <c r="F454" i="2"/>
  <c r="O453" i="2"/>
  <c r="Q453" i="2" s="1"/>
  <c r="M453" i="2"/>
  <c r="L453" i="2"/>
  <c r="P453" i="2" s="1"/>
  <c r="J453" i="2"/>
  <c r="K453" i="2" s="1"/>
  <c r="H453" i="2"/>
  <c r="F453" i="2"/>
  <c r="O452" i="2"/>
  <c r="Q452" i="2" s="1"/>
  <c r="M452" i="2"/>
  <c r="L452" i="2"/>
  <c r="P452" i="2" s="1"/>
  <c r="J452" i="2"/>
  <c r="K452" i="2" s="1"/>
  <c r="H452" i="2"/>
  <c r="F452" i="2"/>
  <c r="O451" i="2"/>
  <c r="Q451" i="2" s="1"/>
  <c r="M451" i="2"/>
  <c r="L451" i="2"/>
  <c r="P451" i="2" s="1"/>
  <c r="J451" i="2"/>
  <c r="K451" i="2" s="1"/>
  <c r="H451" i="2"/>
  <c r="F451" i="2"/>
  <c r="O450" i="2"/>
  <c r="Q450" i="2" s="1"/>
  <c r="M450" i="2"/>
  <c r="L450" i="2"/>
  <c r="P450" i="2" s="1"/>
  <c r="J450" i="2"/>
  <c r="K450" i="2" s="1"/>
  <c r="H450" i="2"/>
  <c r="F450" i="2"/>
  <c r="O449" i="2"/>
  <c r="Q449" i="2" s="1"/>
  <c r="M449" i="2"/>
  <c r="L449" i="2"/>
  <c r="P449" i="2" s="1"/>
  <c r="J449" i="2"/>
  <c r="K449" i="2" s="1"/>
  <c r="H449" i="2"/>
  <c r="F449" i="2"/>
  <c r="O448" i="2"/>
  <c r="Q448" i="2" s="1"/>
  <c r="M448" i="2"/>
  <c r="L448" i="2"/>
  <c r="P448" i="2" s="1"/>
  <c r="J448" i="2"/>
  <c r="K448" i="2" s="1"/>
  <c r="H448" i="2"/>
  <c r="F448" i="2"/>
  <c r="O447" i="2"/>
  <c r="Q447" i="2" s="1"/>
  <c r="M447" i="2"/>
  <c r="L447" i="2"/>
  <c r="P447" i="2" s="1"/>
  <c r="J447" i="2"/>
  <c r="K447" i="2" s="1"/>
  <c r="H447" i="2"/>
  <c r="F447" i="2"/>
  <c r="O446" i="2"/>
  <c r="Q446" i="2" s="1"/>
  <c r="M446" i="2"/>
  <c r="L446" i="2"/>
  <c r="P446" i="2" s="1"/>
  <c r="J446" i="2"/>
  <c r="K446" i="2" s="1"/>
  <c r="H446" i="2"/>
  <c r="F446" i="2"/>
  <c r="O445" i="2"/>
  <c r="Q445" i="2" s="1"/>
  <c r="M445" i="2"/>
  <c r="L445" i="2"/>
  <c r="P445" i="2" s="1"/>
  <c r="J445" i="2"/>
  <c r="K445" i="2" s="1"/>
  <c r="H445" i="2"/>
  <c r="F445" i="2"/>
  <c r="O444" i="2"/>
  <c r="Q444" i="2" s="1"/>
  <c r="M444" i="2"/>
  <c r="L444" i="2"/>
  <c r="P444" i="2" s="1"/>
  <c r="J444" i="2"/>
  <c r="K444" i="2" s="1"/>
  <c r="H444" i="2"/>
  <c r="F444" i="2"/>
  <c r="O443" i="2"/>
  <c r="Q443" i="2" s="1"/>
  <c r="M443" i="2"/>
  <c r="L443" i="2"/>
  <c r="P443" i="2" s="1"/>
  <c r="J443" i="2"/>
  <c r="K443" i="2" s="1"/>
  <c r="H443" i="2"/>
  <c r="F443" i="2"/>
  <c r="O442" i="2"/>
  <c r="Q442" i="2" s="1"/>
  <c r="M442" i="2"/>
  <c r="L442" i="2"/>
  <c r="P442" i="2" s="1"/>
  <c r="J442" i="2"/>
  <c r="K442" i="2" s="1"/>
  <c r="H442" i="2"/>
  <c r="F442" i="2"/>
  <c r="O441" i="2"/>
  <c r="Q441" i="2" s="1"/>
  <c r="M441" i="2"/>
  <c r="L441" i="2"/>
  <c r="P441" i="2" s="1"/>
  <c r="J441" i="2"/>
  <c r="K441" i="2" s="1"/>
  <c r="H441" i="2"/>
  <c r="F441" i="2"/>
  <c r="O440" i="2"/>
  <c r="Q440" i="2" s="1"/>
  <c r="M440" i="2"/>
  <c r="L440" i="2"/>
  <c r="P440" i="2" s="1"/>
  <c r="J440" i="2"/>
  <c r="K440" i="2" s="1"/>
  <c r="H440" i="2"/>
  <c r="F440" i="2"/>
  <c r="O439" i="2"/>
  <c r="Q439" i="2" s="1"/>
  <c r="M439" i="2"/>
  <c r="L439" i="2"/>
  <c r="P439" i="2" s="1"/>
  <c r="J439" i="2"/>
  <c r="K439" i="2" s="1"/>
  <c r="H439" i="2"/>
  <c r="F439" i="2"/>
  <c r="O438" i="2"/>
  <c r="Q438" i="2" s="1"/>
  <c r="M438" i="2"/>
  <c r="L438" i="2"/>
  <c r="P438" i="2" s="1"/>
  <c r="J438" i="2"/>
  <c r="K438" i="2" s="1"/>
  <c r="H438" i="2"/>
  <c r="F438" i="2"/>
  <c r="O437" i="2"/>
  <c r="Q437" i="2" s="1"/>
  <c r="M437" i="2"/>
  <c r="L437" i="2"/>
  <c r="P437" i="2" s="1"/>
  <c r="J437" i="2"/>
  <c r="K437" i="2" s="1"/>
  <c r="H437" i="2"/>
  <c r="F437" i="2"/>
  <c r="O436" i="2"/>
  <c r="Q436" i="2" s="1"/>
  <c r="M436" i="2"/>
  <c r="L436" i="2"/>
  <c r="P436" i="2" s="1"/>
  <c r="J436" i="2"/>
  <c r="K436" i="2" s="1"/>
  <c r="H436" i="2"/>
  <c r="F436" i="2"/>
  <c r="O435" i="2"/>
  <c r="Q435" i="2" s="1"/>
  <c r="M435" i="2"/>
  <c r="L435" i="2"/>
  <c r="P435" i="2" s="1"/>
  <c r="J435" i="2"/>
  <c r="K435" i="2" s="1"/>
  <c r="H435" i="2"/>
  <c r="F435" i="2"/>
  <c r="O434" i="2"/>
  <c r="Q434" i="2" s="1"/>
  <c r="M434" i="2"/>
  <c r="L434" i="2"/>
  <c r="P434" i="2" s="1"/>
  <c r="J434" i="2"/>
  <c r="K434" i="2" s="1"/>
  <c r="H434" i="2"/>
  <c r="F434" i="2"/>
  <c r="O433" i="2"/>
  <c r="Q433" i="2" s="1"/>
  <c r="M433" i="2"/>
  <c r="L433" i="2"/>
  <c r="P433" i="2" s="1"/>
  <c r="J433" i="2"/>
  <c r="K433" i="2" s="1"/>
  <c r="H433" i="2"/>
  <c r="F433" i="2"/>
  <c r="O432" i="2"/>
  <c r="Q432" i="2" s="1"/>
  <c r="M432" i="2"/>
  <c r="L432" i="2"/>
  <c r="P432" i="2" s="1"/>
  <c r="J432" i="2"/>
  <c r="K432" i="2" s="1"/>
  <c r="H432" i="2"/>
  <c r="F432" i="2"/>
  <c r="O431" i="2"/>
  <c r="Q431" i="2" s="1"/>
  <c r="M431" i="2"/>
  <c r="L431" i="2"/>
  <c r="P431" i="2" s="1"/>
  <c r="J431" i="2"/>
  <c r="K431" i="2" s="1"/>
  <c r="H431" i="2"/>
  <c r="F431" i="2"/>
  <c r="O430" i="2"/>
  <c r="Q430" i="2" s="1"/>
  <c r="M430" i="2"/>
  <c r="L430" i="2"/>
  <c r="P430" i="2" s="1"/>
  <c r="J430" i="2"/>
  <c r="K430" i="2" s="1"/>
  <c r="H430" i="2"/>
  <c r="F430" i="2"/>
  <c r="O429" i="2"/>
  <c r="Q429" i="2" s="1"/>
  <c r="M429" i="2"/>
  <c r="L429" i="2"/>
  <c r="P429" i="2" s="1"/>
  <c r="J429" i="2"/>
  <c r="K429" i="2" s="1"/>
  <c r="H429" i="2"/>
  <c r="F429" i="2"/>
  <c r="O428" i="2"/>
  <c r="Q428" i="2" s="1"/>
  <c r="M428" i="2"/>
  <c r="L428" i="2"/>
  <c r="P428" i="2" s="1"/>
  <c r="J428" i="2"/>
  <c r="K428" i="2" s="1"/>
  <c r="H428" i="2"/>
  <c r="F428" i="2"/>
  <c r="O427" i="2"/>
  <c r="Q427" i="2" s="1"/>
  <c r="M427" i="2"/>
  <c r="L427" i="2"/>
  <c r="P427" i="2" s="1"/>
  <c r="J427" i="2"/>
  <c r="K427" i="2" s="1"/>
  <c r="H427" i="2"/>
  <c r="F427" i="2"/>
  <c r="O426" i="2"/>
  <c r="Q426" i="2" s="1"/>
  <c r="M426" i="2"/>
  <c r="L426" i="2"/>
  <c r="P426" i="2" s="1"/>
  <c r="J426" i="2"/>
  <c r="K426" i="2" s="1"/>
  <c r="H426" i="2"/>
  <c r="F426" i="2"/>
  <c r="O425" i="2"/>
  <c r="Q425" i="2" s="1"/>
  <c r="M425" i="2"/>
  <c r="L425" i="2"/>
  <c r="P425" i="2" s="1"/>
  <c r="J425" i="2"/>
  <c r="K425" i="2" s="1"/>
  <c r="H425" i="2"/>
  <c r="F425" i="2"/>
  <c r="O424" i="2"/>
  <c r="Q424" i="2" s="1"/>
  <c r="M424" i="2"/>
  <c r="L424" i="2"/>
  <c r="P424" i="2" s="1"/>
  <c r="J424" i="2"/>
  <c r="K424" i="2" s="1"/>
  <c r="H424" i="2"/>
  <c r="F424" i="2"/>
  <c r="O423" i="2"/>
  <c r="Q423" i="2" s="1"/>
  <c r="M423" i="2"/>
  <c r="L423" i="2"/>
  <c r="P423" i="2" s="1"/>
  <c r="J423" i="2"/>
  <c r="K423" i="2" s="1"/>
  <c r="H423" i="2"/>
  <c r="F423" i="2"/>
  <c r="O422" i="2"/>
  <c r="Q422" i="2" s="1"/>
  <c r="M422" i="2"/>
  <c r="L422" i="2"/>
  <c r="P422" i="2" s="1"/>
  <c r="J422" i="2"/>
  <c r="K422" i="2" s="1"/>
  <c r="H422" i="2"/>
  <c r="F422" i="2"/>
  <c r="O421" i="2"/>
  <c r="Q421" i="2" s="1"/>
  <c r="M421" i="2"/>
  <c r="L421" i="2"/>
  <c r="P421" i="2" s="1"/>
  <c r="J421" i="2"/>
  <c r="K421" i="2" s="1"/>
  <c r="H421" i="2"/>
  <c r="F421" i="2"/>
  <c r="O420" i="2"/>
  <c r="Q420" i="2" s="1"/>
  <c r="M420" i="2"/>
  <c r="L420" i="2"/>
  <c r="P420" i="2" s="1"/>
  <c r="J420" i="2"/>
  <c r="K420" i="2" s="1"/>
  <c r="H420" i="2"/>
  <c r="F420" i="2"/>
  <c r="O419" i="2"/>
  <c r="Q419" i="2" s="1"/>
  <c r="M419" i="2"/>
  <c r="L419" i="2"/>
  <c r="P419" i="2" s="1"/>
  <c r="J419" i="2"/>
  <c r="K419" i="2" s="1"/>
  <c r="H419" i="2"/>
  <c r="F419" i="2"/>
  <c r="O418" i="2"/>
  <c r="Q418" i="2" s="1"/>
  <c r="M418" i="2"/>
  <c r="L418" i="2"/>
  <c r="P418" i="2" s="1"/>
  <c r="J418" i="2"/>
  <c r="K418" i="2" s="1"/>
  <c r="H418" i="2"/>
  <c r="F418" i="2"/>
  <c r="O417" i="2"/>
  <c r="Q417" i="2" s="1"/>
  <c r="M417" i="2"/>
  <c r="L417" i="2"/>
  <c r="P417" i="2" s="1"/>
  <c r="J417" i="2"/>
  <c r="K417" i="2" s="1"/>
  <c r="H417" i="2"/>
  <c r="F417" i="2"/>
  <c r="O416" i="2"/>
  <c r="Q416" i="2" s="1"/>
  <c r="M416" i="2"/>
  <c r="L416" i="2"/>
  <c r="P416" i="2" s="1"/>
  <c r="J416" i="2"/>
  <c r="K416" i="2" s="1"/>
  <c r="H416" i="2"/>
  <c r="F416" i="2"/>
  <c r="O415" i="2"/>
  <c r="Q415" i="2" s="1"/>
  <c r="M415" i="2"/>
  <c r="L415" i="2"/>
  <c r="P415" i="2" s="1"/>
  <c r="J415" i="2"/>
  <c r="K415" i="2" s="1"/>
  <c r="H415" i="2"/>
  <c r="F415" i="2"/>
  <c r="O414" i="2"/>
  <c r="Q414" i="2" s="1"/>
  <c r="M414" i="2"/>
  <c r="L414" i="2"/>
  <c r="P414" i="2" s="1"/>
  <c r="J414" i="2"/>
  <c r="K414" i="2" s="1"/>
  <c r="H414" i="2"/>
  <c r="F414" i="2"/>
  <c r="O413" i="2"/>
  <c r="Q413" i="2" s="1"/>
  <c r="M413" i="2"/>
  <c r="L413" i="2"/>
  <c r="P413" i="2" s="1"/>
  <c r="J413" i="2"/>
  <c r="K413" i="2" s="1"/>
  <c r="H413" i="2"/>
  <c r="F413" i="2"/>
  <c r="O412" i="2"/>
  <c r="Q412" i="2" s="1"/>
  <c r="M412" i="2"/>
  <c r="L412" i="2"/>
  <c r="P412" i="2" s="1"/>
  <c r="J412" i="2"/>
  <c r="K412" i="2" s="1"/>
  <c r="H412" i="2"/>
  <c r="F412" i="2"/>
  <c r="O411" i="2"/>
  <c r="Q411" i="2" s="1"/>
  <c r="M411" i="2"/>
  <c r="L411" i="2"/>
  <c r="P411" i="2" s="1"/>
  <c r="J411" i="2"/>
  <c r="K411" i="2" s="1"/>
  <c r="H411" i="2"/>
  <c r="F411" i="2"/>
  <c r="O410" i="2"/>
  <c r="Q410" i="2" s="1"/>
  <c r="M410" i="2"/>
  <c r="L410" i="2"/>
  <c r="P410" i="2" s="1"/>
  <c r="J410" i="2"/>
  <c r="K410" i="2" s="1"/>
  <c r="H410" i="2"/>
  <c r="F410" i="2"/>
  <c r="O409" i="2"/>
  <c r="Q409" i="2" s="1"/>
  <c r="M409" i="2"/>
  <c r="L409" i="2"/>
  <c r="P409" i="2" s="1"/>
  <c r="J409" i="2"/>
  <c r="K409" i="2" s="1"/>
  <c r="H409" i="2"/>
  <c r="F409" i="2"/>
  <c r="O408" i="2"/>
  <c r="Q408" i="2" s="1"/>
  <c r="M408" i="2"/>
  <c r="L408" i="2"/>
  <c r="P408" i="2" s="1"/>
  <c r="J408" i="2"/>
  <c r="K408" i="2" s="1"/>
  <c r="H408" i="2"/>
  <c r="F408" i="2"/>
  <c r="O407" i="2"/>
  <c r="Q407" i="2" s="1"/>
  <c r="M407" i="2"/>
  <c r="L407" i="2"/>
  <c r="P407" i="2" s="1"/>
  <c r="J407" i="2"/>
  <c r="K407" i="2" s="1"/>
  <c r="H407" i="2"/>
  <c r="F407" i="2"/>
  <c r="O406" i="2"/>
  <c r="Q406" i="2" s="1"/>
  <c r="M406" i="2"/>
  <c r="L406" i="2"/>
  <c r="P406" i="2" s="1"/>
  <c r="J406" i="2"/>
  <c r="K406" i="2" s="1"/>
  <c r="H406" i="2"/>
  <c r="F406" i="2"/>
  <c r="O405" i="2"/>
  <c r="Q405" i="2" s="1"/>
  <c r="M405" i="2"/>
  <c r="L405" i="2"/>
  <c r="P405" i="2" s="1"/>
  <c r="J405" i="2"/>
  <c r="K405" i="2" s="1"/>
  <c r="H405" i="2"/>
  <c r="F405" i="2"/>
  <c r="O404" i="2"/>
  <c r="Q404" i="2" s="1"/>
  <c r="M404" i="2"/>
  <c r="L404" i="2"/>
  <c r="P404" i="2" s="1"/>
  <c r="J404" i="2"/>
  <c r="K404" i="2" s="1"/>
  <c r="H404" i="2"/>
  <c r="F404" i="2"/>
  <c r="O403" i="2"/>
  <c r="Q403" i="2" s="1"/>
  <c r="M403" i="2"/>
  <c r="L403" i="2"/>
  <c r="P403" i="2" s="1"/>
  <c r="J403" i="2"/>
  <c r="K403" i="2" s="1"/>
  <c r="H403" i="2"/>
  <c r="F403" i="2"/>
  <c r="O402" i="2"/>
  <c r="Q402" i="2" s="1"/>
  <c r="M402" i="2"/>
  <c r="L402" i="2"/>
  <c r="P402" i="2" s="1"/>
  <c r="J402" i="2"/>
  <c r="K402" i="2" s="1"/>
  <c r="H402" i="2"/>
  <c r="F402" i="2"/>
  <c r="O401" i="2"/>
  <c r="Q401" i="2" s="1"/>
  <c r="M401" i="2"/>
  <c r="L401" i="2"/>
  <c r="P401" i="2" s="1"/>
  <c r="J401" i="2"/>
  <c r="K401" i="2" s="1"/>
  <c r="H401" i="2"/>
  <c r="F401" i="2"/>
  <c r="O400" i="2"/>
  <c r="Q400" i="2" s="1"/>
  <c r="M400" i="2"/>
  <c r="L400" i="2"/>
  <c r="P400" i="2" s="1"/>
  <c r="J400" i="2"/>
  <c r="K400" i="2" s="1"/>
  <c r="H400" i="2"/>
  <c r="F400" i="2"/>
  <c r="O399" i="2"/>
  <c r="Q399" i="2" s="1"/>
  <c r="M399" i="2"/>
  <c r="L399" i="2"/>
  <c r="P399" i="2" s="1"/>
  <c r="J399" i="2"/>
  <c r="K399" i="2" s="1"/>
  <c r="H399" i="2"/>
  <c r="F399" i="2"/>
  <c r="O398" i="2"/>
  <c r="Q398" i="2" s="1"/>
  <c r="M398" i="2"/>
  <c r="L398" i="2"/>
  <c r="P398" i="2" s="1"/>
  <c r="J398" i="2"/>
  <c r="K398" i="2" s="1"/>
  <c r="H398" i="2"/>
  <c r="F398" i="2"/>
  <c r="O397" i="2"/>
  <c r="Q397" i="2" s="1"/>
  <c r="M397" i="2"/>
  <c r="L397" i="2"/>
  <c r="P397" i="2" s="1"/>
  <c r="J397" i="2"/>
  <c r="K397" i="2" s="1"/>
  <c r="H397" i="2"/>
  <c r="F397" i="2"/>
  <c r="O396" i="2"/>
  <c r="Q396" i="2" s="1"/>
  <c r="M396" i="2"/>
  <c r="L396" i="2"/>
  <c r="P396" i="2" s="1"/>
  <c r="J396" i="2"/>
  <c r="K396" i="2" s="1"/>
  <c r="H396" i="2"/>
  <c r="F396" i="2"/>
  <c r="O395" i="2"/>
  <c r="Q395" i="2" s="1"/>
  <c r="M395" i="2"/>
  <c r="L395" i="2"/>
  <c r="P395" i="2" s="1"/>
  <c r="J395" i="2"/>
  <c r="K395" i="2" s="1"/>
  <c r="H395" i="2"/>
  <c r="F395" i="2"/>
  <c r="O394" i="2"/>
  <c r="Q394" i="2" s="1"/>
  <c r="M394" i="2"/>
  <c r="L394" i="2"/>
  <c r="P394" i="2" s="1"/>
  <c r="J394" i="2"/>
  <c r="K394" i="2" s="1"/>
  <c r="H394" i="2"/>
  <c r="F394" i="2"/>
  <c r="O393" i="2"/>
  <c r="Q393" i="2" s="1"/>
  <c r="M393" i="2"/>
  <c r="L393" i="2"/>
  <c r="P393" i="2" s="1"/>
  <c r="J393" i="2"/>
  <c r="K393" i="2" s="1"/>
  <c r="H393" i="2"/>
  <c r="F393" i="2"/>
  <c r="O392" i="2"/>
  <c r="Q392" i="2" s="1"/>
  <c r="M392" i="2"/>
  <c r="L392" i="2"/>
  <c r="P392" i="2" s="1"/>
  <c r="J392" i="2"/>
  <c r="K392" i="2" s="1"/>
  <c r="H392" i="2"/>
  <c r="F392" i="2"/>
  <c r="O391" i="2"/>
  <c r="Q391" i="2" s="1"/>
  <c r="M391" i="2"/>
  <c r="L391" i="2"/>
  <c r="P391" i="2" s="1"/>
  <c r="J391" i="2"/>
  <c r="K391" i="2" s="1"/>
  <c r="H391" i="2"/>
  <c r="F391" i="2"/>
  <c r="O390" i="2"/>
  <c r="Q390" i="2" s="1"/>
  <c r="M390" i="2"/>
  <c r="L390" i="2"/>
  <c r="P390" i="2" s="1"/>
  <c r="J390" i="2"/>
  <c r="K390" i="2" s="1"/>
  <c r="H390" i="2"/>
  <c r="F390" i="2"/>
  <c r="O389" i="2"/>
  <c r="Q389" i="2" s="1"/>
  <c r="M389" i="2"/>
  <c r="L389" i="2"/>
  <c r="P389" i="2" s="1"/>
  <c r="J389" i="2"/>
  <c r="K389" i="2" s="1"/>
  <c r="H389" i="2"/>
  <c r="F389" i="2"/>
  <c r="O388" i="2"/>
  <c r="Q388" i="2" s="1"/>
  <c r="M388" i="2"/>
  <c r="L388" i="2"/>
  <c r="P388" i="2" s="1"/>
  <c r="J388" i="2"/>
  <c r="K388" i="2" s="1"/>
  <c r="H388" i="2"/>
  <c r="F388" i="2"/>
  <c r="O387" i="2"/>
  <c r="Q387" i="2" s="1"/>
  <c r="M387" i="2"/>
  <c r="L387" i="2"/>
  <c r="P387" i="2" s="1"/>
  <c r="J387" i="2"/>
  <c r="K387" i="2" s="1"/>
  <c r="H387" i="2"/>
  <c r="F387" i="2"/>
  <c r="O386" i="2"/>
  <c r="Q386" i="2" s="1"/>
  <c r="M386" i="2"/>
  <c r="L386" i="2"/>
  <c r="P386" i="2" s="1"/>
  <c r="J386" i="2"/>
  <c r="K386" i="2" s="1"/>
  <c r="H386" i="2"/>
  <c r="F386" i="2"/>
  <c r="O385" i="2"/>
  <c r="Q385" i="2" s="1"/>
  <c r="M385" i="2"/>
  <c r="L385" i="2"/>
  <c r="P385" i="2" s="1"/>
  <c r="J385" i="2"/>
  <c r="K385" i="2" s="1"/>
  <c r="H385" i="2"/>
  <c r="F385" i="2"/>
  <c r="O384" i="2"/>
  <c r="Q384" i="2" s="1"/>
  <c r="M384" i="2"/>
  <c r="L384" i="2"/>
  <c r="P384" i="2" s="1"/>
  <c r="J384" i="2"/>
  <c r="K384" i="2" s="1"/>
  <c r="H384" i="2"/>
  <c r="F384" i="2"/>
  <c r="O383" i="2"/>
  <c r="Q383" i="2" s="1"/>
  <c r="M383" i="2"/>
  <c r="L383" i="2"/>
  <c r="P383" i="2" s="1"/>
  <c r="J383" i="2"/>
  <c r="K383" i="2" s="1"/>
  <c r="H383" i="2"/>
  <c r="F383" i="2"/>
  <c r="O382" i="2"/>
  <c r="Q382" i="2" s="1"/>
  <c r="M382" i="2"/>
  <c r="L382" i="2"/>
  <c r="P382" i="2" s="1"/>
  <c r="J382" i="2"/>
  <c r="K382" i="2" s="1"/>
  <c r="H382" i="2"/>
  <c r="F382" i="2"/>
  <c r="O381" i="2"/>
  <c r="Q381" i="2" s="1"/>
  <c r="M381" i="2"/>
  <c r="L381" i="2"/>
  <c r="P381" i="2" s="1"/>
  <c r="J381" i="2"/>
  <c r="K381" i="2" s="1"/>
  <c r="H381" i="2"/>
  <c r="F381" i="2"/>
  <c r="O380" i="2"/>
  <c r="Q380" i="2" s="1"/>
  <c r="M380" i="2"/>
  <c r="L380" i="2"/>
  <c r="P380" i="2" s="1"/>
  <c r="J380" i="2"/>
  <c r="K380" i="2" s="1"/>
  <c r="H380" i="2"/>
  <c r="F380" i="2"/>
  <c r="O379" i="2"/>
  <c r="Q379" i="2" s="1"/>
  <c r="M379" i="2"/>
  <c r="L379" i="2"/>
  <c r="P379" i="2" s="1"/>
  <c r="J379" i="2"/>
  <c r="K379" i="2" s="1"/>
  <c r="H379" i="2"/>
  <c r="F379" i="2"/>
  <c r="O378" i="2"/>
  <c r="Q378" i="2" s="1"/>
  <c r="M378" i="2"/>
  <c r="L378" i="2"/>
  <c r="P378" i="2" s="1"/>
  <c r="J378" i="2"/>
  <c r="K378" i="2" s="1"/>
  <c r="H378" i="2"/>
  <c r="F378" i="2"/>
  <c r="O377" i="2"/>
  <c r="Q377" i="2" s="1"/>
  <c r="M377" i="2"/>
  <c r="L377" i="2"/>
  <c r="P377" i="2" s="1"/>
  <c r="J377" i="2"/>
  <c r="K377" i="2" s="1"/>
  <c r="H377" i="2"/>
  <c r="F377" i="2"/>
  <c r="O376" i="2"/>
  <c r="Q376" i="2" s="1"/>
  <c r="M376" i="2"/>
  <c r="L376" i="2"/>
  <c r="P376" i="2" s="1"/>
  <c r="J376" i="2"/>
  <c r="K376" i="2" s="1"/>
  <c r="H376" i="2"/>
  <c r="F376" i="2"/>
  <c r="O375" i="2"/>
  <c r="Q375" i="2" s="1"/>
  <c r="M375" i="2"/>
  <c r="L375" i="2"/>
  <c r="P375" i="2" s="1"/>
  <c r="J375" i="2"/>
  <c r="K375" i="2" s="1"/>
  <c r="H375" i="2"/>
  <c r="F375" i="2"/>
  <c r="O374" i="2"/>
  <c r="Q374" i="2" s="1"/>
  <c r="M374" i="2"/>
  <c r="L374" i="2"/>
  <c r="P374" i="2" s="1"/>
  <c r="J374" i="2"/>
  <c r="K374" i="2" s="1"/>
  <c r="H374" i="2"/>
  <c r="F374" i="2"/>
  <c r="O373" i="2"/>
  <c r="Q373" i="2" s="1"/>
  <c r="M373" i="2"/>
  <c r="L373" i="2"/>
  <c r="P373" i="2" s="1"/>
  <c r="J373" i="2"/>
  <c r="K373" i="2" s="1"/>
  <c r="H373" i="2"/>
  <c r="F373" i="2"/>
  <c r="O372" i="2"/>
  <c r="Q372" i="2" s="1"/>
  <c r="M372" i="2"/>
  <c r="L372" i="2"/>
  <c r="P372" i="2" s="1"/>
  <c r="J372" i="2"/>
  <c r="K372" i="2" s="1"/>
  <c r="H372" i="2"/>
  <c r="F372" i="2"/>
  <c r="O371" i="2"/>
  <c r="Q371" i="2" s="1"/>
  <c r="M371" i="2"/>
  <c r="L371" i="2"/>
  <c r="P371" i="2" s="1"/>
  <c r="J371" i="2"/>
  <c r="K371" i="2" s="1"/>
  <c r="H371" i="2"/>
  <c r="F371" i="2"/>
  <c r="O370" i="2"/>
  <c r="Q370" i="2" s="1"/>
  <c r="M370" i="2"/>
  <c r="L370" i="2"/>
  <c r="P370" i="2" s="1"/>
  <c r="J370" i="2"/>
  <c r="K370" i="2" s="1"/>
  <c r="H370" i="2"/>
  <c r="F370" i="2"/>
  <c r="O369" i="2"/>
  <c r="Q369" i="2" s="1"/>
  <c r="M369" i="2"/>
  <c r="L369" i="2"/>
  <c r="P369" i="2" s="1"/>
  <c r="J369" i="2"/>
  <c r="K369" i="2" s="1"/>
  <c r="H369" i="2"/>
  <c r="F369" i="2"/>
  <c r="O368" i="2"/>
  <c r="Q368" i="2" s="1"/>
  <c r="M368" i="2"/>
  <c r="L368" i="2"/>
  <c r="P368" i="2" s="1"/>
  <c r="J368" i="2"/>
  <c r="K368" i="2" s="1"/>
  <c r="H368" i="2"/>
  <c r="F368" i="2"/>
  <c r="O367" i="2"/>
  <c r="Q367" i="2" s="1"/>
  <c r="M367" i="2"/>
  <c r="L367" i="2"/>
  <c r="P367" i="2" s="1"/>
  <c r="J367" i="2"/>
  <c r="K367" i="2" s="1"/>
  <c r="H367" i="2"/>
  <c r="F367" i="2"/>
  <c r="O366" i="2"/>
  <c r="Q366" i="2" s="1"/>
  <c r="M366" i="2"/>
  <c r="L366" i="2"/>
  <c r="P366" i="2" s="1"/>
  <c r="J366" i="2"/>
  <c r="K366" i="2" s="1"/>
  <c r="H366" i="2"/>
  <c r="F366" i="2"/>
  <c r="O365" i="2"/>
  <c r="Q365" i="2" s="1"/>
  <c r="M365" i="2"/>
  <c r="L365" i="2"/>
  <c r="P365" i="2" s="1"/>
  <c r="J365" i="2"/>
  <c r="K365" i="2" s="1"/>
  <c r="H365" i="2"/>
  <c r="F365" i="2"/>
  <c r="O364" i="2"/>
  <c r="Q364" i="2" s="1"/>
  <c r="M364" i="2"/>
  <c r="L364" i="2"/>
  <c r="P364" i="2" s="1"/>
  <c r="J364" i="2"/>
  <c r="K364" i="2" s="1"/>
  <c r="H364" i="2"/>
  <c r="F364" i="2"/>
  <c r="O363" i="2"/>
  <c r="Q363" i="2" s="1"/>
  <c r="M363" i="2"/>
  <c r="L363" i="2"/>
  <c r="P363" i="2" s="1"/>
  <c r="J363" i="2"/>
  <c r="K363" i="2" s="1"/>
  <c r="H363" i="2"/>
  <c r="F363" i="2"/>
  <c r="O362" i="2"/>
  <c r="Q362" i="2" s="1"/>
  <c r="M362" i="2"/>
  <c r="L362" i="2"/>
  <c r="P362" i="2" s="1"/>
  <c r="J362" i="2"/>
  <c r="K362" i="2" s="1"/>
  <c r="H362" i="2"/>
  <c r="F362" i="2"/>
  <c r="O361" i="2"/>
  <c r="Q361" i="2" s="1"/>
  <c r="M361" i="2"/>
  <c r="L361" i="2"/>
  <c r="P361" i="2" s="1"/>
  <c r="J361" i="2"/>
  <c r="K361" i="2" s="1"/>
  <c r="H361" i="2"/>
  <c r="F361" i="2"/>
  <c r="O360" i="2"/>
  <c r="Q360" i="2" s="1"/>
  <c r="M360" i="2"/>
  <c r="L360" i="2"/>
  <c r="P360" i="2" s="1"/>
  <c r="J360" i="2"/>
  <c r="K360" i="2" s="1"/>
  <c r="H360" i="2"/>
  <c r="F360" i="2"/>
  <c r="O359" i="2"/>
  <c r="Q359" i="2" s="1"/>
  <c r="M359" i="2"/>
  <c r="L359" i="2"/>
  <c r="P359" i="2" s="1"/>
  <c r="J359" i="2"/>
  <c r="K359" i="2" s="1"/>
  <c r="H359" i="2"/>
  <c r="F359" i="2"/>
  <c r="O358" i="2"/>
  <c r="Q358" i="2" s="1"/>
  <c r="M358" i="2"/>
  <c r="L358" i="2"/>
  <c r="P358" i="2" s="1"/>
  <c r="J358" i="2"/>
  <c r="K358" i="2" s="1"/>
  <c r="H358" i="2"/>
  <c r="F358" i="2"/>
  <c r="O357" i="2"/>
  <c r="Q357" i="2" s="1"/>
  <c r="M357" i="2"/>
  <c r="L357" i="2"/>
  <c r="P357" i="2" s="1"/>
  <c r="J357" i="2"/>
  <c r="K357" i="2" s="1"/>
  <c r="H357" i="2"/>
  <c r="F357" i="2"/>
  <c r="O356" i="2"/>
  <c r="Q356" i="2" s="1"/>
  <c r="M356" i="2"/>
  <c r="L356" i="2"/>
  <c r="P356" i="2" s="1"/>
  <c r="J356" i="2"/>
  <c r="K356" i="2" s="1"/>
  <c r="H356" i="2"/>
  <c r="F356" i="2"/>
  <c r="O355" i="2"/>
  <c r="Q355" i="2" s="1"/>
  <c r="M355" i="2"/>
  <c r="L355" i="2"/>
  <c r="P355" i="2" s="1"/>
  <c r="J355" i="2"/>
  <c r="K355" i="2" s="1"/>
  <c r="H355" i="2"/>
  <c r="F355" i="2"/>
  <c r="O354" i="2"/>
  <c r="Q354" i="2" s="1"/>
  <c r="M354" i="2"/>
  <c r="L354" i="2"/>
  <c r="P354" i="2" s="1"/>
  <c r="J354" i="2"/>
  <c r="K354" i="2" s="1"/>
  <c r="H354" i="2"/>
  <c r="F354" i="2"/>
  <c r="O353" i="2"/>
  <c r="Q353" i="2" s="1"/>
  <c r="M353" i="2"/>
  <c r="L353" i="2"/>
  <c r="P353" i="2" s="1"/>
  <c r="J353" i="2"/>
  <c r="K353" i="2" s="1"/>
  <c r="H353" i="2"/>
  <c r="F353" i="2"/>
  <c r="O352" i="2"/>
  <c r="Q352" i="2" s="1"/>
  <c r="M352" i="2"/>
  <c r="L352" i="2"/>
  <c r="P352" i="2" s="1"/>
  <c r="J352" i="2"/>
  <c r="K352" i="2" s="1"/>
  <c r="H352" i="2"/>
  <c r="F352" i="2"/>
  <c r="O351" i="2"/>
  <c r="Q351" i="2" s="1"/>
  <c r="M351" i="2"/>
  <c r="L351" i="2"/>
  <c r="P351" i="2" s="1"/>
  <c r="J351" i="2"/>
  <c r="K351" i="2" s="1"/>
  <c r="H351" i="2"/>
  <c r="F351" i="2"/>
  <c r="O350" i="2"/>
  <c r="Q350" i="2" s="1"/>
  <c r="M350" i="2"/>
  <c r="L350" i="2"/>
  <c r="P350" i="2" s="1"/>
  <c r="J350" i="2"/>
  <c r="K350" i="2" s="1"/>
  <c r="H350" i="2"/>
  <c r="F350" i="2"/>
  <c r="O349" i="2"/>
  <c r="Q349" i="2" s="1"/>
  <c r="M349" i="2"/>
  <c r="L349" i="2"/>
  <c r="P349" i="2" s="1"/>
  <c r="J349" i="2"/>
  <c r="K349" i="2" s="1"/>
  <c r="H349" i="2"/>
  <c r="F349" i="2"/>
  <c r="O348" i="2"/>
  <c r="Q348" i="2" s="1"/>
  <c r="M348" i="2"/>
  <c r="L348" i="2"/>
  <c r="P348" i="2" s="1"/>
  <c r="J348" i="2"/>
  <c r="K348" i="2" s="1"/>
  <c r="H348" i="2"/>
  <c r="F348" i="2"/>
  <c r="O347" i="2"/>
  <c r="Q347" i="2" s="1"/>
  <c r="M347" i="2"/>
  <c r="L347" i="2"/>
  <c r="P347" i="2" s="1"/>
  <c r="J347" i="2"/>
  <c r="K347" i="2" s="1"/>
  <c r="H347" i="2"/>
  <c r="F347" i="2"/>
  <c r="O346" i="2"/>
  <c r="Q346" i="2" s="1"/>
  <c r="M346" i="2"/>
  <c r="L346" i="2"/>
  <c r="P346" i="2" s="1"/>
  <c r="J346" i="2"/>
  <c r="K346" i="2" s="1"/>
  <c r="H346" i="2"/>
  <c r="F346" i="2"/>
  <c r="O345" i="2"/>
  <c r="Q345" i="2" s="1"/>
  <c r="M345" i="2"/>
  <c r="L345" i="2"/>
  <c r="P345" i="2" s="1"/>
  <c r="J345" i="2"/>
  <c r="K345" i="2" s="1"/>
  <c r="H345" i="2"/>
  <c r="F345" i="2"/>
  <c r="O344" i="2"/>
  <c r="Q344" i="2" s="1"/>
  <c r="M344" i="2"/>
  <c r="L344" i="2"/>
  <c r="P344" i="2" s="1"/>
  <c r="J344" i="2"/>
  <c r="K344" i="2" s="1"/>
  <c r="H344" i="2"/>
  <c r="F344" i="2"/>
  <c r="O343" i="2"/>
  <c r="Q343" i="2" s="1"/>
  <c r="M343" i="2"/>
  <c r="L343" i="2"/>
  <c r="P343" i="2" s="1"/>
  <c r="J343" i="2"/>
  <c r="K343" i="2" s="1"/>
  <c r="H343" i="2"/>
  <c r="F343" i="2"/>
  <c r="O342" i="2"/>
  <c r="Q342" i="2" s="1"/>
  <c r="M342" i="2"/>
  <c r="L342" i="2"/>
  <c r="P342" i="2" s="1"/>
  <c r="J342" i="2"/>
  <c r="K342" i="2" s="1"/>
  <c r="H342" i="2"/>
  <c r="F342" i="2"/>
  <c r="O341" i="2"/>
  <c r="Q341" i="2" s="1"/>
  <c r="M341" i="2"/>
  <c r="L341" i="2"/>
  <c r="P341" i="2" s="1"/>
  <c r="J341" i="2"/>
  <c r="K341" i="2" s="1"/>
  <c r="H341" i="2"/>
  <c r="F341" i="2"/>
  <c r="O340" i="2"/>
  <c r="Q340" i="2" s="1"/>
  <c r="M340" i="2"/>
  <c r="L340" i="2"/>
  <c r="P340" i="2" s="1"/>
  <c r="J340" i="2"/>
  <c r="K340" i="2" s="1"/>
  <c r="H340" i="2"/>
  <c r="F340" i="2"/>
  <c r="O339" i="2"/>
  <c r="Q339" i="2" s="1"/>
  <c r="M339" i="2"/>
  <c r="L339" i="2"/>
  <c r="P339" i="2" s="1"/>
  <c r="J339" i="2"/>
  <c r="K339" i="2" s="1"/>
  <c r="H339" i="2"/>
  <c r="F339" i="2"/>
  <c r="O338" i="2"/>
  <c r="Q338" i="2" s="1"/>
  <c r="M338" i="2"/>
  <c r="L338" i="2"/>
  <c r="P338" i="2" s="1"/>
  <c r="J338" i="2"/>
  <c r="K338" i="2" s="1"/>
  <c r="H338" i="2"/>
  <c r="F338" i="2"/>
  <c r="O337" i="2"/>
  <c r="Q337" i="2" s="1"/>
  <c r="M337" i="2"/>
  <c r="L337" i="2"/>
  <c r="P337" i="2" s="1"/>
  <c r="J337" i="2"/>
  <c r="K337" i="2" s="1"/>
  <c r="H337" i="2"/>
  <c r="F337" i="2"/>
  <c r="O336" i="2"/>
  <c r="Q336" i="2" s="1"/>
  <c r="M336" i="2"/>
  <c r="L336" i="2"/>
  <c r="P336" i="2" s="1"/>
  <c r="J336" i="2"/>
  <c r="K336" i="2" s="1"/>
  <c r="H336" i="2"/>
  <c r="F336" i="2"/>
  <c r="O335" i="2"/>
  <c r="Q335" i="2" s="1"/>
  <c r="M335" i="2"/>
  <c r="L335" i="2"/>
  <c r="P335" i="2" s="1"/>
  <c r="J335" i="2"/>
  <c r="K335" i="2" s="1"/>
  <c r="H335" i="2"/>
  <c r="F335" i="2"/>
  <c r="O334" i="2"/>
  <c r="Q334" i="2" s="1"/>
  <c r="M334" i="2"/>
  <c r="L334" i="2"/>
  <c r="P334" i="2" s="1"/>
  <c r="J334" i="2"/>
  <c r="K334" i="2" s="1"/>
  <c r="H334" i="2"/>
  <c r="F334" i="2"/>
  <c r="O333" i="2"/>
  <c r="Q333" i="2" s="1"/>
  <c r="M333" i="2"/>
  <c r="L333" i="2"/>
  <c r="P333" i="2" s="1"/>
  <c r="J333" i="2"/>
  <c r="K333" i="2" s="1"/>
  <c r="H333" i="2"/>
  <c r="F333" i="2"/>
  <c r="O332" i="2"/>
  <c r="Q332" i="2" s="1"/>
  <c r="M332" i="2"/>
  <c r="L332" i="2"/>
  <c r="P332" i="2" s="1"/>
  <c r="J332" i="2"/>
  <c r="K332" i="2" s="1"/>
  <c r="H332" i="2"/>
  <c r="F332" i="2"/>
  <c r="O331" i="2"/>
  <c r="Q331" i="2" s="1"/>
  <c r="M331" i="2"/>
  <c r="L331" i="2"/>
  <c r="P331" i="2" s="1"/>
  <c r="J331" i="2"/>
  <c r="K331" i="2" s="1"/>
  <c r="H331" i="2"/>
  <c r="F331" i="2"/>
  <c r="O330" i="2"/>
  <c r="Q330" i="2" s="1"/>
  <c r="M330" i="2"/>
  <c r="L330" i="2"/>
  <c r="P330" i="2" s="1"/>
  <c r="J330" i="2"/>
  <c r="K330" i="2" s="1"/>
  <c r="H330" i="2"/>
  <c r="F330" i="2"/>
  <c r="O329" i="2"/>
  <c r="Q329" i="2" s="1"/>
  <c r="M329" i="2"/>
  <c r="L329" i="2"/>
  <c r="P329" i="2" s="1"/>
  <c r="J329" i="2"/>
  <c r="K329" i="2" s="1"/>
  <c r="H329" i="2"/>
  <c r="F329" i="2"/>
  <c r="O328" i="2"/>
  <c r="Q328" i="2" s="1"/>
  <c r="M328" i="2"/>
  <c r="L328" i="2"/>
  <c r="P328" i="2" s="1"/>
  <c r="J328" i="2"/>
  <c r="K328" i="2" s="1"/>
  <c r="H328" i="2"/>
  <c r="F328" i="2"/>
  <c r="O327" i="2"/>
  <c r="Q327" i="2" s="1"/>
  <c r="M327" i="2"/>
  <c r="L327" i="2"/>
  <c r="P327" i="2" s="1"/>
  <c r="J327" i="2"/>
  <c r="K327" i="2" s="1"/>
  <c r="H327" i="2"/>
  <c r="F327" i="2"/>
  <c r="O326" i="2"/>
  <c r="Q326" i="2" s="1"/>
  <c r="M326" i="2"/>
  <c r="L326" i="2"/>
  <c r="P326" i="2" s="1"/>
  <c r="J326" i="2"/>
  <c r="K326" i="2" s="1"/>
  <c r="H326" i="2"/>
  <c r="F326" i="2"/>
  <c r="O325" i="2"/>
  <c r="Q325" i="2" s="1"/>
  <c r="M325" i="2"/>
  <c r="L325" i="2"/>
  <c r="P325" i="2" s="1"/>
  <c r="J325" i="2"/>
  <c r="K325" i="2" s="1"/>
  <c r="H325" i="2"/>
  <c r="F325" i="2"/>
  <c r="O324" i="2"/>
  <c r="Q324" i="2" s="1"/>
  <c r="M324" i="2"/>
  <c r="L324" i="2"/>
  <c r="P324" i="2" s="1"/>
  <c r="J324" i="2"/>
  <c r="K324" i="2" s="1"/>
  <c r="H324" i="2"/>
  <c r="F324" i="2"/>
  <c r="O323" i="2"/>
  <c r="Q323" i="2" s="1"/>
  <c r="M323" i="2"/>
  <c r="L323" i="2"/>
  <c r="P323" i="2" s="1"/>
  <c r="J323" i="2"/>
  <c r="K323" i="2" s="1"/>
  <c r="H323" i="2"/>
  <c r="F323" i="2"/>
  <c r="O322" i="2"/>
  <c r="Q322" i="2" s="1"/>
  <c r="M322" i="2"/>
  <c r="L322" i="2"/>
  <c r="P322" i="2" s="1"/>
  <c r="J322" i="2"/>
  <c r="K322" i="2" s="1"/>
  <c r="H322" i="2"/>
  <c r="F322" i="2"/>
  <c r="O321" i="2"/>
  <c r="Q321" i="2" s="1"/>
  <c r="M321" i="2"/>
  <c r="L321" i="2"/>
  <c r="P321" i="2" s="1"/>
  <c r="J321" i="2"/>
  <c r="K321" i="2" s="1"/>
  <c r="H321" i="2"/>
  <c r="F321" i="2"/>
  <c r="O320" i="2"/>
  <c r="Q320" i="2" s="1"/>
  <c r="M320" i="2"/>
  <c r="L320" i="2"/>
  <c r="P320" i="2" s="1"/>
  <c r="J320" i="2"/>
  <c r="K320" i="2" s="1"/>
  <c r="H320" i="2"/>
  <c r="F320" i="2"/>
  <c r="O319" i="2"/>
  <c r="Q319" i="2" s="1"/>
  <c r="M319" i="2"/>
  <c r="L319" i="2"/>
  <c r="P319" i="2" s="1"/>
  <c r="J319" i="2"/>
  <c r="K319" i="2" s="1"/>
  <c r="H319" i="2"/>
  <c r="F319" i="2"/>
  <c r="O318" i="2"/>
  <c r="Q318" i="2" s="1"/>
  <c r="M318" i="2"/>
  <c r="L318" i="2"/>
  <c r="P318" i="2" s="1"/>
  <c r="J318" i="2"/>
  <c r="K318" i="2" s="1"/>
  <c r="H318" i="2"/>
  <c r="F318" i="2"/>
  <c r="O317" i="2"/>
  <c r="Q317" i="2" s="1"/>
  <c r="M317" i="2"/>
  <c r="L317" i="2"/>
  <c r="P317" i="2" s="1"/>
  <c r="J317" i="2"/>
  <c r="K317" i="2" s="1"/>
  <c r="H317" i="2"/>
  <c r="F317" i="2"/>
  <c r="O316" i="2"/>
  <c r="Q316" i="2" s="1"/>
  <c r="M316" i="2"/>
  <c r="L316" i="2"/>
  <c r="P316" i="2" s="1"/>
  <c r="J316" i="2"/>
  <c r="K316" i="2" s="1"/>
  <c r="H316" i="2"/>
  <c r="F316" i="2"/>
  <c r="O315" i="2"/>
  <c r="Q315" i="2" s="1"/>
  <c r="M315" i="2"/>
  <c r="L315" i="2"/>
  <c r="P315" i="2" s="1"/>
  <c r="J315" i="2"/>
  <c r="K315" i="2" s="1"/>
  <c r="H315" i="2"/>
  <c r="F315" i="2"/>
  <c r="O314" i="2"/>
  <c r="Q314" i="2" s="1"/>
  <c r="M314" i="2"/>
  <c r="L314" i="2"/>
  <c r="P314" i="2" s="1"/>
  <c r="J314" i="2"/>
  <c r="K314" i="2" s="1"/>
  <c r="H314" i="2"/>
  <c r="F314" i="2"/>
  <c r="O313" i="2"/>
  <c r="Q313" i="2" s="1"/>
  <c r="M313" i="2"/>
  <c r="L313" i="2"/>
  <c r="P313" i="2" s="1"/>
  <c r="J313" i="2"/>
  <c r="K313" i="2" s="1"/>
  <c r="H313" i="2"/>
  <c r="F313" i="2"/>
  <c r="O312" i="2"/>
  <c r="Q312" i="2" s="1"/>
  <c r="M312" i="2"/>
  <c r="L312" i="2"/>
  <c r="P312" i="2" s="1"/>
  <c r="J312" i="2"/>
  <c r="K312" i="2" s="1"/>
  <c r="H312" i="2"/>
  <c r="F312" i="2"/>
  <c r="O311" i="2"/>
  <c r="Q311" i="2" s="1"/>
  <c r="M311" i="2"/>
  <c r="L311" i="2"/>
  <c r="P311" i="2" s="1"/>
  <c r="J311" i="2"/>
  <c r="K311" i="2" s="1"/>
  <c r="H311" i="2"/>
  <c r="F311" i="2"/>
  <c r="O310" i="2"/>
  <c r="Q310" i="2" s="1"/>
  <c r="M310" i="2"/>
  <c r="L310" i="2"/>
  <c r="P310" i="2" s="1"/>
  <c r="J310" i="2"/>
  <c r="K310" i="2" s="1"/>
  <c r="H310" i="2"/>
  <c r="F310" i="2"/>
  <c r="O309" i="2"/>
  <c r="Q309" i="2" s="1"/>
  <c r="M309" i="2"/>
  <c r="L309" i="2"/>
  <c r="P309" i="2" s="1"/>
  <c r="J309" i="2"/>
  <c r="K309" i="2" s="1"/>
  <c r="H309" i="2"/>
  <c r="F309" i="2"/>
  <c r="O308" i="2"/>
  <c r="Q308" i="2" s="1"/>
  <c r="M308" i="2"/>
  <c r="L308" i="2"/>
  <c r="P308" i="2" s="1"/>
  <c r="J308" i="2"/>
  <c r="K308" i="2" s="1"/>
  <c r="H308" i="2"/>
  <c r="F308" i="2"/>
  <c r="O307" i="2"/>
  <c r="Q307" i="2" s="1"/>
  <c r="M307" i="2"/>
  <c r="L307" i="2"/>
  <c r="P307" i="2" s="1"/>
  <c r="J307" i="2"/>
  <c r="K307" i="2" s="1"/>
  <c r="H307" i="2"/>
  <c r="F307" i="2"/>
  <c r="O306" i="2"/>
  <c r="Q306" i="2" s="1"/>
  <c r="M306" i="2"/>
  <c r="L306" i="2"/>
  <c r="P306" i="2" s="1"/>
  <c r="J306" i="2"/>
  <c r="K306" i="2" s="1"/>
  <c r="H306" i="2"/>
  <c r="F306" i="2"/>
  <c r="O305" i="2"/>
  <c r="Q305" i="2" s="1"/>
  <c r="M305" i="2"/>
  <c r="L305" i="2"/>
  <c r="P305" i="2" s="1"/>
  <c r="J305" i="2"/>
  <c r="K305" i="2" s="1"/>
  <c r="H305" i="2"/>
  <c r="F305" i="2"/>
  <c r="O304" i="2"/>
  <c r="Q304" i="2" s="1"/>
  <c r="M304" i="2"/>
  <c r="L304" i="2"/>
  <c r="P304" i="2" s="1"/>
  <c r="J304" i="2"/>
  <c r="K304" i="2" s="1"/>
  <c r="H304" i="2"/>
  <c r="F304" i="2"/>
  <c r="O303" i="2"/>
  <c r="Q303" i="2" s="1"/>
  <c r="M303" i="2"/>
  <c r="L303" i="2"/>
  <c r="P303" i="2" s="1"/>
  <c r="J303" i="2"/>
  <c r="K303" i="2" s="1"/>
  <c r="H303" i="2"/>
  <c r="F303" i="2"/>
  <c r="O302" i="2"/>
  <c r="Q302" i="2" s="1"/>
  <c r="M302" i="2"/>
  <c r="L302" i="2"/>
  <c r="P302" i="2" s="1"/>
  <c r="J302" i="2"/>
  <c r="K302" i="2" s="1"/>
  <c r="H302" i="2"/>
  <c r="F302" i="2"/>
  <c r="O301" i="2"/>
  <c r="Q301" i="2" s="1"/>
  <c r="M301" i="2"/>
  <c r="L301" i="2"/>
  <c r="P301" i="2" s="1"/>
  <c r="J301" i="2"/>
  <c r="K301" i="2" s="1"/>
  <c r="H301" i="2"/>
  <c r="F301" i="2"/>
  <c r="O300" i="2"/>
  <c r="Q300" i="2" s="1"/>
  <c r="M300" i="2"/>
  <c r="L300" i="2"/>
  <c r="P300" i="2" s="1"/>
  <c r="J300" i="2"/>
  <c r="K300" i="2" s="1"/>
  <c r="H300" i="2"/>
  <c r="F300" i="2"/>
  <c r="O299" i="2"/>
  <c r="Q299" i="2" s="1"/>
  <c r="M299" i="2"/>
  <c r="L299" i="2"/>
  <c r="P299" i="2" s="1"/>
  <c r="J299" i="2"/>
  <c r="K299" i="2" s="1"/>
  <c r="H299" i="2"/>
  <c r="F299" i="2"/>
  <c r="O298" i="2"/>
  <c r="Q298" i="2" s="1"/>
  <c r="M298" i="2"/>
  <c r="L298" i="2"/>
  <c r="P298" i="2" s="1"/>
  <c r="J298" i="2"/>
  <c r="K298" i="2" s="1"/>
  <c r="H298" i="2"/>
  <c r="F298" i="2"/>
  <c r="O297" i="2"/>
  <c r="Q297" i="2" s="1"/>
  <c r="M297" i="2"/>
  <c r="L297" i="2"/>
  <c r="P297" i="2" s="1"/>
  <c r="J297" i="2"/>
  <c r="K297" i="2" s="1"/>
  <c r="H297" i="2"/>
  <c r="F297" i="2"/>
  <c r="O296" i="2"/>
  <c r="Q296" i="2" s="1"/>
  <c r="M296" i="2"/>
  <c r="L296" i="2"/>
  <c r="P296" i="2" s="1"/>
  <c r="J296" i="2"/>
  <c r="K296" i="2" s="1"/>
  <c r="H296" i="2"/>
  <c r="F296" i="2"/>
  <c r="O295" i="2"/>
  <c r="Q295" i="2" s="1"/>
  <c r="M295" i="2"/>
  <c r="L295" i="2"/>
  <c r="P295" i="2" s="1"/>
  <c r="J295" i="2"/>
  <c r="K295" i="2" s="1"/>
  <c r="H295" i="2"/>
  <c r="F295" i="2"/>
  <c r="O294" i="2"/>
  <c r="Q294" i="2" s="1"/>
  <c r="M294" i="2"/>
  <c r="L294" i="2"/>
  <c r="P294" i="2" s="1"/>
  <c r="J294" i="2"/>
  <c r="K294" i="2" s="1"/>
  <c r="H294" i="2"/>
  <c r="F294" i="2"/>
  <c r="O293" i="2"/>
  <c r="Q293" i="2" s="1"/>
  <c r="M293" i="2"/>
  <c r="L293" i="2"/>
  <c r="P293" i="2" s="1"/>
  <c r="J293" i="2"/>
  <c r="K293" i="2" s="1"/>
  <c r="H293" i="2"/>
  <c r="F293" i="2"/>
  <c r="O292" i="2"/>
  <c r="Q292" i="2" s="1"/>
  <c r="M292" i="2"/>
  <c r="L292" i="2"/>
  <c r="P292" i="2" s="1"/>
  <c r="J292" i="2"/>
  <c r="K292" i="2" s="1"/>
  <c r="H292" i="2"/>
  <c r="F292" i="2"/>
  <c r="O291" i="2"/>
  <c r="Q291" i="2" s="1"/>
  <c r="M291" i="2"/>
  <c r="L291" i="2"/>
  <c r="P291" i="2" s="1"/>
  <c r="J291" i="2"/>
  <c r="K291" i="2" s="1"/>
  <c r="H291" i="2"/>
  <c r="F291" i="2"/>
  <c r="O290" i="2"/>
  <c r="Q290" i="2" s="1"/>
  <c r="M290" i="2"/>
  <c r="L290" i="2"/>
  <c r="P290" i="2" s="1"/>
  <c r="J290" i="2"/>
  <c r="K290" i="2" s="1"/>
  <c r="H290" i="2"/>
  <c r="F290" i="2"/>
  <c r="O289" i="2"/>
  <c r="Q289" i="2" s="1"/>
  <c r="M289" i="2"/>
  <c r="L289" i="2"/>
  <c r="P289" i="2" s="1"/>
  <c r="J289" i="2"/>
  <c r="K289" i="2" s="1"/>
  <c r="H289" i="2"/>
  <c r="F289" i="2"/>
  <c r="O288" i="2"/>
  <c r="Q288" i="2" s="1"/>
  <c r="M288" i="2"/>
  <c r="L288" i="2"/>
  <c r="P288" i="2" s="1"/>
  <c r="J288" i="2"/>
  <c r="K288" i="2" s="1"/>
  <c r="H288" i="2"/>
  <c r="F288" i="2"/>
  <c r="O287" i="2"/>
  <c r="Q287" i="2" s="1"/>
  <c r="M287" i="2"/>
  <c r="L287" i="2"/>
  <c r="P287" i="2" s="1"/>
  <c r="J287" i="2"/>
  <c r="K287" i="2" s="1"/>
  <c r="H287" i="2"/>
  <c r="F287" i="2"/>
  <c r="O286" i="2"/>
  <c r="Q286" i="2" s="1"/>
  <c r="M286" i="2"/>
  <c r="L286" i="2"/>
  <c r="P286" i="2" s="1"/>
  <c r="J286" i="2"/>
  <c r="K286" i="2" s="1"/>
  <c r="H286" i="2"/>
  <c r="F286" i="2"/>
  <c r="O285" i="2"/>
  <c r="Q285" i="2" s="1"/>
  <c r="M285" i="2"/>
  <c r="L285" i="2"/>
  <c r="P285" i="2" s="1"/>
  <c r="J285" i="2"/>
  <c r="K285" i="2" s="1"/>
  <c r="H285" i="2"/>
  <c r="F285" i="2"/>
  <c r="O284" i="2"/>
  <c r="Q284" i="2" s="1"/>
  <c r="M284" i="2"/>
  <c r="L284" i="2"/>
  <c r="P284" i="2" s="1"/>
  <c r="J284" i="2"/>
  <c r="K284" i="2" s="1"/>
  <c r="H284" i="2"/>
  <c r="F284" i="2"/>
  <c r="O283" i="2"/>
  <c r="Q283" i="2" s="1"/>
  <c r="M283" i="2"/>
  <c r="L283" i="2"/>
  <c r="P283" i="2" s="1"/>
  <c r="J283" i="2"/>
  <c r="K283" i="2" s="1"/>
  <c r="H283" i="2"/>
  <c r="F283" i="2"/>
  <c r="O282" i="2"/>
  <c r="Q282" i="2" s="1"/>
  <c r="M282" i="2"/>
  <c r="L282" i="2"/>
  <c r="P282" i="2" s="1"/>
  <c r="J282" i="2"/>
  <c r="K282" i="2" s="1"/>
  <c r="H282" i="2"/>
  <c r="F282" i="2"/>
  <c r="O281" i="2"/>
  <c r="Q281" i="2" s="1"/>
  <c r="M281" i="2"/>
  <c r="L281" i="2"/>
  <c r="P281" i="2" s="1"/>
  <c r="J281" i="2"/>
  <c r="K281" i="2" s="1"/>
  <c r="H281" i="2"/>
  <c r="F281" i="2"/>
  <c r="O280" i="2"/>
  <c r="Q280" i="2" s="1"/>
  <c r="M280" i="2"/>
  <c r="L280" i="2"/>
  <c r="P280" i="2" s="1"/>
  <c r="J280" i="2"/>
  <c r="K280" i="2" s="1"/>
  <c r="H280" i="2"/>
  <c r="F280" i="2"/>
  <c r="O279" i="2"/>
  <c r="Q279" i="2" s="1"/>
  <c r="M279" i="2"/>
  <c r="L279" i="2"/>
  <c r="P279" i="2" s="1"/>
  <c r="J279" i="2"/>
  <c r="K279" i="2" s="1"/>
  <c r="H279" i="2"/>
  <c r="F279" i="2"/>
  <c r="O278" i="2"/>
  <c r="Q278" i="2" s="1"/>
  <c r="M278" i="2"/>
  <c r="L278" i="2"/>
  <c r="P278" i="2" s="1"/>
  <c r="J278" i="2"/>
  <c r="K278" i="2" s="1"/>
  <c r="H278" i="2"/>
  <c r="F278" i="2"/>
  <c r="O277" i="2"/>
  <c r="Q277" i="2" s="1"/>
  <c r="M277" i="2"/>
  <c r="L277" i="2"/>
  <c r="P277" i="2" s="1"/>
  <c r="J277" i="2"/>
  <c r="K277" i="2" s="1"/>
  <c r="H277" i="2"/>
  <c r="F277" i="2"/>
  <c r="O276" i="2"/>
  <c r="Q276" i="2" s="1"/>
  <c r="M276" i="2"/>
  <c r="L276" i="2"/>
  <c r="P276" i="2" s="1"/>
  <c r="J276" i="2"/>
  <c r="K276" i="2" s="1"/>
  <c r="H276" i="2"/>
  <c r="F276" i="2"/>
  <c r="O275" i="2"/>
  <c r="Q275" i="2" s="1"/>
  <c r="M275" i="2"/>
  <c r="L275" i="2"/>
  <c r="P275" i="2" s="1"/>
  <c r="J275" i="2"/>
  <c r="K275" i="2" s="1"/>
  <c r="H275" i="2"/>
  <c r="F275" i="2"/>
  <c r="O274" i="2"/>
  <c r="Q274" i="2" s="1"/>
  <c r="M274" i="2"/>
  <c r="L274" i="2"/>
  <c r="P274" i="2" s="1"/>
  <c r="J274" i="2"/>
  <c r="K274" i="2" s="1"/>
  <c r="H274" i="2"/>
  <c r="F274" i="2"/>
  <c r="O273" i="2"/>
  <c r="Q273" i="2" s="1"/>
  <c r="M273" i="2"/>
  <c r="L273" i="2"/>
  <c r="P273" i="2" s="1"/>
  <c r="J273" i="2"/>
  <c r="K273" i="2" s="1"/>
  <c r="H273" i="2"/>
  <c r="F273" i="2"/>
  <c r="O272" i="2"/>
  <c r="Q272" i="2" s="1"/>
  <c r="M272" i="2"/>
  <c r="L272" i="2"/>
  <c r="P272" i="2" s="1"/>
  <c r="J272" i="2"/>
  <c r="K272" i="2" s="1"/>
  <c r="H272" i="2"/>
  <c r="F272" i="2"/>
  <c r="O271" i="2"/>
  <c r="Q271" i="2" s="1"/>
  <c r="M271" i="2"/>
  <c r="L271" i="2"/>
  <c r="P271" i="2" s="1"/>
  <c r="J271" i="2"/>
  <c r="K271" i="2" s="1"/>
  <c r="H271" i="2"/>
  <c r="F271" i="2"/>
  <c r="O270" i="2"/>
  <c r="Q270" i="2" s="1"/>
  <c r="M270" i="2"/>
  <c r="L270" i="2"/>
  <c r="P270" i="2" s="1"/>
  <c r="J270" i="2"/>
  <c r="K270" i="2" s="1"/>
  <c r="H270" i="2"/>
  <c r="F270" i="2"/>
  <c r="O269" i="2"/>
  <c r="Q269" i="2" s="1"/>
  <c r="M269" i="2"/>
  <c r="L269" i="2"/>
  <c r="P269" i="2" s="1"/>
  <c r="J269" i="2"/>
  <c r="K269" i="2" s="1"/>
  <c r="H269" i="2"/>
  <c r="F269" i="2"/>
  <c r="O268" i="2"/>
  <c r="Q268" i="2" s="1"/>
  <c r="M268" i="2"/>
  <c r="L268" i="2"/>
  <c r="P268" i="2" s="1"/>
  <c r="J268" i="2"/>
  <c r="K268" i="2" s="1"/>
  <c r="H268" i="2"/>
  <c r="F268" i="2"/>
  <c r="O267" i="2"/>
  <c r="Q267" i="2" s="1"/>
  <c r="M267" i="2"/>
  <c r="L267" i="2"/>
  <c r="P267" i="2" s="1"/>
  <c r="J267" i="2"/>
  <c r="K267" i="2" s="1"/>
  <c r="H267" i="2"/>
  <c r="F267" i="2"/>
  <c r="O266" i="2"/>
  <c r="Q266" i="2" s="1"/>
  <c r="M266" i="2"/>
  <c r="L266" i="2"/>
  <c r="P266" i="2" s="1"/>
  <c r="J266" i="2"/>
  <c r="K266" i="2" s="1"/>
  <c r="H266" i="2"/>
  <c r="F266" i="2"/>
  <c r="O265" i="2"/>
  <c r="Q265" i="2" s="1"/>
  <c r="M265" i="2"/>
  <c r="L265" i="2"/>
  <c r="P265" i="2" s="1"/>
  <c r="J265" i="2"/>
  <c r="K265" i="2" s="1"/>
  <c r="H265" i="2"/>
  <c r="F265" i="2"/>
  <c r="O264" i="2"/>
  <c r="Q264" i="2" s="1"/>
  <c r="M264" i="2"/>
  <c r="L264" i="2"/>
  <c r="P264" i="2" s="1"/>
  <c r="J264" i="2"/>
  <c r="K264" i="2" s="1"/>
  <c r="H264" i="2"/>
  <c r="F264" i="2"/>
  <c r="O263" i="2"/>
  <c r="Q263" i="2" s="1"/>
  <c r="M263" i="2"/>
  <c r="L263" i="2"/>
  <c r="P263" i="2" s="1"/>
  <c r="J263" i="2"/>
  <c r="K263" i="2" s="1"/>
  <c r="H263" i="2"/>
  <c r="F263" i="2"/>
  <c r="O262" i="2"/>
  <c r="Q262" i="2" s="1"/>
  <c r="M262" i="2"/>
  <c r="L262" i="2"/>
  <c r="P262" i="2" s="1"/>
  <c r="J262" i="2"/>
  <c r="K262" i="2" s="1"/>
  <c r="H262" i="2"/>
  <c r="F262" i="2"/>
  <c r="O261" i="2"/>
  <c r="Q261" i="2" s="1"/>
  <c r="M261" i="2"/>
  <c r="L261" i="2"/>
  <c r="P261" i="2" s="1"/>
  <c r="J261" i="2"/>
  <c r="K261" i="2" s="1"/>
  <c r="H261" i="2"/>
  <c r="F261" i="2"/>
  <c r="O260" i="2"/>
  <c r="Q260" i="2" s="1"/>
  <c r="M260" i="2"/>
  <c r="L260" i="2"/>
  <c r="P260" i="2" s="1"/>
  <c r="J260" i="2"/>
  <c r="K260" i="2" s="1"/>
  <c r="H260" i="2"/>
  <c r="F260" i="2"/>
  <c r="O259" i="2"/>
  <c r="Q259" i="2" s="1"/>
  <c r="M259" i="2"/>
  <c r="L259" i="2"/>
  <c r="P259" i="2" s="1"/>
  <c r="J259" i="2"/>
  <c r="K259" i="2" s="1"/>
  <c r="H259" i="2"/>
  <c r="F259" i="2"/>
  <c r="O258" i="2"/>
  <c r="Q258" i="2" s="1"/>
  <c r="M258" i="2"/>
  <c r="L258" i="2"/>
  <c r="P258" i="2" s="1"/>
  <c r="J258" i="2"/>
  <c r="K258" i="2" s="1"/>
  <c r="H258" i="2"/>
  <c r="F258" i="2"/>
  <c r="O257" i="2"/>
  <c r="Q257" i="2" s="1"/>
  <c r="M257" i="2"/>
  <c r="L257" i="2"/>
  <c r="P257" i="2" s="1"/>
  <c r="J257" i="2"/>
  <c r="K257" i="2" s="1"/>
  <c r="H257" i="2"/>
  <c r="F257" i="2"/>
  <c r="O256" i="2"/>
  <c r="Q256" i="2" s="1"/>
  <c r="M256" i="2"/>
  <c r="L256" i="2"/>
  <c r="P256" i="2" s="1"/>
  <c r="J256" i="2"/>
  <c r="K256" i="2" s="1"/>
  <c r="H256" i="2"/>
  <c r="F256" i="2"/>
  <c r="O255" i="2"/>
  <c r="Q255" i="2" s="1"/>
  <c r="M255" i="2"/>
  <c r="L255" i="2"/>
  <c r="P255" i="2" s="1"/>
  <c r="J255" i="2"/>
  <c r="K255" i="2" s="1"/>
  <c r="H255" i="2"/>
  <c r="F255" i="2"/>
  <c r="O254" i="2"/>
  <c r="Q254" i="2" s="1"/>
  <c r="M254" i="2"/>
  <c r="L254" i="2"/>
  <c r="P254" i="2" s="1"/>
  <c r="J254" i="2"/>
  <c r="K254" i="2" s="1"/>
  <c r="H254" i="2"/>
  <c r="F254" i="2"/>
  <c r="O253" i="2"/>
  <c r="Q253" i="2" s="1"/>
  <c r="M253" i="2"/>
  <c r="L253" i="2"/>
  <c r="P253" i="2" s="1"/>
  <c r="J253" i="2"/>
  <c r="K253" i="2" s="1"/>
  <c r="H253" i="2"/>
  <c r="F253" i="2"/>
  <c r="O252" i="2"/>
  <c r="Q252" i="2" s="1"/>
  <c r="M252" i="2"/>
  <c r="L252" i="2"/>
  <c r="P252" i="2" s="1"/>
  <c r="J252" i="2"/>
  <c r="K252" i="2" s="1"/>
  <c r="H252" i="2"/>
  <c r="F252" i="2"/>
  <c r="O251" i="2"/>
  <c r="Q251" i="2" s="1"/>
  <c r="M251" i="2"/>
  <c r="L251" i="2"/>
  <c r="P251" i="2" s="1"/>
  <c r="J251" i="2"/>
  <c r="K251" i="2" s="1"/>
  <c r="H251" i="2"/>
  <c r="F251" i="2"/>
  <c r="O250" i="2"/>
  <c r="Q250" i="2" s="1"/>
  <c r="M250" i="2"/>
  <c r="L250" i="2"/>
  <c r="P250" i="2" s="1"/>
  <c r="J250" i="2"/>
  <c r="K250" i="2" s="1"/>
  <c r="H250" i="2"/>
  <c r="F250" i="2"/>
  <c r="O249" i="2"/>
  <c r="Q249" i="2" s="1"/>
  <c r="M249" i="2"/>
  <c r="L249" i="2"/>
  <c r="P249" i="2" s="1"/>
  <c r="J249" i="2"/>
  <c r="K249" i="2" s="1"/>
  <c r="H249" i="2"/>
  <c r="F249" i="2"/>
  <c r="O248" i="2"/>
  <c r="Q248" i="2" s="1"/>
  <c r="M248" i="2"/>
  <c r="L248" i="2"/>
  <c r="P248" i="2" s="1"/>
  <c r="J248" i="2"/>
  <c r="K248" i="2" s="1"/>
  <c r="H248" i="2"/>
  <c r="F248" i="2"/>
  <c r="O247" i="2"/>
  <c r="Q247" i="2" s="1"/>
  <c r="M247" i="2"/>
  <c r="L247" i="2"/>
  <c r="P247" i="2" s="1"/>
  <c r="J247" i="2"/>
  <c r="K247" i="2" s="1"/>
  <c r="H247" i="2"/>
  <c r="F247" i="2"/>
  <c r="O246" i="2"/>
  <c r="Q246" i="2" s="1"/>
  <c r="M246" i="2"/>
  <c r="L246" i="2"/>
  <c r="P246" i="2" s="1"/>
  <c r="J246" i="2"/>
  <c r="K246" i="2" s="1"/>
  <c r="H246" i="2"/>
  <c r="F246" i="2"/>
  <c r="O245" i="2"/>
  <c r="Q245" i="2" s="1"/>
  <c r="M245" i="2"/>
  <c r="L245" i="2"/>
  <c r="P245" i="2" s="1"/>
  <c r="J245" i="2"/>
  <c r="K245" i="2" s="1"/>
  <c r="H245" i="2"/>
  <c r="F245" i="2"/>
  <c r="O244" i="2"/>
  <c r="Q244" i="2" s="1"/>
  <c r="M244" i="2"/>
  <c r="L244" i="2"/>
  <c r="P244" i="2" s="1"/>
  <c r="J244" i="2"/>
  <c r="K244" i="2" s="1"/>
  <c r="H244" i="2"/>
  <c r="F244" i="2"/>
  <c r="O243" i="2"/>
  <c r="Q243" i="2" s="1"/>
  <c r="M243" i="2"/>
  <c r="L243" i="2"/>
  <c r="P243" i="2" s="1"/>
  <c r="J243" i="2"/>
  <c r="K243" i="2" s="1"/>
  <c r="H243" i="2"/>
  <c r="F243" i="2"/>
  <c r="O242" i="2"/>
  <c r="Q242" i="2" s="1"/>
  <c r="M242" i="2"/>
  <c r="L242" i="2"/>
  <c r="P242" i="2" s="1"/>
  <c r="J242" i="2"/>
  <c r="K242" i="2" s="1"/>
  <c r="H242" i="2"/>
  <c r="F242" i="2"/>
  <c r="O241" i="2"/>
  <c r="Q241" i="2" s="1"/>
  <c r="M241" i="2"/>
  <c r="L241" i="2"/>
  <c r="P241" i="2" s="1"/>
  <c r="J241" i="2"/>
  <c r="K241" i="2" s="1"/>
  <c r="H241" i="2"/>
  <c r="F241" i="2"/>
  <c r="O240" i="2"/>
  <c r="Q240" i="2" s="1"/>
  <c r="M240" i="2"/>
  <c r="L240" i="2"/>
  <c r="P240" i="2" s="1"/>
  <c r="J240" i="2"/>
  <c r="K240" i="2" s="1"/>
  <c r="H240" i="2"/>
  <c r="F240" i="2"/>
  <c r="O239" i="2"/>
  <c r="Q239" i="2" s="1"/>
  <c r="M239" i="2"/>
  <c r="L239" i="2"/>
  <c r="P239" i="2" s="1"/>
  <c r="J239" i="2"/>
  <c r="K239" i="2" s="1"/>
  <c r="H239" i="2"/>
  <c r="F239" i="2"/>
  <c r="O238" i="2"/>
  <c r="Q238" i="2" s="1"/>
  <c r="M238" i="2"/>
  <c r="L238" i="2"/>
  <c r="P238" i="2" s="1"/>
  <c r="J238" i="2"/>
  <c r="K238" i="2" s="1"/>
  <c r="H238" i="2"/>
  <c r="F238" i="2"/>
  <c r="O237" i="2"/>
  <c r="Q237" i="2" s="1"/>
  <c r="M237" i="2"/>
  <c r="L237" i="2"/>
  <c r="P237" i="2" s="1"/>
  <c r="J237" i="2"/>
  <c r="K237" i="2" s="1"/>
  <c r="H237" i="2"/>
  <c r="F237" i="2"/>
  <c r="O236" i="2"/>
  <c r="Q236" i="2" s="1"/>
  <c r="M236" i="2"/>
  <c r="L236" i="2"/>
  <c r="P236" i="2" s="1"/>
  <c r="J236" i="2"/>
  <c r="K236" i="2" s="1"/>
  <c r="H236" i="2"/>
  <c r="F236" i="2"/>
  <c r="O235" i="2"/>
  <c r="Q235" i="2" s="1"/>
  <c r="M235" i="2"/>
  <c r="L235" i="2"/>
  <c r="P235" i="2" s="1"/>
  <c r="J235" i="2"/>
  <c r="K235" i="2" s="1"/>
  <c r="H235" i="2"/>
  <c r="F235" i="2"/>
  <c r="O234" i="2"/>
  <c r="Q234" i="2" s="1"/>
  <c r="M234" i="2"/>
  <c r="L234" i="2"/>
  <c r="P234" i="2" s="1"/>
  <c r="J234" i="2"/>
  <c r="K234" i="2" s="1"/>
  <c r="H234" i="2"/>
  <c r="F234" i="2"/>
  <c r="O233" i="2"/>
  <c r="Q233" i="2" s="1"/>
  <c r="M233" i="2"/>
  <c r="L233" i="2"/>
  <c r="P233" i="2" s="1"/>
  <c r="J233" i="2"/>
  <c r="K233" i="2" s="1"/>
  <c r="H233" i="2"/>
  <c r="F233" i="2"/>
  <c r="O232" i="2"/>
  <c r="Q232" i="2" s="1"/>
  <c r="M232" i="2"/>
  <c r="L232" i="2"/>
  <c r="P232" i="2" s="1"/>
  <c r="J232" i="2"/>
  <c r="K232" i="2" s="1"/>
  <c r="H232" i="2"/>
  <c r="F232" i="2"/>
  <c r="O231" i="2"/>
  <c r="Q231" i="2" s="1"/>
  <c r="M231" i="2"/>
  <c r="L231" i="2"/>
  <c r="P231" i="2" s="1"/>
  <c r="J231" i="2"/>
  <c r="K231" i="2" s="1"/>
  <c r="H231" i="2"/>
  <c r="F231" i="2"/>
  <c r="O230" i="2"/>
  <c r="Q230" i="2" s="1"/>
  <c r="M230" i="2"/>
  <c r="L230" i="2"/>
  <c r="P230" i="2" s="1"/>
  <c r="J230" i="2"/>
  <c r="K230" i="2" s="1"/>
  <c r="H230" i="2"/>
  <c r="F230" i="2"/>
  <c r="O229" i="2"/>
  <c r="Q229" i="2" s="1"/>
  <c r="M229" i="2"/>
  <c r="L229" i="2"/>
  <c r="P229" i="2" s="1"/>
  <c r="J229" i="2"/>
  <c r="K229" i="2" s="1"/>
  <c r="H229" i="2"/>
  <c r="F229" i="2"/>
  <c r="O228" i="2"/>
  <c r="Q228" i="2" s="1"/>
  <c r="M228" i="2"/>
  <c r="L228" i="2"/>
  <c r="P228" i="2" s="1"/>
  <c r="J228" i="2"/>
  <c r="K228" i="2" s="1"/>
  <c r="H228" i="2"/>
  <c r="F228" i="2"/>
  <c r="O227" i="2"/>
  <c r="Q227" i="2" s="1"/>
  <c r="M227" i="2"/>
  <c r="L227" i="2"/>
  <c r="P227" i="2" s="1"/>
  <c r="J227" i="2"/>
  <c r="K227" i="2" s="1"/>
  <c r="H227" i="2"/>
  <c r="F227" i="2"/>
  <c r="O226" i="2"/>
  <c r="Q226" i="2" s="1"/>
  <c r="M226" i="2"/>
  <c r="L226" i="2"/>
  <c r="P226" i="2" s="1"/>
  <c r="J226" i="2"/>
  <c r="K226" i="2" s="1"/>
  <c r="H226" i="2"/>
  <c r="F226" i="2"/>
  <c r="O225" i="2"/>
  <c r="Q225" i="2" s="1"/>
  <c r="M225" i="2"/>
  <c r="L225" i="2"/>
  <c r="P225" i="2" s="1"/>
  <c r="J225" i="2"/>
  <c r="K225" i="2" s="1"/>
  <c r="H225" i="2"/>
  <c r="F225" i="2"/>
  <c r="O224" i="2"/>
  <c r="Q224" i="2" s="1"/>
  <c r="M224" i="2"/>
  <c r="L224" i="2"/>
  <c r="P224" i="2" s="1"/>
  <c r="J224" i="2"/>
  <c r="K224" i="2" s="1"/>
  <c r="H224" i="2"/>
  <c r="F224" i="2"/>
  <c r="O223" i="2"/>
  <c r="Q223" i="2" s="1"/>
  <c r="M223" i="2"/>
  <c r="L223" i="2"/>
  <c r="P223" i="2" s="1"/>
  <c r="J223" i="2"/>
  <c r="K223" i="2" s="1"/>
  <c r="H223" i="2"/>
  <c r="F223" i="2"/>
  <c r="O222" i="2"/>
  <c r="Q222" i="2" s="1"/>
  <c r="M222" i="2"/>
  <c r="L222" i="2"/>
  <c r="P222" i="2" s="1"/>
  <c r="J222" i="2"/>
  <c r="K222" i="2" s="1"/>
  <c r="H222" i="2"/>
  <c r="F222" i="2"/>
  <c r="O221" i="2"/>
  <c r="Q221" i="2" s="1"/>
  <c r="M221" i="2"/>
  <c r="L221" i="2"/>
  <c r="P221" i="2" s="1"/>
  <c r="J221" i="2"/>
  <c r="K221" i="2" s="1"/>
  <c r="H221" i="2"/>
  <c r="F221" i="2"/>
  <c r="O220" i="2"/>
  <c r="Q220" i="2" s="1"/>
  <c r="M220" i="2"/>
  <c r="L220" i="2"/>
  <c r="P220" i="2" s="1"/>
  <c r="J220" i="2"/>
  <c r="K220" i="2" s="1"/>
  <c r="H220" i="2"/>
  <c r="F220" i="2"/>
  <c r="O219" i="2"/>
  <c r="Q219" i="2" s="1"/>
  <c r="M219" i="2"/>
  <c r="L219" i="2"/>
  <c r="P219" i="2" s="1"/>
  <c r="J219" i="2"/>
  <c r="K219" i="2" s="1"/>
  <c r="H219" i="2"/>
  <c r="F219" i="2"/>
  <c r="O218" i="2"/>
  <c r="Q218" i="2" s="1"/>
  <c r="M218" i="2"/>
  <c r="L218" i="2"/>
  <c r="P218" i="2" s="1"/>
  <c r="J218" i="2"/>
  <c r="K218" i="2" s="1"/>
  <c r="H218" i="2"/>
  <c r="F218" i="2"/>
  <c r="O217" i="2"/>
  <c r="Q217" i="2" s="1"/>
  <c r="M217" i="2"/>
  <c r="L217" i="2"/>
  <c r="P217" i="2" s="1"/>
  <c r="J217" i="2"/>
  <c r="K217" i="2" s="1"/>
  <c r="H217" i="2"/>
  <c r="F217" i="2"/>
  <c r="O216" i="2"/>
  <c r="Q216" i="2" s="1"/>
  <c r="M216" i="2"/>
  <c r="L216" i="2"/>
  <c r="P216" i="2" s="1"/>
  <c r="J216" i="2"/>
  <c r="K216" i="2" s="1"/>
  <c r="H216" i="2"/>
  <c r="F216" i="2"/>
  <c r="O215" i="2"/>
  <c r="Q215" i="2" s="1"/>
  <c r="M215" i="2"/>
  <c r="L215" i="2"/>
  <c r="P215" i="2" s="1"/>
  <c r="J215" i="2"/>
  <c r="K215" i="2" s="1"/>
  <c r="H215" i="2"/>
  <c r="F215" i="2"/>
  <c r="O214" i="2"/>
  <c r="Q214" i="2" s="1"/>
  <c r="M214" i="2"/>
  <c r="L214" i="2"/>
  <c r="P214" i="2" s="1"/>
  <c r="J214" i="2"/>
  <c r="K214" i="2" s="1"/>
  <c r="H214" i="2"/>
  <c r="F214" i="2"/>
  <c r="O213" i="2"/>
  <c r="Q213" i="2" s="1"/>
  <c r="M213" i="2"/>
  <c r="L213" i="2"/>
  <c r="P213" i="2" s="1"/>
  <c r="J213" i="2"/>
  <c r="K213" i="2" s="1"/>
  <c r="H213" i="2"/>
  <c r="F213" i="2"/>
  <c r="O212" i="2"/>
  <c r="Q212" i="2" s="1"/>
  <c r="M212" i="2"/>
  <c r="L212" i="2"/>
  <c r="P212" i="2" s="1"/>
  <c r="J212" i="2"/>
  <c r="K212" i="2" s="1"/>
  <c r="H212" i="2"/>
  <c r="F212" i="2"/>
  <c r="O211" i="2"/>
  <c r="Q211" i="2" s="1"/>
  <c r="M211" i="2"/>
  <c r="L211" i="2"/>
  <c r="P211" i="2" s="1"/>
  <c r="J211" i="2"/>
  <c r="K211" i="2" s="1"/>
  <c r="H211" i="2"/>
  <c r="F211" i="2"/>
  <c r="O210" i="2"/>
  <c r="Q210" i="2" s="1"/>
  <c r="M210" i="2"/>
  <c r="L210" i="2"/>
  <c r="P210" i="2" s="1"/>
  <c r="J210" i="2"/>
  <c r="K210" i="2" s="1"/>
  <c r="H210" i="2"/>
  <c r="F210" i="2"/>
  <c r="O209" i="2"/>
  <c r="Q209" i="2" s="1"/>
  <c r="M209" i="2"/>
  <c r="L209" i="2"/>
  <c r="P209" i="2" s="1"/>
  <c r="J209" i="2"/>
  <c r="K209" i="2" s="1"/>
  <c r="H209" i="2"/>
  <c r="F209" i="2"/>
  <c r="O208" i="2"/>
  <c r="Q208" i="2" s="1"/>
  <c r="M208" i="2"/>
  <c r="L208" i="2"/>
  <c r="P208" i="2" s="1"/>
  <c r="J208" i="2"/>
  <c r="K208" i="2" s="1"/>
  <c r="H208" i="2"/>
  <c r="F208" i="2"/>
  <c r="O207" i="2"/>
  <c r="Q207" i="2" s="1"/>
  <c r="M207" i="2"/>
  <c r="L207" i="2"/>
  <c r="P207" i="2" s="1"/>
  <c r="J207" i="2"/>
  <c r="K207" i="2" s="1"/>
  <c r="H207" i="2"/>
  <c r="F207" i="2"/>
  <c r="O206" i="2"/>
  <c r="Q206" i="2" s="1"/>
  <c r="M206" i="2"/>
  <c r="L206" i="2"/>
  <c r="P206" i="2" s="1"/>
  <c r="J206" i="2"/>
  <c r="K206" i="2" s="1"/>
  <c r="H206" i="2"/>
  <c r="F206" i="2"/>
  <c r="O205" i="2"/>
  <c r="Q205" i="2" s="1"/>
  <c r="M205" i="2"/>
  <c r="L205" i="2"/>
  <c r="P205" i="2" s="1"/>
  <c r="J205" i="2"/>
  <c r="K205" i="2" s="1"/>
  <c r="H205" i="2"/>
  <c r="F205" i="2"/>
  <c r="O204" i="2"/>
  <c r="Q204" i="2" s="1"/>
  <c r="M204" i="2"/>
  <c r="L204" i="2"/>
  <c r="P204" i="2" s="1"/>
  <c r="J204" i="2"/>
  <c r="K204" i="2" s="1"/>
  <c r="H204" i="2"/>
  <c r="F204" i="2"/>
  <c r="O203" i="2"/>
  <c r="Q203" i="2" s="1"/>
  <c r="M203" i="2"/>
  <c r="L203" i="2"/>
  <c r="P203" i="2" s="1"/>
  <c r="J203" i="2"/>
  <c r="K203" i="2" s="1"/>
  <c r="H203" i="2"/>
  <c r="F203" i="2"/>
  <c r="O202" i="2"/>
  <c r="Q202" i="2" s="1"/>
  <c r="M202" i="2"/>
  <c r="L202" i="2"/>
  <c r="P202" i="2" s="1"/>
  <c r="J202" i="2"/>
  <c r="K202" i="2" s="1"/>
  <c r="H202" i="2"/>
  <c r="F202" i="2"/>
  <c r="O201" i="2"/>
  <c r="Q201" i="2" s="1"/>
  <c r="M201" i="2"/>
  <c r="L201" i="2"/>
  <c r="P201" i="2" s="1"/>
  <c r="J201" i="2"/>
  <c r="K201" i="2" s="1"/>
  <c r="H201" i="2"/>
  <c r="F201" i="2"/>
  <c r="O200" i="2"/>
  <c r="Q200" i="2" s="1"/>
  <c r="M200" i="2"/>
  <c r="L200" i="2"/>
  <c r="P200" i="2" s="1"/>
  <c r="J200" i="2"/>
  <c r="K200" i="2" s="1"/>
  <c r="H200" i="2"/>
  <c r="F200" i="2"/>
  <c r="O199" i="2"/>
  <c r="Q199" i="2" s="1"/>
  <c r="M199" i="2"/>
  <c r="L199" i="2"/>
  <c r="P199" i="2" s="1"/>
  <c r="J199" i="2"/>
  <c r="K199" i="2" s="1"/>
  <c r="H199" i="2"/>
  <c r="F199" i="2"/>
  <c r="O198" i="2"/>
  <c r="Q198" i="2" s="1"/>
  <c r="M198" i="2"/>
  <c r="L198" i="2"/>
  <c r="P198" i="2" s="1"/>
  <c r="J198" i="2"/>
  <c r="K198" i="2" s="1"/>
  <c r="H198" i="2"/>
  <c r="F198" i="2"/>
  <c r="O197" i="2"/>
  <c r="Q197" i="2" s="1"/>
  <c r="M197" i="2"/>
  <c r="L197" i="2"/>
  <c r="P197" i="2" s="1"/>
  <c r="J197" i="2"/>
  <c r="K197" i="2" s="1"/>
  <c r="H197" i="2"/>
  <c r="F197" i="2"/>
  <c r="O196" i="2"/>
  <c r="Q196" i="2" s="1"/>
  <c r="M196" i="2"/>
  <c r="L196" i="2"/>
  <c r="P196" i="2" s="1"/>
  <c r="J196" i="2"/>
  <c r="K196" i="2" s="1"/>
  <c r="H196" i="2"/>
  <c r="F196" i="2"/>
  <c r="O195" i="2"/>
  <c r="Q195" i="2" s="1"/>
  <c r="M195" i="2"/>
  <c r="L195" i="2"/>
  <c r="P195" i="2" s="1"/>
  <c r="J195" i="2"/>
  <c r="K195" i="2" s="1"/>
  <c r="H195" i="2"/>
  <c r="F195" i="2"/>
  <c r="O194" i="2"/>
  <c r="Q194" i="2" s="1"/>
  <c r="M194" i="2"/>
  <c r="L194" i="2"/>
  <c r="P194" i="2" s="1"/>
  <c r="J194" i="2"/>
  <c r="K194" i="2" s="1"/>
  <c r="H194" i="2"/>
  <c r="F194" i="2"/>
  <c r="O193" i="2"/>
  <c r="Q193" i="2" s="1"/>
  <c r="M193" i="2"/>
  <c r="L193" i="2"/>
  <c r="P193" i="2" s="1"/>
  <c r="J193" i="2"/>
  <c r="K193" i="2" s="1"/>
  <c r="H193" i="2"/>
  <c r="F193" i="2"/>
  <c r="O192" i="2"/>
  <c r="Q192" i="2" s="1"/>
  <c r="M192" i="2"/>
  <c r="L192" i="2"/>
  <c r="P192" i="2" s="1"/>
  <c r="J192" i="2"/>
  <c r="K192" i="2" s="1"/>
  <c r="H192" i="2"/>
  <c r="F192" i="2"/>
  <c r="O191" i="2"/>
  <c r="Q191" i="2" s="1"/>
  <c r="M191" i="2"/>
  <c r="L191" i="2"/>
  <c r="P191" i="2" s="1"/>
  <c r="J191" i="2"/>
  <c r="K191" i="2" s="1"/>
  <c r="H191" i="2"/>
  <c r="F191" i="2"/>
  <c r="O190" i="2"/>
  <c r="Q190" i="2" s="1"/>
  <c r="M190" i="2"/>
  <c r="L190" i="2"/>
  <c r="P190" i="2" s="1"/>
  <c r="J190" i="2"/>
  <c r="K190" i="2" s="1"/>
  <c r="H190" i="2"/>
  <c r="F190" i="2"/>
  <c r="O189" i="2"/>
  <c r="Q189" i="2" s="1"/>
  <c r="M189" i="2"/>
  <c r="L189" i="2"/>
  <c r="P189" i="2" s="1"/>
  <c r="J189" i="2"/>
  <c r="K189" i="2" s="1"/>
  <c r="H189" i="2"/>
  <c r="F189" i="2"/>
  <c r="O188" i="2"/>
  <c r="Q188" i="2" s="1"/>
  <c r="M188" i="2"/>
  <c r="L188" i="2"/>
  <c r="P188" i="2" s="1"/>
  <c r="J188" i="2"/>
  <c r="K188" i="2" s="1"/>
  <c r="H188" i="2"/>
  <c r="F188" i="2"/>
  <c r="O187" i="2"/>
  <c r="Q187" i="2" s="1"/>
  <c r="M187" i="2"/>
  <c r="L187" i="2"/>
  <c r="P187" i="2" s="1"/>
  <c r="J187" i="2"/>
  <c r="K187" i="2" s="1"/>
  <c r="H187" i="2"/>
  <c r="F187" i="2"/>
  <c r="O186" i="2"/>
  <c r="Q186" i="2" s="1"/>
  <c r="M186" i="2"/>
  <c r="L186" i="2"/>
  <c r="P186" i="2" s="1"/>
  <c r="J186" i="2"/>
  <c r="K186" i="2" s="1"/>
  <c r="H186" i="2"/>
  <c r="F186" i="2"/>
  <c r="O185" i="2"/>
  <c r="Q185" i="2" s="1"/>
  <c r="M185" i="2"/>
  <c r="L185" i="2"/>
  <c r="P185" i="2" s="1"/>
  <c r="J185" i="2"/>
  <c r="K185" i="2" s="1"/>
  <c r="H185" i="2"/>
  <c r="F185" i="2"/>
  <c r="O184" i="2"/>
  <c r="Q184" i="2" s="1"/>
  <c r="M184" i="2"/>
  <c r="L184" i="2"/>
  <c r="P184" i="2" s="1"/>
  <c r="J184" i="2"/>
  <c r="K184" i="2" s="1"/>
  <c r="H184" i="2"/>
  <c r="F184" i="2"/>
  <c r="O183" i="2"/>
  <c r="Q183" i="2" s="1"/>
  <c r="M183" i="2"/>
  <c r="L183" i="2"/>
  <c r="P183" i="2" s="1"/>
  <c r="J183" i="2"/>
  <c r="K183" i="2" s="1"/>
  <c r="H183" i="2"/>
  <c r="F183" i="2"/>
  <c r="O182" i="2"/>
  <c r="Q182" i="2" s="1"/>
  <c r="M182" i="2"/>
  <c r="L182" i="2"/>
  <c r="P182" i="2" s="1"/>
  <c r="J182" i="2"/>
  <c r="K182" i="2" s="1"/>
  <c r="H182" i="2"/>
  <c r="F182" i="2"/>
  <c r="O181" i="2"/>
  <c r="Q181" i="2" s="1"/>
  <c r="M181" i="2"/>
  <c r="L181" i="2"/>
  <c r="P181" i="2" s="1"/>
  <c r="J181" i="2"/>
  <c r="K181" i="2" s="1"/>
  <c r="H181" i="2"/>
  <c r="F181" i="2"/>
  <c r="O180" i="2"/>
  <c r="Q180" i="2" s="1"/>
  <c r="M180" i="2"/>
  <c r="L180" i="2"/>
  <c r="P180" i="2" s="1"/>
  <c r="J180" i="2"/>
  <c r="K180" i="2" s="1"/>
  <c r="H180" i="2"/>
  <c r="F180" i="2"/>
  <c r="O179" i="2"/>
  <c r="Q179" i="2" s="1"/>
  <c r="M179" i="2"/>
  <c r="L179" i="2"/>
  <c r="P179" i="2" s="1"/>
  <c r="J179" i="2"/>
  <c r="K179" i="2" s="1"/>
  <c r="H179" i="2"/>
  <c r="F179" i="2"/>
  <c r="O178" i="2"/>
  <c r="Q178" i="2" s="1"/>
  <c r="M178" i="2"/>
  <c r="L178" i="2"/>
  <c r="P178" i="2" s="1"/>
  <c r="J178" i="2"/>
  <c r="K178" i="2" s="1"/>
  <c r="H178" i="2"/>
  <c r="F178" i="2"/>
  <c r="O177" i="2"/>
  <c r="Q177" i="2" s="1"/>
  <c r="M177" i="2"/>
  <c r="L177" i="2"/>
  <c r="P177" i="2" s="1"/>
  <c r="J177" i="2"/>
  <c r="K177" i="2" s="1"/>
  <c r="H177" i="2"/>
  <c r="F177" i="2"/>
  <c r="O176" i="2"/>
  <c r="Q176" i="2" s="1"/>
  <c r="M176" i="2"/>
  <c r="L176" i="2"/>
  <c r="P176" i="2" s="1"/>
  <c r="J176" i="2"/>
  <c r="K176" i="2" s="1"/>
  <c r="H176" i="2"/>
  <c r="F176" i="2"/>
  <c r="O175" i="2"/>
  <c r="Q175" i="2" s="1"/>
  <c r="M175" i="2"/>
  <c r="L175" i="2"/>
  <c r="P175" i="2" s="1"/>
  <c r="J175" i="2"/>
  <c r="K175" i="2" s="1"/>
  <c r="H175" i="2"/>
  <c r="F175" i="2"/>
  <c r="O174" i="2"/>
  <c r="Q174" i="2" s="1"/>
  <c r="M174" i="2"/>
  <c r="L174" i="2"/>
  <c r="P174" i="2" s="1"/>
  <c r="J174" i="2"/>
  <c r="K174" i="2" s="1"/>
  <c r="H174" i="2"/>
  <c r="F174" i="2"/>
  <c r="O173" i="2"/>
  <c r="Q173" i="2" s="1"/>
  <c r="M173" i="2"/>
  <c r="L173" i="2"/>
  <c r="P173" i="2" s="1"/>
  <c r="J173" i="2"/>
  <c r="K173" i="2" s="1"/>
  <c r="H173" i="2"/>
  <c r="F173" i="2"/>
  <c r="O172" i="2"/>
  <c r="Q172" i="2" s="1"/>
  <c r="M172" i="2"/>
  <c r="L172" i="2"/>
  <c r="P172" i="2" s="1"/>
  <c r="J172" i="2"/>
  <c r="K172" i="2" s="1"/>
  <c r="H172" i="2"/>
  <c r="F172" i="2"/>
  <c r="O171" i="2"/>
  <c r="Q171" i="2" s="1"/>
  <c r="M171" i="2"/>
  <c r="L171" i="2"/>
  <c r="P171" i="2" s="1"/>
  <c r="J171" i="2"/>
  <c r="K171" i="2" s="1"/>
  <c r="H171" i="2"/>
  <c r="F171" i="2"/>
  <c r="O170" i="2"/>
  <c r="Q170" i="2" s="1"/>
  <c r="M170" i="2"/>
  <c r="L170" i="2"/>
  <c r="P170" i="2" s="1"/>
  <c r="J170" i="2"/>
  <c r="K170" i="2" s="1"/>
  <c r="H170" i="2"/>
  <c r="F170" i="2"/>
  <c r="O169" i="2"/>
  <c r="Q169" i="2" s="1"/>
  <c r="M169" i="2"/>
  <c r="L169" i="2"/>
  <c r="P169" i="2" s="1"/>
  <c r="J169" i="2"/>
  <c r="K169" i="2" s="1"/>
  <c r="H169" i="2"/>
  <c r="F169" i="2"/>
  <c r="O168" i="2"/>
  <c r="Q168" i="2" s="1"/>
  <c r="M168" i="2"/>
  <c r="L168" i="2"/>
  <c r="P168" i="2" s="1"/>
  <c r="J168" i="2"/>
  <c r="K168" i="2" s="1"/>
  <c r="H168" i="2"/>
  <c r="F168" i="2"/>
  <c r="O167" i="2"/>
  <c r="Q167" i="2" s="1"/>
  <c r="M167" i="2"/>
  <c r="L167" i="2"/>
  <c r="P167" i="2" s="1"/>
  <c r="J167" i="2"/>
  <c r="K167" i="2" s="1"/>
  <c r="H167" i="2"/>
  <c r="F167" i="2"/>
  <c r="O166" i="2"/>
  <c r="Q166" i="2" s="1"/>
  <c r="M166" i="2"/>
  <c r="L166" i="2"/>
  <c r="P166" i="2" s="1"/>
  <c r="J166" i="2"/>
  <c r="K166" i="2" s="1"/>
  <c r="H166" i="2"/>
  <c r="F166" i="2"/>
  <c r="O165" i="2"/>
  <c r="Q165" i="2" s="1"/>
  <c r="M165" i="2"/>
  <c r="L165" i="2"/>
  <c r="P165" i="2" s="1"/>
  <c r="J165" i="2"/>
  <c r="K165" i="2" s="1"/>
  <c r="H165" i="2"/>
  <c r="F165" i="2"/>
  <c r="O164" i="2"/>
  <c r="Q164" i="2" s="1"/>
  <c r="M164" i="2"/>
  <c r="L164" i="2"/>
  <c r="P164" i="2" s="1"/>
  <c r="J164" i="2"/>
  <c r="K164" i="2" s="1"/>
  <c r="H164" i="2"/>
  <c r="F164" i="2"/>
  <c r="O163" i="2"/>
  <c r="Q163" i="2" s="1"/>
  <c r="M163" i="2"/>
  <c r="L163" i="2"/>
  <c r="P163" i="2" s="1"/>
  <c r="J163" i="2"/>
  <c r="K163" i="2" s="1"/>
  <c r="H163" i="2"/>
  <c r="F163" i="2"/>
  <c r="O162" i="2"/>
  <c r="Q162" i="2" s="1"/>
  <c r="M162" i="2"/>
  <c r="L162" i="2"/>
  <c r="P162" i="2" s="1"/>
  <c r="J162" i="2"/>
  <c r="K162" i="2" s="1"/>
  <c r="H162" i="2"/>
  <c r="F162" i="2"/>
  <c r="O161" i="2"/>
  <c r="Q161" i="2" s="1"/>
  <c r="M161" i="2"/>
  <c r="L161" i="2"/>
  <c r="P161" i="2" s="1"/>
  <c r="J161" i="2"/>
  <c r="K161" i="2" s="1"/>
  <c r="H161" i="2"/>
  <c r="F161" i="2"/>
  <c r="O160" i="2"/>
  <c r="Q160" i="2" s="1"/>
  <c r="M160" i="2"/>
  <c r="L160" i="2"/>
  <c r="P160" i="2" s="1"/>
  <c r="J160" i="2"/>
  <c r="K160" i="2" s="1"/>
  <c r="H160" i="2"/>
  <c r="F160" i="2"/>
  <c r="O159" i="2"/>
  <c r="Q159" i="2" s="1"/>
  <c r="M159" i="2"/>
  <c r="L159" i="2"/>
  <c r="P159" i="2" s="1"/>
  <c r="J159" i="2"/>
  <c r="K159" i="2" s="1"/>
  <c r="H159" i="2"/>
  <c r="F159" i="2"/>
  <c r="O158" i="2"/>
  <c r="Q158" i="2" s="1"/>
  <c r="M158" i="2"/>
  <c r="L158" i="2"/>
  <c r="P158" i="2" s="1"/>
  <c r="J158" i="2"/>
  <c r="K158" i="2" s="1"/>
  <c r="H158" i="2"/>
  <c r="F158" i="2"/>
  <c r="O157" i="2"/>
  <c r="Q157" i="2" s="1"/>
  <c r="M157" i="2"/>
  <c r="L157" i="2"/>
  <c r="P157" i="2" s="1"/>
  <c r="J157" i="2"/>
  <c r="K157" i="2" s="1"/>
  <c r="H157" i="2"/>
  <c r="F157" i="2"/>
  <c r="O156" i="2"/>
  <c r="Q156" i="2" s="1"/>
  <c r="M156" i="2"/>
  <c r="L156" i="2"/>
  <c r="P156" i="2" s="1"/>
  <c r="J156" i="2"/>
  <c r="K156" i="2" s="1"/>
  <c r="H156" i="2"/>
  <c r="F156" i="2"/>
  <c r="O155" i="2"/>
  <c r="Q155" i="2" s="1"/>
  <c r="M155" i="2"/>
  <c r="L155" i="2"/>
  <c r="P155" i="2" s="1"/>
  <c r="J155" i="2"/>
  <c r="K155" i="2" s="1"/>
  <c r="H155" i="2"/>
  <c r="F155" i="2"/>
  <c r="O154" i="2"/>
  <c r="Q154" i="2" s="1"/>
  <c r="M154" i="2"/>
  <c r="L154" i="2"/>
  <c r="P154" i="2" s="1"/>
  <c r="J154" i="2"/>
  <c r="K154" i="2" s="1"/>
  <c r="H154" i="2"/>
  <c r="F154" i="2"/>
  <c r="O153" i="2"/>
  <c r="Q153" i="2" s="1"/>
  <c r="M153" i="2"/>
  <c r="L153" i="2"/>
  <c r="P153" i="2" s="1"/>
  <c r="J153" i="2"/>
  <c r="K153" i="2" s="1"/>
  <c r="H153" i="2"/>
  <c r="F153" i="2"/>
  <c r="O152" i="2"/>
  <c r="Q152" i="2" s="1"/>
  <c r="M152" i="2"/>
  <c r="L152" i="2"/>
  <c r="P152" i="2" s="1"/>
  <c r="J152" i="2"/>
  <c r="K152" i="2" s="1"/>
  <c r="H152" i="2"/>
  <c r="F152" i="2"/>
  <c r="O151" i="2"/>
  <c r="Q151" i="2" s="1"/>
  <c r="M151" i="2"/>
  <c r="L151" i="2"/>
  <c r="P151" i="2" s="1"/>
  <c r="J151" i="2"/>
  <c r="K151" i="2" s="1"/>
  <c r="H151" i="2"/>
  <c r="F151" i="2"/>
  <c r="O150" i="2"/>
  <c r="Q150" i="2" s="1"/>
  <c r="M150" i="2"/>
  <c r="L150" i="2"/>
  <c r="P150" i="2" s="1"/>
  <c r="J150" i="2"/>
  <c r="K150" i="2" s="1"/>
  <c r="H150" i="2"/>
  <c r="F150" i="2"/>
  <c r="O149" i="2"/>
  <c r="Q149" i="2" s="1"/>
  <c r="M149" i="2"/>
  <c r="L149" i="2"/>
  <c r="P149" i="2" s="1"/>
  <c r="J149" i="2"/>
  <c r="K149" i="2" s="1"/>
  <c r="H149" i="2"/>
  <c r="F149" i="2"/>
  <c r="O148" i="2"/>
  <c r="Q148" i="2" s="1"/>
  <c r="M148" i="2"/>
  <c r="L148" i="2"/>
  <c r="P148" i="2" s="1"/>
  <c r="J148" i="2"/>
  <c r="K148" i="2" s="1"/>
  <c r="H148" i="2"/>
  <c r="F148" i="2"/>
  <c r="O147" i="2"/>
  <c r="Q147" i="2" s="1"/>
  <c r="M147" i="2"/>
  <c r="L147" i="2"/>
  <c r="P147" i="2" s="1"/>
  <c r="J147" i="2"/>
  <c r="K147" i="2" s="1"/>
  <c r="H147" i="2"/>
  <c r="F147" i="2"/>
  <c r="O146" i="2"/>
  <c r="Q146" i="2" s="1"/>
  <c r="M146" i="2"/>
  <c r="L146" i="2"/>
  <c r="P146" i="2" s="1"/>
  <c r="J146" i="2"/>
  <c r="K146" i="2" s="1"/>
  <c r="H146" i="2"/>
  <c r="F146" i="2"/>
  <c r="O145" i="2"/>
  <c r="Q145" i="2" s="1"/>
  <c r="M145" i="2"/>
  <c r="L145" i="2"/>
  <c r="P145" i="2" s="1"/>
  <c r="J145" i="2"/>
  <c r="K145" i="2" s="1"/>
  <c r="H145" i="2"/>
  <c r="F145" i="2"/>
  <c r="O144" i="2"/>
  <c r="Q144" i="2" s="1"/>
  <c r="M144" i="2"/>
  <c r="L144" i="2"/>
  <c r="P144" i="2" s="1"/>
  <c r="J144" i="2"/>
  <c r="K144" i="2" s="1"/>
  <c r="H144" i="2"/>
  <c r="F144" i="2"/>
  <c r="O143" i="2"/>
  <c r="Q143" i="2" s="1"/>
  <c r="M143" i="2"/>
  <c r="L143" i="2"/>
  <c r="P143" i="2" s="1"/>
  <c r="J143" i="2"/>
  <c r="K143" i="2" s="1"/>
  <c r="H143" i="2"/>
  <c r="F143" i="2"/>
  <c r="O142" i="2"/>
  <c r="Q142" i="2" s="1"/>
  <c r="M142" i="2"/>
  <c r="L142" i="2"/>
  <c r="P142" i="2" s="1"/>
  <c r="J142" i="2"/>
  <c r="K142" i="2" s="1"/>
  <c r="H142" i="2"/>
  <c r="F142" i="2"/>
  <c r="O141" i="2"/>
  <c r="Q141" i="2" s="1"/>
  <c r="M141" i="2"/>
  <c r="L141" i="2"/>
  <c r="P141" i="2" s="1"/>
  <c r="J141" i="2"/>
  <c r="K141" i="2" s="1"/>
  <c r="H141" i="2"/>
  <c r="F141" i="2"/>
  <c r="O140" i="2"/>
  <c r="Q140" i="2" s="1"/>
  <c r="M140" i="2"/>
  <c r="L140" i="2"/>
  <c r="P140" i="2" s="1"/>
  <c r="J140" i="2"/>
  <c r="K140" i="2" s="1"/>
  <c r="H140" i="2"/>
  <c r="F140" i="2"/>
  <c r="O139" i="2"/>
  <c r="Q139" i="2" s="1"/>
  <c r="M139" i="2"/>
  <c r="L139" i="2"/>
  <c r="P139" i="2" s="1"/>
  <c r="J139" i="2"/>
  <c r="K139" i="2" s="1"/>
  <c r="H139" i="2"/>
  <c r="F139" i="2"/>
  <c r="O138" i="2"/>
  <c r="Q138" i="2" s="1"/>
  <c r="M138" i="2"/>
  <c r="L138" i="2"/>
  <c r="P138" i="2" s="1"/>
  <c r="J138" i="2"/>
  <c r="K138" i="2" s="1"/>
  <c r="H138" i="2"/>
  <c r="F138" i="2"/>
  <c r="O137" i="2"/>
  <c r="Q137" i="2" s="1"/>
  <c r="M137" i="2"/>
  <c r="L137" i="2"/>
  <c r="P137" i="2" s="1"/>
  <c r="J137" i="2"/>
  <c r="K137" i="2" s="1"/>
  <c r="H137" i="2"/>
  <c r="F137" i="2"/>
  <c r="O136" i="2"/>
  <c r="Q136" i="2" s="1"/>
  <c r="M136" i="2"/>
  <c r="L136" i="2"/>
  <c r="P136" i="2" s="1"/>
  <c r="J136" i="2"/>
  <c r="K136" i="2" s="1"/>
  <c r="H136" i="2"/>
  <c r="F136" i="2"/>
  <c r="O135" i="2"/>
  <c r="Q135" i="2" s="1"/>
  <c r="M135" i="2"/>
  <c r="L135" i="2"/>
  <c r="P135" i="2" s="1"/>
  <c r="J135" i="2"/>
  <c r="K135" i="2" s="1"/>
  <c r="H135" i="2"/>
  <c r="F135" i="2"/>
  <c r="O134" i="2"/>
  <c r="Q134" i="2" s="1"/>
  <c r="M134" i="2"/>
  <c r="L134" i="2"/>
  <c r="P134" i="2" s="1"/>
  <c r="J134" i="2"/>
  <c r="K134" i="2" s="1"/>
  <c r="H134" i="2"/>
  <c r="F134" i="2"/>
  <c r="O133" i="2"/>
  <c r="Q133" i="2" s="1"/>
  <c r="M133" i="2"/>
  <c r="L133" i="2"/>
  <c r="P133" i="2" s="1"/>
  <c r="J133" i="2"/>
  <c r="K133" i="2" s="1"/>
  <c r="H133" i="2"/>
  <c r="F133" i="2"/>
  <c r="O132" i="2"/>
  <c r="Q132" i="2" s="1"/>
  <c r="M132" i="2"/>
  <c r="L132" i="2"/>
  <c r="P132" i="2" s="1"/>
  <c r="J132" i="2"/>
  <c r="K132" i="2" s="1"/>
  <c r="H132" i="2"/>
  <c r="F132" i="2"/>
  <c r="O131" i="2"/>
  <c r="Q131" i="2" s="1"/>
  <c r="M131" i="2"/>
  <c r="L131" i="2"/>
  <c r="P131" i="2" s="1"/>
  <c r="J131" i="2"/>
  <c r="K131" i="2" s="1"/>
  <c r="H131" i="2"/>
  <c r="F131" i="2"/>
  <c r="O130" i="2"/>
  <c r="Q130" i="2" s="1"/>
  <c r="M130" i="2"/>
  <c r="L130" i="2"/>
  <c r="P130" i="2" s="1"/>
  <c r="J130" i="2"/>
  <c r="K130" i="2" s="1"/>
  <c r="H130" i="2"/>
  <c r="F130" i="2"/>
  <c r="O129" i="2"/>
  <c r="Q129" i="2" s="1"/>
  <c r="M129" i="2"/>
  <c r="L129" i="2"/>
  <c r="P129" i="2" s="1"/>
  <c r="J129" i="2"/>
  <c r="K129" i="2" s="1"/>
  <c r="H129" i="2"/>
  <c r="F129" i="2"/>
  <c r="O128" i="2"/>
  <c r="Q128" i="2" s="1"/>
  <c r="M128" i="2"/>
  <c r="L128" i="2"/>
  <c r="P128" i="2" s="1"/>
  <c r="J128" i="2"/>
  <c r="K128" i="2" s="1"/>
  <c r="H128" i="2"/>
  <c r="F128" i="2"/>
  <c r="O127" i="2"/>
  <c r="Q127" i="2" s="1"/>
  <c r="M127" i="2"/>
  <c r="L127" i="2"/>
  <c r="P127" i="2" s="1"/>
  <c r="J127" i="2"/>
  <c r="K127" i="2" s="1"/>
  <c r="H127" i="2"/>
  <c r="F127" i="2"/>
  <c r="O126" i="2"/>
  <c r="Q126" i="2" s="1"/>
  <c r="M126" i="2"/>
  <c r="L126" i="2"/>
  <c r="P126" i="2" s="1"/>
  <c r="J126" i="2"/>
  <c r="K126" i="2" s="1"/>
  <c r="H126" i="2"/>
  <c r="F126" i="2"/>
  <c r="O125" i="2"/>
  <c r="Q125" i="2" s="1"/>
  <c r="M125" i="2"/>
  <c r="L125" i="2"/>
  <c r="P125" i="2" s="1"/>
  <c r="J125" i="2"/>
  <c r="K125" i="2" s="1"/>
  <c r="H125" i="2"/>
  <c r="F125" i="2"/>
  <c r="O124" i="2"/>
  <c r="Q124" i="2" s="1"/>
  <c r="M124" i="2"/>
  <c r="L124" i="2"/>
  <c r="P124" i="2" s="1"/>
  <c r="J124" i="2"/>
  <c r="K124" i="2" s="1"/>
  <c r="H124" i="2"/>
  <c r="F124" i="2"/>
  <c r="O123" i="2"/>
  <c r="Q123" i="2" s="1"/>
  <c r="M123" i="2"/>
  <c r="L123" i="2"/>
  <c r="P123" i="2" s="1"/>
  <c r="J123" i="2"/>
  <c r="K123" i="2" s="1"/>
  <c r="H123" i="2"/>
  <c r="F123" i="2"/>
  <c r="O122" i="2"/>
  <c r="Q122" i="2" s="1"/>
  <c r="M122" i="2"/>
  <c r="L122" i="2"/>
  <c r="P122" i="2" s="1"/>
  <c r="J122" i="2"/>
  <c r="K122" i="2" s="1"/>
  <c r="H122" i="2"/>
  <c r="F122" i="2"/>
  <c r="O121" i="2"/>
  <c r="Q121" i="2" s="1"/>
  <c r="M121" i="2"/>
  <c r="L121" i="2"/>
  <c r="P121" i="2" s="1"/>
  <c r="J121" i="2"/>
  <c r="K121" i="2" s="1"/>
  <c r="H121" i="2"/>
  <c r="F121" i="2"/>
  <c r="O120" i="2"/>
  <c r="Q120" i="2" s="1"/>
  <c r="M120" i="2"/>
  <c r="L120" i="2"/>
  <c r="P120" i="2" s="1"/>
  <c r="J120" i="2"/>
  <c r="K120" i="2" s="1"/>
  <c r="H120" i="2"/>
  <c r="F120" i="2"/>
  <c r="O119" i="2"/>
  <c r="Q119" i="2" s="1"/>
  <c r="M119" i="2"/>
  <c r="L119" i="2"/>
  <c r="P119" i="2" s="1"/>
  <c r="J119" i="2"/>
  <c r="K119" i="2" s="1"/>
  <c r="H119" i="2"/>
  <c r="F119" i="2"/>
  <c r="O118" i="2"/>
  <c r="Q118" i="2" s="1"/>
  <c r="M118" i="2"/>
  <c r="L118" i="2"/>
  <c r="P118" i="2" s="1"/>
  <c r="J118" i="2"/>
  <c r="K118" i="2" s="1"/>
  <c r="H118" i="2"/>
  <c r="F118" i="2"/>
  <c r="O117" i="2"/>
  <c r="Q117" i="2" s="1"/>
  <c r="M117" i="2"/>
  <c r="L117" i="2"/>
  <c r="P117" i="2" s="1"/>
  <c r="J117" i="2"/>
  <c r="K117" i="2" s="1"/>
  <c r="H117" i="2"/>
  <c r="F117" i="2"/>
  <c r="O116" i="2"/>
  <c r="Q116" i="2" s="1"/>
  <c r="M116" i="2"/>
  <c r="L116" i="2"/>
  <c r="P116" i="2" s="1"/>
  <c r="J116" i="2"/>
  <c r="K116" i="2" s="1"/>
  <c r="H116" i="2"/>
  <c r="F116" i="2"/>
  <c r="O115" i="2"/>
  <c r="Q115" i="2" s="1"/>
  <c r="M115" i="2"/>
  <c r="L115" i="2"/>
  <c r="P115" i="2" s="1"/>
  <c r="J115" i="2"/>
  <c r="K115" i="2" s="1"/>
  <c r="H115" i="2"/>
  <c r="F115" i="2"/>
  <c r="O114" i="2"/>
  <c r="Q114" i="2" s="1"/>
  <c r="M114" i="2"/>
  <c r="L114" i="2"/>
  <c r="P114" i="2" s="1"/>
  <c r="J114" i="2"/>
  <c r="K114" i="2" s="1"/>
  <c r="H114" i="2"/>
  <c r="F114" i="2"/>
  <c r="O113" i="2"/>
  <c r="Q113" i="2" s="1"/>
  <c r="M113" i="2"/>
  <c r="L113" i="2"/>
  <c r="P113" i="2" s="1"/>
  <c r="J113" i="2"/>
  <c r="K113" i="2" s="1"/>
  <c r="H113" i="2"/>
  <c r="F113" i="2"/>
  <c r="O112" i="2"/>
  <c r="Q112" i="2" s="1"/>
  <c r="M112" i="2"/>
  <c r="L112" i="2"/>
  <c r="P112" i="2" s="1"/>
  <c r="J112" i="2"/>
  <c r="K112" i="2" s="1"/>
  <c r="H112" i="2"/>
  <c r="F112" i="2"/>
  <c r="O111" i="2"/>
  <c r="Q111" i="2" s="1"/>
  <c r="M111" i="2"/>
  <c r="L111" i="2"/>
  <c r="P111" i="2" s="1"/>
  <c r="J111" i="2"/>
  <c r="K111" i="2" s="1"/>
  <c r="H111" i="2"/>
  <c r="F111" i="2"/>
  <c r="O110" i="2"/>
  <c r="Q110" i="2" s="1"/>
  <c r="M110" i="2"/>
  <c r="L110" i="2"/>
  <c r="P110" i="2" s="1"/>
  <c r="J110" i="2"/>
  <c r="K110" i="2" s="1"/>
  <c r="H110" i="2"/>
  <c r="F110" i="2"/>
  <c r="O109" i="2"/>
  <c r="Q109" i="2" s="1"/>
  <c r="M109" i="2"/>
  <c r="L109" i="2"/>
  <c r="P109" i="2" s="1"/>
  <c r="J109" i="2"/>
  <c r="K109" i="2" s="1"/>
  <c r="H109" i="2"/>
  <c r="F109" i="2"/>
  <c r="O108" i="2"/>
  <c r="Q108" i="2" s="1"/>
  <c r="M108" i="2"/>
  <c r="L108" i="2"/>
  <c r="P108" i="2" s="1"/>
  <c r="J108" i="2"/>
  <c r="K108" i="2" s="1"/>
  <c r="H108" i="2"/>
  <c r="F108" i="2"/>
  <c r="O107" i="2"/>
  <c r="Q107" i="2" s="1"/>
  <c r="M107" i="2"/>
  <c r="L107" i="2"/>
  <c r="P107" i="2" s="1"/>
  <c r="J107" i="2"/>
  <c r="K107" i="2" s="1"/>
  <c r="H107" i="2"/>
  <c r="F107" i="2"/>
  <c r="O106" i="2"/>
  <c r="Q106" i="2" s="1"/>
  <c r="M106" i="2"/>
  <c r="L106" i="2"/>
  <c r="P106" i="2" s="1"/>
  <c r="J106" i="2"/>
  <c r="K106" i="2" s="1"/>
  <c r="H106" i="2"/>
  <c r="F106" i="2"/>
  <c r="O105" i="2"/>
  <c r="Q105" i="2" s="1"/>
  <c r="M105" i="2"/>
  <c r="L105" i="2"/>
  <c r="P105" i="2" s="1"/>
  <c r="J105" i="2"/>
  <c r="K105" i="2" s="1"/>
  <c r="H105" i="2"/>
  <c r="F105" i="2"/>
  <c r="O104" i="2"/>
  <c r="Q104" i="2" s="1"/>
  <c r="M104" i="2"/>
  <c r="L104" i="2"/>
  <c r="P104" i="2" s="1"/>
  <c r="J104" i="2"/>
  <c r="K104" i="2" s="1"/>
  <c r="H104" i="2"/>
  <c r="F104" i="2"/>
  <c r="O103" i="2"/>
  <c r="Q103" i="2" s="1"/>
  <c r="M103" i="2"/>
  <c r="L103" i="2"/>
  <c r="P103" i="2" s="1"/>
  <c r="J103" i="2"/>
  <c r="K103" i="2" s="1"/>
  <c r="H103" i="2"/>
  <c r="F103" i="2"/>
  <c r="O102" i="2"/>
  <c r="Q102" i="2" s="1"/>
  <c r="M102" i="2"/>
  <c r="L102" i="2"/>
  <c r="P102" i="2" s="1"/>
  <c r="J102" i="2"/>
  <c r="K102" i="2" s="1"/>
  <c r="H102" i="2"/>
  <c r="F102" i="2"/>
  <c r="O101" i="2"/>
  <c r="Q101" i="2" s="1"/>
  <c r="M101" i="2"/>
  <c r="L101" i="2"/>
  <c r="P101" i="2" s="1"/>
  <c r="J101" i="2"/>
  <c r="K101" i="2" s="1"/>
  <c r="H101" i="2"/>
  <c r="F101" i="2"/>
  <c r="O100" i="2"/>
  <c r="Q100" i="2" s="1"/>
  <c r="M100" i="2"/>
  <c r="L100" i="2"/>
  <c r="P100" i="2" s="1"/>
  <c r="J100" i="2"/>
  <c r="K100" i="2" s="1"/>
  <c r="H100" i="2"/>
  <c r="F100" i="2"/>
  <c r="O99" i="2"/>
  <c r="Q99" i="2" s="1"/>
  <c r="M99" i="2"/>
  <c r="L99" i="2"/>
  <c r="P99" i="2" s="1"/>
  <c r="J99" i="2"/>
  <c r="K99" i="2" s="1"/>
  <c r="H99" i="2"/>
  <c r="F99" i="2"/>
  <c r="O98" i="2"/>
  <c r="Q98" i="2" s="1"/>
  <c r="M98" i="2"/>
  <c r="L98" i="2"/>
  <c r="P98" i="2" s="1"/>
  <c r="J98" i="2"/>
  <c r="K98" i="2" s="1"/>
  <c r="H98" i="2"/>
  <c r="F98" i="2"/>
  <c r="O97" i="2"/>
  <c r="Q97" i="2" s="1"/>
  <c r="M97" i="2"/>
  <c r="L97" i="2"/>
  <c r="P97" i="2" s="1"/>
  <c r="J97" i="2"/>
  <c r="K97" i="2" s="1"/>
  <c r="H97" i="2"/>
  <c r="F97" i="2"/>
  <c r="O96" i="2"/>
  <c r="Q96" i="2" s="1"/>
  <c r="M96" i="2"/>
  <c r="L96" i="2"/>
  <c r="P96" i="2" s="1"/>
  <c r="J96" i="2"/>
  <c r="K96" i="2" s="1"/>
  <c r="H96" i="2"/>
  <c r="F96" i="2"/>
  <c r="O95" i="2"/>
  <c r="Q95" i="2" s="1"/>
  <c r="M95" i="2"/>
  <c r="L95" i="2"/>
  <c r="P95" i="2" s="1"/>
  <c r="J95" i="2"/>
  <c r="K95" i="2" s="1"/>
  <c r="H95" i="2"/>
  <c r="F95" i="2"/>
  <c r="O94" i="2"/>
  <c r="Q94" i="2" s="1"/>
  <c r="M94" i="2"/>
  <c r="L94" i="2"/>
  <c r="P94" i="2" s="1"/>
  <c r="J94" i="2"/>
  <c r="K94" i="2" s="1"/>
  <c r="H94" i="2"/>
  <c r="F94" i="2"/>
  <c r="O93" i="2"/>
  <c r="Q93" i="2" s="1"/>
  <c r="M93" i="2"/>
  <c r="L93" i="2"/>
  <c r="P93" i="2" s="1"/>
  <c r="J93" i="2"/>
  <c r="K93" i="2" s="1"/>
  <c r="H93" i="2"/>
  <c r="F93" i="2"/>
  <c r="O92" i="2"/>
  <c r="Q92" i="2" s="1"/>
  <c r="M92" i="2"/>
  <c r="L92" i="2"/>
  <c r="P92" i="2" s="1"/>
  <c r="J92" i="2"/>
  <c r="K92" i="2" s="1"/>
  <c r="H92" i="2"/>
  <c r="F92" i="2"/>
  <c r="O91" i="2"/>
  <c r="Q91" i="2" s="1"/>
  <c r="M91" i="2"/>
  <c r="L91" i="2"/>
  <c r="P91" i="2" s="1"/>
  <c r="J91" i="2"/>
  <c r="K91" i="2" s="1"/>
  <c r="H91" i="2"/>
  <c r="F91" i="2"/>
  <c r="O90" i="2"/>
  <c r="Q90" i="2" s="1"/>
  <c r="M90" i="2"/>
  <c r="L90" i="2"/>
  <c r="P90" i="2" s="1"/>
  <c r="J90" i="2"/>
  <c r="K90" i="2" s="1"/>
  <c r="H90" i="2"/>
  <c r="F90" i="2"/>
  <c r="O89" i="2"/>
  <c r="Q89" i="2" s="1"/>
  <c r="M89" i="2"/>
  <c r="L89" i="2"/>
  <c r="P89" i="2" s="1"/>
  <c r="J89" i="2"/>
  <c r="K89" i="2" s="1"/>
  <c r="H89" i="2"/>
  <c r="F89" i="2"/>
  <c r="O88" i="2"/>
  <c r="Q88" i="2" s="1"/>
  <c r="M88" i="2"/>
  <c r="L88" i="2"/>
  <c r="P88" i="2" s="1"/>
  <c r="J88" i="2"/>
  <c r="K88" i="2" s="1"/>
  <c r="H88" i="2"/>
  <c r="F88" i="2"/>
  <c r="O87" i="2"/>
  <c r="Q87" i="2" s="1"/>
  <c r="M87" i="2"/>
  <c r="L87" i="2"/>
  <c r="P87" i="2" s="1"/>
  <c r="J87" i="2"/>
  <c r="K87" i="2" s="1"/>
  <c r="H87" i="2"/>
  <c r="F87" i="2"/>
  <c r="O86" i="2"/>
  <c r="Q86" i="2" s="1"/>
  <c r="M86" i="2"/>
  <c r="L86" i="2"/>
  <c r="P86" i="2" s="1"/>
  <c r="J86" i="2"/>
  <c r="K86" i="2" s="1"/>
  <c r="H86" i="2"/>
  <c r="F86" i="2"/>
  <c r="O85" i="2"/>
  <c r="Q85" i="2" s="1"/>
  <c r="M85" i="2"/>
  <c r="L85" i="2"/>
  <c r="P85" i="2" s="1"/>
  <c r="J85" i="2"/>
  <c r="K85" i="2" s="1"/>
  <c r="H85" i="2"/>
  <c r="F85" i="2"/>
  <c r="O84" i="2"/>
  <c r="Q84" i="2" s="1"/>
  <c r="M84" i="2"/>
  <c r="L84" i="2"/>
  <c r="P84" i="2" s="1"/>
  <c r="J84" i="2"/>
  <c r="K84" i="2" s="1"/>
  <c r="H84" i="2"/>
  <c r="F84" i="2"/>
  <c r="O83" i="2"/>
  <c r="Q83" i="2" s="1"/>
  <c r="M83" i="2"/>
  <c r="L83" i="2"/>
  <c r="P83" i="2" s="1"/>
  <c r="J83" i="2"/>
  <c r="K83" i="2" s="1"/>
  <c r="H83" i="2"/>
  <c r="F83" i="2"/>
  <c r="O82" i="2"/>
  <c r="Q82" i="2" s="1"/>
  <c r="M82" i="2"/>
  <c r="L82" i="2"/>
  <c r="P82" i="2" s="1"/>
  <c r="J82" i="2"/>
  <c r="K82" i="2" s="1"/>
  <c r="H82" i="2"/>
  <c r="F82" i="2"/>
  <c r="O81" i="2"/>
  <c r="Q81" i="2" s="1"/>
  <c r="M81" i="2"/>
  <c r="L81" i="2"/>
  <c r="P81" i="2" s="1"/>
  <c r="J81" i="2"/>
  <c r="K81" i="2" s="1"/>
  <c r="H81" i="2"/>
  <c r="F81" i="2"/>
  <c r="O80" i="2"/>
  <c r="Q80" i="2" s="1"/>
  <c r="M80" i="2"/>
  <c r="L80" i="2"/>
  <c r="P80" i="2" s="1"/>
  <c r="J80" i="2"/>
  <c r="K80" i="2" s="1"/>
  <c r="H80" i="2"/>
  <c r="F80" i="2"/>
  <c r="O79" i="2"/>
  <c r="Q79" i="2" s="1"/>
  <c r="M79" i="2"/>
  <c r="L79" i="2"/>
  <c r="P79" i="2" s="1"/>
  <c r="J79" i="2"/>
  <c r="K79" i="2" s="1"/>
  <c r="H79" i="2"/>
  <c r="F79" i="2"/>
  <c r="O78" i="2"/>
  <c r="Q78" i="2" s="1"/>
  <c r="M78" i="2"/>
  <c r="L78" i="2"/>
  <c r="P78" i="2" s="1"/>
  <c r="J78" i="2"/>
  <c r="K78" i="2" s="1"/>
  <c r="H78" i="2"/>
  <c r="F78" i="2"/>
  <c r="O77" i="2"/>
  <c r="Q77" i="2" s="1"/>
  <c r="M77" i="2"/>
  <c r="L77" i="2"/>
  <c r="P77" i="2" s="1"/>
  <c r="J77" i="2"/>
  <c r="K77" i="2" s="1"/>
  <c r="H77" i="2"/>
  <c r="F77" i="2"/>
  <c r="O76" i="2"/>
  <c r="Q76" i="2" s="1"/>
  <c r="M76" i="2"/>
  <c r="L76" i="2"/>
  <c r="P76" i="2" s="1"/>
  <c r="J76" i="2"/>
  <c r="K76" i="2" s="1"/>
  <c r="H76" i="2"/>
  <c r="F76" i="2"/>
  <c r="O75" i="2"/>
  <c r="Q75" i="2" s="1"/>
  <c r="M75" i="2"/>
  <c r="L75" i="2"/>
  <c r="P75" i="2" s="1"/>
  <c r="J75" i="2"/>
  <c r="K75" i="2" s="1"/>
  <c r="H75" i="2"/>
  <c r="F75" i="2"/>
  <c r="O74" i="2"/>
  <c r="Q74" i="2" s="1"/>
  <c r="M74" i="2"/>
  <c r="L74" i="2"/>
  <c r="P74" i="2" s="1"/>
  <c r="J74" i="2"/>
  <c r="K74" i="2" s="1"/>
  <c r="H74" i="2"/>
  <c r="F74" i="2"/>
  <c r="O73" i="2"/>
  <c r="Q73" i="2" s="1"/>
  <c r="M73" i="2"/>
  <c r="L73" i="2"/>
  <c r="P73" i="2" s="1"/>
  <c r="J73" i="2"/>
  <c r="K73" i="2" s="1"/>
  <c r="H73" i="2"/>
  <c r="F73" i="2"/>
  <c r="O72" i="2"/>
  <c r="Q72" i="2" s="1"/>
  <c r="M72" i="2"/>
  <c r="L72" i="2"/>
  <c r="P72" i="2" s="1"/>
  <c r="J72" i="2"/>
  <c r="K72" i="2" s="1"/>
  <c r="H72" i="2"/>
  <c r="F72" i="2"/>
  <c r="O71" i="2"/>
  <c r="Q71" i="2" s="1"/>
  <c r="M71" i="2"/>
  <c r="L71" i="2"/>
  <c r="P71" i="2" s="1"/>
  <c r="J71" i="2"/>
  <c r="K71" i="2" s="1"/>
  <c r="H71" i="2"/>
  <c r="F71" i="2"/>
  <c r="O70" i="2"/>
  <c r="Q70" i="2" s="1"/>
  <c r="M70" i="2"/>
  <c r="L70" i="2"/>
  <c r="P70" i="2" s="1"/>
  <c r="J70" i="2"/>
  <c r="K70" i="2" s="1"/>
  <c r="H70" i="2"/>
  <c r="F70" i="2"/>
  <c r="O69" i="2"/>
  <c r="Q69" i="2" s="1"/>
  <c r="M69" i="2"/>
  <c r="L69" i="2"/>
  <c r="P69" i="2" s="1"/>
  <c r="J69" i="2"/>
  <c r="K69" i="2" s="1"/>
  <c r="H69" i="2"/>
  <c r="F69" i="2"/>
  <c r="O68" i="2"/>
  <c r="Q68" i="2" s="1"/>
  <c r="M68" i="2"/>
  <c r="L68" i="2"/>
  <c r="P68" i="2" s="1"/>
  <c r="J68" i="2"/>
  <c r="K68" i="2" s="1"/>
  <c r="H68" i="2"/>
  <c r="F68" i="2"/>
  <c r="O67" i="2"/>
  <c r="Q67" i="2" s="1"/>
  <c r="M67" i="2"/>
  <c r="L67" i="2"/>
  <c r="P67" i="2" s="1"/>
  <c r="J67" i="2"/>
  <c r="K67" i="2" s="1"/>
  <c r="H67" i="2"/>
  <c r="F67" i="2"/>
  <c r="O66" i="2"/>
  <c r="Q66" i="2" s="1"/>
  <c r="M66" i="2"/>
  <c r="L66" i="2"/>
  <c r="P66" i="2" s="1"/>
  <c r="J66" i="2"/>
  <c r="K66" i="2" s="1"/>
  <c r="H66" i="2"/>
  <c r="F66" i="2"/>
  <c r="O65" i="2"/>
  <c r="Q65" i="2" s="1"/>
  <c r="M65" i="2"/>
  <c r="L65" i="2"/>
  <c r="P65" i="2" s="1"/>
  <c r="J65" i="2"/>
  <c r="K65" i="2" s="1"/>
  <c r="H65" i="2"/>
  <c r="F65" i="2"/>
  <c r="O64" i="2"/>
  <c r="Q64" i="2" s="1"/>
  <c r="M64" i="2"/>
  <c r="L64" i="2"/>
  <c r="P64" i="2" s="1"/>
  <c r="J64" i="2"/>
  <c r="K64" i="2" s="1"/>
  <c r="H64" i="2"/>
  <c r="F64" i="2"/>
  <c r="O63" i="2"/>
  <c r="Q63" i="2" s="1"/>
  <c r="M63" i="2"/>
  <c r="L63" i="2"/>
  <c r="P63" i="2" s="1"/>
  <c r="J63" i="2"/>
  <c r="K63" i="2" s="1"/>
  <c r="H63" i="2"/>
  <c r="F63" i="2"/>
  <c r="O62" i="2"/>
  <c r="Q62" i="2" s="1"/>
  <c r="M62" i="2"/>
  <c r="L62" i="2"/>
  <c r="P62" i="2" s="1"/>
  <c r="J62" i="2"/>
  <c r="K62" i="2" s="1"/>
  <c r="H62" i="2"/>
  <c r="F62" i="2"/>
  <c r="O61" i="2"/>
  <c r="Q61" i="2" s="1"/>
  <c r="M61" i="2"/>
  <c r="L61" i="2"/>
  <c r="P61" i="2" s="1"/>
  <c r="J61" i="2"/>
  <c r="K61" i="2" s="1"/>
  <c r="H61" i="2"/>
  <c r="F61" i="2"/>
  <c r="O60" i="2"/>
  <c r="Q60" i="2" s="1"/>
  <c r="M60" i="2"/>
  <c r="L60" i="2"/>
  <c r="P60" i="2" s="1"/>
  <c r="J60" i="2"/>
  <c r="K60" i="2" s="1"/>
  <c r="H60" i="2"/>
  <c r="F60" i="2"/>
  <c r="O59" i="2"/>
  <c r="Q59" i="2" s="1"/>
  <c r="M59" i="2"/>
  <c r="L59" i="2"/>
  <c r="P59" i="2" s="1"/>
  <c r="J59" i="2"/>
  <c r="K59" i="2" s="1"/>
  <c r="H59" i="2"/>
  <c r="F59" i="2"/>
  <c r="O58" i="2"/>
  <c r="Q58" i="2" s="1"/>
  <c r="M58" i="2"/>
  <c r="L58" i="2"/>
  <c r="P58" i="2" s="1"/>
  <c r="J58" i="2"/>
  <c r="K58" i="2" s="1"/>
  <c r="H58" i="2"/>
  <c r="F58" i="2"/>
  <c r="O57" i="2"/>
  <c r="Q57" i="2" s="1"/>
  <c r="M57" i="2"/>
  <c r="L57" i="2"/>
  <c r="P57" i="2" s="1"/>
  <c r="J57" i="2"/>
  <c r="K57" i="2" s="1"/>
  <c r="H57" i="2"/>
  <c r="F57" i="2"/>
  <c r="O56" i="2"/>
  <c r="Q56" i="2" s="1"/>
  <c r="M56" i="2"/>
  <c r="L56" i="2"/>
  <c r="P56" i="2" s="1"/>
  <c r="J56" i="2"/>
  <c r="K56" i="2" s="1"/>
  <c r="H56" i="2"/>
  <c r="F56" i="2"/>
  <c r="O55" i="2"/>
  <c r="Q55" i="2" s="1"/>
  <c r="M55" i="2"/>
  <c r="L55" i="2"/>
  <c r="P55" i="2" s="1"/>
  <c r="J55" i="2"/>
  <c r="K55" i="2" s="1"/>
  <c r="H55" i="2"/>
  <c r="F55" i="2"/>
  <c r="O54" i="2"/>
  <c r="Q54" i="2" s="1"/>
  <c r="M54" i="2"/>
  <c r="L54" i="2"/>
  <c r="P54" i="2" s="1"/>
  <c r="J54" i="2"/>
  <c r="K54" i="2" s="1"/>
  <c r="H54" i="2"/>
  <c r="F54" i="2"/>
  <c r="O53" i="2"/>
  <c r="Q53" i="2" s="1"/>
  <c r="M53" i="2"/>
  <c r="L53" i="2"/>
  <c r="P53" i="2" s="1"/>
  <c r="J53" i="2"/>
  <c r="K53" i="2" s="1"/>
  <c r="H53" i="2"/>
  <c r="F53" i="2"/>
  <c r="O52" i="2"/>
  <c r="Q52" i="2" s="1"/>
  <c r="M52" i="2"/>
  <c r="L52" i="2"/>
  <c r="P52" i="2" s="1"/>
  <c r="J52" i="2"/>
  <c r="K52" i="2" s="1"/>
  <c r="H52" i="2"/>
  <c r="F52" i="2"/>
  <c r="O51" i="2"/>
  <c r="Q51" i="2" s="1"/>
  <c r="M51" i="2"/>
  <c r="L51" i="2"/>
  <c r="P51" i="2" s="1"/>
  <c r="J51" i="2"/>
  <c r="K51" i="2" s="1"/>
  <c r="H51" i="2"/>
  <c r="F51" i="2"/>
  <c r="O50" i="2"/>
  <c r="Q50" i="2" s="1"/>
  <c r="M50" i="2"/>
  <c r="L50" i="2"/>
  <c r="P50" i="2" s="1"/>
  <c r="J50" i="2"/>
  <c r="K50" i="2" s="1"/>
  <c r="H50" i="2"/>
  <c r="F50" i="2"/>
  <c r="O49" i="2"/>
  <c r="Q49" i="2" s="1"/>
  <c r="M49" i="2"/>
  <c r="L49" i="2"/>
  <c r="P49" i="2" s="1"/>
  <c r="J49" i="2"/>
  <c r="K49" i="2" s="1"/>
  <c r="H49" i="2"/>
  <c r="F49" i="2"/>
  <c r="O48" i="2"/>
  <c r="Q48" i="2" s="1"/>
  <c r="M48" i="2"/>
  <c r="L48" i="2"/>
  <c r="P48" i="2" s="1"/>
  <c r="J48" i="2"/>
  <c r="K48" i="2" s="1"/>
  <c r="H48" i="2"/>
  <c r="F48" i="2"/>
  <c r="O47" i="2"/>
  <c r="Q47" i="2" s="1"/>
  <c r="M47" i="2"/>
  <c r="L47" i="2"/>
  <c r="P47" i="2" s="1"/>
  <c r="J47" i="2"/>
  <c r="K47" i="2" s="1"/>
  <c r="H47" i="2"/>
  <c r="F47" i="2"/>
  <c r="O46" i="2"/>
  <c r="Q46" i="2" s="1"/>
  <c r="M46" i="2"/>
  <c r="L46" i="2"/>
  <c r="P46" i="2" s="1"/>
  <c r="J46" i="2"/>
  <c r="K46" i="2" s="1"/>
  <c r="H46" i="2"/>
  <c r="F46" i="2"/>
  <c r="O45" i="2"/>
  <c r="Q45" i="2" s="1"/>
  <c r="M45" i="2"/>
  <c r="L45" i="2"/>
  <c r="P45" i="2" s="1"/>
  <c r="J45" i="2"/>
  <c r="K45" i="2" s="1"/>
  <c r="H45" i="2"/>
  <c r="F45" i="2"/>
  <c r="O44" i="2"/>
  <c r="Q44" i="2" s="1"/>
  <c r="M44" i="2"/>
  <c r="L44" i="2"/>
  <c r="P44" i="2" s="1"/>
  <c r="J44" i="2"/>
  <c r="K44" i="2" s="1"/>
  <c r="H44" i="2"/>
  <c r="F44" i="2"/>
  <c r="O43" i="2"/>
  <c r="Q43" i="2" s="1"/>
  <c r="M43" i="2"/>
  <c r="L43" i="2"/>
  <c r="P43" i="2" s="1"/>
  <c r="J43" i="2"/>
  <c r="K43" i="2" s="1"/>
  <c r="H43" i="2"/>
  <c r="F43" i="2"/>
  <c r="O42" i="2"/>
  <c r="Q42" i="2" s="1"/>
  <c r="M42" i="2"/>
  <c r="L42" i="2"/>
  <c r="P42" i="2" s="1"/>
  <c r="J42" i="2"/>
  <c r="K42" i="2" s="1"/>
  <c r="H42" i="2"/>
  <c r="F42" i="2"/>
  <c r="O41" i="2"/>
  <c r="Q41" i="2" s="1"/>
  <c r="M41" i="2"/>
  <c r="L41" i="2"/>
  <c r="P41" i="2" s="1"/>
  <c r="J41" i="2"/>
  <c r="K41" i="2" s="1"/>
  <c r="H41" i="2"/>
  <c r="F41" i="2"/>
  <c r="O40" i="2"/>
  <c r="Q40" i="2" s="1"/>
  <c r="M40" i="2"/>
  <c r="L40" i="2"/>
  <c r="P40" i="2" s="1"/>
  <c r="J40" i="2"/>
  <c r="K40" i="2" s="1"/>
  <c r="H40" i="2"/>
  <c r="F40" i="2"/>
  <c r="O39" i="2"/>
  <c r="Q39" i="2" s="1"/>
  <c r="M39" i="2"/>
  <c r="L39" i="2"/>
  <c r="P39" i="2" s="1"/>
  <c r="J39" i="2"/>
  <c r="K39" i="2" s="1"/>
  <c r="H39" i="2"/>
  <c r="F39" i="2"/>
  <c r="O38" i="2"/>
  <c r="Q38" i="2" s="1"/>
  <c r="M38" i="2"/>
  <c r="L38" i="2"/>
  <c r="P38" i="2" s="1"/>
  <c r="J38" i="2"/>
  <c r="K38" i="2" s="1"/>
  <c r="H38" i="2"/>
  <c r="F38" i="2"/>
  <c r="O37" i="2"/>
  <c r="Q37" i="2" s="1"/>
  <c r="M37" i="2"/>
  <c r="L37" i="2"/>
  <c r="P37" i="2" s="1"/>
  <c r="J37" i="2"/>
  <c r="K37" i="2" s="1"/>
  <c r="H37" i="2"/>
  <c r="F37" i="2"/>
  <c r="O36" i="2"/>
  <c r="Q36" i="2" s="1"/>
  <c r="M36" i="2"/>
  <c r="L36" i="2"/>
  <c r="P36" i="2" s="1"/>
  <c r="J36" i="2"/>
  <c r="K36" i="2" s="1"/>
  <c r="H36" i="2"/>
  <c r="F36" i="2"/>
  <c r="O35" i="2"/>
  <c r="Q35" i="2" s="1"/>
  <c r="M35" i="2"/>
  <c r="L35" i="2"/>
  <c r="P35" i="2" s="1"/>
  <c r="J35" i="2"/>
  <c r="K35" i="2" s="1"/>
  <c r="H35" i="2"/>
  <c r="F35" i="2"/>
  <c r="O34" i="2"/>
  <c r="Q34" i="2" s="1"/>
  <c r="M34" i="2"/>
  <c r="L34" i="2"/>
  <c r="P34" i="2" s="1"/>
  <c r="J34" i="2"/>
  <c r="K34" i="2" s="1"/>
  <c r="H34" i="2"/>
  <c r="F34" i="2"/>
  <c r="O33" i="2"/>
  <c r="Q33" i="2" s="1"/>
  <c r="M33" i="2"/>
  <c r="L33" i="2"/>
  <c r="P33" i="2" s="1"/>
  <c r="J33" i="2"/>
  <c r="K33" i="2" s="1"/>
  <c r="H33" i="2"/>
  <c r="F33" i="2"/>
  <c r="O32" i="2"/>
  <c r="Q32" i="2" s="1"/>
  <c r="M32" i="2"/>
  <c r="L32" i="2"/>
  <c r="P32" i="2" s="1"/>
  <c r="J32" i="2"/>
  <c r="K32" i="2" s="1"/>
  <c r="H32" i="2"/>
  <c r="F32" i="2"/>
  <c r="O31" i="2"/>
  <c r="Q31" i="2" s="1"/>
  <c r="M31" i="2"/>
  <c r="L31" i="2"/>
  <c r="P31" i="2" s="1"/>
  <c r="J31" i="2"/>
  <c r="K31" i="2" s="1"/>
  <c r="H31" i="2"/>
  <c r="F31" i="2"/>
  <c r="O30" i="2"/>
  <c r="Q30" i="2" s="1"/>
  <c r="M30" i="2"/>
  <c r="L30" i="2"/>
  <c r="P30" i="2" s="1"/>
  <c r="J30" i="2"/>
  <c r="K30" i="2" s="1"/>
  <c r="H30" i="2"/>
  <c r="F30" i="2"/>
  <c r="O29" i="2"/>
  <c r="Q29" i="2" s="1"/>
  <c r="M29" i="2"/>
  <c r="L29" i="2"/>
  <c r="P29" i="2" s="1"/>
  <c r="J29" i="2"/>
  <c r="K29" i="2" s="1"/>
  <c r="H29" i="2"/>
  <c r="F29" i="2"/>
  <c r="O28" i="2"/>
  <c r="Q28" i="2" s="1"/>
  <c r="M28" i="2"/>
  <c r="L28" i="2"/>
  <c r="P28" i="2" s="1"/>
  <c r="J28" i="2"/>
  <c r="K28" i="2" s="1"/>
  <c r="H28" i="2"/>
  <c r="F28" i="2"/>
  <c r="O27" i="2"/>
  <c r="Q27" i="2" s="1"/>
  <c r="M27" i="2"/>
  <c r="L27" i="2"/>
  <c r="P27" i="2" s="1"/>
  <c r="J27" i="2"/>
  <c r="K27" i="2" s="1"/>
  <c r="H27" i="2"/>
  <c r="F27" i="2"/>
  <c r="O26" i="2"/>
  <c r="Q26" i="2" s="1"/>
  <c r="M26" i="2"/>
  <c r="L26" i="2"/>
  <c r="P26" i="2" s="1"/>
  <c r="J26" i="2"/>
  <c r="K26" i="2" s="1"/>
  <c r="H26" i="2"/>
  <c r="F26" i="2"/>
  <c r="O25" i="2"/>
  <c r="Q25" i="2" s="1"/>
  <c r="M25" i="2"/>
  <c r="L25" i="2"/>
  <c r="P25" i="2" s="1"/>
  <c r="J25" i="2"/>
  <c r="K25" i="2" s="1"/>
  <c r="H25" i="2"/>
  <c r="F25" i="2"/>
  <c r="O24" i="2"/>
  <c r="Q24" i="2" s="1"/>
  <c r="M24" i="2"/>
  <c r="L24" i="2"/>
  <c r="P24" i="2" s="1"/>
  <c r="J24" i="2"/>
  <c r="K24" i="2" s="1"/>
  <c r="H24" i="2"/>
  <c r="F24" i="2"/>
  <c r="O23" i="2"/>
  <c r="Q23" i="2" s="1"/>
  <c r="M23" i="2"/>
  <c r="L23" i="2"/>
  <c r="P23" i="2" s="1"/>
  <c r="J23" i="2"/>
  <c r="K23" i="2" s="1"/>
  <c r="H23" i="2"/>
  <c r="F23" i="2"/>
  <c r="O22" i="2"/>
  <c r="Q22" i="2" s="1"/>
  <c r="M22" i="2"/>
  <c r="L22" i="2"/>
  <c r="P22" i="2" s="1"/>
  <c r="J22" i="2"/>
  <c r="K22" i="2" s="1"/>
  <c r="H22" i="2"/>
  <c r="F22" i="2"/>
  <c r="O21" i="2"/>
  <c r="Q21" i="2" s="1"/>
  <c r="M21" i="2"/>
  <c r="L21" i="2"/>
  <c r="P21" i="2" s="1"/>
  <c r="J21" i="2"/>
  <c r="K21" i="2" s="1"/>
  <c r="H21" i="2"/>
  <c r="F21" i="2"/>
  <c r="O20" i="2"/>
  <c r="Q20" i="2" s="1"/>
  <c r="M20" i="2"/>
  <c r="L20" i="2"/>
  <c r="P20" i="2" s="1"/>
  <c r="J20" i="2"/>
  <c r="K20" i="2" s="1"/>
  <c r="H20" i="2"/>
  <c r="F20" i="2"/>
  <c r="O19" i="2"/>
  <c r="Q19" i="2" s="1"/>
  <c r="M19" i="2"/>
  <c r="L19" i="2"/>
  <c r="P19" i="2" s="1"/>
  <c r="J19" i="2"/>
  <c r="K19" i="2" s="1"/>
  <c r="H19" i="2"/>
  <c r="F19" i="2"/>
  <c r="O18" i="2"/>
  <c r="Q18" i="2" s="1"/>
  <c r="M18" i="2"/>
  <c r="L18" i="2"/>
  <c r="P18" i="2" s="1"/>
  <c r="J18" i="2"/>
  <c r="K18" i="2" s="1"/>
  <c r="H18" i="2"/>
  <c r="F18" i="2"/>
  <c r="O17" i="2"/>
  <c r="Q17" i="2" s="1"/>
  <c r="M17" i="2"/>
  <c r="L17" i="2"/>
  <c r="P17" i="2" s="1"/>
  <c r="J17" i="2"/>
  <c r="K17" i="2" s="1"/>
  <c r="H17" i="2"/>
  <c r="F17" i="2"/>
  <c r="O16" i="2"/>
  <c r="Q16" i="2" s="1"/>
  <c r="M16" i="2"/>
  <c r="L16" i="2"/>
  <c r="P16" i="2" s="1"/>
  <c r="J16" i="2"/>
  <c r="K16" i="2" s="1"/>
  <c r="H16" i="2"/>
  <c r="F16" i="2"/>
  <c r="O15" i="2"/>
  <c r="Q15" i="2" s="1"/>
  <c r="M15" i="2"/>
  <c r="L15" i="2"/>
  <c r="P15" i="2" s="1"/>
  <c r="J15" i="2"/>
  <c r="K15" i="2" s="1"/>
  <c r="H15" i="2"/>
  <c r="F15" i="2"/>
  <c r="O14" i="2"/>
  <c r="Q14" i="2" s="1"/>
  <c r="M14" i="2"/>
  <c r="L14" i="2"/>
  <c r="P14" i="2" s="1"/>
  <c r="J14" i="2"/>
  <c r="K14" i="2" s="1"/>
  <c r="H14" i="2"/>
  <c r="F14" i="2"/>
  <c r="O13" i="2"/>
  <c r="Q13" i="2" s="1"/>
  <c r="M13" i="2"/>
  <c r="L13" i="2"/>
  <c r="P13" i="2" s="1"/>
  <c r="J13" i="2"/>
  <c r="K13" i="2" s="1"/>
  <c r="H13" i="2"/>
  <c r="F13" i="2"/>
  <c r="O12" i="2"/>
  <c r="Q12" i="2" s="1"/>
  <c r="M12" i="2"/>
  <c r="L12" i="2"/>
  <c r="P12" i="2" s="1"/>
  <c r="J12" i="2"/>
  <c r="K12" i="2" s="1"/>
  <c r="H12" i="2"/>
  <c r="F12" i="2"/>
  <c r="O11" i="2"/>
  <c r="Q11" i="2" s="1"/>
  <c r="M11" i="2"/>
  <c r="L11" i="2"/>
  <c r="P11" i="2" s="1"/>
  <c r="J11" i="2"/>
  <c r="K11" i="2" s="1"/>
  <c r="H11" i="2"/>
  <c r="F11" i="2"/>
  <c r="O10" i="2"/>
  <c r="Q10" i="2" s="1"/>
  <c r="M10" i="2"/>
  <c r="L10" i="2"/>
  <c r="P10" i="2" s="1"/>
  <c r="J10" i="2"/>
  <c r="K10" i="2" s="1"/>
  <c r="H10" i="2"/>
  <c r="F10" i="2"/>
  <c r="O9" i="2"/>
  <c r="Q9" i="2" s="1"/>
  <c r="M9" i="2"/>
  <c r="L9" i="2"/>
  <c r="P9" i="2" s="1"/>
  <c r="J9" i="2"/>
  <c r="K9" i="2" s="1"/>
  <c r="H9" i="2"/>
  <c r="F9" i="2"/>
  <c r="O8" i="2"/>
  <c r="Q8" i="2" s="1"/>
  <c r="M8" i="2"/>
  <c r="L8" i="2"/>
  <c r="P8" i="2" s="1"/>
  <c r="J8" i="2"/>
  <c r="K8" i="2" s="1"/>
  <c r="H8" i="2"/>
  <c r="F8" i="2"/>
  <c r="O7" i="2"/>
  <c r="Q7" i="2" s="1"/>
  <c r="M7" i="2"/>
  <c r="L7" i="2"/>
  <c r="P7" i="2" s="1"/>
  <c r="J7" i="2"/>
  <c r="K7" i="2" s="1"/>
  <c r="H7" i="2"/>
  <c r="F7" i="2"/>
  <c r="O6" i="2"/>
  <c r="Q6" i="2" s="1"/>
  <c r="M6" i="2"/>
  <c r="L6" i="2"/>
  <c r="P6" i="2" s="1"/>
  <c r="J6" i="2"/>
  <c r="K6" i="2" s="1"/>
  <c r="H6" i="2"/>
  <c r="F6" i="2"/>
  <c r="O5" i="2"/>
  <c r="Q5" i="2" s="1"/>
  <c r="M5" i="2"/>
  <c r="L5" i="2"/>
  <c r="P5" i="2" s="1"/>
  <c r="J5" i="2"/>
  <c r="K5" i="2" s="1"/>
  <c r="H5" i="2"/>
  <c r="F5" i="2"/>
  <c r="O4" i="2"/>
  <c r="Q4" i="2" s="1"/>
  <c r="M4" i="2"/>
  <c r="L4" i="2"/>
  <c r="P4" i="2" s="1"/>
  <c r="J4" i="2"/>
  <c r="K4" i="2" s="1"/>
  <c r="H4" i="2"/>
  <c r="F4" i="2"/>
  <c r="O3" i="2"/>
  <c r="Q3" i="2" s="1"/>
  <c r="M3" i="2"/>
  <c r="L3" i="2"/>
  <c r="P3" i="2" s="1"/>
  <c r="J3" i="2"/>
  <c r="K3" i="2" s="1"/>
  <c r="H3" i="2"/>
  <c r="F3" i="2"/>
  <c r="O2" i="2"/>
  <c r="Q2" i="2" s="1"/>
  <c r="M2" i="2"/>
  <c r="L2" i="2"/>
  <c r="P2" i="2" s="1"/>
  <c r="J2" i="2"/>
  <c r="K2" i="2" s="1"/>
  <c r="H2" i="2"/>
  <c r="F2" i="2"/>
  <c r="I37" i="2" l="1"/>
  <c r="N37" i="2"/>
  <c r="G299" i="2"/>
  <c r="G286" i="2"/>
  <c r="G293" i="2"/>
  <c r="G285" i="2"/>
  <c r="G296" i="2"/>
  <c r="G287" i="2"/>
  <c r="G291" i="2"/>
  <c r="G284" i="2"/>
  <c r="G303" i="2"/>
  <c r="G292" i="2"/>
  <c r="G288" i="2"/>
  <c r="G565" i="2"/>
  <c r="G564" i="2"/>
  <c r="G563" i="2"/>
  <c r="G562" i="2"/>
  <c r="G561" i="2"/>
  <c r="G560" i="2"/>
  <c r="G559" i="2"/>
  <c r="G558" i="2"/>
  <c r="G557" i="2"/>
  <c r="G556" i="2"/>
  <c r="G555" i="2"/>
  <c r="G554" i="2"/>
  <c r="G553" i="2"/>
  <c r="G552" i="2"/>
  <c r="G551" i="2"/>
  <c r="G550" i="2"/>
  <c r="G549" i="2"/>
  <c r="G548" i="2"/>
  <c r="G547" i="2"/>
  <c r="G546" i="2"/>
  <c r="G545" i="2"/>
  <c r="G544" i="2"/>
  <c r="G543" i="2"/>
  <c r="G542" i="2"/>
  <c r="G541" i="2"/>
  <c r="G540" i="2"/>
  <c r="G539" i="2"/>
  <c r="G538" i="2"/>
  <c r="G537" i="2"/>
  <c r="G536" i="2"/>
  <c r="G535" i="2"/>
  <c r="G534" i="2"/>
  <c r="G533" i="2"/>
  <c r="G532" i="2"/>
  <c r="G531" i="2"/>
  <c r="G517" i="2"/>
  <c r="G516" i="2"/>
  <c r="G514" i="2"/>
  <c r="G513" i="2"/>
  <c r="G512" i="2"/>
  <c r="G511" i="2"/>
  <c r="G510" i="2"/>
  <c r="G508" i="2"/>
  <c r="G507" i="2"/>
  <c r="G506" i="2"/>
  <c r="G501" i="2"/>
  <c r="G500" i="2"/>
  <c r="G499" i="2"/>
  <c r="G497" i="2"/>
  <c r="G496" i="2"/>
  <c r="G430" i="2"/>
  <c r="G426" i="2"/>
  <c r="G396" i="2"/>
  <c r="G324" i="2"/>
  <c r="G530" i="2"/>
  <c r="G529" i="2"/>
  <c r="G528" i="2"/>
  <c r="G527" i="2"/>
  <c r="G526" i="2"/>
  <c r="G525" i="2"/>
  <c r="G524" i="2"/>
  <c r="G523" i="2"/>
  <c r="G522" i="2"/>
  <c r="G521" i="2"/>
  <c r="G520" i="2"/>
  <c r="G519" i="2"/>
  <c r="G518" i="2"/>
  <c r="G515" i="2"/>
  <c r="G509" i="2"/>
  <c r="G505" i="2"/>
  <c r="G504" i="2"/>
  <c r="G503" i="2"/>
  <c r="G502" i="2"/>
  <c r="G498" i="2"/>
  <c r="G432" i="2"/>
  <c r="G336" i="2"/>
  <c r="G302" i="2"/>
  <c r="G495" i="2"/>
  <c r="G494" i="2"/>
  <c r="G493" i="2"/>
  <c r="G492" i="2"/>
  <c r="G491" i="2"/>
  <c r="G490" i="2"/>
  <c r="G489" i="2"/>
  <c r="G488" i="2"/>
  <c r="G487" i="2"/>
  <c r="G486" i="2"/>
  <c r="G485" i="2"/>
  <c r="G484" i="2"/>
  <c r="G483" i="2"/>
  <c r="G482" i="2"/>
  <c r="G481" i="2"/>
  <c r="G480" i="2"/>
  <c r="G479" i="2"/>
  <c r="G478" i="2"/>
  <c r="G477" i="2"/>
  <c r="G476" i="2"/>
  <c r="G475" i="2"/>
  <c r="G474" i="2"/>
  <c r="G473" i="2"/>
  <c r="G472" i="2"/>
  <c r="G471" i="2"/>
  <c r="G470" i="2"/>
  <c r="G469" i="2"/>
  <c r="G468" i="2"/>
  <c r="G467" i="2"/>
  <c r="G466" i="2"/>
  <c r="G465" i="2"/>
  <c r="G464" i="2"/>
  <c r="G463" i="2"/>
  <c r="G462" i="2"/>
  <c r="G461" i="2"/>
  <c r="G440" i="2"/>
  <c r="G438" i="2"/>
  <c r="G437" i="2"/>
  <c r="G435" i="2"/>
  <c r="G434" i="2"/>
  <c r="G428" i="2"/>
  <c r="G425" i="2"/>
  <c r="G392" i="2"/>
  <c r="G321" i="2"/>
  <c r="G460" i="2"/>
  <c r="G459" i="2"/>
  <c r="G458" i="2"/>
  <c r="G457" i="2"/>
  <c r="G456" i="2"/>
  <c r="G455" i="2"/>
  <c r="G454" i="2"/>
  <c r="G453" i="2"/>
  <c r="G452" i="2"/>
  <c r="G451" i="2"/>
  <c r="G450" i="2"/>
  <c r="G449" i="2"/>
  <c r="G448" i="2"/>
  <c r="G447" i="2"/>
  <c r="G446" i="2"/>
  <c r="G445" i="2"/>
  <c r="G444" i="2"/>
  <c r="G443" i="2"/>
  <c r="G442" i="2"/>
  <c r="G441" i="2"/>
  <c r="G439" i="2"/>
  <c r="G436" i="2"/>
  <c r="G433" i="2"/>
  <c r="G431" i="2"/>
  <c r="G429" i="2"/>
  <c r="G427" i="2"/>
  <c r="G399" i="2"/>
  <c r="G330" i="2"/>
  <c r="G424" i="2"/>
  <c r="G423" i="2"/>
  <c r="G422" i="2"/>
  <c r="G421" i="2"/>
  <c r="G420" i="2"/>
  <c r="G419" i="2"/>
  <c r="G418" i="2"/>
  <c r="G417" i="2"/>
  <c r="G416" i="2"/>
  <c r="G415" i="2"/>
  <c r="G414" i="2"/>
  <c r="G413" i="2"/>
  <c r="G412" i="2"/>
  <c r="G411" i="2"/>
  <c r="G410" i="2"/>
  <c r="G409" i="2"/>
  <c r="G408" i="2"/>
  <c r="G407" i="2"/>
  <c r="G406" i="2"/>
  <c r="G405" i="2"/>
  <c r="G404" i="2"/>
  <c r="G403" i="2"/>
  <c r="G402" i="2"/>
  <c r="G401" i="2"/>
  <c r="G400" i="2"/>
  <c r="G326" i="2"/>
  <c r="G295" i="2"/>
  <c r="G389" i="2"/>
  <c r="G388" i="2"/>
  <c r="G387" i="2"/>
  <c r="G386" i="2"/>
  <c r="G385" i="2"/>
  <c r="G384" i="2"/>
  <c r="G383" i="2"/>
  <c r="G382" i="2"/>
  <c r="G381" i="2"/>
  <c r="G380" i="2"/>
  <c r="G379" i="2"/>
  <c r="G378" i="2"/>
  <c r="G377" i="2"/>
  <c r="G376" i="2"/>
  <c r="G375" i="2"/>
  <c r="G374" i="2"/>
  <c r="G373" i="2"/>
  <c r="G372" i="2"/>
  <c r="G371" i="2"/>
  <c r="G370" i="2"/>
  <c r="G369" i="2"/>
  <c r="G368" i="2"/>
  <c r="G367" i="2"/>
  <c r="G366" i="2"/>
  <c r="G365" i="2"/>
  <c r="G364" i="2"/>
  <c r="G363" i="2"/>
  <c r="G362" i="2"/>
  <c r="G361" i="2"/>
  <c r="G360" i="2"/>
  <c r="G359" i="2"/>
  <c r="G358" i="2"/>
  <c r="G357" i="2"/>
  <c r="G356" i="2"/>
  <c r="G355" i="2"/>
  <c r="G341" i="2"/>
  <c r="G340" i="2"/>
  <c r="G338" i="2"/>
  <c r="G334" i="2"/>
  <c r="G354" i="2"/>
  <c r="G353" i="2"/>
  <c r="G352" i="2"/>
  <c r="G351" i="2"/>
  <c r="G350" i="2"/>
  <c r="G349" i="2"/>
  <c r="G348" i="2"/>
  <c r="G347" i="2"/>
  <c r="G346" i="2"/>
  <c r="G345" i="2"/>
  <c r="G344" i="2"/>
  <c r="G343" i="2"/>
  <c r="G342" i="2"/>
  <c r="G339" i="2"/>
  <c r="G328" i="2"/>
  <c r="G319" i="2"/>
  <c r="G318" i="2"/>
  <c r="G317" i="2"/>
  <c r="G316" i="2"/>
  <c r="G315" i="2"/>
  <c r="G314" i="2"/>
  <c r="G313" i="2"/>
  <c r="G312" i="2"/>
  <c r="G311" i="2"/>
  <c r="G310" i="2"/>
  <c r="G309" i="2"/>
  <c r="G308" i="2"/>
  <c r="G307" i="2"/>
  <c r="G306" i="2"/>
  <c r="G305" i="2"/>
  <c r="G304" i="2"/>
  <c r="G283" i="2"/>
  <c r="G282" i="2"/>
  <c r="G281" i="2"/>
  <c r="G280" i="2"/>
  <c r="G279" i="2"/>
  <c r="G278" i="2"/>
  <c r="G277" i="2"/>
  <c r="G276" i="2"/>
  <c r="G275" i="2"/>
  <c r="G274" i="2"/>
  <c r="G273" i="2"/>
  <c r="G272" i="2"/>
  <c r="G271" i="2"/>
  <c r="G270" i="2"/>
  <c r="G269" i="2"/>
  <c r="G268" i="2"/>
  <c r="G267" i="2"/>
  <c r="G266" i="2"/>
  <c r="G265" i="2"/>
  <c r="G264" i="2"/>
  <c r="G263" i="2"/>
  <c r="G262" i="2"/>
  <c r="G261" i="2"/>
  <c r="G260" i="2"/>
  <c r="G259" i="2"/>
  <c r="G258" i="2"/>
  <c r="G257" i="2"/>
  <c r="G256" i="2"/>
  <c r="G255" i="2"/>
  <c r="G254" i="2"/>
  <c r="G253" i="2"/>
  <c r="G252" i="2"/>
  <c r="G251" i="2"/>
  <c r="G250" i="2"/>
  <c r="G249" i="2"/>
  <c r="G214" i="2"/>
  <c r="G40" i="2"/>
  <c r="G12" i="2"/>
  <c r="G8" i="2"/>
  <c r="G3" i="2"/>
  <c r="G337" i="2"/>
  <c r="G327" i="2"/>
  <c r="G320" i="2"/>
  <c r="G294" i="2"/>
  <c r="G248" i="2"/>
  <c r="G247" i="2"/>
  <c r="G246" i="2"/>
  <c r="G245" i="2"/>
  <c r="G244" i="2"/>
  <c r="G243" i="2"/>
  <c r="G242" i="2"/>
  <c r="G241" i="2"/>
  <c r="G240" i="2"/>
  <c r="G239" i="2"/>
  <c r="G238" i="2"/>
  <c r="G237" i="2"/>
  <c r="G236" i="2"/>
  <c r="G235" i="2"/>
  <c r="G234" i="2"/>
  <c r="G233" i="2"/>
  <c r="G232" i="2"/>
  <c r="G231" i="2"/>
  <c r="G230" i="2"/>
  <c r="G229" i="2"/>
  <c r="G228" i="2"/>
  <c r="G227" i="2"/>
  <c r="G226" i="2"/>
  <c r="G225" i="2"/>
  <c r="G224" i="2"/>
  <c r="G223" i="2"/>
  <c r="G222" i="2"/>
  <c r="G221" i="2"/>
  <c r="G220" i="2"/>
  <c r="G219" i="2"/>
  <c r="G218" i="2"/>
  <c r="G217" i="2"/>
  <c r="G216" i="2"/>
  <c r="G215" i="2"/>
  <c r="G47" i="2"/>
  <c r="G41" i="2"/>
  <c r="G397" i="2"/>
  <c r="G331" i="2"/>
  <c r="G301" i="2"/>
  <c r="G213" i="2"/>
  <c r="G212" i="2"/>
  <c r="G211" i="2"/>
  <c r="G210" i="2"/>
  <c r="G209" i="2"/>
  <c r="G208" i="2"/>
  <c r="G207" i="2"/>
  <c r="G206" i="2"/>
  <c r="G205" i="2"/>
  <c r="G204" i="2"/>
  <c r="G203" i="2"/>
  <c r="G202" i="2"/>
  <c r="G201" i="2"/>
  <c r="G200" i="2"/>
  <c r="G199" i="2"/>
  <c r="G198" i="2"/>
  <c r="G197" i="2"/>
  <c r="G196" i="2"/>
  <c r="G195" i="2"/>
  <c r="G194" i="2"/>
  <c r="G193" i="2"/>
  <c r="G192" i="2"/>
  <c r="G191" i="2"/>
  <c r="G190" i="2"/>
  <c r="G189" i="2"/>
  <c r="G188" i="2"/>
  <c r="G187" i="2"/>
  <c r="G186" i="2"/>
  <c r="G185" i="2"/>
  <c r="G184" i="2"/>
  <c r="G183" i="2"/>
  <c r="G182" i="2"/>
  <c r="G181" i="2"/>
  <c r="G180" i="2"/>
  <c r="G179" i="2"/>
  <c r="G178" i="2"/>
  <c r="G11" i="2"/>
  <c r="G6" i="2"/>
  <c r="G398" i="2"/>
  <c r="G325" i="2"/>
  <c r="G177" i="2"/>
  <c r="G176" i="2"/>
  <c r="G175" i="2"/>
  <c r="G174" i="2"/>
  <c r="G173" i="2"/>
  <c r="G172" i="2"/>
  <c r="G171" i="2"/>
  <c r="G170" i="2"/>
  <c r="G169" i="2"/>
  <c r="G168" i="2"/>
  <c r="G167" i="2"/>
  <c r="G166" i="2"/>
  <c r="G165" i="2"/>
  <c r="G164" i="2"/>
  <c r="G163" i="2"/>
  <c r="G162" i="2"/>
  <c r="G161" i="2"/>
  <c r="G160" i="2"/>
  <c r="G159" i="2"/>
  <c r="G158" i="2"/>
  <c r="G157" i="2"/>
  <c r="G156" i="2"/>
  <c r="G155" i="2"/>
  <c r="G154" i="2"/>
  <c r="G153" i="2"/>
  <c r="G152" i="2"/>
  <c r="G151" i="2"/>
  <c r="G150" i="2"/>
  <c r="G149" i="2"/>
  <c r="G148" i="2"/>
  <c r="G147" i="2"/>
  <c r="G146" i="2"/>
  <c r="G145" i="2"/>
  <c r="G144" i="2"/>
  <c r="G143" i="2"/>
  <c r="G132" i="2"/>
  <c r="G131" i="2"/>
  <c r="G130" i="2"/>
  <c r="G128" i="2"/>
  <c r="G127" i="2"/>
  <c r="G126" i="2"/>
  <c r="G125" i="2"/>
  <c r="G123" i="2"/>
  <c r="G122" i="2"/>
  <c r="G120" i="2"/>
  <c r="G119" i="2"/>
  <c r="G117" i="2"/>
  <c r="G116" i="2"/>
  <c r="G114" i="2"/>
  <c r="G112" i="2"/>
  <c r="G111" i="2"/>
  <c r="G110" i="2"/>
  <c r="G108" i="2"/>
  <c r="G55" i="2"/>
  <c r="G51" i="2"/>
  <c r="G49" i="2"/>
  <c r="G45" i="2"/>
  <c r="G42" i="2"/>
  <c r="G39" i="2"/>
  <c r="G10" i="2"/>
  <c r="G5" i="2"/>
  <c r="G2" i="2"/>
  <c r="G391" i="2"/>
  <c r="G329" i="2"/>
  <c r="G322" i="2"/>
  <c r="G297" i="2"/>
  <c r="G289" i="2"/>
  <c r="G142" i="2"/>
  <c r="G141" i="2"/>
  <c r="G140" i="2"/>
  <c r="G139" i="2"/>
  <c r="G138" i="2"/>
  <c r="G137" i="2"/>
  <c r="G136" i="2"/>
  <c r="G135" i="2"/>
  <c r="G134" i="2"/>
  <c r="G133" i="2"/>
  <c r="G129" i="2"/>
  <c r="G124" i="2"/>
  <c r="G121" i="2"/>
  <c r="G118" i="2"/>
  <c r="G115" i="2"/>
  <c r="G113" i="2"/>
  <c r="G109" i="2"/>
  <c r="G73" i="2"/>
  <c r="G56" i="2"/>
  <c r="G54" i="2"/>
  <c r="G52" i="2"/>
  <c r="G50" i="2"/>
  <c r="G46" i="2"/>
  <c r="G44" i="2"/>
  <c r="G38" i="2"/>
  <c r="G9" i="2"/>
  <c r="G4" i="2"/>
  <c r="G394" i="2"/>
  <c r="G390" i="2"/>
  <c r="G335" i="2"/>
  <c r="G323" i="2"/>
  <c r="G300" i="2"/>
  <c r="G290" i="2"/>
  <c r="G107" i="2"/>
  <c r="G106" i="2"/>
  <c r="G105" i="2"/>
  <c r="G104" i="2"/>
  <c r="G103" i="2"/>
  <c r="G102" i="2"/>
  <c r="G101" i="2"/>
  <c r="G100" i="2"/>
  <c r="G99" i="2"/>
  <c r="G98" i="2"/>
  <c r="G97" i="2"/>
  <c r="G96" i="2"/>
  <c r="G95" i="2"/>
  <c r="G94" i="2"/>
  <c r="G93" i="2"/>
  <c r="G92" i="2"/>
  <c r="G91" i="2"/>
  <c r="G90" i="2"/>
  <c r="G89" i="2"/>
  <c r="G88" i="2"/>
  <c r="G87" i="2"/>
  <c r="G86" i="2"/>
  <c r="G85" i="2"/>
  <c r="G84" i="2"/>
  <c r="G83" i="2"/>
  <c r="G82" i="2"/>
  <c r="G81" i="2"/>
  <c r="G80" i="2"/>
  <c r="G79" i="2"/>
  <c r="G78" i="2"/>
  <c r="G77" i="2"/>
  <c r="G76" i="2"/>
  <c r="G75" i="2"/>
  <c r="G74" i="2"/>
  <c r="G72" i="2"/>
  <c r="G71" i="2"/>
  <c r="G70" i="2"/>
  <c r="G69" i="2"/>
  <c r="G68" i="2"/>
  <c r="G67" i="2"/>
  <c r="G66" i="2"/>
  <c r="G65" i="2"/>
  <c r="G64" i="2"/>
  <c r="G63" i="2"/>
  <c r="G62" i="2"/>
  <c r="G61" i="2"/>
  <c r="G60" i="2"/>
  <c r="G59" i="2"/>
  <c r="G58" i="2"/>
  <c r="G57" i="2"/>
  <c r="G53" i="2"/>
  <c r="G48" i="2"/>
  <c r="G43" i="2"/>
  <c r="G7" i="2"/>
  <c r="G393" i="2"/>
  <c r="G332" i="2"/>
  <c r="G298" i="2"/>
  <c r="R37" i="2"/>
  <c r="G37" i="2"/>
  <c r="G36" i="2"/>
  <c r="G35" i="2"/>
  <c r="G34" i="2"/>
  <c r="G33" i="2"/>
  <c r="G32" i="2"/>
  <c r="G31" i="2"/>
  <c r="G30" i="2"/>
  <c r="G29" i="2"/>
  <c r="G28" i="2"/>
  <c r="G27" i="2"/>
  <c r="G26" i="2"/>
  <c r="G25" i="2"/>
  <c r="G24" i="2"/>
  <c r="G23" i="2"/>
  <c r="G22" i="2"/>
  <c r="G21" i="2"/>
  <c r="G20" i="2"/>
  <c r="G19" i="2"/>
  <c r="G18" i="2"/>
  <c r="G17" i="2"/>
  <c r="G16" i="2"/>
  <c r="G15" i="2"/>
  <c r="G14" i="2"/>
  <c r="G13" i="2"/>
  <c r="G395" i="2"/>
  <c r="G333" i="2"/>
  <c r="I460" i="2"/>
  <c r="R460" i="2" s="1"/>
  <c r="N460" i="2"/>
  <c r="I354" i="2"/>
  <c r="R354" i="2" s="1"/>
  <c r="N354" i="2"/>
  <c r="I319" i="2"/>
  <c r="R319" i="2" s="1"/>
  <c r="N319" i="2"/>
  <c r="I213" i="2"/>
  <c r="R213" i="2" s="1"/>
  <c r="N213" i="2"/>
  <c r="I178" i="2"/>
  <c r="R178" i="2" s="1"/>
  <c r="N178" i="2"/>
  <c r="I115" i="2"/>
  <c r="R115" i="2" s="1"/>
  <c r="N115" i="2"/>
  <c r="I72" i="2"/>
  <c r="R72" i="2" s="1"/>
  <c r="N72" i="2"/>
  <c r="I43" i="2"/>
  <c r="R43" i="2" s="1"/>
  <c r="N43" i="2"/>
  <c r="N565" i="2"/>
  <c r="I565" i="2"/>
  <c r="R565" i="2" s="1"/>
  <c r="N564" i="2"/>
  <c r="I564" i="2"/>
  <c r="R564" i="2" s="1"/>
  <c r="N563" i="2"/>
  <c r="I563" i="2"/>
  <c r="R563" i="2" s="1"/>
  <c r="N562" i="2"/>
  <c r="I562" i="2"/>
  <c r="R562" i="2" s="1"/>
  <c r="N561" i="2"/>
  <c r="I561" i="2"/>
  <c r="R561" i="2" s="1"/>
  <c r="N560" i="2"/>
  <c r="I560" i="2"/>
  <c r="R560" i="2" s="1"/>
  <c r="N559" i="2"/>
  <c r="I559" i="2"/>
  <c r="R559" i="2" s="1"/>
  <c r="N558" i="2"/>
  <c r="I558" i="2"/>
  <c r="R558" i="2" s="1"/>
  <c r="N557" i="2"/>
  <c r="I557" i="2"/>
  <c r="R557" i="2" s="1"/>
  <c r="N556" i="2"/>
  <c r="I556" i="2"/>
  <c r="R556" i="2" s="1"/>
  <c r="N555" i="2"/>
  <c r="I555" i="2"/>
  <c r="R555" i="2" s="1"/>
  <c r="N554" i="2"/>
  <c r="I554" i="2"/>
  <c r="R554" i="2" s="1"/>
  <c r="N553" i="2"/>
  <c r="I553" i="2"/>
  <c r="R553" i="2" s="1"/>
  <c r="N552" i="2"/>
  <c r="I552" i="2"/>
  <c r="R552" i="2" s="1"/>
  <c r="N551" i="2"/>
  <c r="I551" i="2"/>
  <c r="R551" i="2" s="1"/>
  <c r="N550" i="2"/>
  <c r="I550" i="2"/>
  <c r="R550" i="2" s="1"/>
  <c r="N549" i="2"/>
  <c r="I549" i="2"/>
  <c r="R549" i="2" s="1"/>
  <c r="N548" i="2"/>
  <c r="I548" i="2"/>
  <c r="R548" i="2" s="1"/>
  <c r="N547" i="2"/>
  <c r="I547" i="2"/>
  <c r="R547" i="2" s="1"/>
  <c r="N546" i="2"/>
  <c r="I546" i="2"/>
  <c r="R546" i="2" s="1"/>
  <c r="N545" i="2"/>
  <c r="I545" i="2"/>
  <c r="R545" i="2" s="1"/>
  <c r="N544" i="2"/>
  <c r="I544" i="2"/>
  <c r="R544" i="2" s="1"/>
  <c r="N543" i="2"/>
  <c r="I543" i="2"/>
  <c r="R543" i="2" s="1"/>
  <c r="N542" i="2"/>
  <c r="I542" i="2"/>
  <c r="R542" i="2" s="1"/>
  <c r="N541" i="2"/>
  <c r="I541" i="2"/>
  <c r="R541" i="2" s="1"/>
  <c r="N540" i="2"/>
  <c r="I540" i="2"/>
  <c r="R540" i="2" s="1"/>
  <c r="N539" i="2"/>
  <c r="I539" i="2"/>
  <c r="R539" i="2" s="1"/>
  <c r="N538" i="2"/>
  <c r="I538" i="2"/>
  <c r="R538" i="2" s="1"/>
  <c r="N537" i="2"/>
  <c r="I537" i="2"/>
  <c r="R537" i="2" s="1"/>
  <c r="N536" i="2"/>
  <c r="I536" i="2"/>
  <c r="R536" i="2" s="1"/>
  <c r="N535" i="2"/>
  <c r="I535" i="2"/>
  <c r="R535" i="2" s="1"/>
  <c r="N534" i="2"/>
  <c r="I534" i="2"/>
  <c r="R534" i="2" s="1"/>
  <c r="N533" i="2"/>
  <c r="I533" i="2"/>
  <c r="R533" i="2" s="1"/>
  <c r="N532" i="2"/>
  <c r="I532" i="2"/>
  <c r="R532" i="2" s="1"/>
  <c r="N531" i="2"/>
  <c r="I531" i="2"/>
  <c r="R531" i="2" s="1"/>
  <c r="N530" i="2"/>
  <c r="I530" i="2"/>
  <c r="R530" i="2" s="1"/>
  <c r="N529" i="2"/>
  <c r="I529" i="2"/>
  <c r="R529" i="2" s="1"/>
  <c r="N528" i="2"/>
  <c r="I528" i="2"/>
  <c r="R528" i="2" s="1"/>
  <c r="N527" i="2"/>
  <c r="I527" i="2"/>
  <c r="R527" i="2" s="1"/>
  <c r="N526" i="2"/>
  <c r="I526" i="2"/>
  <c r="R526" i="2" s="1"/>
  <c r="N525" i="2"/>
  <c r="I525" i="2"/>
  <c r="R525" i="2" s="1"/>
  <c r="N524" i="2"/>
  <c r="I524" i="2"/>
  <c r="R524" i="2" s="1"/>
  <c r="N523" i="2"/>
  <c r="I523" i="2"/>
  <c r="R523" i="2" s="1"/>
  <c r="N522" i="2"/>
  <c r="I522" i="2"/>
  <c r="R522" i="2" s="1"/>
  <c r="N521" i="2"/>
  <c r="I521" i="2"/>
  <c r="R521" i="2" s="1"/>
  <c r="N520" i="2"/>
  <c r="I520" i="2"/>
  <c r="R520" i="2" s="1"/>
  <c r="N519" i="2"/>
  <c r="I519" i="2"/>
  <c r="R519" i="2" s="1"/>
  <c r="N518" i="2"/>
  <c r="I518" i="2"/>
  <c r="R518" i="2" s="1"/>
  <c r="N517" i="2"/>
  <c r="I517" i="2"/>
  <c r="R517" i="2" s="1"/>
  <c r="N516" i="2"/>
  <c r="I516" i="2"/>
  <c r="R516" i="2" s="1"/>
  <c r="N515" i="2"/>
  <c r="I515" i="2"/>
  <c r="R515" i="2" s="1"/>
  <c r="N514" i="2"/>
  <c r="I514" i="2"/>
  <c r="R514" i="2" s="1"/>
  <c r="N513" i="2"/>
  <c r="I513" i="2"/>
  <c r="R513" i="2" s="1"/>
  <c r="N512" i="2"/>
  <c r="I512" i="2"/>
  <c r="R512" i="2" s="1"/>
  <c r="N511" i="2"/>
  <c r="I511" i="2"/>
  <c r="R511" i="2" s="1"/>
  <c r="N510" i="2"/>
  <c r="I510" i="2"/>
  <c r="R510" i="2" s="1"/>
  <c r="N509" i="2"/>
  <c r="I509" i="2"/>
  <c r="R509" i="2" s="1"/>
  <c r="N508" i="2"/>
  <c r="I508" i="2"/>
  <c r="R508" i="2" s="1"/>
  <c r="N507" i="2"/>
  <c r="I507" i="2"/>
  <c r="R507" i="2" s="1"/>
  <c r="N506" i="2"/>
  <c r="I506" i="2"/>
  <c r="R506" i="2" s="1"/>
  <c r="N505" i="2"/>
  <c r="I505" i="2"/>
  <c r="R505" i="2" s="1"/>
  <c r="N504" i="2"/>
  <c r="I504" i="2"/>
  <c r="R504" i="2" s="1"/>
  <c r="N503" i="2"/>
  <c r="I503" i="2"/>
  <c r="R503" i="2" s="1"/>
  <c r="N502" i="2"/>
  <c r="I502" i="2"/>
  <c r="R502" i="2" s="1"/>
  <c r="N501" i="2"/>
  <c r="I501" i="2"/>
  <c r="R501" i="2" s="1"/>
  <c r="N500" i="2"/>
  <c r="I500" i="2"/>
  <c r="R500" i="2" s="1"/>
  <c r="N499" i="2"/>
  <c r="I499" i="2"/>
  <c r="R499" i="2" s="1"/>
  <c r="N498" i="2"/>
  <c r="I498" i="2"/>
  <c r="R498" i="2" s="1"/>
  <c r="N497" i="2"/>
  <c r="I497" i="2"/>
  <c r="R497" i="2" s="1"/>
  <c r="N496" i="2"/>
  <c r="I496" i="2"/>
  <c r="R496" i="2" s="1"/>
  <c r="N494" i="2"/>
  <c r="I494" i="2"/>
  <c r="R494" i="2" s="1"/>
  <c r="N493" i="2"/>
  <c r="I493" i="2"/>
  <c r="R493" i="2" s="1"/>
  <c r="N492" i="2"/>
  <c r="I492" i="2"/>
  <c r="R492" i="2" s="1"/>
  <c r="N491" i="2"/>
  <c r="I491" i="2"/>
  <c r="R491" i="2" s="1"/>
  <c r="N490" i="2"/>
  <c r="I490" i="2"/>
  <c r="R490" i="2" s="1"/>
  <c r="N489" i="2"/>
  <c r="I489" i="2"/>
  <c r="R489" i="2" s="1"/>
  <c r="N488" i="2"/>
  <c r="I488" i="2"/>
  <c r="R488" i="2" s="1"/>
  <c r="N487" i="2"/>
  <c r="I487" i="2"/>
  <c r="R487" i="2" s="1"/>
  <c r="N486" i="2"/>
  <c r="I486" i="2"/>
  <c r="R486" i="2" s="1"/>
  <c r="N485" i="2"/>
  <c r="I485" i="2"/>
  <c r="R485" i="2" s="1"/>
  <c r="N484" i="2"/>
  <c r="I484" i="2"/>
  <c r="R484" i="2" s="1"/>
  <c r="N483" i="2"/>
  <c r="I483" i="2"/>
  <c r="R483" i="2" s="1"/>
  <c r="N482" i="2"/>
  <c r="I482" i="2"/>
  <c r="R482" i="2" s="1"/>
  <c r="N481" i="2"/>
  <c r="I481" i="2"/>
  <c r="R481" i="2" s="1"/>
  <c r="N480" i="2"/>
  <c r="I480" i="2"/>
  <c r="R480" i="2" s="1"/>
  <c r="N479" i="2"/>
  <c r="I479" i="2"/>
  <c r="R479" i="2" s="1"/>
  <c r="N478" i="2"/>
  <c r="I478" i="2"/>
  <c r="R478" i="2" s="1"/>
  <c r="N477" i="2"/>
  <c r="I477" i="2"/>
  <c r="R477" i="2" s="1"/>
  <c r="N476" i="2"/>
  <c r="I476" i="2"/>
  <c r="R476" i="2" s="1"/>
  <c r="N475" i="2"/>
  <c r="I475" i="2"/>
  <c r="R475" i="2" s="1"/>
  <c r="N474" i="2"/>
  <c r="I474" i="2"/>
  <c r="R474" i="2" s="1"/>
  <c r="N473" i="2"/>
  <c r="I473" i="2"/>
  <c r="R473" i="2" s="1"/>
  <c r="N472" i="2"/>
  <c r="I472" i="2"/>
  <c r="R472" i="2" s="1"/>
  <c r="N471" i="2"/>
  <c r="I471" i="2"/>
  <c r="R471" i="2" s="1"/>
  <c r="N470" i="2"/>
  <c r="I470" i="2"/>
  <c r="R470" i="2" s="1"/>
  <c r="N469" i="2"/>
  <c r="I469" i="2"/>
  <c r="R469" i="2" s="1"/>
  <c r="N468" i="2"/>
  <c r="I468" i="2"/>
  <c r="R468" i="2" s="1"/>
  <c r="N467" i="2"/>
  <c r="I467" i="2"/>
  <c r="R467" i="2" s="1"/>
  <c r="N466" i="2"/>
  <c r="I466" i="2"/>
  <c r="R466" i="2" s="1"/>
  <c r="N465" i="2"/>
  <c r="I465" i="2"/>
  <c r="R465" i="2" s="1"/>
  <c r="N464" i="2"/>
  <c r="I464" i="2"/>
  <c r="R464" i="2" s="1"/>
  <c r="N463" i="2"/>
  <c r="I463" i="2"/>
  <c r="R463" i="2" s="1"/>
  <c r="N462" i="2"/>
  <c r="I462" i="2"/>
  <c r="R462" i="2" s="1"/>
  <c r="N461" i="2"/>
  <c r="I461" i="2"/>
  <c r="R461" i="2" s="1"/>
  <c r="I459" i="2"/>
  <c r="R459" i="2" s="1"/>
  <c r="N459" i="2"/>
  <c r="N458" i="2"/>
  <c r="I458" i="2"/>
  <c r="R458" i="2" s="1"/>
  <c r="N457" i="2"/>
  <c r="I457" i="2"/>
  <c r="R457" i="2" s="1"/>
  <c r="I456" i="2"/>
  <c r="R456" i="2" s="1"/>
  <c r="N456" i="2"/>
  <c r="N455" i="2"/>
  <c r="I455" i="2"/>
  <c r="R455" i="2" s="1"/>
  <c r="N454" i="2"/>
  <c r="I454" i="2"/>
  <c r="R454" i="2" s="1"/>
  <c r="I453" i="2"/>
  <c r="R453" i="2" s="1"/>
  <c r="N453" i="2"/>
  <c r="N452" i="2"/>
  <c r="I452" i="2"/>
  <c r="R452" i="2" s="1"/>
  <c r="N451" i="2"/>
  <c r="I451" i="2"/>
  <c r="R451" i="2" s="1"/>
  <c r="N450" i="2"/>
  <c r="I450" i="2"/>
  <c r="R450" i="2" s="1"/>
  <c r="N449" i="2"/>
  <c r="I449" i="2"/>
  <c r="R449" i="2" s="1"/>
  <c r="I448" i="2"/>
  <c r="R448" i="2" s="1"/>
  <c r="N448" i="2"/>
  <c r="N447" i="2"/>
  <c r="I447" i="2"/>
  <c r="R447" i="2" s="1"/>
  <c r="N446" i="2"/>
  <c r="I446" i="2"/>
  <c r="R446" i="2" s="1"/>
  <c r="N445" i="2"/>
  <c r="I445" i="2"/>
  <c r="R445" i="2" s="1"/>
  <c r="N444" i="2"/>
  <c r="I444" i="2"/>
  <c r="R444" i="2" s="1"/>
  <c r="N443" i="2"/>
  <c r="I443" i="2"/>
  <c r="R443" i="2" s="1"/>
  <c r="I442" i="2"/>
  <c r="R442" i="2" s="1"/>
  <c r="N442" i="2"/>
  <c r="I441" i="2"/>
  <c r="R441" i="2" s="1"/>
  <c r="N441" i="2"/>
  <c r="N440" i="2"/>
  <c r="I440" i="2"/>
  <c r="R440" i="2" s="1"/>
  <c r="N439" i="2"/>
  <c r="I439" i="2"/>
  <c r="R439" i="2" s="1"/>
  <c r="I438" i="2"/>
  <c r="R438" i="2" s="1"/>
  <c r="N438" i="2"/>
  <c r="N437" i="2"/>
  <c r="I437" i="2"/>
  <c r="R437" i="2" s="1"/>
  <c r="N436" i="2"/>
  <c r="I436" i="2"/>
  <c r="R436" i="2" s="1"/>
  <c r="N435" i="2"/>
  <c r="I435" i="2"/>
  <c r="R435" i="2" s="1"/>
  <c r="N434" i="2"/>
  <c r="I434" i="2"/>
  <c r="R434" i="2" s="1"/>
  <c r="N433" i="2"/>
  <c r="I433" i="2"/>
  <c r="R433" i="2" s="1"/>
  <c r="N432" i="2"/>
  <c r="I432" i="2"/>
  <c r="R432" i="2" s="1"/>
  <c r="I431" i="2"/>
  <c r="R431" i="2" s="1"/>
  <c r="N431" i="2"/>
  <c r="I430" i="2"/>
  <c r="R430" i="2" s="1"/>
  <c r="N430" i="2"/>
  <c r="N429" i="2"/>
  <c r="I429" i="2"/>
  <c r="R429" i="2" s="1"/>
  <c r="I428" i="2"/>
  <c r="R428" i="2" s="1"/>
  <c r="N428" i="2"/>
  <c r="N427" i="2"/>
  <c r="I427" i="2"/>
  <c r="R427" i="2" s="1"/>
  <c r="N426" i="2"/>
  <c r="I426" i="2"/>
  <c r="R426" i="2" s="1"/>
  <c r="I425" i="2"/>
  <c r="R425" i="2" s="1"/>
  <c r="N425" i="2"/>
  <c r="I424" i="2"/>
  <c r="R424" i="2" s="1"/>
  <c r="N424" i="2"/>
  <c r="N423" i="2"/>
  <c r="I423" i="2"/>
  <c r="R423" i="2" s="1"/>
  <c r="N422" i="2"/>
  <c r="I422" i="2"/>
  <c r="R422" i="2" s="1"/>
  <c r="I421" i="2"/>
  <c r="R421" i="2" s="1"/>
  <c r="N421" i="2"/>
  <c r="I420" i="2"/>
  <c r="R420" i="2" s="1"/>
  <c r="N420" i="2"/>
  <c r="I419" i="2"/>
  <c r="R419" i="2" s="1"/>
  <c r="N419" i="2"/>
  <c r="I418" i="2"/>
  <c r="R418" i="2" s="1"/>
  <c r="N418" i="2"/>
  <c r="I417" i="2"/>
  <c r="R417" i="2" s="1"/>
  <c r="N417" i="2"/>
  <c r="N416" i="2"/>
  <c r="I416" i="2"/>
  <c r="R416" i="2" s="1"/>
  <c r="N415" i="2"/>
  <c r="I415" i="2"/>
  <c r="R415" i="2" s="1"/>
  <c r="I414" i="2"/>
  <c r="R414" i="2" s="1"/>
  <c r="N414" i="2"/>
  <c r="I413" i="2"/>
  <c r="R413" i="2" s="1"/>
  <c r="N413" i="2"/>
  <c r="I412" i="2"/>
  <c r="R412" i="2" s="1"/>
  <c r="N412" i="2"/>
  <c r="N411" i="2"/>
  <c r="I411" i="2"/>
  <c r="R411" i="2" s="1"/>
  <c r="I410" i="2"/>
  <c r="R410" i="2" s="1"/>
  <c r="N410" i="2"/>
  <c r="N409" i="2"/>
  <c r="I409" i="2"/>
  <c r="R409" i="2" s="1"/>
  <c r="I408" i="2"/>
  <c r="R408" i="2" s="1"/>
  <c r="N408" i="2"/>
  <c r="N407" i="2"/>
  <c r="I407" i="2"/>
  <c r="R407" i="2" s="1"/>
  <c r="N406" i="2"/>
  <c r="I406" i="2"/>
  <c r="R406" i="2" s="1"/>
  <c r="N405" i="2"/>
  <c r="I405" i="2"/>
  <c r="R405" i="2" s="1"/>
  <c r="N404" i="2"/>
  <c r="I404" i="2"/>
  <c r="R404" i="2" s="1"/>
  <c r="N403" i="2"/>
  <c r="I403" i="2"/>
  <c r="R403" i="2" s="1"/>
  <c r="N402" i="2"/>
  <c r="I402" i="2"/>
  <c r="R402" i="2" s="1"/>
  <c r="N401" i="2"/>
  <c r="I401" i="2"/>
  <c r="R401" i="2" s="1"/>
  <c r="I400" i="2"/>
  <c r="R400" i="2" s="1"/>
  <c r="N400" i="2"/>
  <c r="N399" i="2"/>
  <c r="I399" i="2"/>
  <c r="R399" i="2" s="1"/>
  <c r="I398" i="2"/>
  <c r="R398" i="2" s="1"/>
  <c r="N398" i="2"/>
  <c r="N397" i="2"/>
  <c r="I397" i="2"/>
  <c r="R397" i="2" s="1"/>
  <c r="I396" i="2"/>
  <c r="R396" i="2" s="1"/>
  <c r="N396" i="2"/>
  <c r="I395" i="2"/>
  <c r="R395" i="2" s="1"/>
  <c r="N395" i="2"/>
  <c r="N394" i="2"/>
  <c r="I394" i="2"/>
  <c r="R394" i="2" s="1"/>
  <c r="N393" i="2"/>
  <c r="I393" i="2"/>
  <c r="R393" i="2" s="1"/>
  <c r="N392" i="2"/>
  <c r="I392" i="2"/>
  <c r="R392" i="2" s="1"/>
  <c r="N391" i="2"/>
  <c r="I391" i="2"/>
  <c r="R391" i="2" s="1"/>
  <c r="N390" i="2"/>
  <c r="I390" i="2"/>
  <c r="R390" i="2" s="1"/>
  <c r="I389" i="2"/>
  <c r="R389" i="2" s="1"/>
  <c r="N389" i="2"/>
  <c r="I388" i="2"/>
  <c r="R388" i="2" s="1"/>
  <c r="N388" i="2"/>
  <c r="N387" i="2"/>
  <c r="I387" i="2"/>
  <c r="R387" i="2" s="1"/>
  <c r="N386" i="2"/>
  <c r="I386" i="2"/>
  <c r="R386" i="2" s="1"/>
  <c r="I385" i="2"/>
  <c r="R385" i="2" s="1"/>
  <c r="N385" i="2"/>
  <c r="N384" i="2"/>
  <c r="I384" i="2"/>
  <c r="R384" i="2" s="1"/>
  <c r="I383" i="2"/>
  <c r="R383" i="2" s="1"/>
  <c r="N383" i="2"/>
  <c r="N382" i="2"/>
  <c r="I382" i="2"/>
  <c r="R382" i="2" s="1"/>
  <c r="N381" i="2"/>
  <c r="I381" i="2"/>
  <c r="R381" i="2" s="1"/>
  <c r="N380" i="2"/>
  <c r="I380" i="2"/>
  <c r="R380" i="2" s="1"/>
  <c r="N379" i="2"/>
  <c r="I379" i="2"/>
  <c r="R379" i="2" s="1"/>
  <c r="N378" i="2"/>
  <c r="I378" i="2"/>
  <c r="R378" i="2" s="1"/>
  <c r="N377" i="2"/>
  <c r="I377" i="2"/>
  <c r="R377" i="2" s="1"/>
  <c r="N376" i="2"/>
  <c r="I376" i="2"/>
  <c r="R376" i="2" s="1"/>
  <c r="N375" i="2"/>
  <c r="I375" i="2"/>
  <c r="R375" i="2" s="1"/>
  <c r="N374" i="2"/>
  <c r="I374" i="2"/>
  <c r="R374" i="2" s="1"/>
  <c r="N373" i="2"/>
  <c r="I373" i="2"/>
  <c r="R373" i="2" s="1"/>
  <c r="I372" i="2"/>
  <c r="R372" i="2" s="1"/>
  <c r="N372" i="2"/>
  <c r="I371" i="2"/>
  <c r="R371" i="2" s="1"/>
  <c r="N371" i="2"/>
  <c r="I370" i="2"/>
  <c r="R370" i="2" s="1"/>
  <c r="N370" i="2"/>
  <c r="N369" i="2"/>
  <c r="I369" i="2"/>
  <c r="R369" i="2" s="1"/>
  <c r="N368" i="2"/>
  <c r="I368" i="2"/>
  <c r="R368" i="2" s="1"/>
  <c r="N367" i="2"/>
  <c r="I367" i="2"/>
  <c r="R367" i="2" s="1"/>
  <c r="N366" i="2"/>
  <c r="I366" i="2"/>
  <c r="R366" i="2" s="1"/>
  <c r="N365" i="2"/>
  <c r="I365" i="2"/>
  <c r="R365" i="2" s="1"/>
  <c r="N364" i="2"/>
  <c r="I364" i="2"/>
  <c r="R364" i="2" s="1"/>
  <c r="N363" i="2"/>
  <c r="I363" i="2"/>
  <c r="R363" i="2" s="1"/>
  <c r="N362" i="2"/>
  <c r="I362" i="2"/>
  <c r="R362" i="2" s="1"/>
  <c r="N361" i="2"/>
  <c r="I361" i="2"/>
  <c r="R361" i="2" s="1"/>
  <c r="I360" i="2"/>
  <c r="R360" i="2" s="1"/>
  <c r="N360" i="2"/>
  <c r="N359" i="2"/>
  <c r="I359" i="2"/>
  <c r="R359" i="2" s="1"/>
  <c r="N358" i="2"/>
  <c r="I358" i="2"/>
  <c r="R358" i="2" s="1"/>
  <c r="N357" i="2"/>
  <c r="I357" i="2"/>
  <c r="R357" i="2" s="1"/>
  <c r="I356" i="2"/>
  <c r="R356" i="2" s="1"/>
  <c r="N356" i="2"/>
  <c r="N355" i="2"/>
  <c r="I355" i="2"/>
  <c r="R355" i="2" s="1"/>
  <c r="N353" i="2"/>
  <c r="I353" i="2"/>
  <c r="R353" i="2" s="1"/>
  <c r="N352" i="2"/>
  <c r="I352" i="2"/>
  <c r="R352" i="2" s="1"/>
  <c r="N351" i="2"/>
  <c r="I351" i="2"/>
  <c r="R351" i="2" s="1"/>
  <c r="I350" i="2"/>
  <c r="R350" i="2" s="1"/>
  <c r="N350" i="2"/>
  <c r="N349" i="2"/>
  <c r="I349" i="2"/>
  <c r="R349" i="2" s="1"/>
  <c r="N348" i="2"/>
  <c r="I348" i="2"/>
  <c r="R348" i="2" s="1"/>
  <c r="I347" i="2"/>
  <c r="R347" i="2" s="1"/>
  <c r="N347" i="2"/>
  <c r="N346" i="2"/>
  <c r="I346" i="2"/>
  <c r="R346" i="2" s="1"/>
  <c r="I345" i="2"/>
  <c r="R345" i="2" s="1"/>
  <c r="N345" i="2"/>
  <c r="N344" i="2"/>
  <c r="I344" i="2"/>
  <c r="R344" i="2" s="1"/>
  <c r="I343" i="2"/>
  <c r="R343" i="2" s="1"/>
  <c r="N343" i="2"/>
  <c r="N342" i="2"/>
  <c r="I342" i="2"/>
  <c r="R342" i="2" s="1"/>
  <c r="I341" i="2"/>
  <c r="R341" i="2" s="1"/>
  <c r="N341" i="2"/>
  <c r="N340" i="2"/>
  <c r="I340" i="2"/>
  <c r="R340" i="2" s="1"/>
  <c r="N339" i="2"/>
  <c r="I339" i="2"/>
  <c r="R339" i="2" s="1"/>
  <c r="N338" i="2"/>
  <c r="I338" i="2"/>
  <c r="R338" i="2" s="1"/>
  <c r="I337" i="2"/>
  <c r="R337" i="2" s="1"/>
  <c r="N337" i="2"/>
  <c r="I336" i="2"/>
  <c r="R336" i="2" s="1"/>
  <c r="N336" i="2"/>
  <c r="N335" i="2"/>
  <c r="I335" i="2"/>
  <c r="R335" i="2" s="1"/>
  <c r="N334" i="2"/>
  <c r="I334" i="2"/>
  <c r="R334" i="2" s="1"/>
  <c r="N333" i="2"/>
  <c r="I333" i="2"/>
  <c r="R333" i="2" s="1"/>
  <c r="N332" i="2"/>
  <c r="I332" i="2"/>
  <c r="R332" i="2" s="1"/>
  <c r="I331" i="2"/>
  <c r="R331" i="2" s="1"/>
  <c r="N331" i="2"/>
  <c r="N330" i="2"/>
  <c r="I330" i="2"/>
  <c r="R330" i="2" s="1"/>
  <c r="N329" i="2"/>
  <c r="I329" i="2"/>
  <c r="R329" i="2" s="1"/>
  <c r="N328" i="2"/>
  <c r="I328" i="2"/>
  <c r="R328" i="2" s="1"/>
  <c r="N327" i="2"/>
  <c r="I327" i="2"/>
  <c r="R327" i="2" s="1"/>
  <c r="N326" i="2"/>
  <c r="I326" i="2"/>
  <c r="R326" i="2" s="1"/>
  <c r="N325" i="2"/>
  <c r="I325" i="2"/>
  <c r="R325" i="2" s="1"/>
  <c r="N324" i="2"/>
  <c r="I324" i="2"/>
  <c r="R324" i="2" s="1"/>
  <c r="N323" i="2"/>
  <c r="I323" i="2"/>
  <c r="R323" i="2" s="1"/>
  <c r="I322" i="2"/>
  <c r="R322" i="2" s="1"/>
  <c r="N322" i="2"/>
  <c r="N321" i="2"/>
  <c r="I321" i="2"/>
  <c r="R321" i="2" s="1"/>
  <c r="I320" i="2"/>
  <c r="R320" i="2" s="1"/>
  <c r="N320" i="2"/>
  <c r="N318" i="2"/>
  <c r="I318" i="2"/>
  <c r="R318" i="2" s="1"/>
  <c r="N317" i="2"/>
  <c r="I317" i="2"/>
  <c r="R317" i="2" s="1"/>
  <c r="I316" i="2"/>
  <c r="R316" i="2" s="1"/>
  <c r="N316" i="2"/>
  <c r="N315" i="2"/>
  <c r="I315" i="2"/>
  <c r="R315" i="2" s="1"/>
  <c r="N314" i="2"/>
  <c r="I314" i="2"/>
  <c r="R314" i="2" s="1"/>
  <c r="N313" i="2"/>
  <c r="I313" i="2"/>
  <c r="R313" i="2" s="1"/>
  <c r="I312" i="2"/>
  <c r="R312" i="2" s="1"/>
  <c r="N312" i="2"/>
  <c r="I311" i="2"/>
  <c r="R311" i="2" s="1"/>
  <c r="N311" i="2"/>
  <c r="I310" i="2"/>
  <c r="R310" i="2" s="1"/>
  <c r="N310" i="2"/>
  <c r="I309" i="2"/>
  <c r="R309" i="2" s="1"/>
  <c r="N309" i="2"/>
  <c r="I308" i="2"/>
  <c r="R308" i="2" s="1"/>
  <c r="N308" i="2"/>
  <c r="I307" i="2"/>
  <c r="R307" i="2" s="1"/>
  <c r="N307" i="2"/>
  <c r="N306" i="2"/>
  <c r="I306" i="2"/>
  <c r="R306" i="2" s="1"/>
  <c r="I305" i="2"/>
  <c r="R305" i="2" s="1"/>
  <c r="N305" i="2"/>
  <c r="N304" i="2"/>
  <c r="I304" i="2"/>
  <c r="R304" i="2" s="1"/>
  <c r="N303" i="2"/>
  <c r="I303" i="2"/>
  <c r="R303" i="2" s="1"/>
  <c r="I302" i="2"/>
  <c r="R302" i="2" s="1"/>
  <c r="N302" i="2"/>
  <c r="N301" i="2"/>
  <c r="I301" i="2"/>
  <c r="R301" i="2" s="1"/>
  <c r="I300" i="2"/>
  <c r="R300" i="2" s="1"/>
  <c r="N300" i="2"/>
  <c r="I299" i="2"/>
  <c r="R299" i="2" s="1"/>
  <c r="N299" i="2"/>
  <c r="I298" i="2"/>
  <c r="R298" i="2" s="1"/>
  <c r="N298" i="2"/>
  <c r="I297" i="2"/>
  <c r="R297" i="2" s="1"/>
  <c r="N297" i="2"/>
  <c r="N296" i="2"/>
  <c r="I296" i="2"/>
  <c r="R296" i="2" s="1"/>
  <c r="I295" i="2"/>
  <c r="R295" i="2" s="1"/>
  <c r="N295" i="2"/>
  <c r="I294" i="2"/>
  <c r="R294" i="2" s="1"/>
  <c r="N294" i="2"/>
  <c r="I293" i="2"/>
  <c r="R293" i="2" s="1"/>
  <c r="N293" i="2"/>
  <c r="I292" i="2"/>
  <c r="R292" i="2" s="1"/>
  <c r="N292" i="2"/>
  <c r="N291" i="2"/>
  <c r="I291" i="2"/>
  <c r="R291" i="2" s="1"/>
  <c r="I290" i="2"/>
  <c r="R290" i="2" s="1"/>
  <c r="N290" i="2"/>
  <c r="N289" i="2"/>
  <c r="I289" i="2"/>
  <c r="R289" i="2" s="1"/>
  <c r="N288" i="2"/>
  <c r="I288" i="2"/>
  <c r="R288" i="2" s="1"/>
  <c r="I287" i="2"/>
  <c r="R287" i="2" s="1"/>
  <c r="N287" i="2"/>
  <c r="I286" i="2"/>
  <c r="R286" i="2" s="1"/>
  <c r="N286" i="2"/>
  <c r="I285" i="2"/>
  <c r="R285" i="2" s="1"/>
  <c r="N285" i="2"/>
  <c r="N284" i="2"/>
  <c r="I284" i="2"/>
  <c r="R284" i="2" s="1"/>
  <c r="I283" i="2"/>
  <c r="R283" i="2" s="1"/>
  <c r="N283" i="2"/>
  <c r="I282" i="2"/>
  <c r="R282" i="2" s="1"/>
  <c r="N282" i="2"/>
  <c r="N281" i="2"/>
  <c r="I281" i="2"/>
  <c r="R281" i="2" s="1"/>
  <c r="N280" i="2"/>
  <c r="I280" i="2"/>
  <c r="R280" i="2" s="1"/>
  <c r="I279" i="2"/>
  <c r="R279" i="2" s="1"/>
  <c r="N279" i="2"/>
  <c r="I278" i="2"/>
  <c r="R278" i="2" s="1"/>
  <c r="N278" i="2"/>
  <c r="I277" i="2"/>
  <c r="R277" i="2" s="1"/>
  <c r="N277" i="2"/>
  <c r="N276" i="2"/>
  <c r="I276" i="2"/>
  <c r="R276" i="2" s="1"/>
  <c r="N275" i="2"/>
  <c r="I275" i="2"/>
  <c r="R275" i="2" s="1"/>
  <c r="N274" i="2"/>
  <c r="I274" i="2"/>
  <c r="R274" i="2" s="1"/>
  <c r="I273" i="2"/>
  <c r="R273" i="2" s="1"/>
  <c r="N273" i="2"/>
  <c r="I272" i="2"/>
  <c r="R272" i="2" s="1"/>
  <c r="N272" i="2"/>
  <c r="N271" i="2"/>
  <c r="I271" i="2"/>
  <c r="R271" i="2" s="1"/>
  <c r="N270" i="2"/>
  <c r="I270" i="2"/>
  <c r="R270" i="2" s="1"/>
  <c r="N269" i="2"/>
  <c r="I269" i="2"/>
  <c r="R269" i="2" s="1"/>
  <c r="N268" i="2"/>
  <c r="I268" i="2"/>
  <c r="R268" i="2" s="1"/>
  <c r="I267" i="2"/>
  <c r="R267" i="2" s="1"/>
  <c r="N267" i="2"/>
  <c r="N266" i="2"/>
  <c r="I266" i="2"/>
  <c r="R266" i="2" s="1"/>
  <c r="N265" i="2"/>
  <c r="I265" i="2"/>
  <c r="R265" i="2" s="1"/>
  <c r="N264" i="2"/>
  <c r="I264" i="2"/>
  <c r="R264" i="2" s="1"/>
  <c r="N263" i="2"/>
  <c r="I263" i="2"/>
  <c r="R263" i="2" s="1"/>
  <c r="I262" i="2"/>
  <c r="R262" i="2" s="1"/>
  <c r="N262" i="2"/>
  <c r="N261" i="2"/>
  <c r="I261" i="2"/>
  <c r="R261" i="2" s="1"/>
  <c r="I260" i="2"/>
  <c r="R260" i="2" s="1"/>
  <c r="N260" i="2"/>
  <c r="I259" i="2"/>
  <c r="R259" i="2" s="1"/>
  <c r="N259" i="2"/>
  <c r="I258" i="2"/>
  <c r="R258" i="2" s="1"/>
  <c r="N258" i="2"/>
  <c r="I257" i="2"/>
  <c r="R257" i="2" s="1"/>
  <c r="N257" i="2"/>
  <c r="N256" i="2"/>
  <c r="I256" i="2"/>
  <c r="R256" i="2" s="1"/>
  <c r="I255" i="2"/>
  <c r="R255" i="2" s="1"/>
  <c r="N255" i="2"/>
  <c r="N254" i="2"/>
  <c r="I254" i="2"/>
  <c r="R254" i="2" s="1"/>
  <c r="I253" i="2"/>
  <c r="R253" i="2" s="1"/>
  <c r="N253" i="2"/>
  <c r="N252" i="2"/>
  <c r="I252" i="2"/>
  <c r="R252" i="2" s="1"/>
  <c r="I251" i="2"/>
  <c r="R251" i="2" s="1"/>
  <c r="N251" i="2"/>
  <c r="N250" i="2"/>
  <c r="I250" i="2"/>
  <c r="R250" i="2" s="1"/>
  <c r="N249" i="2"/>
  <c r="I249" i="2"/>
  <c r="R249" i="2" s="1"/>
  <c r="N248" i="2"/>
  <c r="I248" i="2"/>
  <c r="R248" i="2" s="1"/>
  <c r="N247" i="2"/>
  <c r="I247" i="2"/>
  <c r="R247" i="2" s="1"/>
  <c r="I246" i="2"/>
  <c r="R246" i="2" s="1"/>
  <c r="N246" i="2"/>
  <c r="N245" i="2"/>
  <c r="I245" i="2"/>
  <c r="R245" i="2" s="1"/>
  <c r="N244" i="2"/>
  <c r="I244" i="2"/>
  <c r="R244" i="2" s="1"/>
  <c r="N243" i="2"/>
  <c r="I243" i="2"/>
  <c r="R243" i="2" s="1"/>
  <c r="N242" i="2"/>
  <c r="I242" i="2"/>
  <c r="R242" i="2" s="1"/>
  <c r="N241" i="2"/>
  <c r="I241" i="2"/>
  <c r="R241" i="2" s="1"/>
  <c r="N240" i="2"/>
  <c r="I240" i="2"/>
  <c r="R240" i="2" s="1"/>
  <c r="N239" i="2"/>
  <c r="I239" i="2"/>
  <c r="R239" i="2" s="1"/>
  <c r="I238" i="2"/>
  <c r="R238" i="2" s="1"/>
  <c r="N238" i="2"/>
  <c r="I237" i="2"/>
  <c r="R237" i="2" s="1"/>
  <c r="N237" i="2"/>
  <c r="I236" i="2"/>
  <c r="R236" i="2" s="1"/>
  <c r="N236" i="2"/>
  <c r="N235" i="2"/>
  <c r="I235" i="2"/>
  <c r="R235" i="2" s="1"/>
  <c r="I234" i="2"/>
  <c r="R234" i="2" s="1"/>
  <c r="N234" i="2"/>
  <c r="N233" i="2"/>
  <c r="I233" i="2"/>
  <c r="R233" i="2" s="1"/>
  <c r="N232" i="2"/>
  <c r="I232" i="2"/>
  <c r="R232" i="2" s="1"/>
  <c r="N231" i="2"/>
  <c r="I231" i="2"/>
  <c r="R231" i="2" s="1"/>
  <c r="N230" i="2"/>
  <c r="I230" i="2"/>
  <c r="R230" i="2" s="1"/>
  <c r="I229" i="2"/>
  <c r="R229" i="2" s="1"/>
  <c r="N229" i="2"/>
  <c r="I228" i="2"/>
  <c r="R228" i="2" s="1"/>
  <c r="N228" i="2"/>
  <c r="N227" i="2"/>
  <c r="I227" i="2"/>
  <c r="R227" i="2" s="1"/>
  <c r="I226" i="2"/>
  <c r="R226" i="2" s="1"/>
  <c r="N226" i="2"/>
  <c r="N225" i="2"/>
  <c r="I225" i="2"/>
  <c r="R225" i="2" s="1"/>
  <c r="N224" i="2"/>
  <c r="I224" i="2"/>
  <c r="R224" i="2" s="1"/>
  <c r="N223" i="2"/>
  <c r="I223" i="2"/>
  <c r="R223" i="2" s="1"/>
  <c r="N222" i="2"/>
  <c r="I222" i="2"/>
  <c r="R222" i="2" s="1"/>
  <c r="N221" i="2"/>
  <c r="I221" i="2"/>
  <c r="R221" i="2" s="1"/>
  <c r="N220" i="2"/>
  <c r="I220" i="2"/>
  <c r="R220" i="2" s="1"/>
  <c r="I219" i="2"/>
  <c r="R219" i="2" s="1"/>
  <c r="N219" i="2"/>
  <c r="I218" i="2"/>
  <c r="R218" i="2" s="1"/>
  <c r="N218" i="2"/>
  <c r="I217" i="2"/>
  <c r="R217" i="2" s="1"/>
  <c r="N217" i="2"/>
  <c r="N216" i="2"/>
  <c r="I216" i="2"/>
  <c r="R216" i="2" s="1"/>
  <c r="N215" i="2"/>
  <c r="I215" i="2"/>
  <c r="R215" i="2" s="1"/>
  <c r="I214" i="2"/>
  <c r="R214" i="2" s="1"/>
  <c r="N214" i="2"/>
  <c r="N212" i="2"/>
  <c r="I212" i="2"/>
  <c r="R212" i="2" s="1"/>
  <c r="I211" i="2"/>
  <c r="R211" i="2" s="1"/>
  <c r="N211" i="2"/>
  <c r="N210" i="2"/>
  <c r="I210" i="2"/>
  <c r="R210" i="2" s="1"/>
  <c r="I209" i="2"/>
  <c r="R209" i="2" s="1"/>
  <c r="N209" i="2"/>
  <c r="N208" i="2"/>
  <c r="I208" i="2"/>
  <c r="R208" i="2" s="1"/>
  <c r="N207" i="2"/>
  <c r="I207" i="2"/>
  <c r="R207" i="2" s="1"/>
  <c r="I206" i="2"/>
  <c r="R206" i="2" s="1"/>
  <c r="N206" i="2"/>
  <c r="I205" i="2"/>
  <c r="R205" i="2" s="1"/>
  <c r="N205" i="2"/>
  <c r="N204" i="2"/>
  <c r="I204" i="2"/>
  <c r="R204" i="2" s="1"/>
  <c r="N203" i="2"/>
  <c r="I203" i="2"/>
  <c r="R203" i="2" s="1"/>
  <c r="N202" i="2"/>
  <c r="I202" i="2"/>
  <c r="R202" i="2" s="1"/>
  <c r="I201" i="2"/>
  <c r="R201" i="2" s="1"/>
  <c r="N201" i="2"/>
  <c r="N200" i="2"/>
  <c r="I200" i="2"/>
  <c r="R200" i="2" s="1"/>
  <c r="I199" i="2"/>
  <c r="R199" i="2" s="1"/>
  <c r="N199" i="2"/>
  <c r="I198" i="2"/>
  <c r="R198" i="2" s="1"/>
  <c r="N198" i="2"/>
  <c r="N197" i="2"/>
  <c r="I197" i="2"/>
  <c r="R197" i="2" s="1"/>
  <c r="N196" i="2"/>
  <c r="I196" i="2"/>
  <c r="R196" i="2" s="1"/>
  <c r="N195" i="2"/>
  <c r="I195" i="2"/>
  <c r="R195" i="2" s="1"/>
  <c r="N194" i="2"/>
  <c r="I194" i="2"/>
  <c r="R194" i="2" s="1"/>
  <c r="N193" i="2"/>
  <c r="I193" i="2"/>
  <c r="R193" i="2" s="1"/>
  <c r="N192" i="2"/>
  <c r="I192" i="2"/>
  <c r="R192" i="2" s="1"/>
  <c r="I191" i="2"/>
  <c r="R191" i="2" s="1"/>
  <c r="N191" i="2"/>
  <c r="N190" i="2"/>
  <c r="I190" i="2"/>
  <c r="R190" i="2" s="1"/>
  <c r="N189" i="2"/>
  <c r="I189" i="2"/>
  <c r="R189" i="2" s="1"/>
  <c r="N188" i="2"/>
  <c r="I188" i="2"/>
  <c r="R188" i="2" s="1"/>
  <c r="N187" i="2"/>
  <c r="I187" i="2"/>
  <c r="R187" i="2" s="1"/>
  <c r="N186" i="2"/>
  <c r="I186" i="2"/>
  <c r="R186" i="2" s="1"/>
  <c r="N185" i="2"/>
  <c r="I185" i="2"/>
  <c r="R185" i="2" s="1"/>
  <c r="N184" i="2"/>
  <c r="I184" i="2"/>
  <c r="R184" i="2" s="1"/>
  <c r="N183" i="2"/>
  <c r="I183" i="2"/>
  <c r="R183" i="2" s="1"/>
  <c r="N182" i="2"/>
  <c r="I182" i="2"/>
  <c r="R182" i="2" s="1"/>
  <c r="N181" i="2"/>
  <c r="I181" i="2"/>
  <c r="R181" i="2" s="1"/>
  <c r="N180" i="2"/>
  <c r="I180" i="2"/>
  <c r="R180" i="2" s="1"/>
  <c r="N179" i="2"/>
  <c r="I179" i="2"/>
  <c r="R179" i="2" s="1"/>
  <c r="N177" i="2"/>
  <c r="I177" i="2"/>
  <c r="R177" i="2" s="1"/>
  <c r="N176" i="2"/>
  <c r="I176" i="2"/>
  <c r="R176" i="2" s="1"/>
  <c r="I175" i="2"/>
  <c r="R175" i="2" s="1"/>
  <c r="N175" i="2"/>
  <c r="N174" i="2"/>
  <c r="I174" i="2"/>
  <c r="R174" i="2" s="1"/>
  <c r="I173" i="2"/>
  <c r="R173" i="2" s="1"/>
  <c r="N173" i="2"/>
  <c r="N172" i="2"/>
  <c r="I172" i="2"/>
  <c r="R172" i="2" s="1"/>
  <c r="N171" i="2"/>
  <c r="I171" i="2"/>
  <c r="R171" i="2" s="1"/>
  <c r="I170" i="2"/>
  <c r="R170" i="2" s="1"/>
  <c r="N170" i="2"/>
  <c r="N169" i="2"/>
  <c r="I169" i="2"/>
  <c r="R169" i="2" s="1"/>
  <c r="I168" i="2"/>
  <c r="R168" i="2" s="1"/>
  <c r="N168" i="2"/>
  <c r="I167" i="2"/>
  <c r="R167" i="2" s="1"/>
  <c r="N167" i="2"/>
  <c r="N166" i="2"/>
  <c r="I166" i="2"/>
  <c r="R166" i="2" s="1"/>
  <c r="I165" i="2"/>
  <c r="R165" i="2" s="1"/>
  <c r="N165" i="2"/>
  <c r="I164" i="2"/>
  <c r="R164" i="2" s="1"/>
  <c r="N164" i="2"/>
  <c r="I163" i="2"/>
  <c r="R163" i="2" s="1"/>
  <c r="N163" i="2"/>
  <c r="N162" i="2"/>
  <c r="I162" i="2"/>
  <c r="R162" i="2" s="1"/>
  <c r="N161" i="2"/>
  <c r="I161" i="2"/>
  <c r="R161" i="2" s="1"/>
  <c r="I160" i="2"/>
  <c r="R160" i="2" s="1"/>
  <c r="N160" i="2"/>
  <c r="N159" i="2"/>
  <c r="I159" i="2"/>
  <c r="R159" i="2" s="1"/>
  <c r="N158" i="2"/>
  <c r="I158" i="2"/>
  <c r="R158" i="2" s="1"/>
  <c r="N157" i="2"/>
  <c r="I157" i="2"/>
  <c r="R157" i="2" s="1"/>
  <c r="N156" i="2"/>
  <c r="I156" i="2"/>
  <c r="R156" i="2" s="1"/>
  <c r="N155" i="2"/>
  <c r="I155" i="2"/>
  <c r="R155" i="2" s="1"/>
  <c r="N154" i="2"/>
  <c r="I154" i="2"/>
  <c r="R154" i="2" s="1"/>
  <c r="N153" i="2"/>
  <c r="I153" i="2"/>
  <c r="R153" i="2" s="1"/>
  <c r="I152" i="2"/>
  <c r="R152" i="2" s="1"/>
  <c r="N152" i="2"/>
  <c r="N151" i="2"/>
  <c r="I151" i="2"/>
  <c r="R151" i="2" s="1"/>
  <c r="N150" i="2"/>
  <c r="I150" i="2"/>
  <c r="R150" i="2" s="1"/>
  <c r="N149" i="2"/>
  <c r="I149" i="2"/>
  <c r="R149" i="2" s="1"/>
  <c r="I148" i="2"/>
  <c r="R148" i="2" s="1"/>
  <c r="N148" i="2"/>
  <c r="N147" i="2"/>
  <c r="I147" i="2"/>
  <c r="R147" i="2" s="1"/>
  <c r="N146" i="2"/>
  <c r="I146" i="2"/>
  <c r="R146" i="2" s="1"/>
  <c r="N145" i="2"/>
  <c r="I145" i="2"/>
  <c r="R145" i="2" s="1"/>
  <c r="N144" i="2"/>
  <c r="I144" i="2"/>
  <c r="R144" i="2" s="1"/>
  <c r="I143" i="2"/>
  <c r="R143" i="2" s="1"/>
  <c r="N143" i="2"/>
  <c r="I142" i="2"/>
  <c r="R142" i="2" s="1"/>
  <c r="N142" i="2"/>
  <c r="I141" i="2"/>
  <c r="R141" i="2" s="1"/>
  <c r="N141" i="2"/>
  <c r="N140" i="2"/>
  <c r="I140" i="2"/>
  <c r="R140" i="2" s="1"/>
  <c r="N139" i="2"/>
  <c r="I139" i="2"/>
  <c r="R139" i="2" s="1"/>
  <c r="I138" i="2"/>
  <c r="R138" i="2" s="1"/>
  <c r="N138" i="2"/>
  <c r="N137" i="2"/>
  <c r="I137" i="2"/>
  <c r="R137" i="2" s="1"/>
  <c r="N136" i="2"/>
  <c r="I136" i="2"/>
  <c r="R136" i="2" s="1"/>
  <c r="N135" i="2"/>
  <c r="I135" i="2"/>
  <c r="R135" i="2" s="1"/>
  <c r="N134" i="2"/>
  <c r="I134" i="2"/>
  <c r="R134" i="2" s="1"/>
  <c r="I133" i="2"/>
  <c r="R133" i="2" s="1"/>
  <c r="N133" i="2"/>
  <c r="I132" i="2"/>
  <c r="R132" i="2" s="1"/>
  <c r="N132" i="2"/>
  <c r="I131" i="2"/>
  <c r="R131" i="2" s="1"/>
  <c r="N131" i="2"/>
  <c r="I130" i="2"/>
  <c r="R130" i="2" s="1"/>
  <c r="N130" i="2"/>
  <c r="N129" i="2"/>
  <c r="I129" i="2"/>
  <c r="R129" i="2" s="1"/>
  <c r="I128" i="2"/>
  <c r="R128" i="2" s="1"/>
  <c r="N128" i="2"/>
  <c r="N127" i="2"/>
  <c r="I127" i="2"/>
  <c r="R127" i="2" s="1"/>
  <c r="N126" i="2"/>
  <c r="I126" i="2"/>
  <c r="R126" i="2" s="1"/>
  <c r="N125" i="2"/>
  <c r="I125" i="2"/>
  <c r="R125" i="2" s="1"/>
  <c r="N124" i="2"/>
  <c r="I124" i="2"/>
  <c r="R124" i="2" s="1"/>
  <c r="N123" i="2"/>
  <c r="I123" i="2"/>
  <c r="R123" i="2" s="1"/>
  <c r="I122" i="2"/>
  <c r="R122" i="2" s="1"/>
  <c r="N122" i="2"/>
  <c r="I121" i="2"/>
  <c r="R121" i="2" s="1"/>
  <c r="N121" i="2"/>
  <c r="I120" i="2"/>
  <c r="R120" i="2" s="1"/>
  <c r="N120" i="2"/>
  <c r="I119" i="2"/>
  <c r="R119" i="2" s="1"/>
  <c r="N119" i="2"/>
  <c r="I118" i="2"/>
  <c r="R118" i="2" s="1"/>
  <c r="N118" i="2"/>
  <c r="N117" i="2"/>
  <c r="I117" i="2"/>
  <c r="R117" i="2" s="1"/>
  <c r="N116" i="2"/>
  <c r="I116" i="2"/>
  <c r="R116" i="2" s="1"/>
  <c r="I114" i="2"/>
  <c r="R114" i="2" s="1"/>
  <c r="N114" i="2"/>
  <c r="N113" i="2"/>
  <c r="I113" i="2"/>
  <c r="R113" i="2" s="1"/>
  <c r="I112" i="2"/>
  <c r="R112" i="2" s="1"/>
  <c r="N112" i="2"/>
  <c r="N111" i="2"/>
  <c r="I111" i="2"/>
  <c r="R111" i="2" s="1"/>
  <c r="I110" i="2"/>
  <c r="R110" i="2" s="1"/>
  <c r="N110" i="2"/>
  <c r="I109" i="2"/>
  <c r="R109" i="2" s="1"/>
  <c r="N109" i="2"/>
  <c r="N108" i="2"/>
  <c r="I108" i="2"/>
  <c r="R108" i="2" s="1"/>
  <c r="I107" i="2"/>
  <c r="R107" i="2" s="1"/>
  <c r="N107" i="2"/>
  <c r="I106" i="2"/>
  <c r="R106" i="2" s="1"/>
  <c r="N106" i="2"/>
  <c r="N105" i="2"/>
  <c r="I105" i="2"/>
  <c r="R105" i="2" s="1"/>
  <c r="I104" i="2"/>
  <c r="R104" i="2" s="1"/>
  <c r="N104" i="2"/>
  <c r="N103" i="2"/>
  <c r="I103" i="2"/>
  <c r="R103" i="2" s="1"/>
  <c r="I102" i="2"/>
  <c r="R102" i="2" s="1"/>
  <c r="N102" i="2"/>
  <c r="I101" i="2"/>
  <c r="R101" i="2" s="1"/>
  <c r="N101" i="2"/>
  <c r="I100" i="2"/>
  <c r="R100" i="2" s="1"/>
  <c r="N100" i="2"/>
  <c r="N99" i="2"/>
  <c r="I99" i="2"/>
  <c r="R99" i="2" s="1"/>
  <c r="N98" i="2"/>
  <c r="I98" i="2"/>
  <c r="R98" i="2" s="1"/>
  <c r="N97" i="2"/>
  <c r="I97" i="2"/>
  <c r="R97" i="2" s="1"/>
  <c r="N96" i="2"/>
  <c r="I96" i="2"/>
  <c r="R96" i="2" s="1"/>
  <c r="N95" i="2"/>
  <c r="I95" i="2"/>
  <c r="R95" i="2" s="1"/>
  <c r="N94" i="2"/>
  <c r="I94" i="2"/>
  <c r="R94" i="2" s="1"/>
  <c r="N93" i="2"/>
  <c r="I93" i="2"/>
  <c r="R93" i="2" s="1"/>
  <c r="I92" i="2"/>
  <c r="R92" i="2" s="1"/>
  <c r="N92" i="2"/>
  <c r="N91" i="2"/>
  <c r="I91" i="2"/>
  <c r="R91" i="2" s="1"/>
  <c r="N90" i="2"/>
  <c r="I90" i="2"/>
  <c r="R90" i="2" s="1"/>
  <c r="N89" i="2"/>
  <c r="I89" i="2"/>
  <c r="R89" i="2" s="1"/>
  <c r="N88" i="2"/>
  <c r="I88" i="2"/>
  <c r="R88" i="2" s="1"/>
  <c r="I87" i="2"/>
  <c r="R87" i="2" s="1"/>
  <c r="N87" i="2"/>
  <c r="I86" i="2"/>
  <c r="R86" i="2" s="1"/>
  <c r="N86" i="2"/>
  <c r="I85" i="2"/>
  <c r="R85" i="2" s="1"/>
  <c r="N85" i="2"/>
  <c r="I84" i="2"/>
  <c r="R84" i="2" s="1"/>
  <c r="N84" i="2"/>
  <c r="I83" i="2"/>
  <c r="R83" i="2" s="1"/>
  <c r="N83" i="2"/>
  <c r="N82" i="2"/>
  <c r="I82" i="2"/>
  <c r="R82" i="2" s="1"/>
  <c r="I81" i="2"/>
  <c r="R81" i="2" s="1"/>
  <c r="N81" i="2"/>
  <c r="N80" i="2"/>
  <c r="I80" i="2"/>
  <c r="R80" i="2" s="1"/>
  <c r="N79" i="2"/>
  <c r="I79" i="2"/>
  <c r="R79" i="2" s="1"/>
  <c r="N78" i="2"/>
  <c r="I78" i="2"/>
  <c r="R78" i="2" s="1"/>
  <c r="N77" i="2"/>
  <c r="I77" i="2"/>
  <c r="R77" i="2" s="1"/>
  <c r="N76" i="2"/>
  <c r="I76" i="2"/>
  <c r="R76" i="2" s="1"/>
  <c r="N75" i="2"/>
  <c r="I75" i="2"/>
  <c r="R75" i="2" s="1"/>
  <c r="N74" i="2"/>
  <c r="I74" i="2"/>
  <c r="R74" i="2" s="1"/>
  <c r="I73" i="2"/>
  <c r="R73" i="2" s="1"/>
  <c r="N73" i="2"/>
  <c r="N71" i="2"/>
  <c r="I71" i="2"/>
  <c r="R71" i="2" s="1"/>
  <c r="N70" i="2"/>
  <c r="I70" i="2"/>
  <c r="R70" i="2" s="1"/>
  <c r="I69" i="2"/>
  <c r="R69" i="2" s="1"/>
  <c r="N69" i="2"/>
  <c r="I68" i="2"/>
  <c r="R68" i="2" s="1"/>
  <c r="N68" i="2"/>
  <c r="I67" i="2"/>
  <c r="R67" i="2" s="1"/>
  <c r="N67" i="2"/>
  <c r="N66" i="2"/>
  <c r="I66" i="2"/>
  <c r="R66" i="2" s="1"/>
  <c r="N65" i="2"/>
  <c r="I65" i="2"/>
  <c r="R65" i="2" s="1"/>
  <c r="I64" i="2"/>
  <c r="R64" i="2" s="1"/>
  <c r="N64" i="2"/>
  <c r="I63" i="2"/>
  <c r="R63" i="2" s="1"/>
  <c r="N63" i="2"/>
  <c r="N62" i="2"/>
  <c r="I62" i="2"/>
  <c r="R62" i="2" s="1"/>
  <c r="I61" i="2"/>
  <c r="R61" i="2" s="1"/>
  <c r="N61" i="2"/>
  <c r="N60" i="2"/>
  <c r="I60" i="2"/>
  <c r="R60" i="2" s="1"/>
  <c r="N59" i="2"/>
  <c r="I59" i="2"/>
  <c r="R59" i="2" s="1"/>
  <c r="N58" i="2"/>
  <c r="I58" i="2"/>
  <c r="R58" i="2" s="1"/>
  <c r="N57" i="2"/>
  <c r="I57" i="2"/>
  <c r="R57" i="2" s="1"/>
  <c r="I56" i="2"/>
  <c r="R56" i="2" s="1"/>
  <c r="N56" i="2"/>
  <c r="N55" i="2"/>
  <c r="I55" i="2"/>
  <c r="R55" i="2" s="1"/>
  <c r="I54" i="2"/>
  <c r="R54" i="2" s="1"/>
  <c r="N54" i="2"/>
  <c r="N53" i="2"/>
  <c r="I53" i="2"/>
  <c r="R53" i="2" s="1"/>
  <c r="I52" i="2"/>
  <c r="R52" i="2" s="1"/>
  <c r="N52" i="2"/>
  <c r="N51" i="2"/>
  <c r="I51" i="2"/>
  <c r="R51" i="2" s="1"/>
  <c r="I50" i="2"/>
  <c r="R50" i="2" s="1"/>
  <c r="N50" i="2"/>
  <c r="N49" i="2"/>
  <c r="I49" i="2"/>
  <c r="R49" i="2" s="1"/>
  <c r="I48" i="2"/>
  <c r="R48" i="2" s="1"/>
  <c r="N48" i="2"/>
  <c r="I47" i="2"/>
  <c r="R47" i="2" s="1"/>
  <c r="N47" i="2"/>
  <c r="N46" i="2"/>
  <c r="I46" i="2"/>
  <c r="R46" i="2" s="1"/>
  <c r="I45" i="2"/>
  <c r="R45" i="2" s="1"/>
  <c r="N45" i="2"/>
  <c r="N44" i="2"/>
  <c r="I44" i="2"/>
  <c r="R44" i="2" s="1"/>
  <c r="I42" i="2"/>
  <c r="R42" i="2" s="1"/>
  <c r="N42" i="2"/>
  <c r="I41" i="2"/>
  <c r="R41" i="2" s="1"/>
  <c r="N41" i="2"/>
  <c r="I40" i="2"/>
  <c r="R40" i="2" s="1"/>
  <c r="N40" i="2"/>
  <c r="I39" i="2"/>
  <c r="R39" i="2" s="1"/>
  <c r="N39" i="2"/>
  <c r="I38" i="2"/>
  <c r="R38" i="2" s="1"/>
  <c r="N38" i="2"/>
  <c r="I36" i="2"/>
  <c r="R36" i="2" s="1"/>
  <c r="N36" i="2"/>
  <c r="N35" i="2"/>
  <c r="I35" i="2"/>
  <c r="R35" i="2" s="1"/>
  <c r="I34" i="2"/>
  <c r="R34" i="2" s="1"/>
  <c r="N34" i="2"/>
  <c r="I33" i="2"/>
  <c r="R33" i="2" s="1"/>
  <c r="N33" i="2"/>
  <c r="N32" i="2"/>
  <c r="I32" i="2"/>
  <c r="R32" i="2" s="1"/>
  <c r="I31" i="2"/>
  <c r="R31" i="2" s="1"/>
  <c r="N31" i="2"/>
  <c r="I30" i="2"/>
  <c r="R30" i="2" s="1"/>
  <c r="N30" i="2"/>
  <c r="N29" i="2"/>
  <c r="I29" i="2"/>
  <c r="R29" i="2" s="1"/>
  <c r="I28" i="2"/>
  <c r="R28" i="2" s="1"/>
  <c r="N28" i="2"/>
  <c r="N27" i="2"/>
  <c r="I27" i="2"/>
  <c r="R27" i="2" s="1"/>
  <c r="I26" i="2"/>
  <c r="R26" i="2" s="1"/>
  <c r="N26" i="2"/>
  <c r="N25" i="2"/>
  <c r="I25" i="2"/>
  <c r="R25" i="2" s="1"/>
  <c r="I24" i="2"/>
  <c r="R24" i="2" s="1"/>
  <c r="N24" i="2"/>
  <c r="I23" i="2"/>
  <c r="R23" i="2" s="1"/>
  <c r="N23" i="2"/>
  <c r="N22" i="2"/>
  <c r="I22" i="2"/>
  <c r="R22" i="2" s="1"/>
  <c r="N21" i="2"/>
  <c r="I21" i="2"/>
  <c r="R21" i="2" s="1"/>
  <c r="I20" i="2"/>
  <c r="R20" i="2" s="1"/>
  <c r="N20" i="2"/>
  <c r="N19" i="2"/>
  <c r="I19" i="2"/>
  <c r="R19" i="2" s="1"/>
  <c r="I18" i="2"/>
  <c r="R18" i="2" s="1"/>
  <c r="N18" i="2"/>
  <c r="N17" i="2"/>
  <c r="I17" i="2"/>
  <c r="R17" i="2" s="1"/>
  <c r="N16" i="2"/>
  <c r="I16" i="2"/>
  <c r="R16" i="2" s="1"/>
  <c r="N15" i="2"/>
  <c r="I15" i="2"/>
  <c r="R15" i="2" s="1"/>
  <c r="N14" i="2"/>
  <c r="I14" i="2"/>
  <c r="R14" i="2" s="1"/>
  <c r="N13" i="2"/>
  <c r="I13" i="2"/>
  <c r="R13" i="2" s="1"/>
  <c r="N12" i="2"/>
  <c r="I12" i="2"/>
  <c r="R12" i="2" s="1"/>
  <c r="N11" i="2"/>
  <c r="I11" i="2"/>
  <c r="R11" i="2" s="1"/>
  <c r="N10" i="2"/>
  <c r="I10" i="2"/>
  <c r="R10" i="2" s="1"/>
  <c r="N9" i="2"/>
  <c r="I9" i="2"/>
  <c r="R9" i="2" s="1"/>
  <c r="I8" i="2"/>
  <c r="R8" i="2" s="1"/>
  <c r="N8" i="2"/>
  <c r="N7" i="2"/>
  <c r="I7" i="2"/>
  <c r="R7" i="2" s="1"/>
  <c r="N6" i="2"/>
  <c r="I6" i="2"/>
  <c r="R6" i="2" s="1"/>
  <c r="I5" i="2"/>
  <c r="R5" i="2" s="1"/>
  <c r="N5" i="2"/>
  <c r="N4" i="2"/>
  <c r="I4" i="2"/>
  <c r="R4" i="2" s="1"/>
  <c r="I3" i="2"/>
  <c r="R3" i="2" s="1"/>
  <c r="N3" i="2"/>
  <c r="N2" i="2"/>
  <c r="I2" i="2"/>
  <c r="R2" i="2" s="1"/>
  <c r="S456" i="2" l="1"/>
  <c r="S408" i="2"/>
  <c r="S290" i="2"/>
  <c r="S289" i="2"/>
  <c r="S287" i="2"/>
  <c r="S306" i="2"/>
  <c r="S291" i="2"/>
  <c r="S288" i="2"/>
  <c r="S286" i="2"/>
  <c r="S285" i="2"/>
  <c r="S253" i="2"/>
  <c r="S251" i="2"/>
  <c r="S30" i="2"/>
  <c r="S43" i="2"/>
  <c r="S72" i="2"/>
  <c r="S115" i="2"/>
  <c r="S37" i="2"/>
  <c r="S319" i="2"/>
  <c r="S178" i="2"/>
  <c r="S213" i="2"/>
  <c r="S354" i="2"/>
  <c r="S460" i="2"/>
  <c r="S495" i="2"/>
  <c r="S2" i="2"/>
  <c r="S565" i="2"/>
  <c r="S564" i="2"/>
  <c r="S563" i="2"/>
  <c r="S562" i="2"/>
  <c r="S561" i="2"/>
  <c r="S560" i="2"/>
  <c r="S559" i="2"/>
  <c r="S558" i="2"/>
  <c r="S557" i="2"/>
  <c r="S556" i="2"/>
  <c r="S555" i="2"/>
  <c r="S554" i="2"/>
  <c r="S553" i="2"/>
  <c r="S552" i="2"/>
  <c r="S551" i="2"/>
  <c r="S550" i="2"/>
  <c r="S549" i="2"/>
  <c r="S548" i="2"/>
  <c r="S547" i="2"/>
  <c r="S546" i="2"/>
  <c r="S545" i="2"/>
  <c r="S544" i="2"/>
  <c r="S543" i="2"/>
  <c r="S542" i="2"/>
  <c r="S541" i="2"/>
  <c r="S540" i="2"/>
  <c r="S539" i="2"/>
  <c r="S538" i="2"/>
  <c r="S537" i="2"/>
  <c r="S536" i="2"/>
  <c r="S535" i="2"/>
  <c r="S534" i="2"/>
  <c r="S533" i="2"/>
  <c r="S532" i="2"/>
  <c r="S531" i="2"/>
  <c r="S506" i="2"/>
  <c r="S504" i="2"/>
  <c r="S502" i="2"/>
  <c r="S500" i="2"/>
  <c r="S498" i="2"/>
  <c r="S436" i="2"/>
  <c r="S426" i="2"/>
  <c r="S396" i="2"/>
  <c r="S356" i="2"/>
  <c r="S303" i="2"/>
  <c r="S530" i="2"/>
  <c r="S529" i="2"/>
  <c r="S528" i="2"/>
  <c r="S527" i="2"/>
  <c r="S526" i="2"/>
  <c r="S525" i="2"/>
  <c r="S524" i="2"/>
  <c r="S523" i="2"/>
  <c r="S522" i="2"/>
  <c r="S521" i="2"/>
  <c r="S520" i="2"/>
  <c r="S519" i="2"/>
  <c r="S518" i="2"/>
  <c r="S517" i="2"/>
  <c r="S516" i="2"/>
  <c r="S515" i="2"/>
  <c r="S514" i="2"/>
  <c r="S513" i="2"/>
  <c r="S512" i="2"/>
  <c r="S511" i="2"/>
  <c r="S510" i="2"/>
  <c r="S509" i="2"/>
  <c r="S508" i="2"/>
  <c r="S507" i="2"/>
  <c r="S505" i="2"/>
  <c r="S503" i="2"/>
  <c r="S501" i="2"/>
  <c r="S499" i="2"/>
  <c r="S497" i="2"/>
  <c r="S433" i="2"/>
  <c r="S407" i="2"/>
  <c r="S399" i="2"/>
  <c r="S330" i="2"/>
  <c r="S320" i="2"/>
  <c r="S293" i="2"/>
  <c r="S496" i="2"/>
  <c r="S494" i="2"/>
  <c r="S493" i="2"/>
  <c r="S492" i="2"/>
  <c r="S491" i="2"/>
  <c r="S490" i="2"/>
  <c r="S489" i="2"/>
  <c r="S488" i="2"/>
  <c r="S487" i="2"/>
  <c r="S486" i="2"/>
  <c r="S485" i="2"/>
  <c r="S484" i="2"/>
  <c r="S483" i="2"/>
  <c r="S482" i="2"/>
  <c r="S481" i="2"/>
  <c r="S480" i="2"/>
  <c r="S479" i="2"/>
  <c r="S478" i="2"/>
  <c r="S477" i="2"/>
  <c r="S476" i="2"/>
  <c r="S475" i="2"/>
  <c r="S474" i="2"/>
  <c r="S473" i="2"/>
  <c r="S472" i="2"/>
  <c r="S471" i="2"/>
  <c r="S470" i="2"/>
  <c r="S469" i="2"/>
  <c r="S468" i="2"/>
  <c r="S467" i="2"/>
  <c r="S466" i="2"/>
  <c r="S465" i="2"/>
  <c r="S464" i="2"/>
  <c r="S463" i="2"/>
  <c r="S462" i="2"/>
  <c r="S461" i="2"/>
  <c r="S455" i="2"/>
  <c r="S454" i="2"/>
  <c r="S453" i="2"/>
  <c r="S452" i="2"/>
  <c r="S451" i="2"/>
  <c r="S450" i="2"/>
  <c r="S449" i="2"/>
  <c r="S448" i="2"/>
  <c r="S447" i="2"/>
  <c r="S446" i="2"/>
  <c r="S445" i="2"/>
  <c r="S444" i="2"/>
  <c r="S437" i="2"/>
  <c r="S405" i="2"/>
  <c r="S393" i="2"/>
  <c r="S327" i="2"/>
  <c r="S301" i="2"/>
  <c r="S459" i="2"/>
  <c r="S458" i="2"/>
  <c r="S457" i="2"/>
  <c r="S424" i="2"/>
  <c r="S423" i="2"/>
  <c r="S422" i="2"/>
  <c r="S421" i="2"/>
  <c r="S420" i="2"/>
  <c r="S419" i="2"/>
  <c r="S418" i="2"/>
  <c r="S417" i="2"/>
  <c r="S416" i="2"/>
  <c r="S415" i="2"/>
  <c r="S414" i="2"/>
  <c r="S413" i="2"/>
  <c r="S412" i="2"/>
  <c r="S411" i="2"/>
  <c r="S410" i="2"/>
  <c r="S409" i="2"/>
  <c r="S390" i="2"/>
  <c r="S389" i="2"/>
  <c r="S388" i="2"/>
  <c r="S387" i="2"/>
  <c r="S386" i="2"/>
  <c r="S385" i="2"/>
  <c r="S384" i="2"/>
  <c r="S383" i="2"/>
  <c r="S382" i="2"/>
  <c r="S381" i="2"/>
  <c r="S380" i="2"/>
  <c r="S379" i="2"/>
  <c r="S378" i="2"/>
  <c r="S377" i="2"/>
  <c r="S376" i="2"/>
  <c r="S375" i="2"/>
  <c r="S374" i="2"/>
  <c r="S373" i="2"/>
  <c r="S372" i="2"/>
  <c r="S371" i="2"/>
  <c r="S370" i="2"/>
  <c r="S369" i="2"/>
  <c r="S368" i="2"/>
  <c r="S367" i="2"/>
  <c r="S366" i="2"/>
  <c r="S365" i="2"/>
  <c r="S364" i="2"/>
  <c r="S363" i="2"/>
  <c r="S362" i="2"/>
  <c r="S361" i="2"/>
  <c r="S360" i="2"/>
  <c r="S326" i="2"/>
  <c r="S300" i="2"/>
  <c r="S355" i="2"/>
  <c r="S353" i="2"/>
  <c r="S352" i="2"/>
  <c r="S351" i="2"/>
  <c r="S350" i="2"/>
  <c r="S349" i="2"/>
  <c r="S348" i="2"/>
  <c r="S347" i="2"/>
  <c r="S346" i="2"/>
  <c r="S345" i="2"/>
  <c r="S344" i="2"/>
  <c r="S343" i="2"/>
  <c r="S342" i="2"/>
  <c r="S341" i="2"/>
  <c r="S340" i="2"/>
  <c r="S339" i="2"/>
  <c r="S338" i="2"/>
  <c r="S337" i="2"/>
  <c r="S336" i="2"/>
  <c r="S335" i="2"/>
  <c r="S334" i="2"/>
  <c r="S333" i="2"/>
  <c r="S332" i="2"/>
  <c r="S331" i="2"/>
  <c r="S304" i="2"/>
  <c r="S318" i="2"/>
  <c r="S317" i="2"/>
  <c r="S316" i="2"/>
  <c r="S315" i="2"/>
  <c r="S314" i="2"/>
  <c r="S313" i="2"/>
  <c r="S312" i="2"/>
  <c r="S311" i="2"/>
  <c r="S310" i="2"/>
  <c r="S309" i="2"/>
  <c r="S308" i="2"/>
  <c r="S307" i="2"/>
  <c r="S284" i="2"/>
  <c r="S283" i="2"/>
  <c r="S282" i="2"/>
  <c r="S281" i="2"/>
  <c r="S280" i="2"/>
  <c r="S279" i="2"/>
  <c r="S278" i="2"/>
  <c r="S277" i="2"/>
  <c r="S276" i="2"/>
  <c r="S275" i="2"/>
  <c r="S274" i="2"/>
  <c r="S273" i="2"/>
  <c r="S272" i="2"/>
  <c r="S271" i="2"/>
  <c r="S270" i="2"/>
  <c r="S269" i="2"/>
  <c r="S268" i="2"/>
  <c r="S267" i="2"/>
  <c r="S266" i="2"/>
  <c r="S265" i="2"/>
  <c r="S264" i="2"/>
  <c r="S263" i="2"/>
  <c r="S262" i="2"/>
  <c r="S261" i="2"/>
  <c r="S260" i="2"/>
  <c r="S259" i="2"/>
  <c r="S258" i="2"/>
  <c r="S257" i="2"/>
  <c r="S256" i="2"/>
  <c r="S255" i="2"/>
  <c r="S254" i="2"/>
  <c r="S250" i="2"/>
  <c r="S249" i="2"/>
  <c r="S248" i="2"/>
  <c r="S247" i="2"/>
  <c r="S246" i="2"/>
  <c r="S245" i="2"/>
  <c r="S244" i="2"/>
  <c r="S243" i="2"/>
  <c r="S242" i="2"/>
  <c r="S241" i="2"/>
  <c r="S240" i="2"/>
  <c r="S239" i="2"/>
  <c r="S238" i="2"/>
  <c r="S237" i="2"/>
  <c r="S236" i="2"/>
  <c r="S235" i="2"/>
  <c r="S234" i="2"/>
  <c r="S233" i="2"/>
  <c r="S232" i="2"/>
  <c r="S231" i="2"/>
  <c r="S230" i="2"/>
  <c r="S229" i="2"/>
  <c r="S228" i="2"/>
  <c r="S227" i="2"/>
  <c r="S226" i="2"/>
  <c r="S225" i="2"/>
  <c r="S224" i="2"/>
  <c r="S223" i="2"/>
  <c r="S222" i="2"/>
  <c r="S221" i="2"/>
  <c r="S220" i="2"/>
  <c r="S219" i="2"/>
  <c r="S218" i="2"/>
  <c r="S217" i="2"/>
  <c r="S216" i="2"/>
  <c r="S440" i="2"/>
  <c r="S430" i="2"/>
  <c r="S404" i="2"/>
  <c r="S394" i="2"/>
  <c r="S322" i="2"/>
  <c r="S297" i="2"/>
  <c r="S215" i="2"/>
  <c r="S214" i="2"/>
  <c r="S212" i="2"/>
  <c r="S211" i="2"/>
  <c r="S210" i="2"/>
  <c r="S209" i="2"/>
  <c r="S208" i="2"/>
  <c r="S207" i="2"/>
  <c r="S206" i="2"/>
  <c r="S205" i="2"/>
  <c r="S204" i="2"/>
  <c r="S203" i="2"/>
  <c r="S202" i="2"/>
  <c r="S201" i="2"/>
  <c r="S200" i="2"/>
  <c r="S199" i="2"/>
  <c r="S198" i="2"/>
  <c r="S197" i="2"/>
  <c r="S196" i="2"/>
  <c r="S195" i="2"/>
  <c r="S194" i="2"/>
  <c r="S193" i="2"/>
  <c r="S192" i="2"/>
  <c r="S191" i="2"/>
  <c r="S190" i="2"/>
  <c r="S189" i="2"/>
  <c r="S188" i="2"/>
  <c r="S187" i="2"/>
  <c r="S186" i="2"/>
  <c r="S185" i="2"/>
  <c r="S184" i="2"/>
  <c r="S183" i="2"/>
  <c r="S182" i="2"/>
  <c r="S181" i="2"/>
  <c r="S180" i="2"/>
  <c r="S155" i="2"/>
  <c r="S153" i="2"/>
  <c r="S152" i="2"/>
  <c r="S149" i="2"/>
  <c r="S147" i="2"/>
  <c r="S145" i="2"/>
  <c r="S123" i="2"/>
  <c r="S120" i="2"/>
  <c r="S118" i="2"/>
  <c r="S114" i="2"/>
  <c r="S112" i="2"/>
  <c r="S110" i="2"/>
  <c r="S27" i="2"/>
  <c r="S25" i="2"/>
  <c r="S20" i="2"/>
  <c r="S16" i="2"/>
  <c r="S13" i="2"/>
  <c r="S8" i="2"/>
  <c r="S5" i="2"/>
  <c r="S443" i="2"/>
  <c r="S439" i="2"/>
  <c r="S429" i="2"/>
  <c r="S427" i="2"/>
  <c r="S402" i="2"/>
  <c r="S400" i="2"/>
  <c r="S395" i="2"/>
  <c r="S359" i="2"/>
  <c r="S329" i="2"/>
  <c r="S323" i="2"/>
  <c r="S305" i="2"/>
  <c r="S296" i="2"/>
  <c r="S292" i="2"/>
  <c r="S252" i="2"/>
  <c r="S179" i="2"/>
  <c r="S177" i="2"/>
  <c r="S176" i="2"/>
  <c r="S175" i="2"/>
  <c r="S174" i="2"/>
  <c r="S173" i="2"/>
  <c r="S172" i="2"/>
  <c r="S171" i="2"/>
  <c r="S170" i="2"/>
  <c r="S169" i="2"/>
  <c r="S168" i="2"/>
  <c r="S167" i="2"/>
  <c r="S166" i="2"/>
  <c r="S165" i="2"/>
  <c r="S164" i="2"/>
  <c r="S163" i="2"/>
  <c r="S162" i="2"/>
  <c r="S161" i="2"/>
  <c r="S160" i="2"/>
  <c r="S159" i="2"/>
  <c r="S158" i="2"/>
  <c r="S157" i="2"/>
  <c r="S156" i="2"/>
  <c r="S154" i="2"/>
  <c r="S151" i="2"/>
  <c r="S150" i="2"/>
  <c r="S148" i="2"/>
  <c r="S146" i="2"/>
  <c r="S124" i="2"/>
  <c r="S121" i="2"/>
  <c r="S119" i="2"/>
  <c r="S116" i="2"/>
  <c r="S113" i="2"/>
  <c r="S109" i="2"/>
  <c r="S29" i="2"/>
  <c r="S23" i="2"/>
  <c r="S21" i="2"/>
  <c r="S17" i="2"/>
  <c r="S12" i="2"/>
  <c r="S9" i="2"/>
  <c r="S4" i="2"/>
  <c r="S442" i="2"/>
  <c r="S438" i="2"/>
  <c r="S432" i="2"/>
  <c r="S428" i="2"/>
  <c r="S401" i="2"/>
  <c r="S397" i="2"/>
  <c r="S358" i="2"/>
  <c r="S325" i="2"/>
  <c r="S321" i="2"/>
  <c r="S298" i="2"/>
  <c r="S294" i="2"/>
  <c r="S144" i="2"/>
  <c r="S143" i="2"/>
  <c r="S142" i="2"/>
  <c r="S141" i="2"/>
  <c r="S140" i="2"/>
  <c r="S139" i="2"/>
  <c r="S138" i="2"/>
  <c r="S137" i="2"/>
  <c r="S136" i="2"/>
  <c r="S135" i="2"/>
  <c r="S134" i="2"/>
  <c r="S133" i="2"/>
  <c r="S132" i="2"/>
  <c r="S131" i="2"/>
  <c r="S130" i="2"/>
  <c r="S129" i="2"/>
  <c r="S128" i="2"/>
  <c r="S127" i="2"/>
  <c r="S126" i="2"/>
  <c r="S125" i="2"/>
  <c r="S122" i="2"/>
  <c r="S117" i="2"/>
  <c r="S111" i="2"/>
  <c r="S28" i="2"/>
  <c r="S22" i="2"/>
  <c r="S15" i="2"/>
  <c r="S10" i="2"/>
  <c r="S3" i="2"/>
  <c r="S435" i="2"/>
  <c r="S406" i="2"/>
  <c r="S398" i="2"/>
  <c r="S357" i="2"/>
  <c r="S299" i="2"/>
  <c r="S108" i="2"/>
  <c r="S107" i="2"/>
  <c r="S106" i="2"/>
  <c r="S105" i="2"/>
  <c r="S104" i="2"/>
  <c r="S103" i="2"/>
  <c r="S102" i="2"/>
  <c r="S101" i="2"/>
  <c r="S100" i="2"/>
  <c r="S99" i="2"/>
  <c r="S98" i="2"/>
  <c r="S97" i="2"/>
  <c r="S96" i="2"/>
  <c r="S95" i="2"/>
  <c r="S94" i="2"/>
  <c r="S93" i="2"/>
  <c r="S92" i="2"/>
  <c r="S91" i="2"/>
  <c r="S90" i="2"/>
  <c r="S89" i="2"/>
  <c r="S88" i="2"/>
  <c r="S87" i="2"/>
  <c r="S86" i="2"/>
  <c r="S85" i="2"/>
  <c r="S84" i="2"/>
  <c r="S83" i="2"/>
  <c r="S82" i="2"/>
  <c r="S81" i="2"/>
  <c r="S80" i="2"/>
  <c r="S79" i="2"/>
  <c r="S78" i="2"/>
  <c r="S77" i="2"/>
  <c r="S76" i="2"/>
  <c r="S75" i="2"/>
  <c r="S74" i="2"/>
  <c r="S24" i="2"/>
  <c r="S19" i="2"/>
  <c r="S14" i="2"/>
  <c r="S7" i="2"/>
  <c r="S441" i="2"/>
  <c r="S431" i="2"/>
  <c r="S403" i="2"/>
  <c r="S392" i="2"/>
  <c r="S328" i="2"/>
  <c r="S302" i="2"/>
  <c r="S73" i="2"/>
  <c r="S71" i="2"/>
  <c r="S70" i="2"/>
  <c r="S69" i="2"/>
  <c r="S68" i="2"/>
  <c r="S67" i="2"/>
  <c r="S66" i="2"/>
  <c r="S65" i="2"/>
  <c r="S64" i="2"/>
  <c r="S63" i="2"/>
  <c r="S62" i="2"/>
  <c r="S61" i="2"/>
  <c r="S60" i="2"/>
  <c r="S59" i="2"/>
  <c r="S58" i="2"/>
  <c r="S57" i="2"/>
  <c r="S56" i="2"/>
  <c r="S55" i="2"/>
  <c r="S54" i="2"/>
  <c r="S53" i="2"/>
  <c r="S52" i="2"/>
  <c r="S51" i="2"/>
  <c r="S50" i="2"/>
  <c r="S49" i="2"/>
  <c r="S48" i="2"/>
  <c r="S47" i="2"/>
  <c r="S46" i="2"/>
  <c r="S45" i="2"/>
  <c r="S44" i="2"/>
  <c r="S42" i="2"/>
  <c r="S41" i="2"/>
  <c r="S40" i="2"/>
  <c r="S39" i="2"/>
  <c r="S38" i="2"/>
  <c r="S26" i="2"/>
  <c r="S18" i="2"/>
  <c r="S11" i="2"/>
  <c r="S6" i="2"/>
  <c r="S434" i="2"/>
  <c r="S425" i="2"/>
  <c r="S391" i="2"/>
  <c r="S324" i="2"/>
  <c r="S295" i="2"/>
  <c r="S36" i="2"/>
  <c r="S35" i="2"/>
  <c r="S34" i="2"/>
  <c r="S33" i="2"/>
  <c r="S32" i="2"/>
  <c r="S31" i="2"/>
</calcChain>
</file>

<file path=xl/sharedStrings.xml><?xml version="1.0" encoding="utf-8"?>
<sst xmlns="http://schemas.openxmlformats.org/spreadsheetml/2006/main" count="3009" uniqueCount="660">
  <si>
    <t>Day 19 Solution - Data Cleaning</t>
  </si>
  <si>
    <t>Scenario: a messy multi-seller export of the ProductCatalog needs cleaning before dashboard reporting. 564 raw rows, 3 real products (Samsung Galaxy, Google Pixel, Apple iPhone 14 - plus a spacing typo 'Apple iPhone14'), 3 brands (Apple, Google, Samsung), 2 categories (Electronics, Gadgets) written in many inconsistent forms.</t>
  </si>
  <si>
    <t>Task 1: Identify and highlight duplicate records (helper column)</t>
  </si>
  <si>
    <t>Formula:</t>
  </si>
  <si>
    <t>F2 =TRIM(B2)&amp;"|"&amp;TRIM(C2)&amp;"|"&amp;TRIM(D2)&amp;"|"&amp;TRIM(E2)   G2 =COUNTIF($F$2:$F$565,F2)&gt;1</t>
  </si>
  <si>
    <t>Answer:</t>
  </si>
  <si>
    <t>49 distinct records are duplicated in the raw data, covering 103 rows (see 'ProductCatalog (Solved)' columns F-G). Rows flagged TRUE in column G are highlighted red across A:E via Conditional Formatting.</t>
  </si>
  <si>
    <t>Task 2: Fix inconsistent casing in Product Name and Brand using PROPER()</t>
  </si>
  <si>
    <t>I2 =PROPER(H2)   where H2 =TRIM(B2)     K2 =PROPER(J2)   where J2 =TRIM(E2)</t>
  </si>
  <si>
    <t>Product Name collapses to 4 clean values: Samsung Galaxy, Google Pixel, Apple Iphone 14, Apple Iphone14 (the last is a genuine spacing typo in the source text, not a casing issue, so PROPER() correctly leaves it distinct from 'Apple Iphone 14'). Brand collapses to 3 clean values: Apple, Google, Samsung.</t>
  </si>
  <si>
    <t>Task 3: Standardize the Category column (Find &amp; Replace)</t>
  </si>
  <si>
    <t>L2 =IF(TRIM(C2)="","",IF(ISNUMBER(SEARCH("gadget",C2)),"Gadgets","Electronics"))</t>
  </si>
  <si>
    <t>Manual Find &amp; Replace equivalent: 'Electrnics' -&gt; 'Electronics', 'Electro' -&gt; 'Electronics', 'electronics' -&gt; 'Electronics' (match case off), ' gadgets ' / 'gadgets' -&gt; 'Gadgets'. Result: 325 Electronics, 157 Gadgets, 82 still blank at this stage (handled in Task 6).</t>
  </si>
  <si>
    <t>Task 4: Clean up extra spaces using TRIM()</t>
  </si>
  <si>
    <t>H2 =TRIM(B2)      J2 =TRIM(E2)</t>
  </si>
  <si>
    <t>286 of 564 Product Name values had leading/trailing/double spaces removed by TRIM(). Demonstrated with LEN() in Task Bonus 1 below.</t>
  </si>
  <si>
    <t>Task 5: Convert inconsistent Price values into standard numeric format</t>
  </si>
  <si>
    <t>O2 =IF(TRIM(D2)="","",VALUE(TRIM(SUBSTITUTE(SUBSTITUTE(D2,"USD",""),"$",""))))</t>
  </si>
  <si>
    <t>Every non-blank Price value ('799', '799.0', '799.00', ' 799', '799 ', '$799', 'USD 799') converts to the number 799 (502 rows). 62 rows had no price at this stage (handled in Task 6). Column O is formatted as Number with 2 decimal places.</t>
  </si>
  <si>
    <t>Task 6: Replace missing/empty values with 'Not Available' (Find &amp; Replace)</t>
  </si>
  <si>
    <t>P2 =IF(L2="","Not Available",L2)      Q2 =IF(O2="","Not Available",O2)</t>
  </si>
  <si>
    <t>Category: 82 blanks replaced with 'Not Available' (column P). Price: 62 blanks replaced with 'Not Available' (column Q). Product Name and Brand had no missing values in this dataset.</t>
  </si>
  <si>
    <t>Task 7: Remove duplicate rows using Remove Duplicates</t>
  </si>
  <si>
    <t>R2 =I2&amp;"|"&amp;P2&amp;"|"&amp;Q2&amp;"|"&amp;K2   (final duplicate key, all cleaned fields except Product ID)   S2 =COUNTIF($R$2:$R$565,R2)&gt;1</t>
  </si>
  <si>
    <t>Deduplicating on the cleaned Product Name + Category + Price + Brand (Product ID is a unique seller-generated SKU so it is excluded from the match, per Excel's Remove Duplicates 'select columns' option) reduces 564 rows to 59 unique records (505 duplicates removed). See sheet 'Cleaned Output (No Duplicates)' for the first-occurrence result, matching Data &gt; Remove Duplicates with the Product ID column unchecked.</t>
  </si>
  <si>
    <t>Bonus 1: LEN() before/after TRIM()</t>
  </si>
  <si>
    <t>M2 =LEN(B2)      N2 =LEN(H2)   where H2 =TRIM(B2)</t>
  </si>
  <si>
    <t>286 of 564 Product Name rows shrink after TRIM() (columns M and N in 'ProductCatalog (Solved)' differ on those rows), proving the extra spaces were really there.</t>
  </si>
  <si>
    <t>Bonus 2: conditional format blanks in key columns</t>
  </si>
  <si>
    <t>Steps:</t>
  </si>
  <si>
    <t>Conditional Formatting &gt; New Rule &gt; Format only cells that contain &gt; Blanks, applied to Category (C2:C565) and Price (D2:D565) on 'ProductCatalog (Solved)', amber fill.</t>
  </si>
  <si>
    <t>82 blank Category cells and 62 blank Price cells are highlighted.</t>
  </si>
  <si>
    <t>Verification</t>
  </si>
  <si>
    <t>All figures above were computed twice independently: once by the exact formula logic used in the workbook, and once again with pandas from the raw data. Both matched (see build_solution.py assertions).</t>
  </si>
  <si>
    <t>Product ID</t>
  </si>
  <si>
    <t>Product Name (Raw)</t>
  </si>
  <si>
    <t>Category (Raw)</t>
  </si>
  <si>
    <t>Price (Raw)</t>
  </si>
  <si>
    <t>Brand (Raw)</t>
  </si>
  <si>
    <t>Duplicate Key (Raw)</t>
  </si>
  <si>
    <t>Is Duplicate? (Raw)</t>
  </si>
  <si>
    <t>Product Name (Trimmed)</t>
  </si>
  <si>
    <t>Product Name (Proper)</t>
  </si>
  <si>
    <t>Brand (Trimmed)</t>
  </si>
  <si>
    <t>Brand (Proper)</t>
  </si>
  <si>
    <t>Category (Standardized)</t>
  </si>
  <si>
    <t>Char Count Before TRIM</t>
  </si>
  <si>
    <t>Char Count After TRIM</t>
  </si>
  <si>
    <t>Price (Numeric)</t>
  </si>
  <si>
    <t>Category (Final)</t>
  </si>
  <si>
    <t>Price (Final)</t>
  </si>
  <si>
    <t>Final Duplicate Key (Clean)</t>
  </si>
  <si>
    <t>Is Duplicate? (Clean)</t>
  </si>
  <si>
    <t>SKU1000</t>
  </si>
  <si>
    <t xml:space="preserve"> Samsung galaxy</t>
  </si>
  <si>
    <t>799</t>
  </si>
  <si>
    <t>GOOGLE</t>
  </si>
  <si>
    <t>SKU1001</t>
  </si>
  <si>
    <t>Google pixel</t>
  </si>
  <si>
    <t>SKU1002</t>
  </si>
  <si>
    <t>apple iPhone 14</t>
  </si>
  <si>
    <t>Electrnics</t>
  </si>
  <si>
    <t>799.0</t>
  </si>
  <si>
    <t>Google</t>
  </si>
  <si>
    <t>SKU1003</t>
  </si>
  <si>
    <t xml:space="preserve"> apple iphone 14 </t>
  </si>
  <si>
    <t>799.00</t>
  </si>
  <si>
    <t>apple</t>
  </si>
  <si>
    <t>SKU1004</t>
  </si>
  <si>
    <t xml:space="preserve"> 799</t>
  </si>
  <si>
    <t xml:space="preserve"> Samsung</t>
  </si>
  <si>
    <t>SKU1005</t>
  </si>
  <si>
    <t xml:space="preserve"> google pixel </t>
  </si>
  <si>
    <t>Electro</t>
  </si>
  <si>
    <t xml:space="preserve">799 </t>
  </si>
  <si>
    <t>google</t>
  </si>
  <si>
    <t>SKU1006</t>
  </si>
  <si>
    <t>SKU1007</t>
  </si>
  <si>
    <t xml:space="preserve">samsung Galaxy </t>
  </si>
  <si>
    <t>Samsung</t>
  </si>
  <si>
    <t>SKU1008</t>
  </si>
  <si>
    <t>$799</t>
  </si>
  <si>
    <t>APPLE</t>
  </si>
  <si>
    <t>SKU1009</t>
  </si>
  <si>
    <t>SKU1010</t>
  </si>
  <si>
    <t>electronics</t>
  </si>
  <si>
    <t>SKU1011</t>
  </si>
  <si>
    <t>Google Pixel</t>
  </si>
  <si>
    <t>USD 799</t>
  </si>
  <si>
    <t>Apple</t>
  </si>
  <si>
    <t>SKU1012</t>
  </si>
  <si>
    <t xml:space="preserve">Apple </t>
  </si>
  <si>
    <t>SKU1013</t>
  </si>
  <si>
    <t>SAMSUNG GALAXY</t>
  </si>
  <si>
    <t xml:space="preserve"> gadgets </t>
  </si>
  <si>
    <t>SKU1014</t>
  </si>
  <si>
    <t>Gadgets</t>
  </si>
  <si>
    <t>SKU1015</t>
  </si>
  <si>
    <t>SKU1016</t>
  </si>
  <si>
    <t>SKU1017</t>
  </si>
  <si>
    <t>SKU1018</t>
  </si>
  <si>
    <t>SKU1019</t>
  </si>
  <si>
    <t xml:space="preserve">GOOGLE PIXEL </t>
  </si>
  <si>
    <t>SKU1020</t>
  </si>
  <si>
    <t>SKU1021</t>
  </si>
  <si>
    <t>SKU1022</t>
  </si>
  <si>
    <t>Samsung Galaxy</t>
  </si>
  <si>
    <t>SKU1023</t>
  </si>
  <si>
    <t>SKU1024</t>
  </si>
  <si>
    <t xml:space="preserve">Apple iPhone14 </t>
  </si>
  <si>
    <t>SKU1025</t>
  </si>
  <si>
    <t>SKU1026</t>
  </si>
  <si>
    <t>SAMSUNG</t>
  </si>
  <si>
    <t>SKU1027</t>
  </si>
  <si>
    <t>SKU1028</t>
  </si>
  <si>
    <t>SKU1029</t>
  </si>
  <si>
    <t>SKU1030</t>
  </si>
  <si>
    <t>SKU1031</t>
  </si>
  <si>
    <t>SKU1032</t>
  </si>
  <si>
    <t>SKU1033</t>
  </si>
  <si>
    <t>SKU1034</t>
  </si>
  <si>
    <t>SKU1035</t>
  </si>
  <si>
    <t>SKU1036</t>
  </si>
  <si>
    <t>Electronics</t>
  </si>
  <si>
    <t>SKU1037</t>
  </si>
  <si>
    <t>SKU1038</t>
  </si>
  <si>
    <t>SKU1039</t>
  </si>
  <si>
    <t>SKU1040</t>
  </si>
  <si>
    <t>SKU1041</t>
  </si>
  <si>
    <t>SKU1042</t>
  </si>
  <si>
    <t>SKU1043</t>
  </si>
  <si>
    <t>SKU1044</t>
  </si>
  <si>
    <t>SKU1045</t>
  </si>
  <si>
    <t>SKU1046</t>
  </si>
  <si>
    <t>SKU1047</t>
  </si>
  <si>
    <t>SKU1048</t>
  </si>
  <si>
    <t>SKU1049</t>
  </si>
  <si>
    <t>SKU1050</t>
  </si>
  <si>
    <t>APPLE IPHONE 14</t>
  </si>
  <si>
    <t>SKU1051</t>
  </si>
  <si>
    <t>SKU1052</t>
  </si>
  <si>
    <t>SKU1053</t>
  </si>
  <si>
    <t>SKU1054</t>
  </si>
  <si>
    <t>SKU1055</t>
  </si>
  <si>
    <t>SKU1056</t>
  </si>
  <si>
    <t>SKU1057</t>
  </si>
  <si>
    <t>SKU1058</t>
  </si>
  <si>
    <t>SKU1059</t>
  </si>
  <si>
    <t>SKU1060</t>
  </si>
  <si>
    <t>SKU1061</t>
  </si>
  <si>
    <t>SKU1062</t>
  </si>
  <si>
    <t>SKU1063</t>
  </si>
  <si>
    <t>SKU1064</t>
  </si>
  <si>
    <t>SKU1065</t>
  </si>
  <si>
    <t>SKU1066</t>
  </si>
  <si>
    <t>SKU1067</t>
  </si>
  <si>
    <t>SKU1068</t>
  </si>
  <si>
    <t>SKU1069</t>
  </si>
  <si>
    <t>SKU1070</t>
  </si>
  <si>
    <t>SKU1071</t>
  </si>
  <si>
    <t>SKU1072</t>
  </si>
  <si>
    <t>SKU1073</t>
  </si>
  <si>
    <t>SKU1074</t>
  </si>
  <si>
    <t>SKU1075</t>
  </si>
  <si>
    <t>SKU1076</t>
  </si>
  <si>
    <t>SKU1077</t>
  </si>
  <si>
    <t>SKU1078</t>
  </si>
  <si>
    <t>SKU1079</t>
  </si>
  <si>
    <t>SKU1080</t>
  </si>
  <si>
    <t>SKU1081</t>
  </si>
  <si>
    <t>SKU1082</t>
  </si>
  <si>
    <t>SKU1083</t>
  </si>
  <si>
    <t>SKU1084</t>
  </si>
  <si>
    <t>SKU1085</t>
  </si>
  <si>
    <t>SKU1086</t>
  </si>
  <si>
    <t>SKU1087</t>
  </si>
  <si>
    <t>SKU1088</t>
  </si>
  <si>
    <t>SKU1089</t>
  </si>
  <si>
    <t>SKU1090</t>
  </si>
  <si>
    <t>SKU1091</t>
  </si>
  <si>
    <t>SKU1092</t>
  </si>
  <si>
    <t>SKU1093</t>
  </si>
  <si>
    <t>SKU1094</t>
  </si>
  <si>
    <t>SKU1095</t>
  </si>
  <si>
    <t>SKU1096</t>
  </si>
  <si>
    <t>SKU1097</t>
  </si>
  <si>
    <t>SKU1098</t>
  </si>
  <si>
    <t>SKU1099</t>
  </si>
  <si>
    <t>SKU1100</t>
  </si>
  <si>
    <t>SKU1101</t>
  </si>
  <si>
    <t>SKU1102</t>
  </si>
  <si>
    <t>SKU1103</t>
  </si>
  <si>
    <t>SKU1104</t>
  </si>
  <si>
    <t>SKU1105</t>
  </si>
  <si>
    <t>SKU1106</t>
  </si>
  <si>
    <t>SKU1107</t>
  </si>
  <si>
    <t>SKU1108</t>
  </si>
  <si>
    <t>SKU1109</t>
  </si>
  <si>
    <t>SKU1110</t>
  </si>
  <si>
    <t>SKU1111</t>
  </si>
  <si>
    <t>SKU1112</t>
  </si>
  <si>
    <t>SKU1113</t>
  </si>
  <si>
    <t>SKU1114</t>
  </si>
  <si>
    <t>SKU1115</t>
  </si>
  <si>
    <t>SKU1116</t>
  </si>
  <si>
    <t>SKU1117</t>
  </si>
  <si>
    <t>SKU1118</t>
  </si>
  <si>
    <t>SKU1119</t>
  </si>
  <si>
    <t>SKU1120</t>
  </si>
  <si>
    <t>SKU1121</t>
  </si>
  <si>
    <t>SKU1122</t>
  </si>
  <si>
    <t>SKU1123</t>
  </si>
  <si>
    <t>SKU1124</t>
  </si>
  <si>
    <t>SKU1125</t>
  </si>
  <si>
    <t>SKU1126</t>
  </si>
  <si>
    <t>SKU1127</t>
  </si>
  <si>
    <t>SKU1128</t>
  </si>
  <si>
    <t>SKU1129</t>
  </si>
  <si>
    <t>SKU1130</t>
  </si>
  <si>
    <t>SKU1131</t>
  </si>
  <si>
    <t>SKU1132</t>
  </si>
  <si>
    <t>SKU1133</t>
  </si>
  <si>
    <t>SKU1134</t>
  </si>
  <si>
    <t>SKU1135</t>
  </si>
  <si>
    <t>SKU1136</t>
  </si>
  <si>
    <t>SKU1137</t>
  </si>
  <si>
    <t>SKU1138</t>
  </si>
  <si>
    <t>SKU1139</t>
  </si>
  <si>
    <t>SKU1140</t>
  </si>
  <si>
    <t>SKU1141</t>
  </si>
  <si>
    <t>SKU1142</t>
  </si>
  <si>
    <t>SKU1143</t>
  </si>
  <si>
    <t>SKU1144</t>
  </si>
  <si>
    <t>SKU1145</t>
  </si>
  <si>
    <t>SKU1146</t>
  </si>
  <si>
    <t>SKU1147</t>
  </si>
  <si>
    <t>SKU1148</t>
  </si>
  <si>
    <t>SKU1149</t>
  </si>
  <si>
    <t>SKU1150</t>
  </si>
  <si>
    <t>SKU1151</t>
  </si>
  <si>
    <t>SKU1152</t>
  </si>
  <si>
    <t>SKU1153</t>
  </si>
  <si>
    <t>SKU1154</t>
  </si>
  <si>
    <t>SKU1155</t>
  </si>
  <si>
    <t>SKU1156</t>
  </si>
  <si>
    <t>SKU1157</t>
  </si>
  <si>
    <t>SKU1158</t>
  </si>
  <si>
    <t>SKU1159</t>
  </si>
  <si>
    <t>SKU1160</t>
  </si>
  <si>
    <t>SKU1161</t>
  </si>
  <si>
    <t>SKU1162</t>
  </si>
  <si>
    <t>SKU1163</t>
  </si>
  <si>
    <t>SKU1164</t>
  </si>
  <si>
    <t>SKU1165</t>
  </si>
  <si>
    <t>SKU1166</t>
  </si>
  <si>
    <t>SKU1167</t>
  </si>
  <si>
    <t>SKU1168</t>
  </si>
  <si>
    <t>SKU1169</t>
  </si>
  <si>
    <t>SKU1170</t>
  </si>
  <si>
    <t>SKU1171</t>
  </si>
  <si>
    <t>SKU1172</t>
  </si>
  <si>
    <t>SKU1173</t>
  </si>
  <si>
    <t>SKU1174</t>
  </si>
  <si>
    <t>SKU1175</t>
  </si>
  <si>
    <t>SKU1176</t>
  </si>
  <si>
    <t>SKU1177</t>
  </si>
  <si>
    <t>SKU1178</t>
  </si>
  <si>
    <t>SKU1179</t>
  </si>
  <si>
    <t>SKU1180</t>
  </si>
  <si>
    <t>SKU1181</t>
  </si>
  <si>
    <t>SKU1182</t>
  </si>
  <si>
    <t>SKU1183</t>
  </si>
  <si>
    <t>SKU1184</t>
  </si>
  <si>
    <t>SKU1185</t>
  </si>
  <si>
    <t>SKU1186</t>
  </si>
  <si>
    <t>SKU1187</t>
  </si>
  <si>
    <t>SKU1188</t>
  </si>
  <si>
    <t>SKU1189</t>
  </si>
  <si>
    <t>SKU1190</t>
  </si>
  <si>
    <t>SKU1191</t>
  </si>
  <si>
    <t>SKU1192</t>
  </si>
  <si>
    <t>SKU1193</t>
  </si>
  <si>
    <t>SKU1194</t>
  </si>
  <si>
    <t>SKU1195</t>
  </si>
  <si>
    <t>SKU1196</t>
  </si>
  <si>
    <t>SKU1197</t>
  </si>
  <si>
    <t>SKU1198</t>
  </si>
  <si>
    <t>SKU1199</t>
  </si>
  <si>
    <t>SKU1200</t>
  </si>
  <si>
    <t>SKU1201</t>
  </si>
  <si>
    <t>SKU1202</t>
  </si>
  <si>
    <t>SKU1203</t>
  </si>
  <si>
    <t>SKU1204</t>
  </si>
  <si>
    <t>SKU1205</t>
  </si>
  <si>
    <t>SKU1206</t>
  </si>
  <si>
    <t>SKU1207</t>
  </si>
  <si>
    <t>SKU1208</t>
  </si>
  <si>
    <t>SKU1209</t>
  </si>
  <si>
    <t>SKU1210</t>
  </si>
  <si>
    <t>SKU1211</t>
  </si>
  <si>
    <t>SKU1212</t>
  </si>
  <si>
    <t>SKU1213</t>
  </si>
  <si>
    <t>SKU1214</t>
  </si>
  <si>
    <t>SKU1215</t>
  </si>
  <si>
    <t>SKU1216</t>
  </si>
  <si>
    <t>SKU1217</t>
  </si>
  <si>
    <t>SKU1218</t>
  </si>
  <si>
    <t>SKU1219</t>
  </si>
  <si>
    <t>SKU1220</t>
  </si>
  <si>
    <t>SKU1221</t>
  </si>
  <si>
    <t>SKU1222</t>
  </si>
  <si>
    <t>SKU1223</t>
  </si>
  <si>
    <t>SKU1224</t>
  </si>
  <si>
    <t>SKU1225</t>
  </si>
  <si>
    <t>SKU1226</t>
  </si>
  <si>
    <t>SKU1227</t>
  </si>
  <si>
    <t>SKU1228</t>
  </si>
  <si>
    <t>SKU1229</t>
  </si>
  <si>
    <t>SKU1230</t>
  </si>
  <si>
    <t>SKU1231</t>
  </si>
  <si>
    <t>SKU1232</t>
  </si>
  <si>
    <t>SKU1233</t>
  </si>
  <si>
    <t>SKU1234</t>
  </si>
  <si>
    <t>SKU1235</t>
  </si>
  <si>
    <t>SKU1236</t>
  </si>
  <si>
    <t>SKU1237</t>
  </si>
  <si>
    <t>SKU1238</t>
  </si>
  <si>
    <t>SKU1239</t>
  </si>
  <si>
    <t>SKU1240</t>
  </si>
  <si>
    <t>SKU1241</t>
  </si>
  <si>
    <t>SKU1242</t>
  </si>
  <si>
    <t>SKU1243</t>
  </si>
  <si>
    <t>SKU1244</t>
  </si>
  <si>
    <t>SKU1245</t>
  </si>
  <si>
    <t>SKU1246</t>
  </si>
  <si>
    <t>SKU1247</t>
  </si>
  <si>
    <t>SKU1248</t>
  </si>
  <si>
    <t>SKU1249</t>
  </si>
  <si>
    <t>SKU1250</t>
  </si>
  <si>
    <t>SKU1251</t>
  </si>
  <si>
    <t>SKU1252</t>
  </si>
  <si>
    <t>SKU1253</t>
  </si>
  <si>
    <t>SKU1254</t>
  </si>
  <si>
    <t>SKU1255</t>
  </si>
  <si>
    <t>SKU1256</t>
  </si>
  <si>
    <t>SKU1257</t>
  </si>
  <si>
    <t>SKU1258</t>
  </si>
  <si>
    <t>SKU1259</t>
  </si>
  <si>
    <t>SKU1260</t>
  </si>
  <si>
    <t>SKU1261</t>
  </si>
  <si>
    <t>SKU1262</t>
  </si>
  <si>
    <t>SKU1263</t>
  </si>
  <si>
    <t>SKU1264</t>
  </si>
  <si>
    <t>SKU1265</t>
  </si>
  <si>
    <t>SKU1266</t>
  </si>
  <si>
    <t>SKU1267</t>
  </si>
  <si>
    <t>SKU1268</t>
  </si>
  <si>
    <t>SKU1269</t>
  </si>
  <si>
    <t>SKU1270</t>
  </si>
  <si>
    <t>SKU1271</t>
  </si>
  <si>
    <t>SKU1272</t>
  </si>
  <si>
    <t>SKU1273</t>
  </si>
  <si>
    <t>SKU1274</t>
  </si>
  <si>
    <t>SKU1275</t>
  </si>
  <si>
    <t>SKU1276</t>
  </si>
  <si>
    <t>SKU1277</t>
  </si>
  <si>
    <t>SKU1278</t>
  </si>
  <si>
    <t>SKU1279</t>
  </si>
  <si>
    <t>SKU1280</t>
  </si>
  <si>
    <t>SKU1281</t>
  </si>
  <si>
    <t>SKU1282</t>
  </si>
  <si>
    <t>SKU1283</t>
  </si>
  <si>
    <t>SKU1284</t>
  </si>
  <si>
    <t>SKU1285</t>
  </si>
  <si>
    <t>SKU1286</t>
  </si>
  <si>
    <t>SKU1287</t>
  </si>
  <si>
    <t>SKU1288</t>
  </si>
  <si>
    <t>SKU1289</t>
  </si>
  <si>
    <t>SKU1290</t>
  </si>
  <si>
    <t>SKU1291</t>
  </si>
  <si>
    <t>SKU1292</t>
  </si>
  <si>
    <t>SKU1293</t>
  </si>
  <si>
    <t>SKU1294</t>
  </si>
  <si>
    <t>SKU1295</t>
  </si>
  <si>
    <t>SKU1296</t>
  </si>
  <si>
    <t>SKU1297</t>
  </si>
  <si>
    <t>SKU1298</t>
  </si>
  <si>
    <t>SKU1299</t>
  </si>
  <si>
    <t>SKU1300</t>
  </si>
  <si>
    <t>SKU1301</t>
  </si>
  <si>
    <t>SKU1302</t>
  </si>
  <si>
    <t>SKU1303</t>
  </si>
  <si>
    <t>SKU1304</t>
  </si>
  <si>
    <t>SKU1305</t>
  </si>
  <si>
    <t>SKU1306</t>
  </si>
  <si>
    <t>SKU1307</t>
  </si>
  <si>
    <t>SKU1308</t>
  </si>
  <si>
    <t>SKU1309</t>
  </si>
  <si>
    <t>SKU1310</t>
  </si>
  <si>
    <t>SKU1311</t>
  </si>
  <si>
    <t>SKU1312</t>
  </si>
  <si>
    <t>SKU1313</t>
  </si>
  <si>
    <t>SKU1314</t>
  </si>
  <si>
    <t>SKU1315</t>
  </si>
  <si>
    <t>SKU1316</t>
  </si>
  <si>
    <t>SKU1317</t>
  </si>
  <si>
    <t>SKU1318</t>
  </si>
  <si>
    <t>SKU1319</t>
  </si>
  <si>
    <t>SKU1320</t>
  </si>
  <si>
    <t>SKU1321</t>
  </si>
  <si>
    <t>SKU1322</t>
  </si>
  <si>
    <t>SKU1323</t>
  </si>
  <si>
    <t>SKU1324</t>
  </si>
  <si>
    <t>SKU1325</t>
  </si>
  <si>
    <t>SKU1326</t>
  </si>
  <si>
    <t>SKU1327</t>
  </si>
  <si>
    <t>SKU1328</t>
  </si>
  <si>
    <t>SKU1329</t>
  </si>
  <si>
    <t>SKU1330</t>
  </si>
  <si>
    <t>SKU1331</t>
  </si>
  <si>
    <t>SKU1332</t>
  </si>
  <si>
    <t>SKU1333</t>
  </si>
  <si>
    <t>SKU1334</t>
  </si>
  <si>
    <t>SKU1335</t>
  </si>
  <si>
    <t>SKU1336</t>
  </si>
  <si>
    <t>SKU1337</t>
  </si>
  <si>
    <t>SKU1338</t>
  </si>
  <si>
    <t>SKU1339</t>
  </si>
  <si>
    <t>SKU1340</t>
  </si>
  <si>
    <t>SKU1341</t>
  </si>
  <si>
    <t>SKU1342</t>
  </si>
  <si>
    <t>SKU1343</t>
  </si>
  <si>
    <t>SKU1344</t>
  </si>
  <si>
    <t>SKU1345</t>
  </si>
  <si>
    <t>SKU1346</t>
  </si>
  <si>
    <t>SKU1347</t>
  </si>
  <si>
    <t>SKU1348</t>
  </si>
  <si>
    <t>SKU1349</t>
  </si>
  <si>
    <t>SKU1350</t>
  </si>
  <si>
    <t>SKU1351</t>
  </si>
  <si>
    <t>SKU1352</t>
  </si>
  <si>
    <t>SKU1353</t>
  </si>
  <si>
    <t>SKU1354</t>
  </si>
  <si>
    <t>SKU1355</t>
  </si>
  <si>
    <t>SKU1356</t>
  </si>
  <si>
    <t>SKU1357</t>
  </si>
  <si>
    <t>SKU1358</t>
  </si>
  <si>
    <t>SKU1359</t>
  </si>
  <si>
    <t>SKU1360</t>
  </si>
  <si>
    <t>SKU1361</t>
  </si>
  <si>
    <t>SKU1362</t>
  </si>
  <si>
    <t>SKU1363</t>
  </si>
  <si>
    <t>SKU1364</t>
  </si>
  <si>
    <t>SKU1365</t>
  </si>
  <si>
    <t>SKU1366</t>
  </si>
  <si>
    <t>SKU1367</t>
  </si>
  <si>
    <t>SKU1368</t>
  </si>
  <si>
    <t>SKU1369</t>
  </si>
  <si>
    <t>SKU1370</t>
  </si>
  <si>
    <t>SKU1371</t>
  </si>
  <si>
    <t>SKU1372</t>
  </si>
  <si>
    <t>SKU1373</t>
  </si>
  <si>
    <t>SKU1374</t>
  </si>
  <si>
    <t>SKU1375</t>
  </si>
  <si>
    <t>SKU1376</t>
  </si>
  <si>
    <t>SKU1377</t>
  </si>
  <si>
    <t>SKU1378</t>
  </si>
  <si>
    <t>SKU1379</t>
  </si>
  <si>
    <t>SKU1380</t>
  </si>
  <si>
    <t>SKU1381</t>
  </si>
  <si>
    <t>SKU1382</t>
  </si>
  <si>
    <t>SKU1383</t>
  </si>
  <si>
    <t>SKU1384</t>
  </si>
  <si>
    <t>SKU1385</t>
  </si>
  <si>
    <t>SKU1386</t>
  </si>
  <si>
    <t>SKU1387</t>
  </si>
  <si>
    <t>SKU1388</t>
  </si>
  <si>
    <t>SKU1389</t>
  </si>
  <si>
    <t>SKU1390</t>
  </si>
  <si>
    <t>SKU1391</t>
  </si>
  <si>
    <t>SKU1392</t>
  </si>
  <si>
    <t>SKU1393</t>
  </si>
  <si>
    <t>SKU1394</t>
  </si>
  <si>
    <t>SKU1395</t>
  </si>
  <si>
    <t>SKU1396</t>
  </si>
  <si>
    <t>SKU1397</t>
  </si>
  <si>
    <t>SKU1398</t>
  </si>
  <si>
    <t>SKU1399</t>
  </si>
  <si>
    <t>SKU1400</t>
  </si>
  <si>
    <t>SKU1401</t>
  </si>
  <si>
    <t>SKU1402</t>
  </si>
  <si>
    <t>SKU1403</t>
  </si>
  <si>
    <t>SKU1404</t>
  </si>
  <si>
    <t>SKU1405</t>
  </si>
  <si>
    <t>SKU1406</t>
  </si>
  <si>
    <t>SKU1407</t>
  </si>
  <si>
    <t>SKU1408</t>
  </si>
  <si>
    <t>SKU1409</t>
  </si>
  <si>
    <t>SKU1410</t>
  </si>
  <si>
    <t>SKU1411</t>
  </si>
  <si>
    <t>SKU1412</t>
  </si>
  <si>
    <t>SKU1413</t>
  </si>
  <si>
    <t>SKU1414</t>
  </si>
  <si>
    <t>SKU1415</t>
  </si>
  <si>
    <t>SKU1416</t>
  </si>
  <si>
    <t>SKU1417</t>
  </si>
  <si>
    <t>SKU1418</t>
  </si>
  <si>
    <t>SKU1419</t>
  </si>
  <si>
    <t>SKU1420</t>
  </si>
  <si>
    <t>SKU1421</t>
  </si>
  <si>
    <t>SKU1422</t>
  </si>
  <si>
    <t>SKU1423</t>
  </si>
  <si>
    <t>SKU1424</t>
  </si>
  <si>
    <t>SKU1425</t>
  </si>
  <si>
    <t>SKU1426</t>
  </si>
  <si>
    <t>SKU1427</t>
  </si>
  <si>
    <t>SKU1428</t>
  </si>
  <si>
    <t>SKU1429</t>
  </si>
  <si>
    <t>SKU1430</t>
  </si>
  <si>
    <t>SKU1431</t>
  </si>
  <si>
    <t>SKU1432</t>
  </si>
  <si>
    <t>SKU1433</t>
  </si>
  <si>
    <t>SKU1434</t>
  </si>
  <si>
    <t>SKU1435</t>
  </si>
  <si>
    <t>SKU1436</t>
  </si>
  <si>
    <t>SKU1437</t>
  </si>
  <si>
    <t>SKU1438</t>
  </si>
  <si>
    <t>SKU1439</t>
  </si>
  <si>
    <t>SKU1440</t>
  </si>
  <si>
    <t>SKU1441</t>
  </si>
  <si>
    <t>SKU1442</t>
  </si>
  <si>
    <t>SKU1443</t>
  </si>
  <si>
    <t>SKU1444</t>
  </si>
  <si>
    <t>SKU1445</t>
  </si>
  <si>
    <t>SKU1446</t>
  </si>
  <si>
    <t>SKU1447</t>
  </si>
  <si>
    <t>SKU1448</t>
  </si>
  <si>
    <t>SKU1449</t>
  </si>
  <si>
    <t>SKU1450</t>
  </si>
  <si>
    <t>SKU1451</t>
  </si>
  <si>
    <t>SKU1452</t>
  </si>
  <si>
    <t>SKU1453</t>
  </si>
  <si>
    <t>SKU1454</t>
  </si>
  <si>
    <t>SKU1455</t>
  </si>
  <si>
    <t>SKU1456</t>
  </si>
  <si>
    <t>SKU1457</t>
  </si>
  <si>
    <t>SKU1458</t>
  </si>
  <si>
    <t>SKU1459</t>
  </si>
  <si>
    <t>SKU1460</t>
  </si>
  <si>
    <t>SKU1461</t>
  </si>
  <si>
    <t>SKU1462</t>
  </si>
  <si>
    <t>SKU1463</t>
  </si>
  <si>
    <t>SKU1464</t>
  </si>
  <si>
    <t>SKU1465</t>
  </si>
  <si>
    <t>SKU1466</t>
  </si>
  <si>
    <t>SKU1467</t>
  </si>
  <si>
    <t>SKU1468</t>
  </si>
  <si>
    <t>SKU1469</t>
  </si>
  <si>
    <t>SKU1470</t>
  </si>
  <si>
    <t>SKU1471</t>
  </si>
  <si>
    <t>SKU1472</t>
  </si>
  <si>
    <t>SKU1473</t>
  </si>
  <si>
    <t>SKU1474</t>
  </si>
  <si>
    <t>SKU1475</t>
  </si>
  <si>
    <t>SKU1476</t>
  </si>
  <si>
    <t>SKU1477</t>
  </si>
  <si>
    <t>SKU1478</t>
  </si>
  <si>
    <t>SKU1479</t>
  </si>
  <si>
    <t>SKU1480</t>
  </si>
  <si>
    <t>SKU1481</t>
  </si>
  <si>
    <t>SKU1482</t>
  </si>
  <si>
    <t>SKU1483</t>
  </si>
  <si>
    <t>SKU1484</t>
  </si>
  <si>
    <t>SKU1485</t>
  </si>
  <si>
    <t>SKU1486</t>
  </si>
  <si>
    <t>SKU1487</t>
  </si>
  <si>
    <t>SKU1488</t>
  </si>
  <si>
    <t>SKU1489</t>
  </si>
  <si>
    <t>SKU1490</t>
  </si>
  <si>
    <t>SKU1491</t>
  </si>
  <si>
    <t>SKU1492</t>
  </si>
  <si>
    <t>SKU1493</t>
  </si>
  <si>
    <t>SKU1494</t>
  </si>
  <si>
    <t>SKU1495</t>
  </si>
  <si>
    <t>SKU1496</t>
  </si>
  <si>
    <t>SKU1497</t>
  </si>
  <si>
    <t>SKU1498</t>
  </si>
  <si>
    <t>SKU1499</t>
  </si>
  <si>
    <t>SKU1500</t>
  </si>
  <si>
    <t>SKU1501</t>
  </si>
  <si>
    <t>SKU1502</t>
  </si>
  <si>
    <t>SKU1503</t>
  </si>
  <si>
    <t>SKU1504</t>
  </si>
  <si>
    <t>SKU1505</t>
  </si>
  <si>
    <t>SKU1506</t>
  </si>
  <si>
    <t>SKU1507</t>
  </si>
  <si>
    <t>SKU1508</t>
  </si>
  <si>
    <t>SKU1509</t>
  </si>
  <si>
    <t>SKU1510</t>
  </si>
  <si>
    <t>SKU1511</t>
  </si>
  <si>
    <t>SKU1512</t>
  </si>
  <si>
    <t>SKU1513</t>
  </si>
  <si>
    <t>SKU1514</t>
  </si>
  <si>
    <t>SKU1515</t>
  </si>
  <si>
    <t>SKU1516</t>
  </si>
  <si>
    <t>SKU1517</t>
  </si>
  <si>
    <t>SKU1518</t>
  </si>
  <si>
    <t>SKU1519</t>
  </si>
  <si>
    <t>SKU1520</t>
  </si>
  <si>
    <t>SKU1521</t>
  </si>
  <si>
    <t>SKU1522</t>
  </si>
  <si>
    <t>SKU1523</t>
  </si>
  <si>
    <t>SKU1524</t>
  </si>
  <si>
    <t>SKU1525</t>
  </si>
  <si>
    <t>SKU1526</t>
  </si>
  <si>
    <t>SKU1527</t>
  </si>
  <si>
    <t>SKU1528</t>
  </si>
  <si>
    <t>SKU1529</t>
  </si>
  <si>
    <t>SKU1530</t>
  </si>
  <si>
    <t>SKU1531</t>
  </si>
  <si>
    <t>SKU1532</t>
  </si>
  <si>
    <t>SKU1533</t>
  </si>
  <si>
    <t>SKU1534</t>
  </si>
  <si>
    <t>SKU1535</t>
  </si>
  <si>
    <t>SKU1536</t>
  </si>
  <si>
    <t>SKU1537</t>
  </si>
  <si>
    <t>SKU1538</t>
  </si>
  <si>
    <t>SKU1539</t>
  </si>
  <si>
    <t>SKU1540</t>
  </si>
  <si>
    <t>SKU1541</t>
  </si>
  <si>
    <t>SKU1542</t>
  </si>
  <si>
    <t>SKU1543</t>
  </si>
  <si>
    <t>SKU1544</t>
  </si>
  <si>
    <t>SKU1545</t>
  </si>
  <si>
    <t>SKU1546</t>
  </si>
  <si>
    <t>SKU1547</t>
  </si>
  <si>
    <t>SKU1548</t>
  </si>
  <si>
    <t>SKU1549</t>
  </si>
  <si>
    <t>SKU1550</t>
  </si>
  <si>
    <t>SKU1551</t>
  </si>
  <si>
    <t>SKU1552</t>
  </si>
  <si>
    <t>SKU1553</t>
  </si>
  <si>
    <t>SKU1554</t>
  </si>
  <si>
    <t>SKU1555</t>
  </si>
  <si>
    <t>SKU1556</t>
  </si>
  <si>
    <t>SKU1557</t>
  </si>
  <si>
    <t>SKU1558</t>
  </si>
  <si>
    <t>SKU1559</t>
  </si>
  <si>
    <t>SKU1560</t>
  </si>
  <si>
    <t>SKU1561</t>
  </si>
  <si>
    <t>SKU1562</t>
  </si>
  <si>
    <t>SKU1563</t>
  </si>
  <si>
    <t>Product Name</t>
  </si>
  <si>
    <t>Category</t>
  </si>
  <si>
    <t>Price</t>
  </si>
  <si>
    <t>Brand</t>
  </si>
  <si>
    <t>Not Available</t>
  </si>
  <si>
    <t>Apple Iphone 14</t>
  </si>
  <si>
    <t>Apple Iphone14</t>
  </si>
  <si>
    <t>Result of Data &gt; Remove Duplicates on 'ProductCatalog (Solved)' columns I, P, Q, K (Product Name, Category, Price, Brand - all cleaned), Product ID excluded from the match and first occurrence kept. 564 rows -&gt; 59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</si>
</sst>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name val="Calibri"/>
    </font>
    <font>
      <b/>
      <sz val="12"/>
      <color rgb="FF1F4E78"/>
      <name val="Calibri"/>
    </font>
    <font>
      <b/>
      <sz val="11"/>
      <name val="Calibri"/>
    </font>
    <font>
      <b/>
      <sz val="11"/>
      <color rgb="FFFFFFFF"/>
      <name val="Calibri"/>
    </font>
    <font>
      <i/>
      <sz val="11"/>
      <color rgb="FF666666"/>
      <name val="Calibri"/>
    </font>
  </fonts>
  <fills count="3">
    <fill>
      <patternFill patternType="none"/>
    </fill>
    <fill>
      <patternFill patternType="gray125"/>
    </fill>
    <fill>
      <patternFill patternType="solid">
        <fgColor rgb="FF1F4E78"/>
        <bgColor rgb="FF1F4E78"/>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0" fillId="0" borderId="0" xfId="0" applyAlignment="1">
      <alignment wrapText="1"/>
    </xf>
    <xf numFmtId="0" fontId="2" fillId="0" borderId="0" xfId="0" applyFont="1"/>
    <xf numFmtId="0" fontId="3" fillId="0" borderId="0" xfId="0" applyFont="1"/>
    <xf numFmtId="0" fontId="4" fillId="2" borderId="0" xfId="0" applyFont="1" applyFill="1" applyAlignment="1">
      <alignment vertical="center" wrapText="1"/>
    </xf>
    <xf numFmtId="2" fontId="0" fillId="0" borderId="0" xfId="0" applyNumberFormat="1"/>
    <xf numFmtId="0" fontId="4" fillId="2" borderId="0" xfId="0" applyFont="1" applyFill="1"/>
    <xf numFmtId="0" fontId="5" fillId="0" borderId="0" xfId="0" applyFont="1"/>
  </cellXfs>
  <cellStyles count="1">
    <cellStyle name="Normal" xfId="0" builtinId="0"/>
  </cellStyles>
  <dxfs count="2">
    <dxf>
      <font>
        <color rgb="FF9C6500"/>
      </font>
      <fill>
        <patternFill patternType="solid">
          <fgColor rgb="FFFFEB9C"/>
          <bgColor rgb="FFFFEB9C"/>
        </patternFill>
      </fill>
    </dxf>
    <dxf>
      <font>
        <color rgb="FF9C0006"/>
      </font>
      <fill>
        <patternFill patternType="solid">
          <fgColor rgb="FFFFC7CE"/>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2"/>
  <sheetViews>
    <sheetView showGridLines="0" tabSelected="1" workbookViewId="0">
      <pane ySplit="3" topLeftCell="A4" activePane="bottomLeft" state="frozen"/>
      <selection pane="bottomLeft"/>
    </sheetView>
  </sheetViews>
  <sheetFormatPr defaultRowHeight="14.25" x14ac:dyDescent="0.45"/>
  <cols>
    <col min="1" max="1" width="100" customWidth="1"/>
  </cols>
  <sheetData>
    <row r="1" spans="1:2" ht="18" x14ac:dyDescent="0.55000000000000004">
      <c r="A1" s="1" t="s">
        <v>0</v>
      </c>
    </row>
    <row r="3" spans="1:2" ht="45" customHeight="1" x14ac:dyDescent="0.45">
      <c r="A3" s="2" t="s">
        <v>1</v>
      </c>
    </row>
    <row r="5" spans="1:2" ht="15.75" x14ac:dyDescent="0.5">
      <c r="A5" s="3" t="s">
        <v>2</v>
      </c>
    </row>
    <row r="6" spans="1:2" x14ac:dyDescent="0.45">
      <c r="A6" s="4" t="s">
        <v>3</v>
      </c>
      <c r="B6" t="s">
        <v>4</v>
      </c>
    </row>
    <row r="7" spans="1:2" x14ac:dyDescent="0.45">
      <c r="A7" s="4" t="s">
        <v>5</v>
      </c>
      <c r="B7" t="s">
        <v>6</v>
      </c>
    </row>
    <row r="9" spans="1:2" ht="15.75" x14ac:dyDescent="0.5">
      <c r="A9" s="3" t="s">
        <v>7</v>
      </c>
    </row>
    <row r="10" spans="1:2" x14ac:dyDescent="0.45">
      <c r="A10" s="4" t="s">
        <v>3</v>
      </c>
      <c r="B10" t="s">
        <v>8</v>
      </c>
    </row>
    <row r="11" spans="1:2" x14ac:dyDescent="0.45">
      <c r="A11" s="4" t="s">
        <v>5</v>
      </c>
      <c r="B11" t="s">
        <v>9</v>
      </c>
    </row>
    <row r="13" spans="1:2" ht="15.75" x14ac:dyDescent="0.5">
      <c r="A13" s="3" t="s">
        <v>10</v>
      </c>
    </row>
    <row r="14" spans="1:2" x14ac:dyDescent="0.45">
      <c r="A14" s="4" t="s">
        <v>3</v>
      </c>
      <c r="B14" t="s">
        <v>11</v>
      </c>
    </row>
    <row r="15" spans="1:2" x14ac:dyDescent="0.45">
      <c r="A15" s="4" t="s">
        <v>5</v>
      </c>
      <c r="B15" t="s">
        <v>12</v>
      </c>
    </row>
    <row r="17" spans="1:2" ht="15.75" x14ac:dyDescent="0.5">
      <c r="A17" s="3" t="s">
        <v>13</v>
      </c>
    </row>
    <row r="18" spans="1:2" x14ac:dyDescent="0.45">
      <c r="A18" s="4" t="s">
        <v>3</v>
      </c>
      <c r="B18" t="s">
        <v>14</v>
      </c>
    </row>
    <row r="19" spans="1:2" x14ac:dyDescent="0.45">
      <c r="A19" s="4" t="s">
        <v>5</v>
      </c>
      <c r="B19" t="s">
        <v>15</v>
      </c>
    </row>
    <row r="21" spans="1:2" ht="15.75" x14ac:dyDescent="0.5">
      <c r="A21" s="3" t="s">
        <v>16</v>
      </c>
    </row>
    <row r="22" spans="1:2" x14ac:dyDescent="0.45">
      <c r="A22" s="4" t="s">
        <v>3</v>
      </c>
      <c r="B22" t="s">
        <v>17</v>
      </c>
    </row>
    <row r="23" spans="1:2" x14ac:dyDescent="0.45">
      <c r="A23" s="4" t="s">
        <v>5</v>
      </c>
      <c r="B23" t="s">
        <v>18</v>
      </c>
    </row>
    <row r="25" spans="1:2" ht="15.75" x14ac:dyDescent="0.5">
      <c r="A25" s="3" t="s">
        <v>19</v>
      </c>
    </row>
    <row r="26" spans="1:2" x14ac:dyDescent="0.45">
      <c r="A26" s="4" t="s">
        <v>3</v>
      </c>
      <c r="B26" t="s">
        <v>20</v>
      </c>
    </row>
    <row r="27" spans="1:2" x14ac:dyDescent="0.45">
      <c r="A27" s="4" t="s">
        <v>5</v>
      </c>
      <c r="B27" t="s">
        <v>21</v>
      </c>
    </row>
    <row r="29" spans="1:2" ht="15.75" x14ac:dyDescent="0.5">
      <c r="A29" s="3" t="s">
        <v>22</v>
      </c>
    </row>
    <row r="30" spans="1:2" x14ac:dyDescent="0.45">
      <c r="A30" s="4" t="s">
        <v>3</v>
      </c>
      <c r="B30" t="s">
        <v>23</v>
      </c>
    </row>
    <row r="31" spans="1:2" x14ac:dyDescent="0.45">
      <c r="A31" s="4" t="s">
        <v>5</v>
      </c>
      <c r="B31" t="s">
        <v>24</v>
      </c>
    </row>
    <row r="33" spans="1:2" ht="15.75" x14ac:dyDescent="0.5">
      <c r="A33" s="3" t="s">
        <v>25</v>
      </c>
    </row>
    <row r="34" spans="1:2" x14ac:dyDescent="0.45">
      <c r="A34" s="4" t="s">
        <v>3</v>
      </c>
      <c r="B34" t="s">
        <v>26</v>
      </c>
    </row>
    <row r="35" spans="1:2" x14ac:dyDescent="0.45">
      <c r="A35" s="4" t="s">
        <v>5</v>
      </c>
      <c r="B35" t="s">
        <v>27</v>
      </c>
    </row>
    <row r="37" spans="1:2" ht="15.75" x14ac:dyDescent="0.5">
      <c r="A37" s="3" t="s">
        <v>28</v>
      </c>
    </row>
    <row r="38" spans="1:2" x14ac:dyDescent="0.45">
      <c r="A38" s="4" t="s">
        <v>29</v>
      </c>
      <c r="B38" t="s">
        <v>30</v>
      </c>
    </row>
    <row r="39" spans="1:2" x14ac:dyDescent="0.45">
      <c r="A39" s="4" t="s">
        <v>5</v>
      </c>
      <c r="B39" t="s">
        <v>31</v>
      </c>
    </row>
    <row r="41" spans="1:2" ht="15.75" x14ac:dyDescent="0.5">
      <c r="A41" s="3" t="s">
        <v>32</v>
      </c>
    </row>
    <row r="42" spans="1:2" ht="30" customHeight="1" x14ac:dyDescent="0.45">
      <c r="A42" s="2" t="s">
        <v>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565"/>
  <sheetViews>
    <sheetView workbookViewId="0">
      <pane ySplit="1" topLeftCell="A2" activePane="bottomLeft" state="frozen"/>
      <selection pane="bottomLeft"/>
    </sheetView>
  </sheetViews>
  <sheetFormatPr defaultRowHeight="14.25" x14ac:dyDescent="0.45"/>
  <cols>
    <col min="1" max="1" width="11" customWidth="1"/>
    <col min="2" max="2" width="18" customWidth="1"/>
    <col min="3" max="3" width="16" customWidth="1"/>
    <col min="4" max="5" width="12" customWidth="1"/>
    <col min="6" max="6" width="30" customWidth="1"/>
    <col min="7" max="7" width="14" customWidth="1"/>
    <col min="8" max="8" width="20" customWidth="1"/>
    <col min="9" max="9" width="18" customWidth="1"/>
    <col min="10" max="10" width="14" customWidth="1"/>
    <col min="11" max="11" width="12" customWidth="1"/>
    <col min="12" max="12" width="20" customWidth="1"/>
    <col min="13" max="14" width="16" customWidth="1"/>
    <col min="15" max="15" width="12" customWidth="1"/>
    <col min="16" max="17" width="16" customWidth="1"/>
    <col min="18" max="18" width="34" customWidth="1"/>
    <col min="19" max="19" width="16" customWidth="1"/>
  </cols>
  <sheetData>
    <row r="1" spans="1:19" ht="32" customHeight="1" x14ac:dyDescent="0.45">
      <c r="A1" s="5" t="s">
        <v>34</v>
      </c>
      <c r="B1" s="5" t="s">
        <v>35</v>
      </c>
      <c r="C1" s="5" t="s">
        <v>36</v>
      </c>
      <c r="D1" s="5" t="s">
        <v>37</v>
      </c>
      <c r="E1" s="5" t="s">
        <v>38</v>
      </c>
      <c r="F1" s="5" t="s">
        <v>39</v>
      </c>
      <c r="G1" s="5" t="s">
        <v>40</v>
      </c>
      <c r="H1" s="5" t="s">
        <v>41</v>
      </c>
      <c r="I1" s="5" t="s">
        <v>42</v>
      </c>
      <c r="J1" s="5" t="s">
        <v>43</v>
      </c>
      <c r="K1" s="5" t="s">
        <v>44</v>
      </c>
      <c r="L1" s="5" t="s">
        <v>45</v>
      </c>
      <c r="M1" s="5" t="s">
        <v>46</v>
      </c>
      <c r="N1" s="5" t="s">
        <v>47</v>
      </c>
      <c r="O1" s="5" t="s">
        <v>48</v>
      </c>
      <c r="P1" s="5" t="s">
        <v>49</v>
      </c>
      <c r="Q1" s="5" t="s">
        <v>50</v>
      </c>
      <c r="R1" s="5" t="s">
        <v>51</v>
      </c>
      <c r="S1" s="5" t="s">
        <v>52</v>
      </c>
    </row>
    <row r="2" spans="1:19" x14ac:dyDescent="0.45">
      <c r="A2" t="s">
        <v>53</v>
      </c>
      <c r="B2" t="s">
        <v>54</v>
      </c>
      <c r="D2" t="s">
        <v>55</v>
      </c>
      <c r="E2" t="s">
        <v>56</v>
      </c>
      <c r="F2" t="str">
        <f t="shared" ref="F2:F65" si="0">TRIM(B2)&amp;"|"&amp;TRIM(C2)&amp;"|"&amp;TRIM(D2)&amp;"|"&amp;TRIM(E2)</f>
        <v>Samsung galaxy||799|GOOGLE</v>
      </c>
      <c r="G2" t="b">
        <f t="shared" ref="G2:G65" si="1">COUNTIF($F$2:$F$565,F2)&gt;1</f>
        <v>1</v>
      </c>
      <c r="H2" t="str">
        <f t="shared" ref="H2:H65" si="2">TRIM(B2)</f>
        <v>Samsung galaxy</v>
      </c>
      <c r="I2" t="str">
        <f t="shared" ref="I2:I65" si="3">PROPER(H2)</f>
        <v>Samsung Galaxy</v>
      </c>
      <c r="J2" t="str">
        <f t="shared" ref="J2:J65" si="4">TRIM(E2)</f>
        <v>GOOGLE</v>
      </c>
      <c r="K2" t="str">
        <f t="shared" ref="K2:K65" si="5">PROPER(J2)</f>
        <v>Google</v>
      </c>
      <c r="L2" t="str">
        <f t="shared" ref="L2:L65" si="6">IF(TRIM(C2)="","",IF(ISNUMBER(SEARCH("gadget",C2)),"Gadgets","Electronics"))</f>
        <v/>
      </c>
      <c r="M2">
        <f t="shared" ref="M2:M65" si="7">LEN(B2)</f>
        <v>15</v>
      </c>
      <c r="N2">
        <f t="shared" ref="N2:N65" si="8">LEN(H2)</f>
        <v>14</v>
      </c>
      <c r="O2" s="6">
        <f t="shared" ref="O2:O65" si="9">IF(TRIM(D2)="","",VALUE(TRIM(SUBSTITUTE(SUBSTITUTE(D2,"USD",""),"$",""))))</f>
        <v>799</v>
      </c>
      <c r="P2" t="str">
        <f t="shared" ref="P2:P65" si="10">IF(L2="","Not Available",L2)</f>
        <v>Not Available</v>
      </c>
      <c r="Q2">
        <f t="shared" ref="Q2:Q65" si="11">IF(O2="","Not Available",O2)</f>
        <v>799</v>
      </c>
      <c r="R2" t="str">
        <f t="shared" ref="R2:R65" si="12">I2&amp;"|"&amp;P2&amp;"|"&amp;Q2&amp;"|"&amp;K2</f>
        <v>Samsung Galaxy|Not Available|799|Google</v>
      </c>
      <c r="S2" t="b">
        <f t="shared" ref="S2:S65" si="13">COUNTIF($R$2:$R$565,R2)&gt;1</f>
        <v>1</v>
      </c>
    </row>
    <row r="3" spans="1:19" x14ac:dyDescent="0.45">
      <c r="A3" t="s">
        <v>57</v>
      </c>
      <c r="B3" t="s">
        <v>58</v>
      </c>
      <c r="E3" t="s">
        <v>56</v>
      </c>
      <c r="F3" t="str">
        <f t="shared" si="0"/>
        <v>Google pixel|||GOOGLE</v>
      </c>
      <c r="G3" t="b">
        <f t="shared" si="1"/>
        <v>0</v>
      </c>
      <c r="H3" t="str">
        <f t="shared" si="2"/>
        <v>Google pixel</v>
      </c>
      <c r="I3" t="str">
        <f t="shared" si="3"/>
        <v>Google Pixel</v>
      </c>
      <c r="J3" t="str">
        <f t="shared" si="4"/>
        <v>GOOGLE</v>
      </c>
      <c r="K3" t="str">
        <f t="shared" si="5"/>
        <v>Google</v>
      </c>
      <c r="L3" t="str">
        <f t="shared" si="6"/>
        <v/>
      </c>
      <c r="M3">
        <f t="shared" si="7"/>
        <v>12</v>
      </c>
      <c r="N3">
        <f t="shared" si="8"/>
        <v>12</v>
      </c>
      <c r="O3" s="6" t="str">
        <f t="shared" si="9"/>
        <v/>
      </c>
      <c r="P3" t="str">
        <f t="shared" si="10"/>
        <v>Not Available</v>
      </c>
      <c r="Q3" t="str">
        <f t="shared" si="11"/>
        <v>Not Available</v>
      </c>
      <c r="R3" t="str">
        <f t="shared" si="12"/>
        <v>Google Pixel|Not Available|Not Available|Google</v>
      </c>
      <c r="S3" t="b">
        <f t="shared" si="13"/>
        <v>0</v>
      </c>
    </row>
    <row r="4" spans="1:19" x14ac:dyDescent="0.45">
      <c r="A4" t="s">
        <v>59</v>
      </c>
      <c r="B4" t="s">
        <v>60</v>
      </c>
      <c r="C4" t="s">
        <v>61</v>
      </c>
      <c r="D4" t="s">
        <v>62</v>
      </c>
      <c r="E4" t="s">
        <v>63</v>
      </c>
      <c r="F4" t="str">
        <f t="shared" si="0"/>
        <v>apple iPhone 14|Electrnics|799.0|Google</v>
      </c>
      <c r="G4" t="b">
        <f t="shared" si="1"/>
        <v>0</v>
      </c>
      <c r="H4" t="str">
        <f t="shared" si="2"/>
        <v>apple iPhone 14</v>
      </c>
      <c r="I4" t="str">
        <f t="shared" si="3"/>
        <v>Apple Iphone 14</v>
      </c>
      <c r="J4" t="str">
        <f t="shared" si="4"/>
        <v>Google</v>
      </c>
      <c r="K4" t="str">
        <f t="shared" si="5"/>
        <v>Google</v>
      </c>
      <c r="L4" t="str">
        <f t="shared" si="6"/>
        <v>Electronics</v>
      </c>
      <c r="M4">
        <f t="shared" si="7"/>
        <v>15</v>
      </c>
      <c r="N4">
        <f t="shared" si="8"/>
        <v>15</v>
      </c>
      <c r="O4" s="6">
        <f t="shared" si="9"/>
        <v>799</v>
      </c>
      <c r="P4" t="str">
        <f t="shared" si="10"/>
        <v>Electronics</v>
      </c>
      <c r="Q4">
        <f t="shared" si="11"/>
        <v>799</v>
      </c>
      <c r="R4" t="str">
        <f t="shared" si="12"/>
        <v>Apple Iphone 14|Electronics|799|Google</v>
      </c>
      <c r="S4" t="b">
        <f t="shared" si="13"/>
        <v>1</v>
      </c>
    </row>
    <row r="5" spans="1:19" x14ac:dyDescent="0.45">
      <c r="A5" t="s">
        <v>64</v>
      </c>
      <c r="B5" t="s">
        <v>65</v>
      </c>
      <c r="C5" t="s">
        <v>61</v>
      </c>
      <c r="D5" t="s">
        <v>66</v>
      </c>
      <c r="E5" t="s">
        <v>67</v>
      </c>
      <c r="F5" t="str">
        <f t="shared" si="0"/>
        <v>apple iphone 14|Electrnics|799.00|apple</v>
      </c>
      <c r="G5" t="b">
        <f t="shared" si="1"/>
        <v>0</v>
      </c>
      <c r="H5" t="str">
        <f t="shared" si="2"/>
        <v>apple iphone 14</v>
      </c>
      <c r="I5" t="str">
        <f t="shared" si="3"/>
        <v>Apple Iphone 14</v>
      </c>
      <c r="J5" t="str">
        <f t="shared" si="4"/>
        <v>apple</v>
      </c>
      <c r="K5" t="str">
        <f t="shared" si="5"/>
        <v>Apple</v>
      </c>
      <c r="L5" t="str">
        <f t="shared" si="6"/>
        <v>Electronics</v>
      </c>
      <c r="M5">
        <f t="shared" si="7"/>
        <v>17</v>
      </c>
      <c r="N5">
        <f t="shared" si="8"/>
        <v>15</v>
      </c>
      <c r="O5" s="6">
        <f t="shared" si="9"/>
        <v>799</v>
      </c>
      <c r="P5" t="str">
        <f t="shared" si="10"/>
        <v>Electronics</v>
      </c>
      <c r="Q5">
        <f t="shared" si="11"/>
        <v>799</v>
      </c>
      <c r="R5" t="str">
        <f t="shared" si="12"/>
        <v>Apple Iphone 14|Electronics|799|Apple</v>
      </c>
      <c r="S5" t="b">
        <f t="shared" si="13"/>
        <v>1</v>
      </c>
    </row>
    <row r="6" spans="1:19" x14ac:dyDescent="0.45">
      <c r="A6" t="s">
        <v>68</v>
      </c>
      <c r="B6" t="s">
        <v>65</v>
      </c>
      <c r="C6" t="s">
        <v>61</v>
      </c>
      <c r="D6" t="s">
        <v>69</v>
      </c>
      <c r="E6" t="s">
        <v>70</v>
      </c>
      <c r="F6" t="str">
        <f t="shared" si="0"/>
        <v>apple iphone 14|Electrnics|799|Samsung</v>
      </c>
      <c r="G6" t="b">
        <f t="shared" si="1"/>
        <v>1</v>
      </c>
      <c r="H6" t="str">
        <f t="shared" si="2"/>
        <v>apple iphone 14</v>
      </c>
      <c r="I6" t="str">
        <f t="shared" si="3"/>
        <v>Apple Iphone 14</v>
      </c>
      <c r="J6" t="str">
        <f t="shared" si="4"/>
        <v>Samsung</v>
      </c>
      <c r="K6" t="str">
        <f t="shared" si="5"/>
        <v>Samsung</v>
      </c>
      <c r="L6" t="str">
        <f t="shared" si="6"/>
        <v>Electronics</v>
      </c>
      <c r="M6">
        <f t="shared" si="7"/>
        <v>17</v>
      </c>
      <c r="N6">
        <f t="shared" si="8"/>
        <v>15</v>
      </c>
      <c r="O6" s="6">
        <f t="shared" si="9"/>
        <v>799</v>
      </c>
      <c r="P6" t="str">
        <f t="shared" si="10"/>
        <v>Electronics</v>
      </c>
      <c r="Q6">
        <f t="shared" si="11"/>
        <v>799</v>
      </c>
      <c r="R6" t="str">
        <f t="shared" si="12"/>
        <v>Apple Iphone 14|Electronics|799|Samsung</v>
      </c>
      <c r="S6" t="b">
        <f t="shared" si="13"/>
        <v>1</v>
      </c>
    </row>
    <row r="7" spans="1:19" x14ac:dyDescent="0.45">
      <c r="A7" t="s">
        <v>71</v>
      </c>
      <c r="B7" t="s">
        <v>72</v>
      </c>
      <c r="C7" t="s">
        <v>73</v>
      </c>
      <c r="D7" t="s">
        <v>74</v>
      </c>
      <c r="E7" t="s">
        <v>75</v>
      </c>
      <c r="F7" t="str">
        <f t="shared" si="0"/>
        <v>google pixel|Electro|799|google</v>
      </c>
      <c r="G7" t="b">
        <f t="shared" si="1"/>
        <v>1</v>
      </c>
      <c r="H7" t="str">
        <f t="shared" si="2"/>
        <v>google pixel</v>
      </c>
      <c r="I7" t="str">
        <f t="shared" si="3"/>
        <v>Google Pixel</v>
      </c>
      <c r="J7" t="str">
        <f t="shared" si="4"/>
        <v>google</v>
      </c>
      <c r="K7" t="str">
        <f t="shared" si="5"/>
        <v>Google</v>
      </c>
      <c r="L7" t="str">
        <f t="shared" si="6"/>
        <v>Electronics</v>
      </c>
      <c r="M7">
        <f t="shared" si="7"/>
        <v>14</v>
      </c>
      <c r="N7">
        <f t="shared" si="8"/>
        <v>12</v>
      </c>
      <c r="O7" s="6">
        <f t="shared" si="9"/>
        <v>799</v>
      </c>
      <c r="P7" t="str">
        <f t="shared" si="10"/>
        <v>Electronics</v>
      </c>
      <c r="Q7">
        <f t="shared" si="11"/>
        <v>799</v>
      </c>
      <c r="R7" t="str">
        <f t="shared" si="12"/>
        <v>Google Pixel|Electronics|799|Google</v>
      </c>
      <c r="S7" t="b">
        <f t="shared" si="13"/>
        <v>1</v>
      </c>
    </row>
    <row r="8" spans="1:19" x14ac:dyDescent="0.45">
      <c r="A8" t="s">
        <v>76</v>
      </c>
      <c r="B8" t="s">
        <v>60</v>
      </c>
      <c r="D8" t="s">
        <v>66</v>
      </c>
      <c r="E8" t="s">
        <v>63</v>
      </c>
      <c r="F8" t="str">
        <f t="shared" si="0"/>
        <v>apple iPhone 14||799.00|Google</v>
      </c>
      <c r="G8" t="b">
        <f t="shared" si="1"/>
        <v>1</v>
      </c>
      <c r="H8" t="str">
        <f t="shared" si="2"/>
        <v>apple iPhone 14</v>
      </c>
      <c r="I8" t="str">
        <f t="shared" si="3"/>
        <v>Apple Iphone 14</v>
      </c>
      <c r="J8" t="str">
        <f t="shared" si="4"/>
        <v>Google</v>
      </c>
      <c r="K8" t="str">
        <f t="shared" si="5"/>
        <v>Google</v>
      </c>
      <c r="L8" t="str">
        <f t="shared" si="6"/>
        <v/>
      </c>
      <c r="M8">
        <f t="shared" si="7"/>
        <v>15</v>
      </c>
      <c r="N8">
        <f t="shared" si="8"/>
        <v>15</v>
      </c>
      <c r="O8" s="6">
        <f t="shared" si="9"/>
        <v>799</v>
      </c>
      <c r="P8" t="str">
        <f t="shared" si="10"/>
        <v>Not Available</v>
      </c>
      <c r="Q8">
        <f t="shared" si="11"/>
        <v>799</v>
      </c>
      <c r="R8" t="str">
        <f t="shared" si="12"/>
        <v>Apple Iphone 14|Not Available|799|Google</v>
      </c>
      <c r="S8" t="b">
        <f t="shared" si="13"/>
        <v>1</v>
      </c>
    </row>
    <row r="9" spans="1:19" x14ac:dyDescent="0.45">
      <c r="A9" t="s">
        <v>77</v>
      </c>
      <c r="B9" t="s">
        <v>78</v>
      </c>
      <c r="C9" t="s">
        <v>61</v>
      </c>
      <c r="D9" t="s">
        <v>69</v>
      </c>
      <c r="E9" t="s">
        <v>79</v>
      </c>
      <c r="F9" t="str">
        <f t="shared" si="0"/>
        <v>samsung Galaxy|Electrnics|799|Samsung</v>
      </c>
      <c r="G9" t="b">
        <f t="shared" si="1"/>
        <v>1</v>
      </c>
      <c r="H9" t="str">
        <f t="shared" si="2"/>
        <v>samsung Galaxy</v>
      </c>
      <c r="I9" t="str">
        <f t="shared" si="3"/>
        <v>Samsung Galaxy</v>
      </c>
      <c r="J9" t="str">
        <f t="shared" si="4"/>
        <v>Samsung</v>
      </c>
      <c r="K9" t="str">
        <f t="shared" si="5"/>
        <v>Samsung</v>
      </c>
      <c r="L9" t="str">
        <f t="shared" si="6"/>
        <v>Electronics</v>
      </c>
      <c r="M9">
        <f t="shared" si="7"/>
        <v>15</v>
      </c>
      <c r="N9">
        <f t="shared" si="8"/>
        <v>14</v>
      </c>
      <c r="O9" s="6">
        <f t="shared" si="9"/>
        <v>799</v>
      </c>
      <c r="P9" t="str">
        <f t="shared" si="10"/>
        <v>Electronics</v>
      </c>
      <c r="Q9">
        <f t="shared" si="11"/>
        <v>799</v>
      </c>
      <c r="R9" t="str">
        <f t="shared" si="12"/>
        <v>Samsung Galaxy|Electronics|799|Samsung</v>
      </c>
      <c r="S9" t="b">
        <f t="shared" si="13"/>
        <v>1</v>
      </c>
    </row>
    <row r="10" spans="1:19" x14ac:dyDescent="0.45">
      <c r="A10" t="s">
        <v>80</v>
      </c>
      <c r="B10" t="s">
        <v>78</v>
      </c>
      <c r="C10" t="s">
        <v>61</v>
      </c>
      <c r="D10" t="s">
        <v>81</v>
      </c>
      <c r="E10" t="s">
        <v>82</v>
      </c>
      <c r="F10" t="str">
        <f t="shared" si="0"/>
        <v>samsung Galaxy|Electrnics|$799|APPLE</v>
      </c>
      <c r="G10" t="b">
        <f t="shared" si="1"/>
        <v>1</v>
      </c>
      <c r="H10" t="str">
        <f t="shared" si="2"/>
        <v>samsung Galaxy</v>
      </c>
      <c r="I10" t="str">
        <f t="shared" si="3"/>
        <v>Samsung Galaxy</v>
      </c>
      <c r="J10" t="str">
        <f t="shared" si="4"/>
        <v>APPLE</v>
      </c>
      <c r="K10" t="str">
        <f t="shared" si="5"/>
        <v>Apple</v>
      </c>
      <c r="L10" t="str">
        <f t="shared" si="6"/>
        <v>Electronics</v>
      </c>
      <c r="M10">
        <f t="shared" si="7"/>
        <v>15</v>
      </c>
      <c r="N10">
        <f t="shared" si="8"/>
        <v>14</v>
      </c>
      <c r="O10" s="6">
        <f t="shared" si="9"/>
        <v>799</v>
      </c>
      <c r="P10" t="str">
        <f t="shared" si="10"/>
        <v>Electronics</v>
      </c>
      <c r="Q10">
        <f t="shared" si="11"/>
        <v>799</v>
      </c>
      <c r="R10" t="str">
        <f t="shared" si="12"/>
        <v>Samsung Galaxy|Electronics|799|Apple</v>
      </c>
      <c r="S10" t="b">
        <f t="shared" si="13"/>
        <v>1</v>
      </c>
    </row>
    <row r="11" spans="1:19" x14ac:dyDescent="0.45">
      <c r="A11" t="s">
        <v>83</v>
      </c>
      <c r="B11" t="s">
        <v>65</v>
      </c>
      <c r="C11" t="s">
        <v>61</v>
      </c>
      <c r="D11" t="s">
        <v>74</v>
      </c>
      <c r="E11" t="s">
        <v>67</v>
      </c>
      <c r="F11" t="str">
        <f t="shared" si="0"/>
        <v>apple iphone 14|Electrnics|799|apple</v>
      </c>
      <c r="G11" t="b">
        <f t="shared" si="1"/>
        <v>1</v>
      </c>
      <c r="H11" t="str">
        <f t="shared" si="2"/>
        <v>apple iphone 14</v>
      </c>
      <c r="I11" t="str">
        <f t="shared" si="3"/>
        <v>Apple Iphone 14</v>
      </c>
      <c r="J11" t="str">
        <f t="shared" si="4"/>
        <v>apple</v>
      </c>
      <c r="K11" t="str">
        <f t="shared" si="5"/>
        <v>Apple</v>
      </c>
      <c r="L11" t="str">
        <f t="shared" si="6"/>
        <v>Electronics</v>
      </c>
      <c r="M11">
        <f t="shared" si="7"/>
        <v>17</v>
      </c>
      <c r="N11">
        <f t="shared" si="8"/>
        <v>15</v>
      </c>
      <c r="O11" s="6">
        <f t="shared" si="9"/>
        <v>799</v>
      </c>
      <c r="P11" t="str">
        <f t="shared" si="10"/>
        <v>Electronics</v>
      </c>
      <c r="Q11">
        <f t="shared" si="11"/>
        <v>799</v>
      </c>
      <c r="R11" t="str">
        <f t="shared" si="12"/>
        <v>Apple Iphone 14|Electronics|799|Apple</v>
      </c>
      <c r="S11" t="b">
        <f t="shared" si="13"/>
        <v>1</v>
      </c>
    </row>
    <row r="12" spans="1:19" x14ac:dyDescent="0.45">
      <c r="A12" t="s">
        <v>84</v>
      </c>
      <c r="B12" t="s">
        <v>78</v>
      </c>
      <c r="C12" t="s">
        <v>85</v>
      </c>
      <c r="D12" t="s">
        <v>74</v>
      </c>
      <c r="E12" t="s">
        <v>70</v>
      </c>
      <c r="F12" t="str">
        <f t="shared" si="0"/>
        <v>samsung Galaxy|electronics|799|Samsung</v>
      </c>
      <c r="G12" t="b">
        <f t="shared" si="1"/>
        <v>1</v>
      </c>
      <c r="H12" t="str">
        <f t="shared" si="2"/>
        <v>samsung Galaxy</v>
      </c>
      <c r="I12" t="str">
        <f t="shared" si="3"/>
        <v>Samsung Galaxy</v>
      </c>
      <c r="J12" t="str">
        <f t="shared" si="4"/>
        <v>Samsung</v>
      </c>
      <c r="K12" t="str">
        <f t="shared" si="5"/>
        <v>Samsung</v>
      </c>
      <c r="L12" t="str">
        <f t="shared" si="6"/>
        <v>Electronics</v>
      </c>
      <c r="M12">
        <f t="shared" si="7"/>
        <v>15</v>
      </c>
      <c r="N12">
        <f t="shared" si="8"/>
        <v>14</v>
      </c>
      <c r="O12" s="6">
        <f t="shared" si="9"/>
        <v>799</v>
      </c>
      <c r="P12" t="str">
        <f t="shared" si="10"/>
        <v>Electronics</v>
      </c>
      <c r="Q12">
        <f t="shared" si="11"/>
        <v>799</v>
      </c>
      <c r="R12" t="str">
        <f t="shared" si="12"/>
        <v>Samsung Galaxy|Electronics|799|Samsung</v>
      </c>
      <c r="S12" t="b">
        <f t="shared" si="13"/>
        <v>1</v>
      </c>
    </row>
    <row r="13" spans="1:19" x14ac:dyDescent="0.45">
      <c r="A13" t="s">
        <v>86</v>
      </c>
      <c r="B13" t="s">
        <v>87</v>
      </c>
      <c r="C13" t="s">
        <v>61</v>
      </c>
      <c r="D13" t="s">
        <v>88</v>
      </c>
      <c r="E13" t="s">
        <v>89</v>
      </c>
      <c r="F13" t="str">
        <f t="shared" si="0"/>
        <v>Google Pixel|Electrnics|USD 799|Apple</v>
      </c>
      <c r="G13" t="b">
        <f t="shared" si="1"/>
        <v>1</v>
      </c>
      <c r="H13" t="str">
        <f t="shared" si="2"/>
        <v>Google Pixel</v>
      </c>
      <c r="I13" t="str">
        <f t="shared" si="3"/>
        <v>Google Pixel</v>
      </c>
      <c r="J13" t="str">
        <f t="shared" si="4"/>
        <v>Apple</v>
      </c>
      <c r="K13" t="str">
        <f t="shared" si="5"/>
        <v>Apple</v>
      </c>
      <c r="L13" t="str">
        <f t="shared" si="6"/>
        <v>Electronics</v>
      </c>
      <c r="M13">
        <f t="shared" si="7"/>
        <v>12</v>
      </c>
      <c r="N13">
        <f t="shared" si="8"/>
        <v>12</v>
      </c>
      <c r="O13" s="6">
        <f t="shared" si="9"/>
        <v>799</v>
      </c>
      <c r="P13" t="str">
        <f t="shared" si="10"/>
        <v>Electronics</v>
      </c>
      <c r="Q13">
        <f t="shared" si="11"/>
        <v>799</v>
      </c>
      <c r="R13" t="str">
        <f t="shared" si="12"/>
        <v>Google Pixel|Electronics|799|Apple</v>
      </c>
      <c r="S13" t="b">
        <f t="shared" si="13"/>
        <v>1</v>
      </c>
    </row>
    <row r="14" spans="1:19" x14ac:dyDescent="0.45">
      <c r="A14" t="s">
        <v>90</v>
      </c>
      <c r="B14" t="s">
        <v>60</v>
      </c>
      <c r="C14" t="s">
        <v>85</v>
      </c>
      <c r="D14" t="s">
        <v>81</v>
      </c>
      <c r="E14" t="s">
        <v>91</v>
      </c>
      <c r="F14" t="str">
        <f t="shared" si="0"/>
        <v>apple iPhone 14|electronics|$799|Apple</v>
      </c>
      <c r="G14" t="b">
        <f t="shared" si="1"/>
        <v>1</v>
      </c>
      <c r="H14" t="str">
        <f t="shared" si="2"/>
        <v>apple iPhone 14</v>
      </c>
      <c r="I14" t="str">
        <f t="shared" si="3"/>
        <v>Apple Iphone 14</v>
      </c>
      <c r="J14" t="str">
        <f t="shared" si="4"/>
        <v>Apple</v>
      </c>
      <c r="K14" t="str">
        <f t="shared" si="5"/>
        <v>Apple</v>
      </c>
      <c r="L14" t="str">
        <f t="shared" si="6"/>
        <v>Electronics</v>
      </c>
      <c r="M14">
        <f t="shared" si="7"/>
        <v>15</v>
      </c>
      <c r="N14">
        <f t="shared" si="8"/>
        <v>15</v>
      </c>
      <c r="O14" s="6">
        <f t="shared" si="9"/>
        <v>799</v>
      </c>
      <c r="P14" t="str">
        <f t="shared" si="10"/>
        <v>Electronics</v>
      </c>
      <c r="Q14">
        <f t="shared" si="11"/>
        <v>799</v>
      </c>
      <c r="R14" t="str">
        <f t="shared" si="12"/>
        <v>Apple Iphone 14|Electronics|799|Apple</v>
      </c>
      <c r="S14" t="b">
        <f t="shared" si="13"/>
        <v>1</v>
      </c>
    </row>
    <row r="15" spans="1:19" x14ac:dyDescent="0.45">
      <c r="A15" t="s">
        <v>92</v>
      </c>
      <c r="B15" t="s">
        <v>93</v>
      </c>
      <c r="C15" t="s">
        <v>94</v>
      </c>
      <c r="D15" t="s">
        <v>55</v>
      </c>
      <c r="E15" t="s">
        <v>56</v>
      </c>
      <c r="F15" t="str">
        <f t="shared" si="0"/>
        <v>SAMSUNG GALAXY|gadgets|799|GOOGLE</v>
      </c>
      <c r="G15" t="b">
        <f t="shared" si="1"/>
        <v>1</v>
      </c>
      <c r="H15" t="str">
        <f t="shared" si="2"/>
        <v>SAMSUNG GALAXY</v>
      </c>
      <c r="I15" t="str">
        <f t="shared" si="3"/>
        <v>Samsung Galaxy</v>
      </c>
      <c r="J15" t="str">
        <f t="shared" si="4"/>
        <v>GOOGLE</v>
      </c>
      <c r="K15" t="str">
        <f t="shared" si="5"/>
        <v>Google</v>
      </c>
      <c r="L15" t="str">
        <f t="shared" si="6"/>
        <v>Gadgets</v>
      </c>
      <c r="M15">
        <f t="shared" si="7"/>
        <v>14</v>
      </c>
      <c r="N15">
        <f t="shared" si="8"/>
        <v>14</v>
      </c>
      <c r="O15" s="6">
        <f t="shared" si="9"/>
        <v>799</v>
      </c>
      <c r="P15" t="str">
        <f t="shared" si="10"/>
        <v>Gadgets</v>
      </c>
      <c r="Q15">
        <f t="shared" si="11"/>
        <v>799</v>
      </c>
      <c r="R15" t="str">
        <f t="shared" si="12"/>
        <v>Samsung Galaxy|Gadgets|799|Google</v>
      </c>
      <c r="S15" t="b">
        <f t="shared" si="13"/>
        <v>1</v>
      </c>
    </row>
    <row r="16" spans="1:19" x14ac:dyDescent="0.45">
      <c r="A16" t="s">
        <v>95</v>
      </c>
      <c r="B16" t="s">
        <v>87</v>
      </c>
      <c r="C16" t="s">
        <v>96</v>
      </c>
      <c r="D16" t="s">
        <v>69</v>
      </c>
      <c r="E16" t="s">
        <v>82</v>
      </c>
      <c r="F16" t="str">
        <f t="shared" si="0"/>
        <v>Google Pixel|Gadgets|799|APPLE</v>
      </c>
      <c r="G16" t="b">
        <f t="shared" si="1"/>
        <v>1</v>
      </c>
      <c r="H16" t="str">
        <f t="shared" si="2"/>
        <v>Google Pixel</v>
      </c>
      <c r="I16" t="str">
        <f t="shared" si="3"/>
        <v>Google Pixel</v>
      </c>
      <c r="J16" t="str">
        <f t="shared" si="4"/>
        <v>APPLE</v>
      </c>
      <c r="K16" t="str">
        <f t="shared" si="5"/>
        <v>Apple</v>
      </c>
      <c r="L16" t="str">
        <f t="shared" si="6"/>
        <v>Gadgets</v>
      </c>
      <c r="M16">
        <f t="shared" si="7"/>
        <v>12</v>
      </c>
      <c r="N16">
        <f t="shared" si="8"/>
        <v>12</v>
      </c>
      <c r="O16" s="6">
        <f t="shared" si="9"/>
        <v>799</v>
      </c>
      <c r="P16" t="str">
        <f t="shared" si="10"/>
        <v>Gadgets</v>
      </c>
      <c r="Q16">
        <f t="shared" si="11"/>
        <v>799</v>
      </c>
      <c r="R16" t="str">
        <f t="shared" si="12"/>
        <v>Google Pixel|Gadgets|799|Apple</v>
      </c>
      <c r="S16" t="b">
        <f t="shared" si="13"/>
        <v>1</v>
      </c>
    </row>
    <row r="17" spans="1:19" x14ac:dyDescent="0.45">
      <c r="A17" t="s">
        <v>97</v>
      </c>
      <c r="B17" t="s">
        <v>60</v>
      </c>
      <c r="C17" t="s">
        <v>73</v>
      </c>
      <c r="E17" t="s">
        <v>75</v>
      </c>
      <c r="F17" t="str">
        <f t="shared" si="0"/>
        <v>apple iPhone 14|Electro||google</v>
      </c>
      <c r="G17" t="b">
        <f t="shared" si="1"/>
        <v>1</v>
      </c>
      <c r="H17" t="str">
        <f t="shared" si="2"/>
        <v>apple iPhone 14</v>
      </c>
      <c r="I17" t="str">
        <f t="shared" si="3"/>
        <v>Apple Iphone 14</v>
      </c>
      <c r="J17" t="str">
        <f t="shared" si="4"/>
        <v>google</v>
      </c>
      <c r="K17" t="str">
        <f t="shared" si="5"/>
        <v>Google</v>
      </c>
      <c r="L17" t="str">
        <f t="shared" si="6"/>
        <v>Electronics</v>
      </c>
      <c r="M17">
        <f t="shared" si="7"/>
        <v>15</v>
      </c>
      <c r="N17">
        <f t="shared" si="8"/>
        <v>15</v>
      </c>
      <c r="O17" s="6" t="str">
        <f t="shared" si="9"/>
        <v/>
      </c>
      <c r="P17" t="str">
        <f t="shared" si="10"/>
        <v>Electronics</v>
      </c>
      <c r="Q17" t="str">
        <f t="shared" si="11"/>
        <v>Not Available</v>
      </c>
      <c r="R17" t="str">
        <f t="shared" si="12"/>
        <v>Apple Iphone 14|Electronics|Not Available|Google</v>
      </c>
      <c r="S17" t="b">
        <f t="shared" si="13"/>
        <v>1</v>
      </c>
    </row>
    <row r="18" spans="1:19" x14ac:dyDescent="0.45">
      <c r="A18" t="s">
        <v>98</v>
      </c>
      <c r="B18" t="s">
        <v>93</v>
      </c>
      <c r="C18" t="s">
        <v>94</v>
      </c>
      <c r="D18" t="s">
        <v>66</v>
      </c>
      <c r="E18" t="s">
        <v>75</v>
      </c>
      <c r="F18" t="str">
        <f t="shared" si="0"/>
        <v>SAMSUNG GALAXY|gadgets|799.00|google</v>
      </c>
      <c r="G18" t="b">
        <f t="shared" si="1"/>
        <v>1</v>
      </c>
      <c r="H18" t="str">
        <f t="shared" si="2"/>
        <v>SAMSUNG GALAXY</v>
      </c>
      <c r="I18" t="str">
        <f t="shared" si="3"/>
        <v>Samsung Galaxy</v>
      </c>
      <c r="J18" t="str">
        <f t="shared" si="4"/>
        <v>google</v>
      </c>
      <c r="K18" t="str">
        <f t="shared" si="5"/>
        <v>Google</v>
      </c>
      <c r="L18" t="str">
        <f t="shared" si="6"/>
        <v>Gadgets</v>
      </c>
      <c r="M18">
        <f t="shared" si="7"/>
        <v>14</v>
      </c>
      <c r="N18">
        <f t="shared" si="8"/>
        <v>14</v>
      </c>
      <c r="O18" s="6">
        <f t="shared" si="9"/>
        <v>799</v>
      </c>
      <c r="P18" t="str">
        <f t="shared" si="10"/>
        <v>Gadgets</v>
      </c>
      <c r="Q18">
        <f t="shared" si="11"/>
        <v>799</v>
      </c>
      <c r="R18" t="str">
        <f t="shared" si="12"/>
        <v>Samsung Galaxy|Gadgets|799|Google</v>
      </c>
      <c r="S18" t="b">
        <f t="shared" si="13"/>
        <v>1</v>
      </c>
    </row>
    <row r="19" spans="1:19" x14ac:dyDescent="0.45">
      <c r="A19" t="s">
        <v>99</v>
      </c>
      <c r="B19" t="s">
        <v>93</v>
      </c>
      <c r="C19" t="s">
        <v>96</v>
      </c>
      <c r="D19" t="s">
        <v>88</v>
      </c>
      <c r="E19" t="s">
        <v>82</v>
      </c>
      <c r="F19" t="str">
        <f t="shared" si="0"/>
        <v>SAMSUNG GALAXY|Gadgets|USD 799|APPLE</v>
      </c>
      <c r="G19" t="b">
        <f t="shared" si="1"/>
        <v>1</v>
      </c>
      <c r="H19" t="str">
        <f t="shared" si="2"/>
        <v>SAMSUNG GALAXY</v>
      </c>
      <c r="I19" t="str">
        <f t="shared" si="3"/>
        <v>Samsung Galaxy</v>
      </c>
      <c r="J19" t="str">
        <f t="shared" si="4"/>
        <v>APPLE</v>
      </c>
      <c r="K19" t="str">
        <f t="shared" si="5"/>
        <v>Apple</v>
      </c>
      <c r="L19" t="str">
        <f t="shared" si="6"/>
        <v>Gadgets</v>
      </c>
      <c r="M19">
        <f t="shared" si="7"/>
        <v>14</v>
      </c>
      <c r="N19">
        <f t="shared" si="8"/>
        <v>14</v>
      </c>
      <c r="O19" s="6">
        <f t="shared" si="9"/>
        <v>799</v>
      </c>
      <c r="P19" t="str">
        <f t="shared" si="10"/>
        <v>Gadgets</v>
      </c>
      <c r="Q19">
        <f t="shared" si="11"/>
        <v>799</v>
      </c>
      <c r="R19" t="str">
        <f t="shared" si="12"/>
        <v>Samsung Galaxy|Gadgets|799|Apple</v>
      </c>
      <c r="S19" t="b">
        <f t="shared" si="13"/>
        <v>1</v>
      </c>
    </row>
    <row r="20" spans="1:19" x14ac:dyDescent="0.45">
      <c r="A20" t="s">
        <v>100</v>
      </c>
      <c r="B20" t="s">
        <v>54</v>
      </c>
      <c r="C20" t="s">
        <v>85</v>
      </c>
      <c r="D20" t="s">
        <v>55</v>
      </c>
      <c r="E20" t="s">
        <v>63</v>
      </c>
      <c r="F20" t="str">
        <f t="shared" si="0"/>
        <v>Samsung galaxy|electronics|799|Google</v>
      </c>
      <c r="G20" t="b">
        <f t="shared" si="1"/>
        <v>1</v>
      </c>
      <c r="H20" t="str">
        <f t="shared" si="2"/>
        <v>Samsung galaxy</v>
      </c>
      <c r="I20" t="str">
        <f t="shared" si="3"/>
        <v>Samsung Galaxy</v>
      </c>
      <c r="J20" t="str">
        <f t="shared" si="4"/>
        <v>Google</v>
      </c>
      <c r="K20" t="str">
        <f t="shared" si="5"/>
        <v>Google</v>
      </c>
      <c r="L20" t="str">
        <f t="shared" si="6"/>
        <v>Electronics</v>
      </c>
      <c r="M20">
        <f t="shared" si="7"/>
        <v>15</v>
      </c>
      <c r="N20">
        <f t="shared" si="8"/>
        <v>14</v>
      </c>
      <c r="O20" s="6">
        <f t="shared" si="9"/>
        <v>799</v>
      </c>
      <c r="P20" t="str">
        <f t="shared" si="10"/>
        <v>Electronics</v>
      </c>
      <c r="Q20">
        <f t="shared" si="11"/>
        <v>799</v>
      </c>
      <c r="R20" t="str">
        <f t="shared" si="12"/>
        <v>Samsung Galaxy|Electronics|799|Google</v>
      </c>
      <c r="S20" t="b">
        <f t="shared" si="13"/>
        <v>1</v>
      </c>
    </row>
    <row r="21" spans="1:19" x14ac:dyDescent="0.45">
      <c r="A21" t="s">
        <v>101</v>
      </c>
      <c r="B21" t="s">
        <v>102</v>
      </c>
      <c r="C21" t="s">
        <v>73</v>
      </c>
      <c r="D21" t="s">
        <v>69</v>
      </c>
      <c r="E21" t="s">
        <v>89</v>
      </c>
      <c r="F21" t="str">
        <f t="shared" si="0"/>
        <v>GOOGLE PIXEL|Electro|799|Apple</v>
      </c>
      <c r="G21" t="b">
        <f t="shared" si="1"/>
        <v>1</v>
      </c>
      <c r="H21" t="str">
        <f t="shared" si="2"/>
        <v>GOOGLE PIXEL</v>
      </c>
      <c r="I21" t="str">
        <f t="shared" si="3"/>
        <v>Google Pixel</v>
      </c>
      <c r="J21" t="str">
        <f t="shared" si="4"/>
        <v>Apple</v>
      </c>
      <c r="K21" t="str">
        <f t="shared" si="5"/>
        <v>Apple</v>
      </c>
      <c r="L21" t="str">
        <f t="shared" si="6"/>
        <v>Electronics</v>
      </c>
      <c r="M21">
        <f t="shared" si="7"/>
        <v>13</v>
      </c>
      <c r="N21">
        <f t="shared" si="8"/>
        <v>12</v>
      </c>
      <c r="O21" s="6">
        <f t="shared" si="9"/>
        <v>799</v>
      </c>
      <c r="P21" t="str">
        <f t="shared" si="10"/>
        <v>Electronics</v>
      </c>
      <c r="Q21">
        <f t="shared" si="11"/>
        <v>799</v>
      </c>
      <c r="R21" t="str">
        <f t="shared" si="12"/>
        <v>Google Pixel|Electronics|799|Apple</v>
      </c>
      <c r="S21" t="b">
        <f t="shared" si="13"/>
        <v>1</v>
      </c>
    </row>
    <row r="22" spans="1:19" x14ac:dyDescent="0.45">
      <c r="A22" t="s">
        <v>103</v>
      </c>
      <c r="B22" t="s">
        <v>72</v>
      </c>
      <c r="C22" t="s">
        <v>94</v>
      </c>
      <c r="D22" t="s">
        <v>62</v>
      </c>
      <c r="E22" t="s">
        <v>70</v>
      </c>
      <c r="F22" t="str">
        <f t="shared" si="0"/>
        <v>google pixel|gadgets|799.0|Samsung</v>
      </c>
      <c r="G22" t="b">
        <f t="shared" si="1"/>
        <v>1</v>
      </c>
      <c r="H22" t="str">
        <f t="shared" si="2"/>
        <v>google pixel</v>
      </c>
      <c r="I22" t="str">
        <f t="shared" si="3"/>
        <v>Google Pixel</v>
      </c>
      <c r="J22" t="str">
        <f t="shared" si="4"/>
        <v>Samsung</v>
      </c>
      <c r="K22" t="str">
        <f t="shared" si="5"/>
        <v>Samsung</v>
      </c>
      <c r="L22" t="str">
        <f t="shared" si="6"/>
        <v>Gadgets</v>
      </c>
      <c r="M22">
        <f t="shared" si="7"/>
        <v>14</v>
      </c>
      <c r="N22">
        <f t="shared" si="8"/>
        <v>12</v>
      </c>
      <c r="O22" s="6">
        <f t="shared" si="9"/>
        <v>799</v>
      </c>
      <c r="P22" t="str">
        <f t="shared" si="10"/>
        <v>Gadgets</v>
      </c>
      <c r="Q22">
        <f t="shared" si="11"/>
        <v>799</v>
      </c>
      <c r="R22" t="str">
        <f t="shared" si="12"/>
        <v>Google Pixel|Gadgets|799|Samsung</v>
      </c>
      <c r="S22" t="b">
        <f t="shared" si="13"/>
        <v>1</v>
      </c>
    </row>
    <row r="23" spans="1:19" x14ac:dyDescent="0.45">
      <c r="A23" t="s">
        <v>104</v>
      </c>
      <c r="B23" t="s">
        <v>60</v>
      </c>
      <c r="C23" t="s">
        <v>94</v>
      </c>
      <c r="D23" t="s">
        <v>81</v>
      </c>
      <c r="E23" t="s">
        <v>56</v>
      </c>
      <c r="F23" t="str">
        <f t="shared" si="0"/>
        <v>apple iPhone 14|gadgets|$799|GOOGLE</v>
      </c>
      <c r="G23" t="b">
        <f t="shared" si="1"/>
        <v>1</v>
      </c>
      <c r="H23" t="str">
        <f t="shared" si="2"/>
        <v>apple iPhone 14</v>
      </c>
      <c r="I23" t="str">
        <f t="shared" si="3"/>
        <v>Apple Iphone 14</v>
      </c>
      <c r="J23" t="str">
        <f t="shared" si="4"/>
        <v>GOOGLE</v>
      </c>
      <c r="K23" t="str">
        <f t="shared" si="5"/>
        <v>Google</v>
      </c>
      <c r="L23" t="str">
        <f t="shared" si="6"/>
        <v>Gadgets</v>
      </c>
      <c r="M23">
        <f t="shared" si="7"/>
        <v>15</v>
      </c>
      <c r="N23">
        <f t="shared" si="8"/>
        <v>15</v>
      </c>
      <c r="O23" s="6">
        <f t="shared" si="9"/>
        <v>799</v>
      </c>
      <c r="P23" t="str">
        <f t="shared" si="10"/>
        <v>Gadgets</v>
      </c>
      <c r="Q23">
        <f t="shared" si="11"/>
        <v>799</v>
      </c>
      <c r="R23" t="str">
        <f t="shared" si="12"/>
        <v>Apple Iphone 14|Gadgets|799|Google</v>
      </c>
      <c r="S23" t="b">
        <f t="shared" si="13"/>
        <v>1</v>
      </c>
    </row>
    <row r="24" spans="1:19" x14ac:dyDescent="0.45">
      <c r="A24" t="s">
        <v>105</v>
      </c>
      <c r="B24" t="s">
        <v>106</v>
      </c>
      <c r="C24" t="s">
        <v>94</v>
      </c>
      <c r="D24" t="s">
        <v>62</v>
      </c>
      <c r="E24" t="s">
        <v>70</v>
      </c>
      <c r="F24" t="str">
        <f t="shared" si="0"/>
        <v>Samsung Galaxy|gadgets|799.0|Samsung</v>
      </c>
      <c r="G24" t="b">
        <f t="shared" si="1"/>
        <v>0</v>
      </c>
      <c r="H24" t="str">
        <f t="shared" si="2"/>
        <v>Samsung Galaxy</v>
      </c>
      <c r="I24" t="str">
        <f t="shared" si="3"/>
        <v>Samsung Galaxy</v>
      </c>
      <c r="J24" t="str">
        <f t="shared" si="4"/>
        <v>Samsung</v>
      </c>
      <c r="K24" t="str">
        <f t="shared" si="5"/>
        <v>Samsung</v>
      </c>
      <c r="L24" t="str">
        <f t="shared" si="6"/>
        <v>Gadgets</v>
      </c>
      <c r="M24">
        <f t="shared" si="7"/>
        <v>14</v>
      </c>
      <c r="N24">
        <f t="shared" si="8"/>
        <v>14</v>
      </c>
      <c r="O24" s="6">
        <f t="shared" si="9"/>
        <v>799</v>
      </c>
      <c r="P24" t="str">
        <f t="shared" si="10"/>
        <v>Gadgets</v>
      </c>
      <c r="Q24">
        <f t="shared" si="11"/>
        <v>799</v>
      </c>
      <c r="R24" t="str">
        <f t="shared" si="12"/>
        <v>Samsung Galaxy|Gadgets|799|Samsung</v>
      </c>
      <c r="S24" t="b">
        <f t="shared" si="13"/>
        <v>1</v>
      </c>
    </row>
    <row r="25" spans="1:19" x14ac:dyDescent="0.45">
      <c r="A25" t="s">
        <v>107</v>
      </c>
      <c r="B25" t="s">
        <v>87</v>
      </c>
      <c r="C25" t="s">
        <v>61</v>
      </c>
      <c r="D25" t="s">
        <v>69</v>
      </c>
      <c r="E25" t="s">
        <v>70</v>
      </c>
      <c r="F25" t="str">
        <f t="shared" si="0"/>
        <v>Google Pixel|Electrnics|799|Samsung</v>
      </c>
      <c r="G25" t="b">
        <f t="shared" si="1"/>
        <v>1</v>
      </c>
      <c r="H25" t="str">
        <f t="shared" si="2"/>
        <v>Google Pixel</v>
      </c>
      <c r="I25" t="str">
        <f t="shared" si="3"/>
        <v>Google Pixel</v>
      </c>
      <c r="J25" t="str">
        <f t="shared" si="4"/>
        <v>Samsung</v>
      </c>
      <c r="K25" t="str">
        <f t="shared" si="5"/>
        <v>Samsung</v>
      </c>
      <c r="L25" t="str">
        <f t="shared" si="6"/>
        <v>Electronics</v>
      </c>
      <c r="M25">
        <f t="shared" si="7"/>
        <v>12</v>
      </c>
      <c r="N25">
        <f t="shared" si="8"/>
        <v>12</v>
      </c>
      <c r="O25" s="6">
        <f t="shared" si="9"/>
        <v>799</v>
      </c>
      <c r="P25" t="str">
        <f t="shared" si="10"/>
        <v>Electronics</v>
      </c>
      <c r="Q25">
        <f t="shared" si="11"/>
        <v>799</v>
      </c>
      <c r="R25" t="str">
        <f t="shared" si="12"/>
        <v>Google Pixel|Electronics|799|Samsung</v>
      </c>
      <c r="S25" t="b">
        <f t="shared" si="13"/>
        <v>1</v>
      </c>
    </row>
    <row r="26" spans="1:19" x14ac:dyDescent="0.45">
      <c r="A26" t="s">
        <v>108</v>
      </c>
      <c r="B26" t="s">
        <v>109</v>
      </c>
      <c r="C26" t="s">
        <v>85</v>
      </c>
      <c r="D26" t="s">
        <v>69</v>
      </c>
      <c r="E26" t="s">
        <v>70</v>
      </c>
      <c r="F26" t="str">
        <f t="shared" si="0"/>
        <v>Apple iPhone14|electronics|799|Samsung</v>
      </c>
      <c r="G26" t="b">
        <f t="shared" si="1"/>
        <v>1</v>
      </c>
      <c r="H26" t="str">
        <f t="shared" si="2"/>
        <v>Apple iPhone14</v>
      </c>
      <c r="I26" t="str">
        <f t="shared" si="3"/>
        <v>Apple Iphone14</v>
      </c>
      <c r="J26" t="str">
        <f t="shared" si="4"/>
        <v>Samsung</v>
      </c>
      <c r="K26" t="str">
        <f t="shared" si="5"/>
        <v>Samsung</v>
      </c>
      <c r="L26" t="str">
        <f t="shared" si="6"/>
        <v>Electronics</v>
      </c>
      <c r="M26">
        <f t="shared" si="7"/>
        <v>15</v>
      </c>
      <c r="N26">
        <f t="shared" si="8"/>
        <v>14</v>
      </c>
      <c r="O26" s="6">
        <f t="shared" si="9"/>
        <v>799</v>
      </c>
      <c r="P26" t="str">
        <f t="shared" si="10"/>
        <v>Electronics</v>
      </c>
      <c r="Q26">
        <f t="shared" si="11"/>
        <v>799</v>
      </c>
      <c r="R26" t="str">
        <f t="shared" si="12"/>
        <v>Apple Iphone14|Electronics|799|Samsung</v>
      </c>
      <c r="S26" t="b">
        <f t="shared" si="13"/>
        <v>1</v>
      </c>
    </row>
    <row r="27" spans="1:19" x14ac:dyDescent="0.45">
      <c r="A27" t="s">
        <v>110</v>
      </c>
      <c r="B27" t="s">
        <v>93</v>
      </c>
      <c r="C27" t="s">
        <v>61</v>
      </c>
      <c r="D27" t="s">
        <v>66</v>
      </c>
      <c r="E27" t="s">
        <v>82</v>
      </c>
      <c r="F27" t="str">
        <f t="shared" si="0"/>
        <v>SAMSUNG GALAXY|Electrnics|799.00|APPLE</v>
      </c>
      <c r="G27" t="b">
        <f t="shared" si="1"/>
        <v>1</v>
      </c>
      <c r="H27" t="str">
        <f t="shared" si="2"/>
        <v>SAMSUNG GALAXY</v>
      </c>
      <c r="I27" t="str">
        <f t="shared" si="3"/>
        <v>Samsung Galaxy</v>
      </c>
      <c r="J27" t="str">
        <f t="shared" si="4"/>
        <v>APPLE</v>
      </c>
      <c r="K27" t="str">
        <f t="shared" si="5"/>
        <v>Apple</v>
      </c>
      <c r="L27" t="str">
        <f t="shared" si="6"/>
        <v>Electronics</v>
      </c>
      <c r="M27">
        <f t="shared" si="7"/>
        <v>14</v>
      </c>
      <c r="N27">
        <f t="shared" si="8"/>
        <v>14</v>
      </c>
      <c r="O27" s="6">
        <f t="shared" si="9"/>
        <v>799</v>
      </c>
      <c r="P27" t="str">
        <f t="shared" si="10"/>
        <v>Electronics</v>
      </c>
      <c r="Q27">
        <f t="shared" si="11"/>
        <v>799</v>
      </c>
      <c r="R27" t="str">
        <f t="shared" si="12"/>
        <v>Samsung Galaxy|Electronics|799|Apple</v>
      </c>
      <c r="S27" t="b">
        <f t="shared" si="13"/>
        <v>1</v>
      </c>
    </row>
    <row r="28" spans="1:19" x14ac:dyDescent="0.45">
      <c r="A28" t="s">
        <v>111</v>
      </c>
      <c r="B28" t="s">
        <v>60</v>
      </c>
      <c r="C28" t="s">
        <v>85</v>
      </c>
      <c r="D28" t="s">
        <v>81</v>
      </c>
      <c r="E28" t="s">
        <v>112</v>
      </c>
      <c r="F28" t="str">
        <f t="shared" si="0"/>
        <v>apple iPhone 14|electronics|$799|SAMSUNG</v>
      </c>
      <c r="G28" t="b">
        <f t="shared" si="1"/>
        <v>0</v>
      </c>
      <c r="H28" t="str">
        <f t="shared" si="2"/>
        <v>apple iPhone 14</v>
      </c>
      <c r="I28" t="str">
        <f t="shared" si="3"/>
        <v>Apple Iphone 14</v>
      </c>
      <c r="J28" t="str">
        <f t="shared" si="4"/>
        <v>SAMSUNG</v>
      </c>
      <c r="K28" t="str">
        <f t="shared" si="5"/>
        <v>Samsung</v>
      </c>
      <c r="L28" t="str">
        <f t="shared" si="6"/>
        <v>Electronics</v>
      </c>
      <c r="M28">
        <f t="shared" si="7"/>
        <v>15</v>
      </c>
      <c r="N28">
        <f t="shared" si="8"/>
        <v>15</v>
      </c>
      <c r="O28" s="6">
        <f t="shared" si="9"/>
        <v>799</v>
      </c>
      <c r="P28" t="str">
        <f t="shared" si="10"/>
        <v>Electronics</v>
      </c>
      <c r="Q28">
        <f t="shared" si="11"/>
        <v>799</v>
      </c>
      <c r="R28" t="str">
        <f t="shared" si="12"/>
        <v>Apple Iphone 14|Electronics|799|Samsung</v>
      </c>
      <c r="S28" t="b">
        <f t="shared" si="13"/>
        <v>1</v>
      </c>
    </row>
    <row r="29" spans="1:19" x14ac:dyDescent="0.45">
      <c r="A29" t="s">
        <v>113</v>
      </c>
      <c r="B29" t="s">
        <v>58</v>
      </c>
      <c r="C29" t="s">
        <v>94</v>
      </c>
      <c r="D29" t="s">
        <v>55</v>
      </c>
      <c r="E29" t="s">
        <v>75</v>
      </c>
      <c r="F29" t="str">
        <f t="shared" si="0"/>
        <v>Google pixel|gadgets|799|google</v>
      </c>
      <c r="G29" t="b">
        <f t="shared" si="1"/>
        <v>1</v>
      </c>
      <c r="H29" t="str">
        <f t="shared" si="2"/>
        <v>Google pixel</v>
      </c>
      <c r="I29" t="str">
        <f t="shared" si="3"/>
        <v>Google Pixel</v>
      </c>
      <c r="J29" t="str">
        <f t="shared" si="4"/>
        <v>google</v>
      </c>
      <c r="K29" t="str">
        <f t="shared" si="5"/>
        <v>Google</v>
      </c>
      <c r="L29" t="str">
        <f t="shared" si="6"/>
        <v>Gadgets</v>
      </c>
      <c r="M29">
        <f t="shared" si="7"/>
        <v>12</v>
      </c>
      <c r="N29">
        <f t="shared" si="8"/>
        <v>12</v>
      </c>
      <c r="O29" s="6">
        <f t="shared" si="9"/>
        <v>799</v>
      </c>
      <c r="P29" t="str">
        <f t="shared" si="10"/>
        <v>Gadgets</v>
      </c>
      <c r="Q29">
        <f t="shared" si="11"/>
        <v>799</v>
      </c>
      <c r="R29" t="str">
        <f t="shared" si="12"/>
        <v>Google Pixel|Gadgets|799|Google</v>
      </c>
      <c r="S29" t="b">
        <f t="shared" si="13"/>
        <v>1</v>
      </c>
    </row>
    <row r="30" spans="1:19" x14ac:dyDescent="0.45">
      <c r="A30" t="s">
        <v>114</v>
      </c>
      <c r="B30" t="s">
        <v>102</v>
      </c>
      <c r="C30" t="s">
        <v>73</v>
      </c>
      <c r="E30" t="s">
        <v>75</v>
      </c>
      <c r="F30" t="str">
        <f t="shared" si="0"/>
        <v>GOOGLE PIXEL|Electro||google</v>
      </c>
      <c r="G30" t="b">
        <f t="shared" si="1"/>
        <v>0</v>
      </c>
      <c r="H30" t="str">
        <f t="shared" si="2"/>
        <v>GOOGLE PIXEL</v>
      </c>
      <c r="I30" t="str">
        <f t="shared" si="3"/>
        <v>Google Pixel</v>
      </c>
      <c r="J30" t="str">
        <f t="shared" si="4"/>
        <v>google</v>
      </c>
      <c r="K30" t="str">
        <f t="shared" si="5"/>
        <v>Google</v>
      </c>
      <c r="L30" t="str">
        <f t="shared" si="6"/>
        <v>Electronics</v>
      </c>
      <c r="M30">
        <f t="shared" si="7"/>
        <v>13</v>
      </c>
      <c r="N30">
        <f t="shared" si="8"/>
        <v>12</v>
      </c>
      <c r="O30" s="6" t="str">
        <f t="shared" si="9"/>
        <v/>
      </c>
      <c r="P30" t="str">
        <f t="shared" si="10"/>
        <v>Electronics</v>
      </c>
      <c r="Q30" t="str">
        <f t="shared" si="11"/>
        <v>Not Available</v>
      </c>
      <c r="R30" t="str">
        <f t="shared" si="12"/>
        <v>Google Pixel|Electronics|Not Available|Google</v>
      </c>
      <c r="S30" t="b">
        <f t="shared" si="13"/>
        <v>1</v>
      </c>
    </row>
    <row r="31" spans="1:19" x14ac:dyDescent="0.45">
      <c r="A31" t="s">
        <v>115</v>
      </c>
      <c r="B31" t="s">
        <v>102</v>
      </c>
      <c r="C31" t="s">
        <v>94</v>
      </c>
      <c r="D31" t="s">
        <v>62</v>
      </c>
      <c r="E31" t="s">
        <v>79</v>
      </c>
      <c r="F31" t="str">
        <f t="shared" si="0"/>
        <v>GOOGLE PIXEL|gadgets|799.0|Samsung</v>
      </c>
      <c r="G31" t="b">
        <f t="shared" si="1"/>
        <v>1</v>
      </c>
      <c r="H31" t="str">
        <f t="shared" si="2"/>
        <v>GOOGLE PIXEL</v>
      </c>
      <c r="I31" t="str">
        <f t="shared" si="3"/>
        <v>Google Pixel</v>
      </c>
      <c r="J31" t="str">
        <f t="shared" si="4"/>
        <v>Samsung</v>
      </c>
      <c r="K31" t="str">
        <f t="shared" si="5"/>
        <v>Samsung</v>
      </c>
      <c r="L31" t="str">
        <f t="shared" si="6"/>
        <v>Gadgets</v>
      </c>
      <c r="M31">
        <f t="shared" si="7"/>
        <v>13</v>
      </c>
      <c r="N31">
        <f t="shared" si="8"/>
        <v>12</v>
      </c>
      <c r="O31" s="6">
        <f t="shared" si="9"/>
        <v>799</v>
      </c>
      <c r="P31" t="str">
        <f t="shared" si="10"/>
        <v>Gadgets</v>
      </c>
      <c r="Q31">
        <f t="shared" si="11"/>
        <v>799</v>
      </c>
      <c r="R31" t="str">
        <f t="shared" si="12"/>
        <v>Google Pixel|Gadgets|799|Samsung</v>
      </c>
      <c r="S31" t="b">
        <f t="shared" si="13"/>
        <v>1</v>
      </c>
    </row>
    <row r="32" spans="1:19" x14ac:dyDescent="0.45">
      <c r="A32" t="s">
        <v>116</v>
      </c>
      <c r="B32" t="s">
        <v>58</v>
      </c>
      <c r="C32" t="s">
        <v>96</v>
      </c>
      <c r="D32" t="s">
        <v>81</v>
      </c>
      <c r="E32" t="s">
        <v>89</v>
      </c>
      <c r="F32" t="str">
        <f t="shared" si="0"/>
        <v>Google pixel|Gadgets|$799|Apple</v>
      </c>
      <c r="G32" t="b">
        <f t="shared" si="1"/>
        <v>1</v>
      </c>
      <c r="H32" t="str">
        <f t="shared" si="2"/>
        <v>Google pixel</v>
      </c>
      <c r="I32" t="str">
        <f t="shared" si="3"/>
        <v>Google Pixel</v>
      </c>
      <c r="J32" t="str">
        <f t="shared" si="4"/>
        <v>Apple</v>
      </c>
      <c r="K32" t="str">
        <f t="shared" si="5"/>
        <v>Apple</v>
      </c>
      <c r="L32" t="str">
        <f t="shared" si="6"/>
        <v>Gadgets</v>
      </c>
      <c r="M32">
        <f t="shared" si="7"/>
        <v>12</v>
      </c>
      <c r="N32">
        <f t="shared" si="8"/>
        <v>12</v>
      </c>
      <c r="O32" s="6">
        <f t="shared" si="9"/>
        <v>799</v>
      </c>
      <c r="P32" t="str">
        <f t="shared" si="10"/>
        <v>Gadgets</v>
      </c>
      <c r="Q32">
        <f t="shared" si="11"/>
        <v>799</v>
      </c>
      <c r="R32" t="str">
        <f t="shared" si="12"/>
        <v>Google Pixel|Gadgets|799|Apple</v>
      </c>
      <c r="S32" t="b">
        <f t="shared" si="13"/>
        <v>1</v>
      </c>
    </row>
    <row r="33" spans="1:19" x14ac:dyDescent="0.45">
      <c r="A33" t="s">
        <v>117</v>
      </c>
      <c r="B33" t="s">
        <v>54</v>
      </c>
      <c r="C33" t="s">
        <v>61</v>
      </c>
      <c r="D33" t="s">
        <v>66</v>
      </c>
      <c r="E33" t="s">
        <v>63</v>
      </c>
      <c r="F33" t="str">
        <f t="shared" si="0"/>
        <v>Samsung galaxy|Electrnics|799.00|Google</v>
      </c>
      <c r="G33" t="b">
        <f t="shared" si="1"/>
        <v>1</v>
      </c>
      <c r="H33" t="str">
        <f t="shared" si="2"/>
        <v>Samsung galaxy</v>
      </c>
      <c r="I33" t="str">
        <f t="shared" si="3"/>
        <v>Samsung Galaxy</v>
      </c>
      <c r="J33" t="str">
        <f t="shared" si="4"/>
        <v>Google</v>
      </c>
      <c r="K33" t="str">
        <f t="shared" si="5"/>
        <v>Google</v>
      </c>
      <c r="L33" t="str">
        <f t="shared" si="6"/>
        <v>Electronics</v>
      </c>
      <c r="M33">
        <f t="shared" si="7"/>
        <v>15</v>
      </c>
      <c r="N33">
        <f t="shared" si="8"/>
        <v>14</v>
      </c>
      <c r="O33" s="6">
        <f t="shared" si="9"/>
        <v>799</v>
      </c>
      <c r="P33" t="str">
        <f t="shared" si="10"/>
        <v>Electronics</v>
      </c>
      <c r="Q33">
        <f t="shared" si="11"/>
        <v>799</v>
      </c>
      <c r="R33" t="str">
        <f t="shared" si="12"/>
        <v>Samsung Galaxy|Electronics|799|Google</v>
      </c>
      <c r="S33" t="b">
        <f t="shared" si="13"/>
        <v>1</v>
      </c>
    </row>
    <row r="34" spans="1:19" x14ac:dyDescent="0.45">
      <c r="A34" t="s">
        <v>118</v>
      </c>
      <c r="B34" t="s">
        <v>102</v>
      </c>
      <c r="C34" t="s">
        <v>85</v>
      </c>
      <c r="D34" t="s">
        <v>81</v>
      </c>
      <c r="E34" t="s">
        <v>63</v>
      </c>
      <c r="F34" t="str">
        <f t="shared" si="0"/>
        <v>GOOGLE PIXEL|electronics|$799|Google</v>
      </c>
      <c r="G34" t="b">
        <f t="shared" si="1"/>
        <v>1</v>
      </c>
      <c r="H34" t="str">
        <f t="shared" si="2"/>
        <v>GOOGLE PIXEL</v>
      </c>
      <c r="I34" t="str">
        <f t="shared" si="3"/>
        <v>Google Pixel</v>
      </c>
      <c r="J34" t="str">
        <f t="shared" si="4"/>
        <v>Google</v>
      </c>
      <c r="K34" t="str">
        <f t="shared" si="5"/>
        <v>Google</v>
      </c>
      <c r="L34" t="str">
        <f t="shared" si="6"/>
        <v>Electronics</v>
      </c>
      <c r="M34">
        <f t="shared" si="7"/>
        <v>13</v>
      </c>
      <c r="N34">
        <f t="shared" si="8"/>
        <v>12</v>
      </c>
      <c r="O34" s="6">
        <f t="shared" si="9"/>
        <v>799</v>
      </c>
      <c r="P34" t="str">
        <f t="shared" si="10"/>
        <v>Electronics</v>
      </c>
      <c r="Q34">
        <f t="shared" si="11"/>
        <v>799</v>
      </c>
      <c r="R34" t="str">
        <f t="shared" si="12"/>
        <v>Google Pixel|Electronics|799|Google</v>
      </c>
      <c r="S34" t="b">
        <f t="shared" si="13"/>
        <v>1</v>
      </c>
    </row>
    <row r="35" spans="1:19" x14ac:dyDescent="0.45">
      <c r="A35" t="s">
        <v>119</v>
      </c>
      <c r="B35" t="s">
        <v>72</v>
      </c>
      <c r="C35" t="s">
        <v>73</v>
      </c>
      <c r="D35" t="s">
        <v>66</v>
      </c>
      <c r="E35" t="s">
        <v>89</v>
      </c>
      <c r="F35" t="str">
        <f t="shared" si="0"/>
        <v>google pixel|Electro|799.00|Apple</v>
      </c>
      <c r="G35" t="b">
        <f t="shared" si="1"/>
        <v>1</v>
      </c>
      <c r="H35" t="str">
        <f t="shared" si="2"/>
        <v>google pixel</v>
      </c>
      <c r="I35" t="str">
        <f t="shared" si="3"/>
        <v>Google Pixel</v>
      </c>
      <c r="J35" t="str">
        <f t="shared" si="4"/>
        <v>Apple</v>
      </c>
      <c r="K35" t="str">
        <f t="shared" si="5"/>
        <v>Apple</v>
      </c>
      <c r="L35" t="str">
        <f t="shared" si="6"/>
        <v>Electronics</v>
      </c>
      <c r="M35">
        <f t="shared" si="7"/>
        <v>14</v>
      </c>
      <c r="N35">
        <f t="shared" si="8"/>
        <v>12</v>
      </c>
      <c r="O35" s="6">
        <f t="shared" si="9"/>
        <v>799</v>
      </c>
      <c r="P35" t="str">
        <f t="shared" si="10"/>
        <v>Electronics</v>
      </c>
      <c r="Q35">
        <f t="shared" si="11"/>
        <v>799</v>
      </c>
      <c r="R35" t="str">
        <f t="shared" si="12"/>
        <v>Google Pixel|Electronics|799|Apple</v>
      </c>
      <c r="S35" t="b">
        <f t="shared" si="13"/>
        <v>1</v>
      </c>
    </row>
    <row r="36" spans="1:19" x14ac:dyDescent="0.45">
      <c r="A36" t="s">
        <v>120</v>
      </c>
      <c r="B36" t="s">
        <v>65</v>
      </c>
      <c r="C36" t="s">
        <v>85</v>
      </c>
      <c r="D36" t="s">
        <v>81</v>
      </c>
      <c r="E36" t="s">
        <v>75</v>
      </c>
      <c r="F36" t="str">
        <f t="shared" si="0"/>
        <v>apple iphone 14|electronics|$799|google</v>
      </c>
      <c r="G36" t="b">
        <f t="shared" si="1"/>
        <v>1</v>
      </c>
      <c r="H36" t="str">
        <f t="shared" si="2"/>
        <v>apple iphone 14</v>
      </c>
      <c r="I36" t="str">
        <f t="shared" si="3"/>
        <v>Apple Iphone 14</v>
      </c>
      <c r="J36" t="str">
        <f t="shared" si="4"/>
        <v>google</v>
      </c>
      <c r="K36" t="str">
        <f t="shared" si="5"/>
        <v>Google</v>
      </c>
      <c r="L36" t="str">
        <f t="shared" si="6"/>
        <v>Electronics</v>
      </c>
      <c r="M36">
        <f t="shared" si="7"/>
        <v>17</v>
      </c>
      <c r="N36">
        <f t="shared" si="8"/>
        <v>15</v>
      </c>
      <c r="O36" s="6">
        <f t="shared" si="9"/>
        <v>799</v>
      </c>
      <c r="P36" t="str">
        <f t="shared" si="10"/>
        <v>Electronics</v>
      </c>
      <c r="Q36">
        <f t="shared" si="11"/>
        <v>799</v>
      </c>
      <c r="R36" t="str">
        <f t="shared" si="12"/>
        <v>Apple Iphone 14|Electronics|799|Google</v>
      </c>
      <c r="S36" t="b">
        <f t="shared" si="13"/>
        <v>1</v>
      </c>
    </row>
    <row r="37" spans="1:19" x14ac:dyDescent="0.45">
      <c r="A37" t="s">
        <v>121</v>
      </c>
      <c r="B37" t="s">
        <v>54</v>
      </c>
      <c r="C37" t="s">
        <v>73</v>
      </c>
      <c r="E37" t="s">
        <v>112</v>
      </c>
      <c r="F37" t="str">
        <f t="shared" si="0"/>
        <v>Samsung galaxy|Electro||SAMSUNG</v>
      </c>
      <c r="G37" t="b">
        <f t="shared" si="1"/>
        <v>1</v>
      </c>
      <c r="H37" t="str">
        <f t="shared" si="2"/>
        <v>Samsung galaxy</v>
      </c>
      <c r="I37" t="str">
        <f t="shared" si="3"/>
        <v>Samsung Galaxy</v>
      </c>
      <c r="J37" t="str">
        <f t="shared" si="4"/>
        <v>SAMSUNG</v>
      </c>
      <c r="K37" t="str">
        <f t="shared" si="5"/>
        <v>Samsung</v>
      </c>
      <c r="L37" t="str">
        <f t="shared" si="6"/>
        <v>Electronics</v>
      </c>
      <c r="M37">
        <f t="shared" si="7"/>
        <v>15</v>
      </c>
      <c r="N37">
        <f t="shared" si="8"/>
        <v>14</v>
      </c>
      <c r="O37" s="6" t="str">
        <f t="shared" si="9"/>
        <v/>
      </c>
      <c r="P37" t="str">
        <f t="shared" si="10"/>
        <v>Electronics</v>
      </c>
      <c r="Q37" t="str">
        <f t="shared" si="11"/>
        <v>Not Available</v>
      </c>
      <c r="R37" t="str">
        <f t="shared" si="12"/>
        <v>Samsung Galaxy|Electronics|Not Available|Samsung</v>
      </c>
      <c r="S37" t="b">
        <f t="shared" si="13"/>
        <v>1</v>
      </c>
    </row>
    <row r="38" spans="1:19" x14ac:dyDescent="0.45">
      <c r="A38" t="s">
        <v>122</v>
      </c>
      <c r="B38" t="s">
        <v>65</v>
      </c>
      <c r="C38" t="s">
        <v>123</v>
      </c>
      <c r="D38" t="s">
        <v>88</v>
      </c>
      <c r="E38" t="s">
        <v>79</v>
      </c>
      <c r="F38" t="str">
        <f t="shared" si="0"/>
        <v>apple iphone 14|Electronics|USD 799|Samsung</v>
      </c>
      <c r="G38" t="b">
        <f t="shared" si="1"/>
        <v>1</v>
      </c>
      <c r="H38" t="str">
        <f t="shared" si="2"/>
        <v>apple iphone 14</v>
      </c>
      <c r="I38" t="str">
        <f t="shared" si="3"/>
        <v>Apple Iphone 14</v>
      </c>
      <c r="J38" t="str">
        <f t="shared" si="4"/>
        <v>Samsung</v>
      </c>
      <c r="K38" t="str">
        <f t="shared" si="5"/>
        <v>Samsung</v>
      </c>
      <c r="L38" t="str">
        <f t="shared" si="6"/>
        <v>Electronics</v>
      </c>
      <c r="M38">
        <f t="shared" si="7"/>
        <v>17</v>
      </c>
      <c r="N38">
        <f t="shared" si="8"/>
        <v>15</v>
      </c>
      <c r="O38" s="6">
        <f t="shared" si="9"/>
        <v>799</v>
      </c>
      <c r="P38" t="str">
        <f t="shared" si="10"/>
        <v>Electronics</v>
      </c>
      <c r="Q38">
        <f t="shared" si="11"/>
        <v>799</v>
      </c>
      <c r="R38" t="str">
        <f t="shared" si="12"/>
        <v>Apple Iphone 14|Electronics|799|Samsung</v>
      </c>
      <c r="S38" t="b">
        <f t="shared" si="13"/>
        <v>1</v>
      </c>
    </row>
    <row r="39" spans="1:19" x14ac:dyDescent="0.45">
      <c r="A39" t="s">
        <v>124</v>
      </c>
      <c r="B39" t="s">
        <v>78</v>
      </c>
      <c r="C39" t="s">
        <v>85</v>
      </c>
      <c r="D39" t="s">
        <v>62</v>
      </c>
      <c r="E39" t="s">
        <v>89</v>
      </c>
      <c r="F39" t="str">
        <f t="shared" si="0"/>
        <v>samsung Galaxy|electronics|799.0|Apple</v>
      </c>
      <c r="G39" t="b">
        <f t="shared" si="1"/>
        <v>1</v>
      </c>
      <c r="H39" t="str">
        <f t="shared" si="2"/>
        <v>samsung Galaxy</v>
      </c>
      <c r="I39" t="str">
        <f t="shared" si="3"/>
        <v>Samsung Galaxy</v>
      </c>
      <c r="J39" t="str">
        <f t="shared" si="4"/>
        <v>Apple</v>
      </c>
      <c r="K39" t="str">
        <f t="shared" si="5"/>
        <v>Apple</v>
      </c>
      <c r="L39" t="str">
        <f t="shared" si="6"/>
        <v>Electronics</v>
      </c>
      <c r="M39">
        <f t="shared" si="7"/>
        <v>15</v>
      </c>
      <c r="N39">
        <f t="shared" si="8"/>
        <v>14</v>
      </c>
      <c r="O39" s="6">
        <f t="shared" si="9"/>
        <v>799</v>
      </c>
      <c r="P39" t="str">
        <f t="shared" si="10"/>
        <v>Electronics</v>
      </c>
      <c r="Q39">
        <f t="shared" si="11"/>
        <v>799</v>
      </c>
      <c r="R39" t="str">
        <f t="shared" si="12"/>
        <v>Samsung Galaxy|Electronics|799|Apple</v>
      </c>
      <c r="S39" t="b">
        <f t="shared" si="13"/>
        <v>1</v>
      </c>
    </row>
    <row r="40" spans="1:19" x14ac:dyDescent="0.45">
      <c r="A40" t="s">
        <v>125</v>
      </c>
      <c r="B40" t="s">
        <v>93</v>
      </c>
      <c r="C40" t="s">
        <v>85</v>
      </c>
      <c r="D40" t="s">
        <v>74</v>
      </c>
      <c r="E40" t="s">
        <v>91</v>
      </c>
      <c r="F40" t="str">
        <f t="shared" si="0"/>
        <v>SAMSUNG GALAXY|electronics|799|Apple</v>
      </c>
      <c r="G40" t="b">
        <f t="shared" si="1"/>
        <v>1</v>
      </c>
      <c r="H40" t="str">
        <f t="shared" si="2"/>
        <v>SAMSUNG GALAXY</v>
      </c>
      <c r="I40" t="str">
        <f t="shared" si="3"/>
        <v>Samsung Galaxy</v>
      </c>
      <c r="J40" t="str">
        <f t="shared" si="4"/>
        <v>Apple</v>
      </c>
      <c r="K40" t="str">
        <f t="shared" si="5"/>
        <v>Apple</v>
      </c>
      <c r="L40" t="str">
        <f t="shared" si="6"/>
        <v>Electronics</v>
      </c>
      <c r="M40">
        <f t="shared" si="7"/>
        <v>14</v>
      </c>
      <c r="N40">
        <f t="shared" si="8"/>
        <v>14</v>
      </c>
      <c r="O40" s="6">
        <f t="shared" si="9"/>
        <v>799</v>
      </c>
      <c r="P40" t="str">
        <f t="shared" si="10"/>
        <v>Electronics</v>
      </c>
      <c r="Q40">
        <f t="shared" si="11"/>
        <v>799</v>
      </c>
      <c r="R40" t="str">
        <f t="shared" si="12"/>
        <v>Samsung Galaxy|Electronics|799|Apple</v>
      </c>
      <c r="S40" t="b">
        <f t="shared" si="13"/>
        <v>1</v>
      </c>
    </row>
    <row r="41" spans="1:19" x14ac:dyDescent="0.45">
      <c r="A41" t="s">
        <v>126</v>
      </c>
      <c r="B41" t="s">
        <v>93</v>
      </c>
      <c r="C41" t="s">
        <v>85</v>
      </c>
      <c r="E41" t="s">
        <v>63</v>
      </c>
      <c r="F41" t="str">
        <f t="shared" si="0"/>
        <v>SAMSUNG GALAXY|electronics||Google</v>
      </c>
      <c r="G41" t="b">
        <f t="shared" si="1"/>
        <v>1</v>
      </c>
      <c r="H41" t="str">
        <f t="shared" si="2"/>
        <v>SAMSUNG GALAXY</v>
      </c>
      <c r="I41" t="str">
        <f t="shared" si="3"/>
        <v>Samsung Galaxy</v>
      </c>
      <c r="J41" t="str">
        <f t="shared" si="4"/>
        <v>Google</v>
      </c>
      <c r="K41" t="str">
        <f t="shared" si="5"/>
        <v>Google</v>
      </c>
      <c r="L41" t="str">
        <f t="shared" si="6"/>
        <v>Electronics</v>
      </c>
      <c r="M41">
        <f t="shared" si="7"/>
        <v>14</v>
      </c>
      <c r="N41">
        <f t="shared" si="8"/>
        <v>14</v>
      </c>
      <c r="O41" s="6" t="str">
        <f t="shared" si="9"/>
        <v/>
      </c>
      <c r="P41" t="str">
        <f t="shared" si="10"/>
        <v>Electronics</v>
      </c>
      <c r="Q41" t="str">
        <f t="shared" si="11"/>
        <v>Not Available</v>
      </c>
      <c r="R41" t="str">
        <f t="shared" si="12"/>
        <v>Samsung Galaxy|Electronics|Not Available|Google</v>
      </c>
      <c r="S41" t="b">
        <f t="shared" si="13"/>
        <v>1</v>
      </c>
    </row>
    <row r="42" spans="1:19" x14ac:dyDescent="0.45">
      <c r="A42" t="s">
        <v>127</v>
      </c>
      <c r="B42" t="s">
        <v>65</v>
      </c>
      <c r="C42" t="s">
        <v>123</v>
      </c>
      <c r="E42" t="s">
        <v>91</v>
      </c>
      <c r="F42" t="str">
        <f t="shared" si="0"/>
        <v>apple iphone 14|Electronics||Apple</v>
      </c>
      <c r="G42" t="b">
        <f t="shared" si="1"/>
        <v>1</v>
      </c>
      <c r="H42" t="str">
        <f t="shared" si="2"/>
        <v>apple iphone 14</v>
      </c>
      <c r="I42" t="str">
        <f t="shared" si="3"/>
        <v>Apple Iphone 14</v>
      </c>
      <c r="J42" t="str">
        <f t="shared" si="4"/>
        <v>Apple</v>
      </c>
      <c r="K42" t="str">
        <f t="shared" si="5"/>
        <v>Apple</v>
      </c>
      <c r="L42" t="str">
        <f t="shared" si="6"/>
        <v>Electronics</v>
      </c>
      <c r="M42">
        <f t="shared" si="7"/>
        <v>17</v>
      </c>
      <c r="N42">
        <f t="shared" si="8"/>
        <v>15</v>
      </c>
      <c r="O42" s="6" t="str">
        <f t="shared" si="9"/>
        <v/>
      </c>
      <c r="P42" t="str">
        <f t="shared" si="10"/>
        <v>Electronics</v>
      </c>
      <c r="Q42" t="str">
        <f t="shared" si="11"/>
        <v>Not Available</v>
      </c>
      <c r="R42" t="str">
        <f t="shared" si="12"/>
        <v>Apple Iphone 14|Electronics|Not Available|Apple</v>
      </c>
      <c r="S42" t="b">
        <f t="shared" si="13"/>
        <v>1</v>
      </c>
    </row>
    <row r="43" spans="1:19" x14ac:dyDescent="0.45">
      <c r="A43" t="s">
        <v>128</v>
      </c>
      <c r="B43" t="s">
        <v>106</v>
      </c>
      <c r="C43" t="s">
        <v>96</v>
      </c>
      <c r="D43" t="s">
        <v>81</v>
      </c>
      <c r="E43" t="s">
        <v>63</v>
      </c>
      <c r="F43" t="str">
        <f t="shared" si="0"/>
        <v>Samsung Galaxy|Gadgets|$799|Google</v>
      </c>
      <c r="G43" t="b">
        <f t="shared" si="1"/>
        <v>1</v>
      </c>
      <c r="H43" t="str">
        <f t="shared" si="2"/>
        <v>Samsung Galaxy</v>
      </c>
      <c r="I43" t="str">
        <f t="shared" si="3"/>
        <v>Samsung Galaxy</v>
      </c>
      <c r="J43" t="str">
        <f t="shared" si="4"/>
        <v>Google</v>
      </c>
      <c r="K43" t="str">
        <f t="shared" si="5"/>
        <v>Google</v>
      </c>
      <c r="L43" t="str">
        <f t="shared" si="6"/>
        <v>Gadgets</v>
      </c>
      <c r="M43">
        <f t="shared" si="7"/>
        <v>14</v>
      </c>
      <c r="N43">
        <f t="shared" si="8"/>
        <v>14</v>
      </c>
      <c r="O43" s="6">
        <f t="shared" si="9"/>
        <v>799</v>
      </c>
      <c r="P43" t="str">
        <f t="shared" si="10"/>
        <v>Gadgets</v>
      </c>
      <c r="Q43">
        <f t="shared" si="11"/>
        <v>799</v>
      </c>
      <c r="R43" t="str">
        <f t="shared" si="12"/>
        <v>Samsung Galaxy|Gadgets|799|Google</v>
      </c>
      <c r="S43" t="b">
        <f t="shared" si="13"/>
        <v>1</v>
      </c>
    </row>
    <row r="44" spans="1:19" x14ac:dyDescent="0.45">
      <c r="A44" t="s">
        <v>129</v>
      </c>
      <c r="B44" t="s">
        <v>58</v>
      </c>
      <c r="C44" t="s">
        <v>73</v>
      </c>
      <c r="D44" t="s">
        <v>81</v>
      </c>
      <c r="E44" t="s">
        <v>89</v>
      </c>
      <c r="F44" t="str">
        <f t="shared" si="0"/>
        <v>Google pixel|Electro|$799|Apple</v>
      </c>
      <c r="G44" t="b">
        <f t="shared" si="1"/>
        <v>1</v>
      </c>
      <c r="H44" t="str">
        <f t="shared" si="2"/>
        <v>Google pixel</v>
      </c>
      <c r="I44" t="str">
        <f t="shared" si="3"/>
        <v>Google Pixel</v>
      </c>
      <c r="J44" t="str">
        <f t="shared" si="4"/>
        <v>Apple</v>
      </c>
      <c r="K44" t="str">
        <f t="shared" si="5"/>
        <v>Apple</v>
      </c>
      <c r="L44" t="str">
        <f t="shared" si="6"/>
        <v>Electronics</v>
      </c>
      <c r="M44">
        <f t="shared" si="7"/>
        <v>12</v>
      </c>
      <c r="N44">
        <f t="shared" si="8"/>
        <v>12</v>
      </c>
      <c r="O44" s="6">
        <f t="shared" si="9"/>
        <v>799</v>
      </c>
      <c r="P44" t="str">
        <f t="shared" si="10"/>
        <v>Electronics</v>
      </c>
      <c r="Q44">
        <f t="shared" si="11"/>
        <v>799</v>
      </c>
      <c r="R44" t="str">
        <f t="shared" si="12"/>
        <v>Google Pixel|Electronics|799|Apple</v>
      </c>
      <c r="S44" t="b">
        <f t="shared" si="13"/>
        <v>1</v>
      </c>
    </row>
    <row r="45" spans="1:19" x14ac:dyDescent="0.45">
      <c r="A45" t="s">
        <v>130</v>
      </c>
      <c r="B45" t="s">
        <v>102</v>
      </c>
      <c r="C45" t="s">
        <v>61</v>
      </c>
      <c r="D45" t="s">
        <v>62</v>
      </c>
      <c r="E45" t="s">
        <v>70</v>
      </c>
      <c r="F45" t="str">
        <f t="shared" si="0"/>
        <v>GOOGLE PIXEL|Electrnics|799.0|Samsung</v>
      </c>
      <c r="G45" t="b">
        <f t="shared" si="1"/>
        <v>1</v>
      </c>
      <c r="H45" t="str">
        <f t="shared" si="2"/>
        <v>GOOGLE PIXEL</v>
      </c>
      <c r="I45" t="str">
        <f t="shared" si="3"/>
        <v>Google Pixel</v>
      </c>
      <c r="J45" t="str">
        <f t="shared" si="4"/>
        <v>Samsung</v>
      </c>
      <c r="K45" t="str">
        <f t="shared" si="5"/>
        <v>Samsung</v>
      </c>
      <c r="L45" t="str">
        <f t="shared" si="6"/>
        <v>Electronics</v>
      </c>
      <c r="M45">
        <f t="shared" si="7"/>
        <v>13</v>
      </c>
      <c r="N45">
        <f t="shared" si="8"/>
        <v>12</v>
      </c>
      <c r="O45" s="6">
        <f t="shared" si="9"/>
        <v>799</v>
      </c>
      <c r="P45" t="str">
        <f t="shared" si="10"/>
        <v>Electronics</v>
      </c>
      <c r="Q45">
        <f t="shared" si="11"/>
        <v>799</v>
      </c>
      <c r="R45" t="str">
        <f t="shared" si="12"/>
        <v>Google Pixel|Electronics|799|Samsung</v>
      </c>
      <c r="S45" t="b">
        <f t="shared" si="13"/>
        <v>1</v>
      </c>
    </row>
    <row r="46" spans="1:19" x14ac:dyDescent="0.45">
      <c r="A46" t="s">
        <v>131</v>
      </c>
      <c r="B46" t="s">
        <v>60</v>
      </c>
      <c r="C46" t="s">
        <v>94</v>
      </c>
      <c r="D46" t="s">
        <v>62</v>
      </c>
      <c r="E46" t="s">
        <v>56</v>
      </c>
      <c r="F46" t="str">
        <f t="shared" si="0"/>
        <v>apple iPhone 14|gadgets|799.0|GOOGLE</v>
      </c>
      <c r="G46" t="b">
        <f t="shared" si="1"/>
        <v>1</v>
      </c>
      <c r="H46" t="str">
        <f t="shared" si="2"/>
        <v>apple iPhone 14</v>
      </c>
      <c r="I46" t="str">
        <f t="shared" si="3"/>
        <v>Apple Iphone 14</v>
      </c>
      <c r="J46" t="str">
        <f t="shared" si="4"/>
        <v>GOOGLE</v>
      </c>
      <c r="K46" t="str">
        <f t="shared" si="5"/>
        <v>Google</v>
      </c>
      <c r="L46" t="str">
        <f t="shared" si="6"/>
        <v>Gadgets</v>
      </c>
      <c r="M46">
        <f t="shared" si="7"/>
        <v>15</v>
      </c>
      <c r="N46">
        <f t="shared" si="8"/>
        <v>15</v>
      </c>
      <c r="O46" s="6">
        <f t="shared" si="9"/>
        <v>799</v>
      </c>
      <c r="P46" t="str">
        <f t="shared" si="10"/>
        <v>Gadgets</v>
      </c>
      <c r="Q46">
        <f t="shared" si="11"/>
        <v>799</v>
      </c>
      <c r="R46" t="str">
        <f t="shared" si="12"/>
        <v>Apple Iphone 14|Gadgets|799|Google</v>
      </c>
      <c r="S46" t="b">
        <f t="shared" si="13"/>
        <v>1</v>
      </c>
    </row>
    <row r="47" spans="1:19" x14ac:dyDescent="0.45">
      <c r="A47" t="s">
        <v>132</v>
      </c>
      <c r="B47" t="s">
        <v>109</v>
      </c>
      <c r="C47" t="s">
        <v>61</v>
      </c>
      <c r="D47" t="s">
        <v>66</v>
      </c>
      <c r="E47" t="s">
        <v>89</v>
      </c>
      <c r="F47" t="str">
        <f t="shared" si="0"/>
        <v>Apple iPhone14|Electrnics|799.00|Apple</v>
      </c>
      <c r="G47" t="b">
        <f t="shared" si="1"/>
        <v>0</v>
      </c>
      <c r="H47" t="str">
        <f t="shared" si="2"/>
        <v>Apple iPhone14</v>
      </c>
      <c r="I47" t="str">
        <f t="shared" si="3"/>
        <v>Apple Iphone14</v>
      </c>
      <c r="J47" t="str">
        <f t="shared" si="4"/>
        <v>Apple</v>
      </c>
      <c r="K47" t="str">
        <f t="shared" si="5"/>
        <v>Apple</v>
      </c>
      <c r="L47" t="str">
        <f t="shared" si="6"/>
        <v>Electronics</v>
      </c>
      <c r="M47">
        <f t="shared" si="7"/>
        <v>15</v>
      </c>
      <c r="N47">
        <f t="shared" si="8"/>
        <v>14</v>
      </c>
      <c r="O47" s="6">
        <f t="shared" si="9"/>
        <v>799</v>
      </c>
      <c r="P47" t="str">
        <f t="shared" si="10"/>
        <v>Electronics</v>
      </c>
      <c r="Q47">
        <f t="shared" si="11"/>
        <v>799</v>
      </c>
      <c r="R47" t="str">
        <f t="shared" si="12"/>
        <v>Apple Iphone14|Electronics|799|Apple</v>
      </c>
      <c r="S47" t="b">
        <f t="shared" si="13"/>
        <v>1</v>
      </c>
    </row>
    <row r="48" spans="1:19" x14ac:dyDescent="0.45">
      <c r="A48" t="s">
        <v>133</v>
      </c>
      <c r="B48" t="s">
        <v>102</v>
      </c>
      <c r="D48" t="s">
        <v>69</v>
      </c>
      <c r="E48" t="s">
        <v>56</v>
      </c>
      <c r="F48" t="str">
        <f t="shared" si="0"/>
        <v>GOOGLE PIXEL||799|GOOGLE</v>
      </c>
      <c r="G48" t="b">
        <f t="shared" si="1"/>
        <v>1</v>
      </c>
      <c r="H48" t="str">
        <f t="shared" si="2"/>
        <v>GOOGLE PIXEL</v>
      </c>
      <c r="I48" t="str">
        <f t="shared" si="3"/>
        <v>Google Pixel</v>
      </c>
      <c r="J48" t="str">
        <f t="shared" si="4"/>
        <v>GOOGLE</v>
      </c>
      <c r="K48" t="str">
        <f t="shared" si="5"/>
        <v>Google</v>
      </c>
      <c r="L48" t="str">
        <f t="shared" si="6"/>
        <v/>
      </c>
      <c r="M48">
        <f t="shared" si="7"/>
        <v>13</v>
      </c>
      <c r="N48">
        <f t="shared" si="8"/>
        <v>12</v>
      </c>
      <c r="O48" s="6">
        <f t="shared" si="9"/>
        <v>799</v>
      </c>
      <c r="P48" t="str">
        <f t="shared" si="10"/>
        <v>Not Available</v>
      </c>
      <c r="Q48">
        <f t="shared" si="11"/>
        <v>799</v>
      </c>
      <c r="R48" t="str">
        <f t="shared" si="12"/>
        <v>Google Pixel|Not Available|799|Google</v>
      </c>
      <c r="S48" t="b">
        <f t="shared" si="13"/>
        <v>1</v>
      </c>
    </row>
    <row r="49" spans="1:19" x14ac:dyDescent="0.45">
      <c r="A49" t="s">
        <v>134</v>
      </c>
      <c r="B49" t="s">
        <v>58</v>
      </c>
      <c r="C49" t="s">
        <v>73</v>
      </c>
      <c r="D49" t="s">
        <v>88</v>
      </c>
      <c r="E49" t="s">
        <v>63</v>
      </c>
      <c r="F49" t="str">
        <f t="shared" si="0"/>
        <v>Google pixel|Electro|USD 799|Google</v>
      </c>
      <c r="G49" t="b">
        <f t="shared" si="1"/>
        <v>0</v>
      </c>
      <c r="H49" t="str">
        <f t="shared" si="2"/>
        <v>Google pixel</v>
      </c>
      <c r="I49" t="str">
        <f t="shared" si="3"/>
        <v>Google Pixel</v>
      </c>
      <c r="J49" t="str">
        <f t="shared" si="4"/>
        <v>Google</v>
      </c>
      <c r="K49" t="str">
        <f t="shared" si="5"/>
        <v>Google</v>
      </c>
      <c r="L49" t="str">
        <f t="shared" si="6"/>
        <v>Electronics</v>
      </c>
      <c r="M49">
        <f t="shared" si="7"/>
        <v>12</v>
      </c>
      <c r="N49">
        <f t="shared" si="8"/>
        <v>12</v>
      </c>
      <c r="O49" s="6">
        <f t="shared" si="9"/>
        <v>799</v>
      </c>
      <c r="P49" t="str">
        <f t="shared" si="10"/>
        <v>Electronics</v>
      </c>
      <c r="Q49">
        <f t="shared" si="11"/>
        <v>799</v>
      </c>
      <c r="R49" t="str">
        <f t="shared" si="12"/>
        <v>Google Pixel|Electronics|799|Google</v>
      </c>
      <c r="S49" t="b">
        <f t="shared" si="13"/>
        <v>1</v>
      </c>
    </row>
    <row r="50" spans="1:19" x14ac:dyDescent="0.45">
      <c r="A50" t="s">
        <v>135</v>
      </c>
      <c r="B50" t="s">
        <v>106</v>
      </c>
      <c r="C50" t="s">
        <v>94</v>
      </c>
      <c r="D50" t="s">
        <v>69</v>
      </c>
      <c r="E50" t="s">
        <v>56</v>
      </c>
      <c r="F50" t="str">
        <f t="shared" si="0"/>
        <v>Samsung Galaxy|gadgets|799|GOOGLE</v>
      </c>
      <c r="G50" t="b">
        <f t="shared" si="1"/>
        <v>1</v>
      </c>
      <c r="H50" t="str">
        <f t="shared" si="2"/>
        <v>Samsung Galaxy</v>
      </c>
      <c r="I50" t="str">
        <f t="shared" si="3"/>
        <v>Samsung Galaxy</v>
      </c>
      <c r="J50" t="str">
        <f t="shared" si="4"/>
        <v>GOOGLE</v>
      </c>
      <c r="K50" t="str">
        <f t="shared" si="5"/>
        <v>Google</v>
      </c>
      <c r="L50" t="str">
        <f t="shared" si="6"/>
        <v>Gadgets</v>
      </c>
      <c r="M50">
        <f t="shared" si="7"/>
        <v>14</v>
      </c>
      <c r="N50">
        <f t="shared" si="8"/>
        <v>14</v>
      </c>
      <c r="O50" s="6">
        <f t="shared" si="9"/>
        <v>799</v>
      </c>
      <c r="P50" t="str">
        <f t="shared" si="10"/>
        <v>Gadgets</v>
      </c>
      <c r="Q50">
        <f t="shared" si="11"/>
        <v>799</v>
      </c>
      <c r="R50" t="str">
        <f t="shared" si="12"/>
        <v>Samsung Galaxy|Gadgets|799|Google</v>
      </c>
      <c r="S50" t="b">
        <f t="shared" si="13"/>
        <v>1</v>
      </c>
    </row>
    <row r="51" spans="1:19" x14ac:dyDescent="0.45">
      <c r="A51" t="s">
        <v>136</v>
      </c>
      <c r="B51" t="s">
        <v>54</v>
      </c>
      <c r="C51" t="s">
        <v>96</v>
      </c>
      <c r="D51" t="s">
        <v>69</v>
      </c>
      <c r="E51" t="s">
        <v>89</v>
      </c>
      <c r="F51" t="str">
        <f t="shared" si="0"/>
        <v>Samsung galaxy|Gadgets|799|Apple</v>
      </c>
      <c r="G51" t="b">
        <f t="shared" si="1"/>
        <v>1</v>
      </c>
      <c r="H51" t="str">
        <f t="shared" si="2"/>
        <v>Samsung galaxy</v>
      </c>
      <c r="I51" t="str">
        <f t="shared" si="3"/>
        <v>Samsung Galaxy</v>
      </c>
      <c r="J51" t="str">
        <f t="shared" si="4"/>
        <v>Apple</v>
      </c>
      <c r="K51" t="str">
        <f t="shared" si="5"/>
        <v>Apple</v>
      </c>
      <c r="L51" t="str">
        <f t="shared" si="6"/>
        <v>Gadgets</v>
      </c>
      <c r="M51">
        <f t="shared" si="7"/>
        <v>15</v>
      </c>
      <c r="N51">
        <f t="shared" si="8"/>
        <v>14</v>
      </c>
      <c r="O51" s="6">
        <f t="shared" si="9"/>
        <v>799</v>
      </c>
      <c r="P51" t="str">
        <f t="shared" si="10"/>
        <v>Gadgets</v>
      </c>
      <c r="Q51">
        <f t="shared" si="11"/>
        <v>799</v>
      </c>
      <c r="R51" t="str">
        <f t="shared" si="12"/>
        <v>Samsung Galaxy|Gadgets|799|Apple</v>
      </c>
      <c r="S51" t="b">
        <f t="shared" si="13"/>
        <v>1</v>
      </c>
    </row>
    <row r="52" spans="1:19" x14ac:dyDescent="0.45">
      <c r="A52" t="s">
        <v>137</v>
      </c>
      <c r="B52" t="s">
        <v>138</v>
      </c>
      <c r="C52" t="s">
        <v>94</v>
      </c>
      <c r="D52" t="s">
        <v>62</v>
      </c>
      <c r="E52" t="s">
        <v>56</v>
      </c>
      <c r="F52" t="str">
        <f t="shared" si="0"/>
        <v>APPLE IPHONE 14|gadgets|799.0|GOOGLE</v>
      </c>
      <c r="G52" t="b">
        <f t="shared" si="1"/>
        <v>1</v>
      </c>
      <c r="H52" t="str">
        <f t="shared" si="2"/>
        <v>APPLE IPHONE 14</v>
      </c>
      <c r="I52" t="str">
        <f t="shared" si="3"/>
        <v>Apple Iphone 14</v>
      </c>
      <c r="J52" t="str">
        <f t="shared" si="4"/>
        <v>GOOGLE</v>
      </c>
      <c r="K52" t="str">
        <f t="shared" si="5"/>
        <v>Google</v>
      </c>
      <c r="L52" t="str">
        <f t="shared" si="6"/>
        <v>Gadgets</v>
      </c>
      <c r="M52">
        <f t="shared" si="7"/>
        <v>15</v>
      </c>
      <c r="N52">
        <f t="shared" si="8"/>
        <v>15</v>
      </c>
      <c r="O52" s="6">
        <f t="shared" si="9"/>
        <v>799</v>
      </c>
      <c r="P52" t="str">
        <f t="shared" si="10"/>
        <v>Gadgets</v>
      </c>
      <c r="Q52">
        <f t="shared" si="11"/>
        <v>799</v>
      </c>
      <c r="R52" t="str">
        <f t="shared" si="12"/>
        <v>Apple Iphone 14|Gadgets|799|Google</v>
      </c>
      <c r="S52" t="b">
        <f t="shared" si="13"/>
        <v>1</v>
      </c>
    </row>
    <row r="53" spans="1:19" x14ac:dyDescent="0.45">
      <c r="A53" t="s">
        <v>139</v>
      </c>
      <c r="B53" t="s">
        <v>93</v>
      </c>
      <c r="E53" t="s">
        <v>75</v>
      </c>
      <c r="F53" t="str">
        <f t="shared" si="0"/>
        <v>SAMSUNG GALAXY|||google</v>
      </c>
      <c r="G53" t="b">
        <f t="shared" si="1"/>
        <v>1</v>
      </c>
      <c r="H53" t="str">
        <f t="shared" si="2"/>
        <v>SAMSUNG GALAXY</v>
      </c>
      <c r="I53" t="str">
        <f t="shared" si="3"/>
        <v>Samsung Galaxy</v>
      </c>
      <c r="J53" t="str">
        <f t="shared" si="4"/>
        <v>google</v>
      </c>
      <c r="K53" t="str">
        <f t="shared" si="5"/>
        <v>Google</v>
      </c>
      <c r="L53" t="str">
        <f t="shared" si="6"/>
        <v/>
      </c>
      <c r="M53">
        <f t="shared" si="7"/>
        <v>14</v>
      </c>
      <c r="N53">
        <f t="shared" si="8"/>
        <v>14</v>
      </c>
      <c r="O53" s="6" t="str">
        <f t="shared" si="9"/>
        <v/>
      </c>
      <c r="P53" t="str">
        <f t="shared" si="10"/>
        <v>Not Available</v>
      </c>
      <c r="Q53" t="str">
        <f t="shared" si="11"/>
        <v>Not Available</v>
      </c>
      <c r="R53" t="str">
        <f t="shared" si="12"/>
        <v>Samsung Galaxy|Not Available|Not Available|Google</v>
      </c>
      <c r="S53" t="b">
        <f t="shared" si="13"/>
        <v>1</v>
      </c>
    </row>
    <row r="54" spans="1:19" x14ac:dyDescent="0.45">
      <c r="A54" t="s">
        <v>140</v>
      </c>
      <c r="B54" t="s">
        <v>138</v>
      </c>
      <c r="C54" t="s">
        <v>61</v>
      </c>
      <c r="D54" t="s">
        <v>69</v>
      </c>
      <c r="E54" t="s">
        <v>70</v>
      </c>
      <c r="F54" t="str">
        <f t="shared" si="0"/>
        <v>APPLE IPHONE 14|Electrnics|799|Samsung</v>
      </c>
      <c r="G54" t="b">
        <f t="shared" si="1"/>
        <v>1</v>
      </c>
      <c r="H54" t="str">
        <f t="shared" si="2"/>
        <v>APPLE IPHONE 14</v>
      </c>
      <c r="I54" t="str">
        <f t="shared" si="3"/>
        <v>Apple Iphone 14</v>
      </c>
      <c r="J54" t="str">
        <f t="shared" si="4"/>
        <v>Samsung</v>
      </c>
      <c r="K54" t="str">
        <f t="shared" si="5"/>
        <v>Samsung</v>
      </c>
      <c r="L54" t="str">
        <f t="shared" si="6"/>
        <v>Electronics</v>
      </c>
      <c r="M54">
        <f t="shared" si="7"/>
        <v>15</v>
      </c>
      <c r="N54">
        <f t="shared" si="8"/>
        <v>15</v>
      </c>
      <c r="O54" s="6">
        <f t="shared" si="9"/>
        <v>799</v>
      </c>
      <c r="P54" t="str">
        <f t="shared" si="10"/>
        <v>Electronics</v>
      </c>
      <c r="Q54">
        <f t="shared" si="11"/>
        <v>799</v>
      </c>
      <c r="R54" t="str">
        <f t="shared" si="12"/>
        <v>Apple Iphone 14|Electronics|799|Samsung</v>
      </c>
      <c r="S54" t="b">
        <f t="shared" si="13"/>
        <v>1</v>
      </c>
    </row>
    <row r="55" spans="1:19" x14ac:dyDescent="0.45">
      <c r="A55" t="s">
        <v>141</v>
      </c>
      <c r="B55" t="s">
        <v>109</v>
      </c>
      <c r="C55" t="s">
        <v>73</v>
      </c>
      <c r="D55" t="s">
        <v>66</v>
      </c>
      <c r="E55" t="s">
        <v>112</v>
      </c>
      <c r="F55" t="str">
        <f t="shared" si="0"/>
        <v>Apple iPhone14|Electro|799.00|SAMSUNG</v>
      </c>
      <c r="G55" t="b">
        <f t="shared" si="1"/>
        <v>1</v>
      </c>
      <c r="H55" t="str">
        <f t="shared" si="2"/>
        <v>Apple iPhone14</v>
      </c>
      <c r="I55" t="str">
        <f t="shared" si="3"/>
        <v>Apple Iphone14</v>
      </c>
      <c r="J55" t="str">
        <f t="shared" si="4"/>
        <v>SAMSUNG</v>
      </c>
      <c r="K55" t="str">
        <f t="shared" si="5"/>
        <v>Samsung</v>
      </c>
      <c r="L55" t="str">
        <f t="shared" si="6"/>
        <v>Electronics</v>
      </c>
      <c r="M55">
        <f t="shared" si="7"/>
        <v>15</v>
      </c>
      <c r="N55">
        <f t="shared" si="8"/>
        <v>14</v>
      </c>
      <c r="O55" s="6">
        <f t="shared" si="9"/>
        <v>799</v>
      </c>
      <c r="P55" t="str">
        <f t="shared" si="10"/>
        <v>Electronics</v>
      </c>
      <c r="Q55">
        <f t="shared" si="11"/>
        <v>799</v>
      </c>
      <c r="R55" t="str">
        <f t="shared" si="12"/>
        <v>Apple Iphone14|Electronics|799|Samsung</v>
      </c>
      <c r="S55" t="b">
        <f t="shared" si="13"/>
        <v>1</v>
      </c>
    </row>
    <row r="56" spans="1:19" x14ac:dyDescent="0.45">
      <c r="A56" t="s">
        <v>142</v>
      </c>
      <c r="B56" t="s">
        <v>72</v>
      </c>
      <c r="C56" t="s">
        <v>73</v>
      </c>
      <c r="D56" t="s">
        <v>74</v>
      </c>
      <c r="E56" t="s">
        <v>89</v>
      </c>
      <c r="F56" t="str">
        <f t="shared" si="0"/>
        <v>google pixel|Electro|799|Apple</v>
      </c>
      <c r="G56" t="b">
        <f t="shared" si="1"/>
        <v>1</v>
      </c>
      <c r="H56" t="str">
        <f t="shared" si="2"/>
        <v>google pixel</v>
      </c>
      <c r="I56" t="str">
        <f t="shared" si="3"/>
        <v>Google Pixel</v>
      </c>
      <c r="J56" t="str">
        <f t="shared" si="4"/>
        <v>Apple</v>
      </c>
      <c r="K56" t="str">
        <f t="shared" si="5"/>
        <v>Apple</v>
      </c>
      <c r="L56" t="str">
        <f t="shared" si="6"/>
        <v>Electronics</v>
      </c>
      <c r="M56">
        <f t="shared" si="7"/>
        <v>14</v>
      </c>
      <c r="N56">
        <f t="shared" si="8"/>
        <v>12</v>
      </c>
      <c r="O56" s="6">
        <f t="shared" si="9"/>
        <v>799</v>
      </c>
      <c r="P56" t="str">
        <f t="shared" si="10"/>
        <v>Electronics</v>
      </c>
      <c r="Q56">
        <f t="shared" si="11"/>
        <v>799</v>
      </c>
      <c r="R56" t="str">
        <f t="shared" si="12"/>
        <v>Google Pixel|Electronics|799|Apple</v>
      </c>
      <c r="S56" t="b">
        <f t="shared" si="13"/>
        <v>1</v>
      </c>
    </row>
    <row r="57" spans="1:19" x14ac:dyDescent="0.45">
      <c r="A57" t="s">
        <v>143</v>
      </c>
      <c r="B57" t="s">
        <v>138</v>
      </c>
      <c r="C57" t="s">
        <v>94</v>
      </c>
      <c r="D57" t="s">
        <v>62</v>
      </c>
      <c r="E57" t="s">
        <v>79</v>
      </c>
      <c r="F57" t="str">
        <f t="shared" si="0"/>
        <v>APPLE IPHONE 14|gadgets|799.0|Samsung</v>
      </c>
      <c r="G57" t="b">
        <f t="shared" si="1"/>
        <v>1</v>
      </c>
      <c r="H57" t="str">
        <f t="shared" si="2"/>
        <v>APPLE IPHONE 14</v>
      </c>
      <c r="I57" t="str">
        <f t="shared" si="3"/>
        <v>Apple Iphone 14</v>
      </c>
      <c r="J57" t="str">
        <f t="shared" si="4"/>
        <v>Samsung</v>
      </c>
      <c r="K57" t="str">
        <f t="shared" si="5"/>
        <v>Samsung</v>
      </c>
      <c r="L57" t="str">
        <f t="shared" si="6"/>
        <v>Gadgets</v>
      </c>
      <c r="M57">
        <f t="shared" si="7"/>
        <v>15</v>
      </c>
      <c r="N57">
        <f t="shared" si="8"/>
        <v>15</v>
      </c>
      <c r="O57" s="6">
        <f t="shared" si="9"/>
        <v>799</v>
      </c>
      <c r="P57" t="str">
        <f t="shared" si="10"/>
        <v>Gadgets</v>
      </c>
      <c r="Q57">
        <f t="shared" si="11"/>
        <v>799</v>
      </c>
      <c r="R57" t="str">
        <f t="shared" si="12"/>
        <v>Apple Iphone 14|Gadgets|799|Samsung</v>
      </c>
      <c r="S57" t="b">
        <f t="shared" si="13"/>
        <v>1</v>
      </c>
    </row>
    <row r="58" spans="1:19" x14ac:dyDescent="0.45">
      <c r="A58" t="s">
        <v>144</v>
      </c>
      <c r="B58" t="s">
        <v>54</v>
      </c>
      <c r="C58" t="s">
        <v>94</v>
      </c>
      <c r="D58" t="s">
        <v>81</v>
      </c>
      <c r="E58" t="s">
        <v>75</v>
      </c>
      <c r="F58" t="str">
        <f t="shared" si="0"/>
        <v>Samsung galaxy|gadgets|$799|google</v>
      </c>
      <c r="G58" t="b">
        <f t="shared" si="1"/>
        <v>1</v>
      </c>
      <c r="H58" t="str">
        <f t="shared" si="2"/>
        <v>Samsung galaxy</v>
      </c>
      <c r="I58" t="str">
        <f t="shared" si="3"/>
        <v>Samsung Galaxy</v>
      </c>
      <c r="J58" t="str">
        <f t="shared" si="4"/>
        <v>google</v>
      </c>
      <c r="K58" t="str">
        <f t="shared" si="5"/>
        <v>Google</v>
      </c>
      <c r="L58" t="str">
        <f t="shared" si="6"/>
        <v>Gadgets</v>
      </c>
      <c r="M58">
        <f t="shared" si="7"/>
        <v>15</v>
      </c>
      <c r="N58">
        <f t="shared" si="8"/>
        <v>14</v>
      </c>
      <c r="O58" s="6">
        <f t="shared" si="9"/>
        <v>799</v>
      </c>
      <c r="P58" t="str">
        <f t="shared" si="10"/>
        <v>Gadgets</v>
      </c>
      <c r="Q58">
        <f t="shared" si="11"/>
        <v>799</v>
      </c>
      <c r="R58" t="str">
        <f t="shared" si="12"/>
        <v>Samsung Galaxy|Gadgets|799|Google</v>
      </c>
      <c r="S58" t="b">
        <f t="shared" si="13"/>
        <v>1</v>
      </c>
    </row>
    <row r="59" spans="1:19" x14ac:dyDescent="0.45">
      <c r="A59" t="s">
        <v>145</v>
      </c>
      <c r="B59" t="s">
        <v>72</v>
      </c>
      <c r="C59" t="s">
        <v>85</v>
      </c>
      <c r="D59" t="s">
        <v>55</v>
      </c>
      <c r="E59" t="s">
        <v>89</v>
      </c>
      <c r="F59" t="str">
        <f t="shared" si="0"/>
        <v>google pixel|electronics|799|Apple</v>
      </c>
      <c r="G59" t="b">
        <f t="shared" si="1"/>
        <v>1</v>
      </c>
      <c r="H59" t="str">
        <f t="shared" si="2"/>
        <v>google pixel</v>
      </c>
      <c r="I59" t="str">
        <f t="shared" si="3"/>
        <v>Google Pixel</v>
      </c>
      <c r="J59" t="str">
        <f t="shared" si="4"/>
        <v>Apple</v>
      </c>
      <c r="K59" t="str">
        <f t="shared" si="5"/>
        <v>Apple</v>
      </c>
      <c r="L59" t="str">
        <f t="shared" si="6"/>
        <v>Electronics</v>
      </c>
      <c r="M59">
        <f t="shared" si="7"/>
        <v>14</v>
      </c>
      <c r="N59">
        <f t="shared" si="8"/>
        <v>12</v>
      </c>
      <c r="O59" s="6">
        <f t="shared" si="9"/>
        <v>799</v>
      </c>
      <c r="P59" t="str">
        <f t="shared" si="10"/>
        <v>Electronics</v>
      </c>
      <c r="Q59">
        <f t="shared" si="11"/>
        <v>799</v>
      </c>
      <c r="R59" t="str">
        <f t="shared" si="12"/>
        <v>Google Pixel|Electronics|799|Apple</v>
      </c>
      <c r="S59" t="b">
        <f t="shared" si="13"/>
        <v>1</v>
      </c>
    </row>
    <row r="60" spans="1:19" x14ac:dyDescent="0.45">
      <c r="A60" t="s">
        <v>146</v>
      </c>
      <c r="B60" t="s">
        <v>72</v>
      </c>
      <c r="C60" t="s">
        <v>85</v>
      </c>
      <c r="D60" t="s">
        <v>74</v>
      </c>
      <c r="E60" t="s">
        <v>79</v>
      </c>
      <c r="F60" t="str">
        <f t="shared" si="0"/>
        <v>google pixel|electronics|799|Samsung</v>
      </c>
      <c r="G60" t="b">
        <f t="shared" si="1"/>
        <v>1</v>
      </c>
      <c r="H60" t="str">
        <f t="shared" si="2"/>
        <v>google pixel</v>
      </c>
      <c r="I60" t="str">
        <f t="shared" si="3"/>
        <v>Google Pixel</v>
      </c>
      <c r="J60" t="str">
        <f t="shared" si="4"/>
        <v>Samsung</v>
      </c>
      <c r="K60" t="str">
        <f t="shared" si="5"/>
        <v>Samsung</v>
      </c>
      <c r="L60" t="str">
        <f t="shared" si="6"/>
        <v>Electronics</v>
      </c>
      <c r="M60">
        <f t="shared" si="7"/>
        <v>14</v>
      </c>
      <c r="N60">
        <f t="shared" si="8"/>
        <v>12</v>
      </c>
      <c r="O60" s="6">
        <f t="shared" si="9"/>
        <v>799</v>
      </c>
      <c r="P60" t="str">
        <f t="shared" si="10"/>
        <v>Electronics</v>
      </c>
      <c r="Q60">
        <f t="shared" si="11"/>
        <v>799</v>
      </c>
      <c r="R60" t="str">
        <f t="shared" si="12"/>
        <v>Google Pixel|Electronics|799|Samsung</v>
      </c>
      <c r="S60" t="b">
        <f t="shared" si="13"/>
        <v>1</v>
      </c>
    </row>
    <row r="61" spans="1:19" x14ac:dyDescent="0.45">
      <c r="A61" t="s">
        <v>147</v>
      </c>
      <c r="B61" t="s">
        <v>138</v>
      </c>
      <c r="C61" t="s">
        <v>96</v>
      </c>
      <c r="D61" t="s">
        <v>62</v>
      </c>
      <c r="E61" t="s">
        <v>70</v>
      </c>
      <c r="F61" t="str">
        <f t="shared" si="0"/>
        <v>APPLE IPHONE 14|Gadgets|799.0|Samsung</v>
      </c>
      <c r="G61" t="b">
        <f t="shared" si="1"/>
        <v>1</v>
      </c>
      <c r="H61" t="str">
        <f t="shared" si="2"/>
        <v>APPLE IPHONE 14</v>
      </c>
      <c r="I61" t="str">
        <f t="shared" si="3"/>
        <v>Apple Iphone 14</v>
      </c>
      <c r="J61" t="str">
        <f t="shared" si="4"/>
        <v>Samsung</v>
      </c>
      <c r="K61" t="str">
        <f t="shared" si="5"/>
        <v>Samsung</v>
      </c>
      <c r="L61" t="str">
        <f t="shared" si="6"/>
        <v>Gadgets</v>
      </c>
      <c r="M61">
        <f t="shared" si="7"/>
        <v>15</v>
      </c>
      <c r="N61">
        <f t="shared" si="8"/>
        <v>15</v>
      </c>
      <c r="O61" s="6">
        <f t="shared" si="9"/>
        <v>799</v>
      </c>
      <c r="P61" t="str">
        <f t="shared" si="10"/>
        <v>Gadgets</v>
      </c>
      <c r="Q61">
        <f t="shared" si="11"/>
        <v>799</v>
      </c>
      <c r="R61" t="str">
        <f t="shared" si="12"/>
        <v>Apple Iphone 14|Gadgets|799|Samsung</v>
      </c>
      <c r="S61" t="b">
        <f t="shared" si="13"/>
        <v>1</v>
      </c>
    </row>
    <row r="62" spans="1:19" x14ac:dyDescent="0.45">
      <c r="A62" t="s">
        <v>148</v>
      </c>
      <c r="B62" t="s">
        <v>58</v>
      </c>
      <c r="C62" t="s">
        <v>61</v>
      </c>
      <c r="D62" t="s">
        <v>62</v>
      </c>
      <c r="E62" t="s">
        <v>112</v>
      </c>
      <c r="F62" t="str">
        <f t="shared" si="0"/>
        <v>Google pixel|Electrnics|799.0|SAMSUNG</v>
      </c>
      <c r="G62" t="b">
        <f t="shared" si="1"/>
        <v>1</v>
      </c>
      <c r="H62" t="str">
        <f t="shared" si="2"/>
        <v>Google pixel</v>
      </c>
      <c r="I62" t="str">
        <f t="shared" si="3"/>
        <v>Google Pixel</v>
      </c>
      <c r="J62" t="str">
        <f t="shared" si="4"/>
        <v>SAMSUNG</v>
      </c>
      <c r="K62" t="str">
        <f t="shared" si="5"/>
        <v>Samsung</v>
      </c>
      <c r="L62" t="str">
        <f t="shared" si="6"/>
        <v>Electronics</v>
      </c>
      <c r="M62">
        <f t="shared" si="7"/>
        <v>12</v>
      </c>
      <c r="N62">
        <f t="shared" si="8"/>
        <v>12</v>
      </c>
      <c r="O62" s="6">
        <f t="shared" si="9"/>
        <v>799</v>
      </c>
      <c r="P62" t="str">
        <f t="shared" si="10"/>
        <v>Electronics</v>
      </c>
      <c r="Q62">
        <f t="shared" si="11"/>
        <v>799</v>
      </c>
      <c r="R62" t="str">
        <f t="shared" si="12"/>
        <v>Google Pixel|Electronics|799|Samsung</v>
      </c>
      <c r="S62" t="b">
        <f t="shared" si="13"/>
        <v>1</v>
      </c>
    </row>
    <row r="63" spans="1:19" x14ac:dyDescent="0.45">
      <c r="A63" t="s">
        <v>149</v>
      </c>
      <c r="B63" t="s">
        <v>87</v>
      </c>
      <c r="C63" t="s">
        <v>73</v>
      </c>
      <c r="D63" t="s">
        <v>88</v>
      </c>
      <c r="E63" t="s">
        <v>70</v>
      </c>
      <c r="F63" t="str">
        <f t="shared" si="0"/>
        <v>Google Pixel|Electro|USD 799|Samsung</v>
      </c>
      <c r="G63" t="b">
        <f t="shared" si="1"/>
        <v>1</v>
      </c>
      <c r="H63" t="str">
        <f t="shared" si="2"/>
        <v>Google Pixel</v>
      </c>
      <c r="I63" t="str">
        <f t="shared" si="3"/>
        <v>Google Pixel</v>
      </c>
      <c r="J63" t="str">
        <f t="shared" si="4"/>
        <v>Samsung</v>
      </c>
      <c r="K63" t="str">
        <f t="shared" si="5"/>
        <v>Samsung</v>
      </c>
      <c r="L63" t="str">
        <f t="shared" si="6"/>
        <v>Electronics</v>
      </c>
      <c r="M63">
        <f t="shared" si="7"/>
        <v>12</v>
      </c>
      <c r="N63">
        <f t="shared" si="8"/>
        <v>12</v>
      </c>
      <c r="O63" s="6">
        <f t="shared" si="9"/>
        <v>799</v>
      </c>
      <c r="P63" t="str">
        <f t="shared" si="10"/>
        <v>Electronics</v>
      </c>
      <c r="Q63">
        <f t="shared" si="11"/>
        <v>799</v>
      </c>
      <c r="R63" t="str">
        <f t="shared" si="12"/>
        <v>Google Pixel|Electronics|799|Samsung</v>
      </c>
      <c r="S63" t="b">
        <f t="shared" si="13"/>
        <v>1</v>
      </c>
    </row>
    <row r="64" spans="1:19" x14ac:dyDescent="0.45">
      <c r="A64" t="s">
        <v>150</v>
      </c>
      <c r="B64" t="s">
        <v>106</v>
      </c>
      <c r="C64" t="s">
        <v>123</v>
      </c>
      <c r="E64" t="s">
        <v>70</v>
      </c>
      <c r="F64" t="str">
        <f t="shared" si="0"/>
        <v>Samsung Galaxy|Electronics||Samsung</v>
      </c>
      <c r="G64" t="b">
        <f t="shared" si="1"/>
        <v>1</v>
      </c>
      <c r="H64" t="str">
        <f t="shared" si="2"/>
        <v>Samsung Galaxy</v>
      </c>
      <c r="I64" t="str">
        <f t="shared" si="3"/>
        <v>Samsung Galaxy</v>
      </c>
      <c r="J64" t="str">
        <f t="shared" si="4"/>
        <v>Samsung</v>
      </c>
      <c r="K64" t="str">
        <f t="shared" si="5"/>
        <v>Samsung</v>
      </c>
      <c r="L64" t="str">
        <f t="shared" si="6"/>
        <v>Electronics</v>
      </c>
      <c r="M64">
        <f t="shared" si="7"/>
        <v>14</v>
      </c>
      <c r="N64">
        <f t="shared" si="8"/>
        <v>14</v>
      </c>
      <c r="O64" s="6" t="str">
        <f t="shared" si="9"/>
        <v/>
      </c>
      <c r="P64" t="str">
        <f t="shared" si="10"/>
        <v>Electronics</v>
      </c>
      <c r="Q64" t="str">
        <f t="shared" si="11"/>
        <v>Not Available</v>
      </c>
      <c r="R64" t="str">
        <f t="shared" si="12"/>
        <v>Samsung Galaxy|Electronics|Not Available|Samsung</v>
      </c>
      <c r="S64" t="b">
        <f t="shared" si="13"/>
        <v>1</v>
      </c>
    </row>
    <row r="65" spans="1:19" x14ac:dyDescent="0.45">
      <c r="A65" t="s">
        <v>151</v>
      </c>
      <c r="B65" t="s">
        <v>60</v>
      </c>
      <c r="C65" t="s">
        <v>94</v>
      </c>
      <c r="D65" t="s">
        <v>55</v>
      </c>
      <c r="E65" t="s">
        <v>79</v>
      </c>
      <c r="F65" t="str">
        <f t="shared" si="0"/>
        <v>apple iPhone 14|gadgets|799|Samsung</v>
      </c>
      <c r="G65" t="b">
        <f t="shared" si="1"/>
        <v>1</v>
      </c>
      <c r="H65" t="str">
        <f t="shared" si="2"/>
        <v>apple iPhone 14</v>
      </c>
      <c r="I65" t="str">
        <f t="shared" si="3"/>
        <v>Apple Iphone 14</v>
      </c>
      <c r="J65" t="str">
        <f t="shared" si="4"/>
        <v>Samsung</v>
      </c>
      <c r="K65" t="str">
        <f t="shared" si="5"/>
        <v>Samsung</v>
      </c>
      <c r="L65" t="str">
        <f t="shared" si="6"/>
        <v>Gadgets</v>
      </c>
      <c r="M65">
        <f t="shared" si="7"/>
        <v>15</v>
      </c>
      <c r="N65">
        <f t="shared" si="8"/>
        <v>15</v>
      </c>
      <c r="O65" s="6">
        <f t="shared" si="9"/>
        <v>799</v>
      </c>
      <c r="P65" t="str">
        <f t="shared" si="10"/>
        <v>Gadgets</v>
      </c>
      <c r="Q65">
        <f t="shared" si="11"/>
        <v>799</v>
      </c>
      <c r="R65" t="str">
        <f t="shared" si="12"/>
        <v>Apple Iphone 14|Gadgets|799|Samsung</v>
      </c>
      <c r="S65" t="b">
        <f t="shared" si="13"/>
        <v>1</v>
      </c>
    </row>
    <row r="66" spans="1:19" x14ac:dyDescent="0.45">
      <c r="A66" t="s">
        <v>152</v>
      </c>
      <c r="B66" t="s">
        <v>78</v>
      </c>
      <c r="C66" t="s">
        <v>85</v>
      </c>
      <c r="D66" t="s">
        <v>74</v>
      </c>
      <c r="E66" t="s">
        <v>67</v>
      </c>
      <c r="F66" t="str">
        <f t="shared" ref="F66:F129" si="14">TRIM(B66)&amp;"|"&amp;TRIM(C66)&amp;"|"&amp;TRIM(D66)&amp;"|"&amp;TRIM(E66)</f>
        <v>samsung Galaxy|electronics|799|apple</v>
      </c>
      <c r="G66" t="b">
        <f t="shared" ref="G66:G129" si="15">COUNTIF($F$2:$F$565,F66)&gt;1</f>
        <v>1</v>
      </c>
      <c r="H66" t="str">
        <f t="shared" ref="H66:H129" si="16">TRIM(B66)</f>
        <v>samsung Galaxy</v>
      </c>
      <c r="I66" t="str">
        <f t="shared" ref="I66:I129" si="17">PROPER(H66)</f>
        <v>Samsung Galaxy</v>
      </c>
      <c r="J66" t="str">
        <f t="shared" ref="J66:J129" si="18">TRIM(E66)</f>
        <v>apple</v>
      </c>
      <c r="K66" t="str">
        <f t="shared" ref="K66:K129" si="19">PROPER(J66)</f>
        <v>Apple</v>
      </c>
      <c r="L66" t="str">
        <f t="shared" ref="L66:L129" si="20">IF(TRIM(C66)="","",IF(ISNUMBER(SEARCH("gadget",C66)),"Gadgets","Electronics"))</f>
        <v>Electronics</v>
      </c>
      <c r="M66">
        <f t="shared" ref="M66:M129" si="21">LEN(B66)</f>
        <v>15</v>
      </c>
      <c r="N66">
        <f t="shared" ref="N66:N129" si="22">LEN(H66)</f>
        <v>14</v>
      </c>
      <c r="O66" s="6">
        <f t="shared" ref="O66:O129" si="23">IF(TRIM(D66)="","",VALUE(TRIM(SUBSTITUTE(SUBSTITUTE(D66,"USD",""),"$",""))))</f>
        <v>799</v>
      </c>
      <c r="P66" t="str">
        <f t="shared" ref="P66:P129" si="24">IF(L66="","Not Available",L66)</f>
        <v>Electronics</v>
      </c>
      <c r="Q66">
        <f t="shared" ref="Q66:Q129" si="25">IF(O66="","Not Available",O66)</f>
        <v>799</v>
      </c>
      <c r="R66" t="str">
        <f t="shared" ref="R66:R129" si="26">I66&amp;"|"&amp;P66&amp;"|"&amp;Q66&amp;"|"&amp;K66</f>
        <v>Samsung Galaxy|Electronics|799|Apple</v>
      </c>
      <c r="S66" t="b">
        <f t="shared" ref="S66:S129" si="27">COUNTIF($R$2:$R$565,R66)&gt;1</f>
        <v>1</v>
      </c>
    </row>
    <row r="67" spans="1:19" x14ac:dyDescent="0.45">
      <c r="A67" t="s">
        <v>153</v>
      </c>
      <c r="B67" t="s">
        <v>109</v>
      </c>
      <c r="D67" t="s">
        <v>74</v>
      </c>
      <c r="E67" t="s">
        <v>91</v>
      </c>
      <c r="F67" t="str">
        <f t="shared" si="14"/>
        <v>Apple iPhone14||799|Apple</v>
      </c>
      <c r="G67" t="b">
        <f t="shared" si="15"/>
        <v>0</v>
      </c>
      <c r="H67" t="str">
        <f t="shared" si="16"/>
        <v>Apple iPhone14</v>
      </c>
      <c r="I67" t="str">
        <f t="shared" si="17"/>
        <v>Apple Iphone14</v>
      </c>
      <c r="J67" t="str">
        <f t="shared" si="18"/>
        <v>Apple</v>
      </c>
      <c r="K67" t="str">
        <f t="shared" si="19"/>
        <v>Apple</v>
      </c>
      <c r="L67" t="str">
        <f t="shared" si="20"/>
        <v/>
      </c>
      <c r="M67">
        <f t="shared" si="21"/>
        <v>15</v>
      </c>
      <c r="N67">
        <f t="shared" si="22"/>
        <v>14</v>
      </c>
      <c r="O67" s="6">
        <f t="shared" si="23"/>
        <v>799</v>
      </c>
      <c r="P67" t="str">
        <f t="shared" si="24"/>
        <v>Not Available</v>
      </c>
      <c r="Q67">
        <f t="shared" si="25"/>
        <v>799</v>
      </c>
      <c r="R67" t="str">
        <f t="shared" si="26"/>
        <v>Apple Iphone14|Not Available|799|Apple</v>
      </c>
      <c r="S67" t="b">
        <f t="shared" si="27"/>
        <v>1</v>
      </c>
    </row>
    <row r="68" spans="1:19" x14ac:dyDescent="0.45">
      <c r="A68" t="s">
        <v>154</v>
      </c>
      <c r="B68" t="s">
        <v>93</v>
      </c>
      <c r="C68" t="s">
        <v>123</v>
      </c>
      <c r="D68" t="s">
        <v>66</v>
      </c>
      <c r="E68" t="s">
        <v>79</v>
      </c>
      <c r="F68" t="str">
        <f t="shared" si="14"/>
        <v>SAMSUNG GALAXY|Electronics|799.00|Samsung</v>
      </c>
      <c r="G68" t="b">
        <f t="shared" si="15"/>
        <v>1</v>
      </c>
      <c r="H68" t="str">
        <f t="shared" si="16"/>
        <v>SAMSUNG GALAXY</v>
      </c>
      <c r="I68" t="str">
        <f t="shared" si="17"/>
        <v>Samsung Galaxy</v>
      </c>
      <c r="J68" t="str">
        <f t="shared" si="18"/>
        <v>Samsung</v>
      </c>
      <c r="K68" t="str">
        <f t="shared" si="19"/>
        <v>Samsung</v>
      </c>
      <c r="L68" t="str">
        <f t="shared" si="20"/>
        <v>Electronics</v>
      </c>
      <c r="M68">
        <f t="shared" si="21"/>
        <v>14</v>
      </c>
      <c r="N68">
        <f t="shared" si="22"/>
        <v>14</v>
      </c>
      <c r="O68" s="6">
        <f t="shared" si="23"/>
        <v>799</v>
      </c>
      <c r="P68" t="str">
        <f t="shared" si="24"/>
        <v>Electronics</v>
      </c>
      <c r="Q68">
        <f t="shared" si="25"/>
        <v>799</v>
      </c>
      <c r="R68" t="str">
        <f t="shared" si="26"/>
        <v>Samsung Galaxy|Electronics|799|Samsung</v>
      </c>
      <c r="S68" t="b">
        <f t="shared" si="27"/>
        <v>1</v>
      </c>
    </row>
    <row r="69" spans="1:19" x14ac:dyDescent="0.45">
      <c r="A69" t="s">
        <v>155</v>
      </c>
      <c r="B69" t="s">
        <v>54</v>
      </c>
      <c r="C69" t="s">
        <v>85</v>
      </c>
      <c r="D69" t="s">
        <v>74</v>
      </c>
      <c r="E69" t="s">
        <v>56</v>
      </c>
      <c r="F69" t="str">
        <f t="shared" si="14"/>
        <v>Samsung galaxy|electronics|799|GOOGLE</v>
      </c>
      <c r="G69" t="b">
        <f t="shared" si="15"/>
        <v>1</v>
      </c>
      <c r="H69" t="str">
        <f t="shared" si="16"/>
        <v>Samsung galaxy</v>
      </c>
      <c r="I69" t="str">
        <f t="shared" si="17"/>
        <v>Samsung Galaxy</v>
      </c>
      <c r="J69" t="str">
        <f t="shared" si="18"/>
        <v>GOOGLE</v>
      </c>
      <c r="K69" t="str">
        <f t="shared" si="19"/>
        <v>Google</v>
      </c>
      <c r="L69" t="str">
        <f t="shared" si="20"/>
        <v>Electronics</v>
      </c>
      <c r="M69">
        <f t="shared" si="21"/>
        <v>15</v>
      </c>
      <c r="N69">
        <f t="shared" si="22"/>
        <v>14</v>
      </c>
      <c r="O69" s="6">
        <f t="shared" si="23"/>
        <v>799</v>
      </c>
      <c r="P69" t="str">
        <f t="shared" si="24"/>
        <v>Electronics</v>
      </c>
      <c r="Q69">
        <f t="shared" si="25"/>
        <v>799</v>
      </c>
      <c r="R69" t="str">
        <f t="shared" si="26"/>
        <v>Samsung Galaxy|Electronics|799|Google</v>
      </c>
      <c r="S69" t="b">
        <f t="shared" si="27"/>
        <v>1</v>
      </c>
    </row>
    <row r="70" spans="1:19" x14ac:dyDescent="0.45">
      <c r="A70" t="s">
        <v>156</v>
      </c>
      <c r="B70" t="s">
        <v>72</v>
      </c>
      <c r="D70" t="s">
        <v>81</v>
      </c>
      <c r="E70" t="s">
        <v>63</v>
      </c>
      <c r="F70" t="str">
        <f t="shared" si="14"/>
        <v>google pixel||$799|Google</v>
      </c>
      <c r="G70" t="b">
        <f t="shared" si="15"/>
        <v>0</v>
      </c>
      <c r="H70" t="str">
        <f t="shared" si="16"/>
        <v>google pixel</v>
      </c>
      <c r="I70" t="str">
        <f t="shared" si="17"/>
        <v>Google Pixel</v>
      </c>
      <c r="J70" t="str">
        <f t="shared" si="18"/>
        <v>Google</v>
      </c>
      <c r="K70" t="str">
        <f t="shared" si="19"/>
        <v>Google</v>
      </c>
      <c r="L70" t="str">
        <f t="shared" si="20"/>
        <v/>
      </c>
      <c r="M70">
        <f t="shared" si="21"/>
        <v>14</v>
      </c>
      <c r="N70">
        <f t="shared" si="22"/>
        <v>12</v>
      </c>
      <c r="O70" s="6">
        <f t="shared" si="23"/>
        <v>799</v>
      </c>
      <c r="P70" t="str">
        <f t="shared" si="24"/>
        <v>Not Available</v>
      </c>
      <c r="Q70">
        <f t="shared" si="25"/>
        <v>799</v>
      </c>
      <c r="R70" t="str">
        <f t="shared" si="26"/>
        <v>Google Pixel|Not Available|799|Google</v>
      </c>
      <c r="S70" t="b">
        <f t="shared" si="27"/>
        <v>1</v>
      </c>
    </row>
    <row r="71" spans="1:19" x14ac:dyDescent="0.45">
      <c r="A71" t="s">
        <v>157</v>
      </c>
      <c r="B71" t="s">
        <v>54</v>
      </c>
      <c r="C71" t="s">
        <v>73</v>
      </c>
      <c r="D71" t="s">
        <v>81</v>
      </c>
      <c r="E71" t="s">
        <v>82</v>
      </c>
      <c r="F71" t="str">
        <f t="shared" si="14"/>
        <v>Samsung galaxy|Electro|$799|APPLE</v>
      </c>
      <c r="G71" t="b">
        <f t="shared" si="15"/>
        <v>0</v>
      </c>
      <c r="H71" t="str">
        <f t="shared" si="16"/>
        <v>Samsung galaxy</v>
      </c>
      <c r="I71" t="str">
        <f t="shared" si="17"/>
        <v>Samsung Galaxy</v>
      </c>
      <c r="J71" t="str">
        <f t="shared" si="18"/>
        <v>APPLE</v>
      </c>
      <c r="K71" t="str">
        <f t="shared" si="19"/>
        <v>Apple</v>
      </c>
      <c r="L71" t="str">
        <f t="shared" si="20"/>
        <v>Electronics</v>
      </c>
      <c r="M71">
        <f t="shared" si="21"/>
        <v>15</v>
      </c>
      <c r="N71">
        <f t="shared" si="22"/>
        <v>14</v>
      </c>
      <c r="O71" s="6">
        <f t="shared" si="23"/>
        <v>799</v>
      </c>
      <c r="P71" t="str">
        <f t="shared" si="24"/>
        <v>Electronics</v>
      </c>
      <c r="Q71">
        <f t="shared" si="25"/>
        <v>799</v>
      </c>
      <c r="R71" t="str">
        <f t="shared" si="26"/>
        <v>Samsung Galaxy|Electronics|799|Apple</v>
      </c>
      <c r="S71" t="b">
        <f t="shared" si="27"/>
        <v>1</v>
      </c>
    </row>
    <row r="72" spans="1:19" x14ac:dyDescent="0.45">
      <c r="A72" t="s">
        <v>158</v>
      </c>
      <c r="B72" t="s">
        <v>87</v>
      </c>
      <c r="C72" t="s">
        <v>85</v>
      </c>
      <c r="D72" t="s">
        <v>74</v>
      </c>
      <c r="E72" t="s">
        <v>56</v>
      </c>
      <c r="F72" t="str">
        <f t="shared" si="14"/>
        <v>Google Pixel|electronics|799|GOOGLE</v>
      </c>
      <c r="G72" t="b">
        <f t="shared" si="15"/>
        <v>1</v>
      </c>
      <c r="H72" t="str">
        <f t="shared" si="16"/>
        <v>Google Pixel</v>
      </c>
      <c r="I72" t="str">
        <f t="shared" si="17"/>
        <v>Google Pixel</v>
      </c>
      <c r="J72" t="str">
        <f t="shared" si="18"/>
        <v>GOOGLE</v>
      </c>
      <c r="K72" t="str">
        <f t="shared" si="19"/>
        <v>Google</v>
      </c>
      <c r="L72" t="str">
        <f t="shared" si="20"/>
        <v>Electronics</v>
      </c>
      <c r="M72">
        <f t="shared" si="21"/>
        <v>12</v>
      </c>
      <c r="N72">
        <f t="shared" si="22"/>
        <v>12</v>
      </c>
      <c r="O72" s="6">
        <f t="shared" si="23"/>
        <v>799</v>
      </c>
      <c r="P72" t="str">
        <f t="shared" si="24"/>
        <v>Electronics</v>
      </c>
      <c r="Q72">
        <f t="shared" si="25"/>
        <v>799</v>
      </c>
      <c r="R72" t="str">
        <f t="shared" si="26"/>
        <v>Google Pixel|Electronics|799|Google</v>
      </c>
      <c r="S72" t="b">
        <f t="shared" si="27"/>
        <v>1</v>
      </c>
    </row>
    <row r="73" spans="1:19" x14ac:dyDescent="0.45">
      <c r="A73" t="s">
        <v>159</v>
      </c>
      <c r="B73" t="s">
        <v>106</v>
      </c>
      <c r="C73" t="s">
        <v>96</v>
      </c>
      <c r="D73" t="s">
        <v>88</v>
      </c>
      <c r="E73" t="s">
        <v>75</v>
      </c>
      <c r="F73" t="str">
        <f t="shared" si="14"/>
        <v>Samsung Galaxy|Gadgets|USD 799|google</v>
      </c>
      <c r="G73" t="b">
        <f t="shared" si="15"/>
        <v>1</v>
      </c>
      <c r="H73" t="str">
        <f t="shared" si="16"/>
        <v>Samsung Galaxy</v>
      </c>
      <c r="I73" t="str">
        <f t="shared" si="17"/>
        <v>Samsung Galaxy</v>
      </c>
      <c r="J73" t="str">
        <f t="shared" si="18"/>
        <v>google</v>
      </c>
      <c r="K73" t="str">
        <f t="shared" si="19"/>
        <v>Google</v>
      </c>
      <c r="L73" t="str">
        <f t="shared" si="20"/>
        <v>Gadgets</v>
      </c>
      <c r="M73">
        <f t="shared" si="21"/>
        <v>14</v>
      </c>
      <c r="N73">
        <f t="shared" si="22"/>
        <v>14</v>
      </c>
      <c r="O73" s="6">
        <f t="shared" si="23"/>
        <v>799</v>
      </c>
      <c r="P73" t="str">
        <f t="shared" si="24"/>
        <v>Gadgets</v>
      </c>
      <c r="Q73">
        <f t="shared" si="25"/>
        <v>799</v>
      </c>
      <c r="R73" t="str">
        <f t="shared" si="26"/>
        <v>Samsung Galaxy|Gadgets|799|Google</v>
      </c>
      <c r="S73" t="b">
        <f t="shared" si="27"/>
        <v>1</v>
      </c>
    </row>
    <row r="74" spans="1:19" x14ac:dyDescent="0.45">
      <c r="A74" t="s">
        <v>160</v>
      </c>
      <c r="B74" t="s">
        <v>138</v>
      </c>
      <c r="C74" t="s">
        <v>123</v>
      </c>
      <c r="D74" t="s">
        <v>69</v>
      </c>
      <c r="E74" t="s">
        <v>63</v>
      </c>
      <c r="F74" t="str">
        <f t="shared" si="14"/>
        <v>APPLE IPHONE 14|Electronics|799|Google</v>
      </c>
      <c r="G74" t="b">
        <f t="shared" si="15"/>
        <v>1</v>
      </c>
      <c r="H74" t="str">
        <f t="shared" si="16"/>
        <v>APPLE IPHONE 14</v>
      </c>
      <c r="I74" t="str">
        <f t="shared" si="17"/>
        <v>Apple Iphone 14</v>
      </c>
      <c r="J74" t="str">
        <f t="shared" si="18"/>
        <v>Google</v>
      </c>
      <c r="K74" t="str">
        <f t="shared" si="19"/>
        <v>Google</v>
      </c>
      <c r="L74" t="str">
        <f t="shared" si="20"/>
        <v>Electronics</v>
      </c>
      <c r="M74">
        <f t="shared" si="21"/>
        <v>15</v>
      </c>
      <c r="N74">
        <f t="shared" si="22"/>
        <v>15</v>
      </c>
      <c r="O74" s="6">
        <f t="shared" si="23"/>
        <v>799</v>
      </c>
      <c r="P74" t="str">
        <f t="shared" si="24"/>
        <v>Electronics</v>
      </c>
      <c r="Q74">
        <f t="shared" si="25"/>
        <v>799</v>
      </c>
      <c r="R74" t="str">
        <f t="shared" si="26"/>
        <v>Apple Iphone 14|Electronics|799|Google</v>
      </c>
      <c r="S74" t="b">
        <f t="shared" si="27"/>
        <v>1</v>
      </c>
    </row>
    <row r="75" spans="1:19" x14ac:dyDescent="0.45">
      <c r="A75" t="s">
        <v>161</v>
      </c>
      <c r="B75" t="s">
        <v>102</v>
      </c>
      <c r="C75" t="s">
        <v>73</v>
      </c>
      <c r="D75" t="s">
        <v>62</v>
      </c>
      <c r="E75" t="s">
        <v>75</v>
      </c>
      <c r="F75" t="str">
        <f t="shared" si="14"/>
        <v>GOOGLE PIXEL|Electro|799.0|google</v>
      </c>
      <c r="G75" t="b">
        <f t="shared" si="15"/>
        <v>0</v>
      </c>
      <c r="H75" t="str">
        <f t="shared" si="16"/>
        <v>GOOGLE PIXEL</v>
      </c>
      <c r="I75" t="str">
        <f t="shared" si="17"/>
        <v>Google Pixel</v>
      </c>
      <c r="J75" t="str">
        <f t="shared" si="18"/>
        <v>google</v>
      </c>
      <c r="K75" t="str">
        <f t="shared" si="19"/>
        <v>Google</v>
      </c>
      <c r="L75" t="str">
        <f t="shared" si="20"/>
        <v>Electronics</v>
      </c>
      <c r="M75">
        <f t="shared" si="21"/>
        <v>13</v>
      </c>
      <c r="N75">
        <f t="shared" si="22"/>
        <v>12</v>
      </c>
      <c r="O75" s="6">
        <f t="shared" si="23"/>
        <v>799</v>
      </c>
      <c r="P75" t="str">
        <f t="shared" si="24"/>
        <v>Electronics</v>
      </c>
      <c r="Q75">
        <f t="shared" si="25"/>
        <v>799</v>
      </c>
      <c r="R75" t="str">
        <f t="shared" si="26"/>
        <v>Google Pixel|Electronics|799|Google</v>
      </c>
      <c r="S75" t="b">
        <f t="shared" si="27"/>
        <v>1</v>
      </c>
    </row>
    <row r="76" spans="1:19" x14ac:dyDescent="0.45">
      <c r="A76" t="s">
        <v>162</v>
      </c>
      <c r="B76" t="s">
        <v>93</v>
      </c>
      <c r="C76" t="s">
        <v>96</v>
      </c>
      <c r="D76" t="s">
        <v>55</v>
      </c>
      <c r="E76" t="s">
        <v>56</v>
      </c>
      <c r="F76" t="str">
        <f t="shared" si="14"/>
        <v>SAMSUNG GALAXY|Gadgets|799|GOOGLE</v>
      </c>
      <c r="G76" t="b">
        <f t="shared" si="15"/>
        <v>1</v>
      </c>
      <c r="H76" t="str">
        <f t="shared" si="16"/>
        <v>SAMSUNG GALAXY</v>
      </c>
      <c r="I76" t="str">
        <f t="shared" si="17"/>
        <v>Samsung Galaxy</v>
      </c>
      <c r="J76" t="str">
        <f t="shared" si="18"/>
        <v>GOOGLE</v>
      </c>
      <c r="K76" t="str">
        <f t="shared" si="19"/>
        <v>Google</v>
      </c>
      <c r="L76" t="str">
        <f t="shared" si="20"/>
        <v>Gadgets</v>
      </c>
      <c r="M76">
        <f t="shared" si="21"/>
        <v>14</v>
      </c>
      <c r="N76">
        <f t="shared" si="22"/>
        <v>14</v>
      </c>
      <c r="O76" s="6">
        <f t="shared" si="23"/>
        <v>799</v>
      </c>
      <c r="P76" t="str">
        <f t="shared" si="24"/>
        <v>Gadgets</v>
      </c>
      <c r="Q76">
        <f t="shared" si="25"/>
        <v>799</v>
      </c>
      <c r="R76" t="str">
        <f t="shared" si="26"/>
        <v>Samsung Galaxy|Gadgets|799|Google</v>
      </c>
      <c r="S76" t="b">
        <f t="shared" si="27"/>
        <v>1</v>
      </c>
    </row>
    <row r="77" spans="1:19" x14ac:dyDescent="0.45">
      <c r="A77" t="s">
        <v>163</v>
      </c>
      <c r="B77" t="s">
        <v>93</v>
      </c>
      <c r="C77" t="s">
        <v>61</v>
      </c>
      <c r="D77" t="s">
        <v>66</v>
      </c>
      <c r="E77" t="s">
        <v>75</v>
      </c>
      <c r="F77" t="str">
        <f t="shared" si="14"/>
        <v>SAMSUNG GALAXY|Electrnics|799.00|google</v>
      </c>
      <c r="G77" t="b">
        <f t="shared" si="15"/>
        <v>1</v>
      </c>
      <c r="H77" t="str">
        <f t="shared" si="16"/>
        <v>SAMSUNG GALAXY</v>
      </c>
      <c r="I77" t="str">
        <f t="shared" si="17"/>
        <v>Samsung Galaxy</v>
      </c>
      <c r="J77" t="str">
        <f t="shared" si="18"/>
        <v>google</v>
      </c>
      <c r="K77" t="str">
        <f t="shared" si="19"/>
        <v>Google</v>
      </c>
      <c r="L77" t="str">
        <f t="shared" si="20"/>
        <v>Electronics</v>
      </c>
      <c r="M77">
        <f t="shared" si="21"/>
        <v>14</v>
      </c>
      <c r="N77">
        <f t="shared" si="22"/>
        <v>14</v>
      </c>
      <c r="O77" s="6">
        <f t="shared" si="23"/>
        <v>799</v>
      </c>
      <c r="P77" t="str">
        <f t="shared" si="24"/>
        <v>Electronics</v>
      </c>
      <c r="Q77">
        <f t="shared" si="25"/>
        <v>799</v>
      </c>
      <c r="R77" t="str">
        <f t="shared" si="26"/>
        <v>Samsung Galaxy|Electronics|799|Google</v>
      </c>
      <c r="S77" t="b">
        <f t="shared" si="27"/>
        <v>1</v>
      </c>
    </row>
    <row r="78" spans="1:19" x14ac:dyDescent="0.45">
      <c r="A78" t="s">
        <v>164</v>
      </c>
      <c r="B78" t="s">
        <v>72</v>
      </c>
      <c r="C78" t="s">
        <v>85</v>
      </c>
      <c r="D78" t="s">
        <v>81</v>
      </c>
      <c r="E78" t="s">
        <v>75</v>
      </c>
      <c r="F78" t="str">
        <f t="shared" si="14"/>
        <v>google pixel|electronics|$799|google</v>
      </c>
      <c r="G78" t="b">
        <f t="shared" si="15"/>
        <v>1</v>
      </c>
      <c r="H78" t="str">
        <f t="shared" si="16"/>
        <v>google pixel</v>
      </c>
      <c r="I78" t="str">
        <f t="shared" si="17"/>
        <v>Google Pixel</v>
      </c>
      <c r="J78" t="str">
        <f t="shared" si="18"/>
        <v>google</v>
      </c>
      <c r="K78" t="str">
        <f t="shared" si="19"/>
        <v>Google</v>
      </c>
      <c r="L78" t="str">
        <f t="shared" si="20"/>
        <v>Electronics</v>
      </c>
      <c r="M78">
        <f t="shared" si="21"/>
        <v>14</v>
      </c>
      <c r="N78">
        <f t="shared" si="22"/>
        <v>12</v>
      </c>
      <c r="O78" s="6">
        <f t="shared" si="23"/>
        <v>799</v>
      </c>
      <c r="P78" t="str">
        <f t="shared" si="24"/>
        <v>Electronics</v>
      </c>
      <c r="Q78">
        <f t="shared" si="25"/>
        <v>799</v>
      </c>
      <c r="R78" t="str">
        <f t="shared" si="26"/>
        <v>Google Pixel|Electronics|799|Google</v>
      </c>
      <c r="S78" t="b">
        <f t="shared" si="27"/>
        <v>1</v>
      </c>
    </row>
    <row r="79" spans="1:19" x14ac:dyDescent="0.45">
      <c r="A79" t="s">
        <v>165</v>
      </c>
      <c r="B79" t="s">
        <v>72</v>
      </c>
      <c r="C79" t="s">
        <v>96</v>
      </c>
      <c r="D79" t="s">
        <v>62</v>
      </c>
      <c r="E79" t="s">
        <v>75</v>
      </c>
      <c r="F79" t="str">
        <f t="shared" si="14"/>
        <v>google pixel|Gadgets|799.0|google</v>
      </c>
      <c r="G79" t="b">
        <f t="shared" si="15"/>
        <v>1</v>
      </c>
      <c r="H79" t="str">
        <f t="shared" si="16"/>
        <v>google pixel</v>
      </c>
      <c r="I79" t="str">
        <f t="shared" si="17"/>
        <v>Google Pixel</v>
      </c>
      <c r="J79" t="str">
        <f t="shared" si="18"/>
        <v>google</v>
      </c>
      <c r="K79" t="str">
        <f t="shared" si="19"/>
        <v>Google</v>
      </c>
      <c r="L79" t="str">
        <f t="shared" si="20"/>
        <v>Gadgets</v>
      </c>
      <c r="M79">
        <f t="shared" si="21"/>
        <v>14</v>
      </c>
      <c r="N79">
        <f t="shared" si="22"/>
        <v>12</v>
      </c>
      <c r="O79" s="6">
        <f t="shared" si="23"/>
        <v>799</v>
      </c>
      <c r="P79" t="str">
        <f t="shared" si="24"/>
        <v>Gadgets</v>
      </c>
      <c r="Q79">
        <f t="shared" si="25"/>
        <v>799</v>
      </c>
      <c r="R79" t="str">
        <f t="shared" si="26"/>
        <v>Google Pixel|Gadgets|799|Google</v>
      </c>
      <c r="S79" t="b">
        <f t="shared" si="27"/>
        <v>1</v>
      </c>
    </row>
    <row r="80" spans="1:19" x14ac:dyDescent="0.45">
      <c r="A80" t="s">
        <v>166</v>
      </c>
      <c r="B80" t="s">
        <v>106</v>
      </c>
      <c r="C80" t="s">
        <v>94</v>
      </c>
      <c r="D80" t="s">
        <v>74</v>
      </c>
      <c r="E80" t="s">
        <v>56</v>
      </c>
      <c r="F80" t="str">
        <f t="shared" si="14"/>
        <v>Samsung Galaxy|gadgets|799|GOOGLE</v>
      </c>
      <c r="G80" t="b">
        <f t="shared" si="15"/>
        <v>1</v>
      </c>
      <c r="H80" t="str">
        <f t="shared" si="16"/>
        <v>Samsung Galaxy</v>
      </c>
      <c r="I80" t="str">
        <f t="shared" si="17"/>
        <v>Samsung Galaxy</v>
      </c>
      <c r="J80" t="str">
        <f t="shared" si="18"/>
        <v>GOOGLE</v>
      </c>
      <c r="K80" t="str">
        <f t="shared" si="19"/>
        <v>Google</v>
      </c>
      <c r="L80" t="str">
        <f t="shared" si="20"/>
        <v>Gadgets</v>
      </c>
      <c r="M80">
        <f t="shared" si="21"/>
        <v>14</v>
      </c>
      <c r="N80">
        <f t="shared" si="22"/>
        <v>14</v>
      </c>
      <c r="O80" s="6">
        <f t="shared" si="23"/>
        <v>799</v>
      </c>
      <c r="P80" t="str">
        <f t="shared" si="24"/>
        <v>Gadgets</v>
      </c>
      <c r="Q80">
        <f t="shared" si="25"/>
        <v>799</v>
      </c>
      <c r="R80" t="str">
        <f t="shared" si="26"/>
        <v>Samsung Galaxy|Gadgets|799|Google</v>
      </c>
      <c r="S80" t="b">
        <f t="shared" si="27"/>
        <v>1</v>
      </c>
    </row>
    <row r="81" spans="1:19" x14ac:dyDescent="0.45">
      <c r="A81" t="s">
        <v>167</v>
      </c>
      <c r="B81" t="s">
        <v>58</v>
      </c>
      <c r="D81" t="s">
        <v>69</v>
      </c>
      <c r="E81" t="s">
        <v>56</v>
      </c>
      <c r="F81" t="str">
        <f t="shared" si="14"/>
        <v>Google pixel||799|GOOGLE</v>
      </c>
      <c r="G81" t="b">
        <f t="shared" si="15"/>
        <v>1</v>
      </c>
      <c r="H81" t="str">
        <f t="shared" si="16"/>
        <v>Google pixel</v>
      </c>
      <c r="I81" t="str">
        <f t="shared" si="17"/>
        <v>Google Pixel</v>
      </c>
      <c r="J81" t="str">
        <f t="shared" si="18"/>
        <v>GOOGLE</v>
      </c>
      <c r="K81" t="str">
        <f t="shared" si="19"/>
        <v>Google</v>
      </c>
      <c r="L81" t="str">
        <f t="shared" si="20"/>
        <v/>
      </c>
      <c r="M81">
        <f t="shared" si="21"/>
        <v>12</v>
      </c>
      <c r="N81">
        <f t="shared" si="22"/>
        <v>12</v>
      </c>
      <c r="O81" s="6">
        <f t="shared" si="23"/>
        <v>799</v>
      </c>
      <c r="P81" t="str">
        <f t="shared" si="24"/>
        <v>Not Available</v>
      </c>
      <c r="Q81">
        <f t="shared" si="25"/>
        <v>799</v>
      </c>
      <c r="R81" t="str">
        <f t="shared" si="26"/>
        <v>Google Pixel|Not Available|799|Google</v>
      </c>
      <c r="S81" t="b">
        <f t="shared" si="27"/>
        <v>1</v>
      </c>
    </row>
    <row r="82" spans="1:19" x14ac:dyDescent="0.45">
      <c r="A82" t="s">
        <v>168</v>
      </c>
      <c r="B82" t="s">
        <v>60</v>
      </c>
      <c r="C82" t="s">
        <v>123</v>
      </c>
      <c r="D82" t="s">
        <v>55</v>
      </c>
      <c r="E82" t="s">
        <v>70</v>
      </c>
      <c r="F82" t="str">
        <f t="shared" si="14"/>
        <v>apple iPhone 14|Electronics|799|Samsung</v>
      </c>
      <c r="G82" t="b">
        <f t="shared" si="15"/>
        <v>1</v>
      </c>
      <c r="H82" t="str">
        <f t="shared" si="16"/>
        <v>apple iPhone 14</v>
      </c>
      <c r="I82" t="str">
        <f t="shared" si="17"/>
        <v>Apple Iphone 14</v>
      </c>
      <c r="J82" t="str">
        <f t="shared" si="18"/>
        <v>Samsung</v>
      </c>
      <c r="K82" t="str">
        <f t="shared" si="19"/>
        <v>Samsung</v>
      </c>
      <c r="L82" t="str">
        <f t="shared" si="20"/>
        <v>Electronics</v>
      </c>
      <c r="M82">
        <f t="shared" si="21"/>
        <v>15</v>
      </c>
      <c r="N82">
        <f t="shared" si="22"/>
        <v>15</v>
      </c>
      <c r="O82" s="6">
        <f t="shared" si="23"/>
        <v>799</v>
      </c>
      <c r="P82" t="str">
        <f t="shared" si="24"/>
        <v>Electronics</v>
      </c>
      <c r="Q82">
        <f t="shared" si="25"/>
        <v>799</v>
      </c>
      <c r="R82" t="str">
        <f t="shared" si="26"/>
        <v>Apple Iphone 14|Electronics|799|Samsung</v>
      </c>
      <c r="S82" t="b">
        <f t="shared" si="27"/>
        <v>1</v>
      </c>
    </row>
    <row r="83" spans="1:19" x14ac:dyDescent="0.45">
      <c r="A83" t="s">
        <v>169</v>
      </c>
      <c r="B83" t="s">
        <v>65</v>
      </c>
      <c r="C83" t="s">
        <v>123</v>
      </c>
      <c r="E83" t="s">
        <v>79</v>
      </c>
      <c r="F83" t="str">
        <f t="shared" si="14"/>
        <v>apple iphone 14|Electronics||Samsung</v>
      </c>
      <c r="G83" t="b">
        <f t="shared" si="15"/>
        <v>1</v>
      </c>
      <c r="H83" t="str">
        <f t="shared" si="16"/>
        <v>apple iphone 14</v>
      </c>
      <c r="I83" t="str">
        <f t="shared" si="17"/>
        <v>Apple Iphone 14</v>
      </c>
      <c r="J83" t="str">
        <f t="shared" si="18"/>
        <v>Samsung</v>
      </c>
      <c r="K83" t="str">
        <f t="shared" si="19"/>
        <v>Samsung</v>
      </c>
      <c r="L83" t="str">
        <f t="shared" si="20"/>
        <v>Electronics</v>
      </c>
      <c r="M83">
        <f t="shared" si="21"/>
        <v>17</v>
      </c>
      <c r="N83">
        <f t="shared" si="22"/>
        <v>15</v>
      </c>
      <c r="O83" s="6" t="str">
        <f t="shared" si="23"/>
        <v/>
      </c>
      <c r="P83" t="str">
        <f t="shared" si="24"/>
        <v>Electronics</v>
      </c>
      <c r="Q83" t="str">
        <f t="shared" si="25"/>
        <v>Not Available</v>
      </c>
      <c r="R83" t="str">
        <f t="shared" si="26"/>
        <v>Apple Iphone 14|Electronics|Not Available|Samsung</v>
      </c>
      <c r="S83" t="b">
        <f t="shared" si="27"/>
        <v>1</v>
      </c>
    </row>
    <row r="84" spans="1:19" x14ac:dyDescent="0.45">
      <c r="A84" t="s">
        <v>170</v>
      </c>
      <c r="B84" t="s">
        <v>60</v>
      </c>
      <c r="D84" t="s">
        <v>81</v>
      </c>
      <c r="E84" t="s">
        <v>63</v>
      </c>
      <c r="F84" t="str">
        <f t="shared" si="14"/>
        <v>apple iPhone 14||$799|Google</v>
      </c>
      <c r="G84" t="b">
        <f t="shared" si="15"/>
        <v>1</v>
      </c>
      <c r="H84" t="str">
        <f t="shared" si="16"/>
        <v>apple iPhone 14</v>
      </c>
      <c r="I84" t="str">
        <f t="shared" si="17"/>
        <v>Apple Iphone 14</v>
      </c>
      <c r="J84" t="str">
        <f t="shared" si="18"/>
        <v>Google</v>
      </c>
      <c r="K84" t="str">
        <f t="shared" si="19"/>
        <v>Google</v>
      </c>
      <c r="L84" t="str">
        <f t="shared" si="20"/>
        <v/>
      </c>
      <c r="M84">
        <f t="shared" si="21"/>
        <v>15</v>
      </c>
      <c r="N84">
        <f t="shared" si="22"/>
        <v>15</v>
      </c>
      <c r="O84" s="6">
        <f t="shared" si="23"/>
        <v>799</v>
      </c>
      <c r="P84" t="str">
        <f t="shared" si="24"/>
        <v>Not Available</v>
      </c>
      <c r="Q84">
        <f t="shared" si="25"/>
        <v>799</v>
      </c>
      <c r="R84" t="str">
        <f t="shared" si="26"/>
        <v>Apple Iphone 14|Not Available|799|Google</v>
      </c>
      <c r="S84" t="b">
        <f t="shared" si="27"/>
        <v>1</v>
      </c>
    </row>
    <row r="85" spans="1:19" x14ac:dyDescent="0.45">
      <c r="A85" t="s">
        <v>171</v>
      </c>
      <c r="B85" t="s">
        <v>58</v>
      </c>
      <c r="C85" t="s">
        <v>73</v>
      </c>
      <c r="D85" t="s">
        <v>55</v>
      </c>
      <c r="E85" t="s">
        <v>89</v>
      </c>
      <c r="F85" t="str">
        <f t="shared" si="14"/>
        <v>Google pixel|Electro|799|Apple</v>
      </c>
      <c r="G85" t="b">
        <f t="shared" si="15"/>
        <v>1</v>
      </c>
      <c r="H85" t="str">
        <f t="shared" si="16"/>
        <v>Google pixel</v>
      </c>
      <c r="I85" t="str">
        <f t="shared" si="17"/>
        <v>Google Pixel</v>
      </c>
      <c r="J85" t="str">
        <f t="shared" si="18"/>
        <v>Apple</v>
      </c>
      <c r="K85" t="str">
        <f t="shared" si="19"/>
        <v>Apple</v>
      </c>
      <c r="L85" t="str">
        <f t="shared" si="20"/>
        <v>Electronics</v>
      </c>
      <c r="M85">
        <f t="shared" si="21"/>
        <v>12</v>
      </c>
      <c r="N85">
        <f t="shared" si="22"/>
        <v>12</v>
      </c>
      <c r="O85" s="6">
        <f t="shared" si="23"/>
        <v>799</v>
      </c>
      <c r="P85" t="str">
        <f t="shared" si="24"/>
        <v>Electronics</v>
      </c>
      <c r="Q85">
        <f t="shared" si="25"/>
        <v>799</v>
      </c>
      <c r="R85" t="str">
        <f t="shared" si="26"/>
        <v>Google Pixel|Electronics|799|Apple</v>
      </c>
      <c r="S85" t="b">
        <f t="shared" si="27"/>
        <v>1</v>
      </c>
    </row>
    <row r="86" spans="1:19" x14ac:dyDescent="0.45">
      <c r="A86" t="s">
        <v>172</v>
      </c>
      <c r="B86" t="s">
        <v>65</v>
      </c>
      <c r="C86" t="s">
        <v>61</v>
      </c>
      <c r="D86" t="s">
        <v>55</v>
      </c>
      <c r="E86" t="s">
        <v>91</v>
      </c>
      <c r="F86" t="str">
        <f t="shared" si="14"/>
        <v>apple iphone 14|Electrnics|799|Apple</v>
      </c>
      <c r="G86" t="b">
        <f t="shared" si="15"/>
        <v>1</v>
      </c>
      <c r="H86" t="str">
        <f t="shared" si="16"/>
        <v>apple iphone 14</v>
      </c>
      <c r="I86" t="str">
        <f t="shared" si="17"/>
        <v>Apple Iphone 14</v>
      </c>
      <c r="J86" t="str">
        <f t="shared" si="18"/>
        <v>Apple</v>
      </c>
      <c r="K86" t="str">
        <f t="shared" si="19"/>
        <v>Apple</v>
      </c>
      <c r="L86" t="str">
        <f t="shared" si="20"/>
        <v>Electronics</v>
      </c>
      <c r="M86">
        <f t="shared" si="21"/>
        <v>17</v>
      </c>
      <c r="N86">
        <f t="shared" si="22"/>
        <v>15</v>
      </c>
      <c r="O86" s="6">
        <f t="shared" si="23"/>
        <v>799</v>
      </c>
      <c r="P86" t="str">
        <f t="shared" si="24"/>
        <v>Electronics</v>
      </c>
      <c r="Q86">
        <f t="shared" si="25"/>
        <v>799</v>
      </c>
      <c r="R86" t="str">
        <f t="shared" si="26"/>
        <v>Apple Iphone 14|Electronics|799|Apple</v>
      </c>
      <c r="S86" t="b">
        <f t="shared" si="27"/>
        <v>1</v>
      </c>
    </row>
    <row r="87" spans="1:19" x14ac:dyDescent="0.45">
      <c r="A87" t="s">
        <v>173</v>
      </c>
      <c r="B87" t="s">
        <v>87</v>
      </c>
      <c r="C87" t="s">
        <v>94</v>
      </c>
      <c r="D87" t="s">
        <v>55</v>
      </c>
      <c r="E87" t="s">
        <v>67</v>
      </c>
      <c r="F87" t="str">
        <f t="shared" si="14"/>
        <v>Google Pixel|gadgets|799|apple</v>
      </c>
      <c r="G87" t="b">
        <f t="shared" si="15"/>
        <v>1</v>
      </c>
      <c r="H87" t="str">
        <f t="shared" si="16"/>
        <v>Google Pixel</v>
      </c>
      <c r="I87" t="str">
        <f t="shared" si="17"/>
        <v>Google Pixel</v>
      </c>
      <c r="J87" t="str">
        <f t="shared" si="18"/>
        <v>apple</v>
      </c>
      <c r="K87" t="str">
        <f t="shared" si="19"/>
        <v>Apple</v>
      </c>
      <c r="L87" t="str">
        <f t="shared" si="20"/>
        <v>Gadgets</v>
      </c>
      <c r="M87">
        <f t="shared" si="21"/>
        <v>12</v>
      </c>
      <c r="N87">
        <f t="shared" si="22"/>
        <v>12</v>
      </c>
      <c r="O87" s="6">
        <f t="shared" si="23"/>
        <v>799</v>
      </c>
      <c r="P87" t="str">
        <f t="shared" si="24"/>
        <v>Gadgets</v>
      </c>
      <c r="Q87">
        <f t="shared" si="25"/>
        <v>799</v>
      </c>
      <c r="R87" t="str">
        <f t="shared" si="26"/>
        <v>Google Pixel|Gadgets|799|Apple</v>
      </c>
      <c r="S87" t="b">
        <f t="shared" si="27"/>
        <v>1</v>
      </c>
    </row>
    <row r="88" spans="1:19" x14ac:dyDescent="0.45">
      <c r="A88" t="s">
        <v>174</v>
      </c>
      <c r="B88" t="s">
        <v>54</v>
      </c>
      <c r="C88" t="s">
        <v>61</v>
      </c>
      <c r="D88" t="s">
        <v>69</v>
      </c>
      <c r="E88" t="s">
        <v>112</v>
      </c>
      <c r="F88" t="str">
        <f t="shared" si="14"/>
        <v>Samsung galaxy|Electrnics|799|SAMSUNG</v>
      </c>
      <c r="G88" t="b">
        <f t="shared" si="15"/>
        <v>1</v>
      </c>
      <c r="H88" t="str">
        <f t="shared" si="16"/>
        <v>Samsung galaxy</v>
      </c>
      <c r="I88" t="str">
        <f t="shared" si="17"/>
        <v>Samsung Galaxy</v>
      </c>
      <c r="J88" t="str">
        <f t="shared" si="18"/>
        <v>SAMSUNG</v>
      </c>
      <c r="K88" t="str">
        <f t="shared" si="19"/>
        <v>Samsung</v>
      </c>
      <c r="L88" t="str">
        <f t="shared" si="20"/>
        <v>Electronics</v>
      </c>
      <c r="M88">
        <f t="shared" si="21"/>
        <v>15</v>
      </c>
      <c r="N88">
        <f t="shared" si="22"/>
        <v>14</v>
      </c>
      <c r="O88" s="6">
        <f t="shared" si="23"/>
        <v>799</v>
      </c>
      <c r="P88" t="str">
        <f t="shared" si="24"/>
        <v>Electronics</v>
      </c>
      <c r="Q88">
        <f t="shared" si="25"/>
        <v>799</v>
      </c>
      <c r="R88" t="str">
        <f t="shared" si="26"/>
        <v>Samsung Galaxy|Electronics|799|Samsung</v>
      </c>
      <c r="S88" t="b">
        <f t="shared" si="27"/>
        <v>1</v>
      </c>
    </row>
    <row r="89" spans="1:19" x14ac:dyDescent="0.45">
      <c r="A89" t="s">
        <v>175</v>
      </c>
      <c r="B89" t="s">
        <v>65</v>
      </c>
      <c r="C89" t="s">
        <v>61</v>
      </c>
      <c r="D89" t="s">
        <v>55</v>
      </c>
      <c r="E89" t="s">
        <v>56</v>
      </c>
      <c r="F89" t="str">
        <f t="shared" si="14"/>
        <v>apple iphone 14|Electrnics|799|GOOGLE</v>
      </c>
      <c r="G89" t="b">
        <f t="shared" si="15"/>
        <v>1</v>
      </c>
      <c r="H89" t="str">
        <f t="shared" si="16"/>
        <v>apple iphone 14</v>
      </c>
      <c r="I89" t="str">
        <f t="shared" si="17"/>
        <v>Apple Iphone 14</v>
      </c>
      <c r="J89" t="str">
        <f t="shared" si="18"/>
        <v>GOOGLE</v>
      </c>
      <c r="K89" t="str">
        <f t="shared" si="19"/>
        <v>Google</v>
      </c>
      <c r="L89" t="str">
        <f t="shared" si="20"/>
        <v>Electronics</v>
      </c>
      <c r="M89">
        <f t="shared" si="21"/>
        <v>17</v>
      </c>
      <c r="N89">
        <f t="shared" si="22"/>
        <v>15</v>
      </c>
      <c r="O89" s="6">
        <f t="shared" si="23"/>
        <v>799</v>
      </c>
      <c r="P89" t="str">
        <f t="shared" si="24"/>
        <v>Electronics</v>
      </c>
      <c r="Q89">
        <f t="shared" si="25"/>
        <v>799</v>
      </c>
      <c r="R89" t="str">
        <f t="shared" si="26"/>
        <v>Apple Iphone 14|Electronics|799|Google</v>
      </c>
      <c r="S89" t="b">
        <f t="shared" si="27"/>
        <v>1</v>
      </c>
    </row>
    <row r="90" spans="1:19" x14ac:dyDescent="0.45">
      <c r="A90" t="s">
        <v>176</v>
      </c>
      <c r="B90" t="s">
        <v>102</v>
      </c>
      <c r="C90" t="s">
        <v>94</v>
      </c>
      <c r="D90" t="s">
        <v>55</v>
      </c>
      <c r="E90" t="s">
        <v>79</v>
      </c>
      <c r="F90" t="str">
        <f t="shared" si="14"/>
        <v>GOOGLE PIXEL|gadgets|799|Samsung</v>
      </c>
      <c r="G90" t="b">
        <f t="shared" si="15"/>
        <v>1</v>
      </c>
      <c r="H90" t="str">
        <f t="shared" si="16"/>
        <v>GOOGLE PIXEL</v>
      </c>
      <c r="I90" t="str">
        <f t="shared" si="17"/>
        <v>Google Pixel</v>
      </c>
      <c r="J90" t="str">
        <f t="shared" si="18"/>
        <v>Samsung</v>
      </c>
      <c r="K90" t="str">
        <f t="shared" si="19"/>
        <v>Samsung</v>
      </c>
      <c r="L90" t="str">
        <f t="shared" si="20"/>
        <v>Gadgets</v>
      </c>
      <c r="M90">
        <f t="shared" si="21"/>
        <v>13</v>
      </c>
      <c r="N90">
        <f t="shared" si="22"/>
        <v>12</v>
      </c>
      <c r="O90" s="6">
        <f t="shared" si="23"/>
        <v>799</v>
      </c>
      <c r="P90" t="str">
        <f t="shared" si="24"/>
        <v>Gadgets</v>
      </c>
      <c r="Q90">
        <f t="shared" si="25"/>
        <v>799</v>
      </c>
      <c r="R90" t="str">
        <f t="shared" si="26"/>
        <v>Google Pixel|Gadgets|799|Samsung</v>
      </c>
      <c r="S90" t="b">
        <f t="shared" si="27"/>
        <v>1</v>
      </c>
    </row>
    <row r="91" spans="1:19" x14ac:dyDescent="0.45">
      <c r="A91" t="s">
        <v>177</v>
      </c>
      <c r="B91" t="s">
        <v>102</v>
      </c>
      <c r="C91" t="s">
        <v>61</v>
      </c>
      <c r="D91" t="s">
        <v>69</v>
      </c>
      <c r="E91" t="s">
        <v>63</v>
      </c>
      <c r="F91" t="str">
        <f t="shared" si="14"/>
        <v>GOOGLE PIXEL|Electrnics|799|Google</v>
      </c>
      <c r="G91" t="b">
        <f t="shared" si="15"/>
        <v>1</v>
      </c>
      <c r="H91" t="str">
        <f t="shared" si="16"/>
        <v>GOOGLE PIXEL</v>
      </c>
      <c r="I91" t="str">
        <f t="shared" si="17"/>
        <v>Google Pixel</v>
      </c>
      <c r="J91" t="str">
        <f t="shared" si="18"/>
        <v>Google</v>
      </c>
      <c r="K91" t="str">
        <f t="shared" si="19"/>
        <v>Google</v>
      </c>
      <c r="L91" t="str">
        <f t="shared" si="20"/>
        <v>Electronics</v>
      </c>
      <c r="M91">
        <f t="shared" si="21"/>
        <v>13</v>
      </c>
      <c r="N91">
        <f t="shared" si="22"/>
        <v>12</v>
      </c>
      <c r="O91" s="6">
        <f t="shared" si="23"/>
        <v>799</v>
      </c>
      <c r="P91" t="str">
        <f t="shared" si="24"/>
        <v>Electronics</v>
      </c>
      <c r="Q91">
        <f t="shared" si="25"/>
        <v>799</v>
      </c>
      <c r="R91" t="str">
        <f t="shared" si="26"/>
        <v>Google Pixel|Electronics|799|Google</v>
      </c>
      <c r="S91" t="b">
        <f t="shared" si="27"/>
        <v>1</v>
      </c>
    </row>
    <row r="92" spans="1:19" x14ac:dyDescent="0.45">
      <c r="A92" t="s">
        <v>178</v>
      </c>
      <c r="B92" t="s">
        <v>58</v>
      </c>
      <c r="C92" t="s">
        <v>61</v>
      </c>
      <c r="D92" t="s">
        <v>55</v>
      </c>
      <c r="E92" t="s">
        <v>75</v>
      </c>
      <c r="F92" t="str">
        <f t="shared" si="14"/>
        <v>Google pixel|Electrnics|799|google</v>
      </c>
      <c r="G92" t="b">
        <f t="shared" si="15"/>
        <v>1</v>
      </c>
      <c r="H92" t="str">
        <f t="shared" si="16"/>
        <v>Google pixel</v>
      </c>
      <c r="I92" t="str">
        <f t="shared" si="17"/>
        <v>Google Pixel</v>
      </c>
      <c r="J92" t="str">
        <f t="shared" si="18"/>
        <v>google</v>
      </c>
      <c r="K92" t="str">
        <f t="shared" si="19"/>
        <v>Google</v>
      </c>
      <c r="L92" t="str">
        <f t="shared" si="20"/>
        <v>Electronics</v>
      </c>
      <c r="M92">
        <f t="shared" si="21"/>
        <v>12</v>
      </c>
      <c r="N92">
        <f t="shared" si="22"/>
        <v>12</v>
      </c>
      <c r="O92" s="6">
        <f t="shared" si="23"/>
        <v>799</v>
      </c>
      <c r="P92" t="str">
        <f t="shared" si="24"/>
        <v>Electronics</v>
      </c>
      <c r="Q92">
        <f t="shared" si="25"/>
        <v>799</v>
      </c>
      <c r="R92" t="str">
        <f t="shared" si="26"/>
        <v>Google Pixel|Electronics|799|Google</v>
      </c>
      <c r="S92" t="b">
        <f t="shared" si="27"/>
        <v>1</v>
      </c>
    </row>
    <row r="93" spans="1:19" x14ac:dyDescent="0.45">
      <c r="A93" t="s">
        <v>179</v>
      </c>
      <c r="B93" t="s">
        <v>58</v>
      </c>
      <c r="C93" t="s">
        <v>96</v>
      </c>
      <c r="D93" t="s">
        <v>74</v>
      </c>
      <c r="E93" t="s">
        <v>75</v>
      </c>
      <c r="F93" t="str">
        <f t="shared" si="14"/>
        <v>Google pixel|Gadgets|799|google</v>
      </c>
      <c r="G93" t="b">
        <f t="shared" si="15"/>
        <v>1</v>
      </c>
      <c r="H93" t="str">
        <f t="shared" si="16"/>
        <v>Google pixel</v>
      </c>
      <c r="I93" t="str">
        <f t="shared" si="17"/>
        <v>Google Pixel</v>
      </c>
      <c r="J93" t="str">
        <f t="shared" si="18"/>
        <v>google</v>
      </c>
      <c r="K93" t="str">
        <f t="shared" si="19"/>
        <v>Google</v>
      </c>
      <c r="L93" t="str">
        <f t="shared" si="20"/>
        <v>Gadgets</v>
      </c>
      <c r="M93">
        <f t="shared" si="21"/>
        <v>12</v>
      </c>
      <c r="N93">
        <f t="shared" si="22"/>
        <v>12</v>
      </c>
      <c r="O93" s="6">
        <f t="shared" si="23"/>
        <v>799</v>
      </c>
      <c r="P93" t="str">
        <f t="shared" si="24"/>
        <v>Gadgets</v>
      </c>
      <c r="Q93">
        <f t="shared" si="25"/>
        <v>799</v>
      </c>
      <c r="R93" t="str">
        <f t="shared" si="26"/>
        <v>Google Pixel|Gadgets|799|Google</v>
      </c>
      <c r="S93" t="b">
        <f t="shared" si="27"/>
        <v>1</v>
      </c>
    </row>
    <row r="94" spans="1:19" x14ac:dyDescent="0.45">
      <c r="A94" t="s">
        <v>180</v>
      </c>
      <c r="B94" t="s">
        <v>93</v>
      </c>
      <c r="D94" t="s">
        <v>74</v>
      </c>
      <c r="E94" t="s">
        <v>63</v>
      </c>
      <c r="F94" t="str">
        <f t="shared" si="14"/>
        <v>SAMSUNG GALAXY||799|Google</v>
      </c>
      <c r="G94" t="b">
        <f t="shared" si="15"/>
        <v>1</v>
      </c>
      <c r="H94" t="str">
        <f t="shared" si="16"/>
        <v>SAMSUNG GALAXY</v>
      </c>
      <c r="I94" t="str">
        <f t="shared" si="17"/>
        <v>Samsung Galaxy</v>
      </c>
      <c r="J94" t="str">
        <f t="shared" si="18"/>
        <v>Google</v>
      </c>
      <c r="K94" t="str">
        <f t="shared" si="19"/>
        <v>Google</v>
      </c>
      <c r="L94" t="str">
        <f t="shared" si="20"/>
        <v/>
      </c>
      <c r="M94">
        <f t="shared" si="21"/>
        <v>14</v>
      </c>
      <c r="N94">
        <f t="shared" si="22"/>
        <v>14</v>
      </c>
      <c r="O94" s="6">
        <f t="shared" si="23"/>
        <v>799</v>
      </c>
      <c r="P94" t="str">
        <f t="shared" si="24"/>
        <v>Not Available</v>
      </c>
      <c r="Q94">
        <f t="shared" si="25"/>
        <v>799</v>
      </c>
      <c r="R94" t="str">
        <f t="shared" si="26"/>
        <v>Samsung Galaxy|Not Available|799|Google</v>
      </c>
      <c r="S94" t="b">
        <f t="shared" si="27"/>
        <v>1</v>
      </c>
    </row>
    <row r="95" spans="1:19" x14ac:dyDescent="0.45">
      <c r="A95" t="s">
        <v>181</v>
      </c>
      <c r="B95" t="s">
        <v>58</v>
      </c>
      <c r="C95" t="s">
        <v>123</v>
      </c>
      <c r="D95" t="s">
        <v>74</v>
      </c>
      <c r="E95" t="s">
        <v>67</v>
      </c>
      <c r="F95" t="str">
        <f t="shared" si="14"/>
        <v>Google pixel|Electronics|799|apple</v>
      </c>
      <c r="G95" t="b">
        <f t="shared" si="15"/>
        <v>1</v>
      </c>
      <c r="H95" t="str">
        <f t="shared" si="16"/>
        <v>Google pixel</v>
      </c>
      <c r="I95" t="str">
        <f t="shared" si="17"/>
        <v>Google Pixel</v>
      </c>
      <c r="J95" t="str">
        <f t="shared" si="18"/>
        <v>apple</v>
      </c>
      <c r="K95" t="str">
        <f t="shared" si="19"/>
        <v>Apple</v>
      </c>
      <c r="L95" t="str">
        <f t="shared" si="20"/>
        <v>Electronics</v>
      </c>
      <c r="M95">
        <f t="shared" si="21"/>
        <v>12</v>
      </c>
      <c r="N95">
        <f t="shared" si="22"/>
        <v>12</v>
      </c>
      <c r="O95" s="6">
        <f t="shared" si="23"/>
        <v>799</v>
      </c>
      <c r="P95" t="str">
        <f t="shared" si="24"/>
        <v>Electronics</v>
      </c>
      <c r="Q95">
        <f t="shared" si="25"/>
        <v>799</v>
      </c>
      <c r="R95" t="str">
        <f t="shared" si="26"/>
        <v>Google Pixel|Electronics|799|Apple</v>
      </c>
      <c r="S95" t="b">
        <f t="shared" si="27"/>
        <v>1</v>
      </c>
    </row>
    <row r="96" spans="1:19" x14ac:dyDescent="0.45">
      <c r="A96" t="s">
        <v>182</v>
      </c>
      <c r="B96" t="s">
        <v>93</v>
      </c>
      <c r="C96" t="s">
        <v>96</v>
      </c>
      <c r="D96" t="s">
        <v>62</v>
      </c>
      <c r="E96" t="s">
        <v>67</v>
      </c>
      <c r="F96" t="str">
        <f t="shared" si="14"/>
        <v>SAMSUNG GALAXY|Gadgets|799.0|apple</v>
      </c>
      <c r="G96" t="b">
        <f t="shared" si="15"/>
        <v>1</v>
      </c>
      <c r="H96" t="str">
        <f t="shared" si="16"/>
        <v>SAMSUNG GALAXY</v>
      </c>
      <c r="I96" t="str">
        <f t="shared" si="17"/>
        <v>Samsung Galaxy</v>
      </c>
      <c r="J96" t="str">
        <f t="shared" si="18"/>
        <v>apple</v>
      </c>
      <c r="K96" t="str">
        <f t="shared" si="19"/>
        <v>Apple</v>
      </c>
      <c r="L96" t="str">
        <f t="shared" si="20"/>
        <v>Gadgets</v>
      </c>
      <c r="M96">
        <f t="shared" si="21"/>
        <v>14</v>
      </c>
      <c r="N96">
        <f t="shared" si="22"/>
        <v>14</v>
      </c>
      <c r="O96" s="6">
        <f t="shared" si="23"/>
        <v>799</v>
      </c>
      <c r="P96" t="str">
        <f t="shared" si="24"/>
        <v>Gadgets</v>
      </c>
      <c r="Q96">
        <f t="shared" si="25"/>
        <v>799</v>
      </c>
      <c r="R96" t="str">
        <f t="shared" si="26"/>
        <v>Samsung Galaxy|Gadgets|799|Apple</v>
      </c>
      <c r="S96" t="b">
        <f t="shared" si="27"/>
        <v>1</v>
      </c>
    </row>
    <row r="97" spans="1:19" x14ac:dyDescent="0.45">
      <c r="A97" t="s">
        <v>183</v>
      </c>
      <c r="B97" t="s">
        <v>60</v>
      </c>
      <c r="C97" t="s">
        <v>61</v>
      </c>
      <c r="D97" t="s">
        <v>88</v>
      </c>
      <c r="E97" t="s">
        <v>79</v>
      </c>
      <c r="F97" t="str">
        <f t="shared" si="14"/>
        <v>apple iPhone 14|Electrnics|USD 799|Samsung</v>
      </c>
      <c r="G97" t="b">
        <f t="shared" si="15"/>
        <v>1</v>
      </c>
      <c r="H97" t="str">
        <f t="shared" si="16"/>
        <v>apple iPhone 14</v>
      </c>
      <c r="I97" t="str">
        <f t="shared" si="17"/>
        <v>Apple Iphone 14</v>
      </c>
      <c r="J97" t="str">
        <f t="shared" si="18"/>
        <v>Samsung</v>
      </c>
      <c r="K97" t="str">
        <f t="shared" si="19"/>
        <v>Samsung</v>
      </c>
      <c r="L97" t="str">
        <f t="shared" si="20"/>
        <v>Electronics</v>
      </c>
      <c r="M97">
        <f t="shared" si="21"/>
        <v>15</v>
      </c>
      <c r="N97">
        <f t="shared" si="22"/>
        <v>15</v>
      </c>
      <c r="O97" s="6">
        <f t="shared" si="23"/>
        <v>799</v>
      </c>
      <c r="P97" t="str">
        <f t="shared" si="24"/>
        <v>Electronics</v>
      </c>
      <c r="Q97">
        <f t="shared" si="25"/>
        <v>799</v>
      </c>
      <c r="R97" t="str">
        <f t="shared" si="26"/>
        <v>Apple Iphone 14|Electronics|799|Samsung</v>
      </c>
      <c r="S97" t="b">
        <f t="shared" si="27"/>
        <v>1</v>
      </c>
    </row>
    <row r="98" spans="1:19" x14ac:dyDescent="0.45">
      <c r="A98" t="s">
        <v>184</v>
      </c>
      <c r="B98" t="s">
        <v>93</v>
      </c>
      <c r="C98" t="s">
        <v>96</v>
      </c>
      <c r="D98" t="s">
        <v>62</v>
      </c>
      <c r="E98" t="s">
        <v>82</v>
      </c>
      <c r="F98" t="str">
        <f t="shared" si="14"/>
        <v>SAMSUNG GALAXY|Gadgets|799.0|APPLE</v>
      </c>
      <c r="G98" t="b">
        <f t="shared" si="15"/>
        <v>1</v>
      </c>
      <c r="H98" t="str">
        <f t="shared" si="16"/>
        <v>SAMSUNG GALAXY</v>
      </c>
      <c r="I98" t="str">
        <f t="shared" si="17"/>
        <v>Samsung Galaxy</v>
      </c>
      <c r="J98" t="str">
        <f t="shared" si="18"/>
        <v>APPLE</v>
      </c>
      <c r="K98" t="str">
        <f t="shared" si="19"/>
        <v>Apple</v>
      </c>
      <c r="L98" t="str">
        <f t="shared" si="20"/>
        <v>Gadgets</v>
      </c>
      <c r="M98">
        <f t="shared" si="21"/>
        <v>14</v>
      </c>
      <c r="N98">
        <f t="shared" si="22"/>
        <v>14</v>
      </c>
      <c r="O98" s="6">
        <f t="shared" si="23"/>
        <v>799</v>
      </c>
      <c r="P98" t="str">
        <f t="shared" si="24"/>
        <v>Gadgets</v>
      </c>
      <c r="Q98">
        <f t="shared" si="25"/>
        <v>799</v>
      </c>
      <c r="R98" t="str">
        <f t="shared" si="26"/>
        <v>Samsung Galaxy|Gadgets|799|Apple</v>
      </c>
      <c r="S98" t="b">
        <f t="shared" si="27"/>
        <v>1</v>
      </c>
    </row>
    <row r="99" spans="1:19" x14ac:dyDescent="0.45">
      <c r="A99" t="s">
        <v>185</v>
      </c>
      <c r="B99" t="s">
        <v>65</v>
      </c>
      <c r="D99" t="s">
        <v>62</v>
      </c>
      <c r="E99" t="s">
        <v>112</v>
      </c>
      <c r="F99" t="str">
        <f t="shared" si="14"/>
        <v>apple iphone 14||799.0|SAMSUNG</v>
      </c>
      <c r="G99" t="b">
        <f t="shared" si="15"/>
        <v>0</v>
      </c>
      <c r="H99" t="str">
        <f t="shared" si="16"/>
        <v>apple iphone 14</v>
      </c>
      <c r="I99" t="str">
        <f t="shared" si="17"/>
        <v>Apple Iphone 14</v>
      </c>
      <c r="J99" t="str">
        <f t="shared" si="18"/>
        <v>SAMSUNG</v>
      </c>
      <c r="K99" t="str">
        <f t="shared" si="19"/>
        <v>Samsung</v>
      </c>
      <c r="L99" t="str">
        <f t="shared" si="20"/>
        <v/>
      </c>
      <c r="M99">
        <f t="shared" si="21"/>
        <v>17</v>
      </c>
      <c r="N99">
        <f t="shared" si="22"/>
        <v>15</v>
      </c>
      <c r="O99" s="6">
        <f t="shared" si="23"/>
        <v>799</v>
      </c>
      <c r="P99" t="str">
        <f t="shared" si="24"/>
        <v>Not Available</v>
      </c>
      <c r="Q99">
        <f t="shared" si="25"/>
        <v>799</v>
      </c>
      <c r="R99" t="str">
        <f t="shared" si="26"/>
        <v>Apple Iphone 14|Not Available|799|Samsung</v>
      </c>
      <c r="S99" t="b">
        <f t="shared" si="27"/>
        <v>1</v>
      </c>
    </row>
    <row r="100" spans="1:19" x14ac:dyDescent="0.45">
      <c r="A100" t="s">
        <v>186</v>
      </c>
      <c r="B100" t="s">
        <v>65</v>
      </c>
      <c r="C100" t="s">
        <v>85</v>
      </c>
      <c r="D100" t="s">
        <v>55</v>
      </c>
      <c r="E100" t="s">
        <v>112</v>
      </c>
      <c r="F100" t="str">
        <f t="shared" si="14"/>
        <v>apple iphone 14|electronics|799|SAMSUNG</v>
      </c>
      <c r="G100" t="b">
        <f t="shared" si="15"/>
        <v>1</v>
      </c>
      <c r="H100" t="str">
        <f t="shared" si="16"/>
        <v>apple iphone 14</v>
      </c>
      <c r="I100" t="str">
        <f t="shared" si="17"/>
        <v>Apple Iphone 14</v>
      </c>
      <c r="J100" t="str">
        <f t="shared" si="18"/>
        <v>SAMSUNG</v>
      </c>
      <c r="K100" t="str">
        <f t="shared" si="19"/>
        <v>Samsung</v>
      </c>
      <c r="L100" t="str">
        <f t="shared" si="20"/>
        <v>Electronics</v>
      </c>
      <c r="M100">
        <f t="shared" si="21"/>
        <v>17</v>
      </c>
      <c r="N100">
        <f t="shared" si="22"/>
        <v>15</v>
      </c>
      <c r="O100" s="6">
        <f t="shared" si="23"/>
        <v>799</v>
      </c>
      <c r="P100" t="str">
        <f t="shared" si="24"/>
        <v>Electronics</v>
      </c>
      <c r="Q100">
        <f t="shared" si="25"/>
        <v>799</v>
      </c>
      <c r="R100" t="str">
        <f t="shared" si="26"/>
        <v>Apple Iphone 14|Electronics|799|Samsung</v>
      </c>
      <c r="S100" t="b">
        <f t="shared" si="27"/>
        <v>1</v>
      </c>
    </row>
    <row r="101" spans="1:19" x14ac:dyDescent="0.45">
      <c r="A101" t="s">
        <v>187</v>
      </c>
      <c r="B101" t="s">
        <v>58</v>
      </c>
      <c r="D101" t="s">
        <v>66</v>
      </c>
      <c r="E101" t="s">
        <v>63</v>
      </c>
      <c r="F101" t="str">
        <f t="shared" si="14"/>
        <v>Google pixel||799.00|Google</v>
      </c>
      <c r="G101" t="b">
        <f t="shared" si="15"/>
        <v>1</v>
      </c>
      <c r="H101" t="str">
        <f t="shared" si="16"/>
        <v>Google pixel</v>
      </c>
      <c r="I101" t="str">
        <f t="shared" si="17"/>
        <v>Google Pixel</v>
      </c>
      <c r="J101" t="str">
        <f t="shared" si="18"/>
        <v>Google</v>
      </c>
      <c r="K101" t="str">
        <f t="shared" si="19"/>
        <v>Google</v>
      </c>
      <c r="L101" t="str">
        <f t="shared" si="20"/>
        <v/>
      </c>
      <c r="M101">
        <f t="shared" si="21"/>
        <v>12</v>
      </c>
      <c r="N101">
        <f t="shared" si="22"/>
        <v>12</v>
      </c>
      <c r="O101" s="6">
        <f t="shared" si="23"/>
        <v>799</v>
      </c>
      <c r="P101" t="str">
        <f t="shared" si="24"/>
        <v>Not Available</v>
      </c>
      <c r="Q101">
        <f t="shared" si="25"/>
        <v>799</v>
      </c>
      <c r="R101" t="str">
        <f t="shared" si="26"/>
        <v>Google Pixel|Not Available|799|Google</v>
      </c>
      <c r="S101" t="b">
        <f t="shared" si="27"/>
        <v>1</v>
      </c>
    </row>
    <row r="102" spans="1:19" x14ac:dyDescent="0.45">
      <c r="A102" t="s">
        <v>188</v>
      </c>
      <c r="B102" t="s">
        <v>87</v>
      </c>
      <c r="C102" t="s">
        <v>123</v>
      </c>
      <c r="D102" t="s">
        <v>74</v>
      </c>
      <c r="E102" t="s">
        <v>82</v>
      </c>
      <c r="F102" t="str">
        <f t="shared" si="14"/>
        <v>Google Pixel|Electronics|799|APPLE</v>
      </c>
      <c r="G102" t="b">
        <f t="shared" si="15"/>
        <v>1</v>
      </c>
      <c r="H102" t="str">
        <f t="shared" si="16"/>
        <v>Google Pixel</v>
      </c>
      <c r="I102" t="str">
        <f t="shared" si="17"/>
        <v>Google Pixel</v>
      </c>
      <c r="J102" t="str">
        <f t="shared" si="18"/>
        <v>APPLE</v>
      </c>
      <c r="K102" t="str">
        <f t="shared" si="19"/>
        <v>Apple</v>
      </c>
      <c r="L102" t="str">
        <f t="shared" si="20"/>
        <v>Electronics</v>
      </c>
      <c r="M102">
        <f t="shared" si="21"/>
        <v>12</v>
      </c>
      <c r="N102">
        <f t="shared" si="22"/>
        <v>12</v>
      </c>
      <c r="O102" s="6">
        <f t="shared" si="23"/>
        <v>799</v>
      </c>
      <c r="P102" t="str">
        <f t="shared" si="24"/>
        <v>Electronics</v>
      </c>
      <c r="Q102">
        <f t="shared" si="25"/>
        <v>799</v>
      </c>
      <c r="R102" t="str">
        <f t="shared" si="26"/>
        <v>Google Pixel|Electronics|799|Apple</v>
      </c>
      <c r="S102" t="b">
        <f t="shared" si="27"/>
        <v>1</v>
      </c>
    </row>
    <row r="103" spans="1:19" x14ac:dyDescent="0.45">
      <c r="A103" t="s">
        <v>189</v>
      </c>
      <c r="B103" t="s">
        <v>60</v>
      </c>
      <c r="C103" t="s">
        <v>94</v>
      </c>
      <c r="D103" t="s">
        <v>88</v>
      </c>
      <c r="E103" t="s">
        <v>56</v>
      </c>
      <c r="F103" t="str">
        <f t="shared" si="14"/>
        <v>apple iPhone 14|gadgets|USD 799|GOOGLE</v>
      </c>
      <c r="G103" t="b">
        <f t="shared" si="15"/>
        <v>0</v>
      </c>
      <c r="H103" t="str">
        <f t="shared" si="16"/>
        <v>apple iPhone 14</v>
      </c>
      <c r="I103" t="str">
        <f t="shared" si="17"/>
        <v>Apple Iphone 14</v>
      </c>
      <c r="J103" t="str">
        <f t="shared" si="18"/>
        <v>GOOGLE</v>
      </c>
      <c r="K103" t="str">
        <f t="shared" si="19"/>
        <v>Google</v>
      </c>
      <c r="L103" t="str">
        <f t="shared" si="20"/>
        <v>Gadgets</v>
      </c>
      <c r="M103">
        <f t="shared" si="21"/>
        <v>15</v>
      </c>
      <c r="N103">
        <f t="shared" si="22"/>
        <v>15</v>
      </c>
      <c r="O103" s="6">
        <f t="shared" si="23"/>
        <v>799</v>
      </c>
      <c r="P103" t="str">
        <f t="shared" si="24"/>
        <v>Gadgets</v>
      </c>
      <c r="Q103">
        <f t="shared" si="25"/>
        <v>799</v>
      </c>
      <c r="R103" t="str">
        <f t="shared" si="26"/>
        <v>Apple Iphone 14|Gadgets|799|Google</v>
      </c>
      <c r="S103" t="b">
        <f t="shared" si="27"/>
        <v>1</v>
      </c>
    </row>
    <row r="104" spans="1:19" x14ac:dyDescent="0.45">
      <c r="A104" t="s">
        <v>190</v>
      </c>
      <c r="B104" t="s">
        <v>65</v>
      </c>
      <c r="C104" t="s">
        <v>123</v>
      </c>
      <c r="D104" t="s">
        <v>88</v>
      </c>
      <c r="E104" t="s">
        <v>91</v>
      </c>
      <c r="F104" t="str">
        <f t="shared" si="14"/>
        <v>apple iphone 14|Electronics|USD 799|Apple</v>
      </c>
      <c r="G104" t="b">
        <f t="shared" si="15"/>
        <v>1</v>
      </c>
      <c r="H104" t="str">
        <f t="shared" si="16"/>
        <v>apple iphone 14</v>
      </c>
      <c r="I104" t="str">
        <f t="shared" si="17"/>
        <v>Apple Iphone 14</v>
      </c>
      <c r="J104" t="str">
        <f t="shared" si="18"/>
        <v>Apple</v>
      </c>
      <c r="K104" t="str">
        <f t="shared" si="19"/>
        <v>Apple</v>
      </c>
      <c r="L104" t="str">
        <f t="shared" si="20"/>
        <v>Electronics</v>
      </c>
      <c r="M104">
        <f t="shared" si="21"/>
        <v>17</v>
      </c>
      <c r="N104">
        <f t="shared" si="22"/>
        <v>15</v>
      </c>
      <c r="O104" s="6">
        <f t="shared" si="23"/>
        <v>799</v>
      </c>
      <c r="P104" t="str">
        <f t="shared" si="24"/>
        <v>Electronics</v>
      </c>
      <c r="Q104">
        <f t="shared" si="25"/>
        <v>799</v>
      </c>
      <c r="R104" t="str">
        <f t="shared" si="26"/>
        <v>Apple Iphone 14|Electronics|799|Apple</v>
      </c>
      <c r="S104" t="b">
        <f t="shared" si="27"/>
        <v>1</v>
      </c>
    </row>
    <row r="105" spans="1:19" x14ac:dyDescent="0.45">
      <c r="A105" t="s">
        <v>191</v>
      </c>
      <c r="B105" t="s">
        <v>93</v>
      </c>
      <c r="C105" t="s">
        <v>61</v>
      </c>
      <c r="D105" t="s">
        <v>69</v>
      </c>
      <c r="E105" t="s">
        <v>112</v>
      </c>
      <c r="F105" t="str">
        <f t="shared" si="14"/>
        <v>SAMSUNG GALAXY|Electrnics|799|SAMSUNG</v>
      </c>
      <c r="G105" t="b">
        <f t="shared" si="15"/>
        <v>1</v>
      </c>
      <c r="H105" t="str">
        <f t="shared" si="16"/>
        <v>SAMSUNG GALAXY</v>
      </c>
      <c r="I105" t="str">
        <f t="shared" si="17"/>
        <v>Samsung Galaxy</v>
      </c>
      <c r="J105" t="str">
        <f t="shared" si="18"/>
        <v>SAMSUNG</v>
      </c>
      <c r="K105" t="str">
        <f t="shared" si="19"/>
        <v>Samsung</v>
      </c>
      <c r="L105" t="str">
        <f t="shared" si="20"/>
        <v>Electronics</v>
      </c>
      <c r="M105">
        <f t="shared" si="21"/>
        <v>14</v>
      </c>
      <c r="N105">
        <f t="shared" si="22"/>
        <v>14</v>
      </c>
      <c r="O105" s="6">
        <f t="shared" si="23"/>
        <v>799</v>
      </c>
      <c r="P105" t="str">
        <f t="shared" si="24"/>
        <v>Electronics</v>
      </c>
      <c r="Q105">
        <f t="shared" si="25"/>
        <v>799</v>
      </c>
      <c r="R105" t="str">
        <f t="shared" si="26"/>
        <v>Samsung Galaxy|Electronics|799|Samsung</v>
      </c>
      <c r="S105" t="b">
        <f t="shared" si="27"/>
        <v>1</v>
      </c>
    </row>
    <row r="106" spans="1:19" x14ac:dyDescent="0.45">
      <c r="A106" t="s">
        <v>192</v>
      </c>
      <c r="B106" t="s">
        <v>109</v>
      </c>
      <c r="C106" t="s">
        <v>73</v>
      </c>
      <c r="D106" t="s">
        <v>62</v>
      </c>
      <c r="E106" t="s">
        <v>112</v>
      </c>
      <c r="F106" t="str">
        <f t="shared" si="14"/>
        <v>Apple iPhone14|Electro|799.0|SAMSUNG</v>
      </c>
      <c r="G106" t="b">
        <f t="shared" si="15"/>
        <v>0</v>
      </c>
      <c r="H106" t="str">
        <f t="shared" si="16"/>
        <v>Apple iPhone14</v>
      </c>
      <c r="I106" t="str">
        <f t="shared" si="17"/>
        <v>Apple Iphone14</v>
      </c>
      <c r="J106" t="str">
        <f t="shared" si="18"/>
        <v>SAMSUNG</v>
      </c>
      <c r="K106" t="str">
        <f t="shared" si="19"/>
        <v>Samsung</v>
      </c>
      <c r="L106" t="str">
        <f t="shared" si="20"/>
        <v>Electronics</v>
      </c>
      <c r="M106">
        <f t="shared" si="21"/>
        <v>15</v>
      </c>
      <c r="N106">
        <f t="shared" si="22"/>
        <v>14</v>
      </c>
      <c r="O106" s="6">
        <f t="shared" si="23"/>
        <v>799</v>
      </c>
      <c r="P106" t="str">
        <f t="shared" si="24"/>
        <v>Electronics</v>
      </c>
      <c r="Q106">
        <f t="shared" si="25"/>
        <v>799</v>
      </c>
      <c r="R106" t="str">
        <f t="shared" si="26"/>
        <v>Apple Iphone14|Electronics|799|Samsung</v>
      </c>
      <c r="S106" t="b">
        <f t="shared" si="27"/>
        <v>1</v>
      </c>
    </row>
    <row r="107" spans="1:19" x14ac:dyDescent="0.45">
      <c r="A107" t="s">
        <v>193</v>
      </c>
      <c r="B107" t="s">
        <v>60</v>
      </c>
      <c r="C107" t="s">
        <v>61</v>
      </c>
      <c r="D107" t="s">
        <v>62</v>
      </c>
      <c r="E107" t="s">
        <v>79</v>
      </c>
      <c r="F107" t="str">
        <f t="shared" si="14"/>
        <v>apple iPhone 14|Electrnics|799.0|Samsung</v>
      </c>
      <c r="G107" t="b">
        <f t="shared" si="15"/>
        <v>1</v>
      </c>
      <c r="H107" t="str">
        <f t="shared" si="16"/>
        <v>apple iPhone 14</v>
      </c>
      <c r="I107" t="str">
        <f t="shared" si="17"/>
        <v>Apple Iphone 14</v>
      </c>
      <c r="J107" t="str">
        <f t="shared" si="18"/>
        <v>Samsung</v>
      </c>
      <c r="K107" t="str">
        <f t="shared" si="19"/>
        <v>Samsung</v>
      </c>
      <c r="L107" t="str">
        <f t="shared" si="20"/>
        <v>Electronics</v>
      </c>
      <c r="M107">
        <f t="shared" si="21"/>
        <v>15</v>
      </c>
      <c r="N107">
        <f t="shared" si="22"/>
        <v>15</v>
      </c>
      <c r="O107" s="6">
        <f t="shared" si="23"/>
        <v>799</v>
      </c>
      <c r="P107" t="str">
        <f t="shared" si="24"/>
        <v>Electronics</v>
      </c>
      <c r="Q107">
        <f t="shared" si="25"/>
        <v>799</v>
      </c>
      <c r="R107" t="str">
        <f t="shared" si="26"/>
        <v>Apple Iphone 14|Electronics|799|Samsung</v>
      </c>
      <c r="S107" t="b">
        <f t="shared" si="27"/>
        <v>1</v>
      </c>
    </row>
    <row r="108" spans="1:19" x14ac:dyDescent="0.45">
      <c r="A108" t="s">
        <v>194</v>
      </c>
      <c r="B108" t="s">
        <v>93</v>
      </c>
      <c r="C108" t="s">
        <v>85</v>
      </c>
      <c r="D108" t="s">
        <v>88</v>
      </c>
      <c r="E108" t="s">
        <v>75</v>
      </c>
      <c r="F108" t="str">
        <f t="shared" si="14"/>
        <v>SAMSUNG GALAXY|electronics|USD 799|google</v>
      </c>
      <c r="G108" t="b">
        <f t="shared" si="15"/>
        <v>1</v>
      </c>
      <c r="H108" t="str">
        <f t="shared" si="16"/>
        <v>SAMSUNG GALAXY</v>
      </c>
      <c r="I108" t="str">
        <f t="shared" si="17"/>
        <v>Samsung Galaxy</v>
      </c>
      <c r="J108" t="str">
        <f t="shared" si="18"/>
        <v>google</v>
      </c>
      <c r="K108" t="str">
        <f t="shared" si="19"/>
        <v>Google</v>
      </c>
      <c r="L108" t="str">
        <f t="shared" si="20"/>
        <v>Electronics</v>
      </c>
      <c r="M108">
        <f t="shared" si="21"/>
        <v>14</v>
      </c>
      <c r="N108">
        <f t="shared" si="22"/>
        <v>14</v>
      </c>
      <c r="O108" s="6">
        <f t="shared" si="23"/>
        <v>799</v>
      </c>
      <c r="P108" t="str">
        <f t="shared" si="24"/>
        <v>Electronics</v>
      </c>
      <c r="Q108">
        <f t="shared" si="25"/>
        <v>799</v>
      </c>
      <c r="R108" t="str">
        <f t="shared" si="26"/>
        <v>Samsung Galaxy|Electronics|799|Google</v>
      </c>
      <c r="S108" t="b">
        <f t="shared" si="27"/>
        <v>1</v>
      </c>
    </row>
    <row r="109" spans="1:19" x14ac:dyDescent="0.45">
      <c r="A109" t="s">
        <v>195</v>
      </c>
      <c r="B109" t="s">
        <v>65</v>
      </c>
      <c r="C109" t="s">
        <v>96</v>
      </c>
      <c r="D109" t="s">
        <v>69</v>
      </c>
      <c r="E109" t="s">
        <v>82</v>
      </c>
      <c r="F109" t="str">
        <f t="shared" si="14"/>
        <v>apple iphone 14|Gadgets|799|APPLE</v>
      </c>
      <c r="G109" t="b">
        <f t="shared" si="15"/>
        <v>1</v>
      </c>
      <c r="H109" t="str">
        <f t="shared" si="16"/>
        <v>apple iphone 14</v>
      </c>
      <c r="I109" t="str">
        <f t="shared" si="17"/>
        <v>Apple Iphone 14</v>
      </c>
      <c r="J109" t="str">
        <f t="shared" si="18"/>
        <v>APPLE</v>
      </c>
      <c r="K109" t="str">
        <f t="shared" si="19"/>
        <v>Apple</v>
      </c>
      <c r="L109" t="str">
        <f t="shared" si="20"/>
        <v>Gadgets</v>
      </c>
      <c r="M109">
        <f t="shared" si="21"/>
        <v>17</v>
      </c>
      <c r="N109">
        <f t="shared" si="22"/>
        <v>15</v>
      </c>
      <c r="O109" s="6">
        <f t="shared" si="23"/>
        <v>799</v>
      </c>
      <c r="P109" t="str">
        <f t="shared" si="24"/>
        <v>Gadgets</v>
      </c>
      <c r="Q109">
        <f t="shared" si="25"/>
        <v>799</v>
      </c>
      <c r="R109" t="str">
        <f t="shared" si="26"/>
        <v>Apple Iphone 14|Gadgets|799|Apple</v>
      </c>
      <c r="S109" t="b">
        <f t="shared" si="27"/>
        <v>1</v>
      </c>
    </row>
    <row r="110" spans="1:19" x14ac:dyDescent="0.45">
      <c r="A110" t="s">
        <v>196</v>
      </c>
      <c r="B110" t="s">
        <v>72</v>
      </c>
      <c r="C110" t="s">
        <v>73</v>
      </c>
      <c r="D110" t="s">
        <v>81</v>
      </c>
      <c r="E110" t="s">
        <v>67</v>
      </c>
      <c r="F110" t="str">
        <f t="shared" si="14"/>
        <v>google pixel|Electro|$799|apple</v>
      </c>
      <c r="G110" t="b">
        <f t="shared" si="15"/>
        <v>1</v>
      </c>
      <c r="H110" t="str">
        <f t="shared" si="16"/>
        <v>google pixel</v>
      </c>
      <c r="I110" t="str">
        <f t="shared" si="17"/>
        <v>Google Pixel</v>
      </c>
      <c r="J110" t="str">
        <f t="shared" si="18"/>
        <v>apple</v>
      </c>
      <c r="K110" t="str">
        <f t="shared" si="19"/>
        <v>Apple</v>
      </c>
      <c r="L110" t="str">
        <f t="shared" si="20"/>
        <v>Electronics</v>
      </c>
      <c r="M110">
        <f t="shared" si="21"/>
        <v>14</v>
      </c>
      <c r="N110">
        <f t="shared" si="22"/>
        <v>12</v>
      </c>
      <c r="O110" s="6">
        <f t="shared" si="23"/>
        <v>799</v>
      </c>
      <c r="P110" t="str">
        <f t="shared" si="24"/>
        <v>Electronics</v>
      </c>
      <c r="Q110">
        <f t="shared" si="25"/>
        <v>799</v>
      </c>
      <c r="R110" t="str">
        <f t="shared" si="26"/>
        <v>Google Pixel|Electronics|799|Apple</v>
      </c>
      <c r="S110" t="b">
        <f t="shared" si="27"/>
        <v>1</v>
      </c>
    </row>
    <row r="111" spans="1:19" x14ac:dyDescent="0.45">
      <c r="A111" t="s">
        <v>197</v>
      </c>
      <c r="B111" t="s">
        <v>138</v>
      </c>
      <c r="C111" t="s">
        <v>61</v>
      </c>
      <c r="D111" t="s">
        <v>55</v>
      </c>
      <c r="E111" t="s">
        <v>70</v>
      </c>
      <c r="F111" t="str">
        <f t="shared" si="14"/>
        <v>APPLE IPHONE 14|Electrnics|799|Samsung</v>
      </c>
      <c r="G111" t="b">
        <f t="shared" si="15"/>
        <v>1</v>
      </c>
      <c r="H111" t="str">
        <f t="shared" si="16"/>
        <v>APPLE IPHONE 14</v>
      </c>
      <c r="I111" t="str">
        <f t="shared" si="17"/>
        <v>Apple Iphone 14</v>
      </c>
      <c r="J111" t="str">
        <f t="shared" si="18"/>
        <v>Samsung</v>
      </c>
      <c r="K111" t="str">
        <f t="shared" si="19"/>
        <v>Samsung</v>
      </c>
      <c r="L111" t="str">
        <f t="shared" si="20"/>
        <v>Electronics</v>
      </c>
      <c r="M111">
        <f t="shared" si="21"/>
        <v>15</v>
      </c>
      <c r="N111">
        <f t="shared" si="22"/>
        <v>15</v>
      </c>
      <c r="O111" s="6">
        <f t="shared" si="23"/>
        <v>799</v>
      </c>
      <c r="P111" t="str">
        <f t="shared" si="24"/>
        <v>Electronics</v>
      </c>
      <c r="Q111">
        <f t="shared" si="25"/>
        <v>799</v>
      </c>
      <c r="R111" t="str">
        <f t="shared" si="26"/>
        <v>Apple Iphone 14|Electronics|799|Samsung</v>
      </c>
      <c r="S111" t="b">
        <f t="shared" si="27"/>
        <v>1</v>
      </c>
    </row>
    <row r="112" spans="1:19" x14ac:dyDescent="0.45">
      <c r="A112" t="s">
        <v>198</v>
      </c>
      <c r="B112" t="s">
        <v>109</v>
      </c>
      <c r="C112" t="s">
        <v>73</v>
      </c>
      <c r="D112" t="s">
        <v>69</v>
      </c>
      <c r="E112" t="s">
        <v>112</v>
      </c>
      <c r="F112" t="str">
        <f t="shared" si="14"/>
        <v>Apple iPhone14|Electro|799|SAMSUNG</v>
      </c>
      <c r="G112" t="b">
        <f t="shared" si="15"/>
        <v>1</v>
      </c>
      <c r="H112" t="str">
        <f t="shared" si="16"/>
        <v>Apple iPhone14</v>
      </c>
      <c r="I112" t="str">
        <f t="shared" si="17"/>
        <v>Apple Iphone14</v>
      </c>
      <c r="J112" t="str">
        <f t="shared" si="18"/>
        <v>SAMSUNG</v>
      </c>
      <c r="K112" t="str">
        <f t="shared" si="19"/>
        <v>Samsung</v>
      </c>
      <c r="L112" t="str">
        <f t="shared" si="20"/>
        <v>Electronics</v>
      </c>
      <c r="M112">
        <f t="shared" si="21"/>
        <v>15</v>
      </c>
      <c r="N112">
        <f t="shared" si="22"/>
        <v>14</v>
      </c>
      <c r="O112" s="6">
        <f t="shared" si="23"/>
        <v>799</v>
      </c>
      <c r="P112" t="str">
        <f t="shared" si="24"/>
        <v>Electronics</v>
      </c>
      <c r="Q112">
        <f t="shared" si="25"/>
        <v>799</v>
      </c>
      <c r="R112" t="str">
        <f t="shared" si="26"/>
        <v>Apple Iphone14|Electronics|799|Samsung</v>
      </c>
      <c r="S112" t="b">
        <f t="shared" si="27"/>
        <v>1</v>
      </c>
    </row>
    <row r="113" spans="1:19" x14ac:dyDescent="0.45">
      <c r="A113" t="s">
        <v>199</v>
      </c>
      <c r="B113" t="s">
        <v>54</v>
      </c>
      <c r="D113" t="s">
        <v>88</v>
      </c>
      <c r="E113" t="s">
        <v>70</v>
      </c>
      <c r="F113" t="str">
        <f t="shared" si="14"/>
        <v>Samsung galaxy||USD 799|Samsung</v>
      </c>
      <c r="G113" t="b">
        <f t="shared" si="15"/>
        <v>0</v>
      </c>
      <c r="H113" t="str">
        <f t="shared" si="16"/>
        <v>Samsung galaxy</v>
      </c>
      <c r="I113" t="str">
        <f t="shared" si="17"/>
        <v>Samsung Galaxy</v>
      </c>
      <c r="J113" t="str">
        <f t="shared" si="18"/>
        <v>Samsung</v>
      </c>
      <c r="K113" t="str">
        <f t="shared" si="19"/>
        <v>Samsung</v>
      </c>
      <c r="L113" t="str">
        <f t="shared" si="20"/>
        <v/>
      </c>
      <c r="M113">
        <f t="shared" si="21"/>
        <v>15</v>
      </c>
      <c r="N113">
        <f t="shared" si="22"/>
        <v>14</v>
      </c>
      <c r="O113" s="6">
        <f t="shared" si="23"/>
        <v>799</v>
      </c>
      <c r="P113" t="str">
        <f t="shared" si="24"/>
        <v>Not Available</v>
      </c>
      <c r="Q113">
        <f t="shared" si="25"/>
        <v>799</v>
      </c>
      <c r="R113" t="str">
        <f t="shared" si="26"/>
        <v>Samsung Galaxy|Not Available|799|Samsung</v>
      </c>
      <c r="S113" t="b">
        <f t="shared" si="27"/>
        <v>1</v>
      </c>
    </row>
    <row r="114" spans="1:19" x14ac:dyDescent="0.45">
      <c r="A114" t="s">
        <v>200</v>
      </c>
      <c r="B114" t="s">
        <v>78</v>
      </c>
      <c r="D114" t="s">
        <v>62</v>
      </c>
      <c r="E114" t="s">
        <v>91</v>
      </c>
      <c r="F114" t="str">
        <f t="shared" si="14"/>
        <v>samsung Galaxy||799.0|Apple</v>
      </c>
      <c r="G114" t="b">
        <f t="shared" si="15"/>
        <v>1</v>
      </c>
      <c r="H114" t="str">
        <f t="shared" si="16"/>
        <v>samsung Galaxy</v>
      </c>
      <c r="I114" t="str">
        <f t="shared" si="17"/>
        <v>Samsung Galaxy</v>
      </c>
      <c r="J114" t="str">
        <f t="shared" si="18"/>
        <v>Apple</v>
      </c>
      <c r="K114" t="str">
        <f t="shared" si="19"/>
        <v>Apple</v>
      </c>
      <c r="L114" t="str">
        <f t="shared" si="20"/>
        <v/>
      </c>
      <c r="M114">
        <f t="shared" si="21"/>
        <v>15</v>
      </c>
      <c r="N114">
        <f t="shared" si="22"/>
        <v>14</v>
      </c>
      <c r="O114" s="6">
        <f t="shared" si="23"/>
        <v>799</v>
      </c>
      <c r="P114" t="str">
        <f t="shared" si="24"/>
        <v>Not Available</v>
      </c>
      <c r="Q114">
        <f t="shared" si="25"/>
        <v>799</v>
      </c>
      <c r="R114" t="str">
        <f t="shared" si="26"/>
        <v>Samsung Galaxy|Not Available|799|Apple</v>
      </c>
      <c r="S114" t="b">
        <f t="shared" si="27"/>
        <v>1</v>
      </c>
    </row>
    <row r="115" spans="1:19" x14ac:dyDescent="0.45">
      <c r="A115" t="s">
        <v>201</v>
      </c>
      <c r="B115" t="s">
        <v>138</v>
      </c>
      <c r="C115" t="s">
        <v>96</v>
      </c>
      <c r="D115" t="s">
        <v>74</v>
      </c>
      <c r="E115" t="s">
        <v>82</v>
      </c>
      <c r="F115" t="str">
        <f t="shared" si="14"/>
        <v>APPLE IPHONE 14|Gadgets|799|APPLE</v>
      </c>
      <c r="G115" t="b">
        <f t="shared" si="15"/>
        <v>1</v>
      </c>
      <c r="H115" t="str">
        <f t="shared" si="16"/>
        <v>APPLE IPHONE 14</v>
      </c>
      <c r="I115" t="str">
        <f t="shared" si="17"/>
        <v>Apple Iphone 14</v>
      </c>
      <c r="J115" t="str">
        <f t="shared" si="18"/>
        <v>APPLE</v>
      </c>
      <c r="K115" t="str">
        <f t="shared" si="19"/>
        <v>Apple</v>
      </c>
      <c r="L115" t="str">
        <f t="shared" si="20"/>
        <v>Gadgets</v>
      </c>
      <c r="M115">
        <f t="shared" si="21"/>
        <v>15</v>
      </c>
      <c r="N115">
        <f t="shared" si="22"/>
        <v>15</v>
      </c>
      <c r="O115" s="6">
        <f t="shared" si="23"/>
        <v>799</v>
      </c>
      <c r="P115" t="str">
        <f t="shared" si="24"/>
        <v>Gadgets</v>
      </c>
      <c r="Q115">
        <f t="shared" si="25"/>
        <v>799</v>
      </c>
      <c r="R115" t="str">
        <f t="shared" si="26"/>
        <v>Apple Iphone 14|Gadgets|799|Apple</v>
      </c>
      <c r="S115" t="b">
        <f t="shared" si="27"/>
        <v>1</v>
      </c>
    </row>
    <row r="116" spans="1:19" x14ac:dyDescent="0.45">
      <c r="A116" t="s">
        <v>202</v>
      </c>
      <c r="B116" t="s">
        <v>65</v>
      </c>
      <c r="C116" t="s">
        <v>123</v>
      </c>
      <c r="E116" t="s">
        <v>112</v>
      </c>
      <c r="F116" t="str">
        <f t="shared" si="14"/>
        <v>apple iphone 14|Electronics||SAMSUNG</v>
      </c>
      <c r="G116" t="b">
        <f t="shared" si="15"/>
        <v>1</v>
      </c>
      <c r="H116" t="str">
        <f t="shared" si="16"/>
        <v>apple iphone 14</v>
      </c>
      <c r="I116" t="str">
        <f t="shared" si="17"/>
        <v>Apple Iphone 14</v>
      </c>
      <c r="J116" t="str">
        <f t="shared" si="18"/>
        <v>SAMSUNG</v>
      </c>
      <c r="K116" t="str">
        <f t="shared" si="19"/>
        <v>Samsung</v>
      </c>
      <c r="L116" t="str">
        <f t="shared" si="20"/>
        <v>Electronics</v>
      </c>
      <c r="M116">
        <f t="shared" si="21"/>
        <v>17</v>
      </c>
      <c r="N116">
        <f t="shared" si="22"/>
        <v>15</v>
      </c>
      <c r="O116" s="6" t="str">
        <f t="shared" si="23"/>
        <v/>
      </c>
      <c r="P116" t="str">
        <f t="shared" si="24"/>
        <v>Electronics</v>
      </c>
      <c r="Q116" t="str">
        <f t="shared" si="25"/>
        <v>Not Available</v>
      </c>
      <c r="R116" t="str">
        <f t="shared" si="26"/>
        <v>Apple Iphone 14|Electronics|Not Available|Samsung</v>
      </c>
      <c r="S116" t="b">
        <f t="shared" si="27"/>
        <v>1</v>
      </c>
    </row>
    <row r="117" spans="1:19" x14ac:dyDescent="0.45">
      <c r="A117" t="s">
        <v>203</v>
      </c>
      <c r="B117" t="s">
        <v>138</v>
      </c>
      <c r="C117" t="s">
        <v>61</v>
      </c>
      <c r="D117" t="s">
        <v>69</v>
      </c>
      <c r="E117" t="s">
        <v>89</v>
      </c>
      <c r="F117" t="str">
        <f t="shared" si="14"/>
        <v>APPLE IPHONE 14|Electrnics|799|Apple</v>
      </c>
      <c r="G117" t="b">
        <f t="shared" si="15"/>
        <v>1</v>
      </c>
      <c r="H117" t="str">
        <f t="shared" si="16"/>
        <v>APPLE IPHONE 14</v>
      </c>
      <c r="I117" t="str">
        <f t="shared" si="17"/>
        <v>Apple Iphone 14</v>
      </c>
      <c r="J117" t="str">
        <f t="shared" si="18"/>
        <v>Apple</v>
      </c>
      <c r="K117" t="str">
        <f t="shared" si="19"/>
        <v>Apple</v>
      </c>
      <c r="L117" t="str">
        <f t="shared" si="20"/>
        <v>Electronics</v>
      </c>
      <c r="M117">
        <f t="shared" si="21"/>
        <v>15</v>
      </c>
      <c r="N117">
        <f t="shared" si="22"/>
        <v>15</v>
      </c>
      <c r="O117" s="6">
        <f t="shared" si="23"/>
        <v>799</v>
      </c>
      <c r="P117" t="str">
        <f t="shared" si="24"/>
        <v>Electronics</v>
      </c>
      <c r="Q117">
        <f t="shared" si="25"/>
        <v>799</v>
      </c>
      <c r="R117" t="str">
        <f t="shared" si="26"/>
        <v>Apple Iphone 14|Electronics|799|Apple</v>
      </c>
      <c r="S117" t="b">
        <f t="shared" si="27"/>
        <v>1</v>
      </c>
    </row>
    <row r="118" spans="1:19" x14ac:dyDescent="0.45">
      <c r="A118" t="s">
        <v>204</v>
      </c>
      <c r="B118" t="s">
        <v>60</v>
      </c>
      <c r="C118" t="s">
        <v>123</v>
      </c>
      <c r="D118" t="s">
        <v>55</v>
      </c>
      <c r="E118" t="s">
        <v>89</v>
      </c>
      <c r="F118" t="str">
        <f t="shared" si="14"/>
        <v>apple iPhone 14|Electronics|799|Apple</v>
      </c>
      <c r="G118" t="b">
        <f t="shared" si="15"/>
        <v>1</v>
      </c>
      <c r="H118" t="str">
        <f t="shared" si="16"/>
        <v>apple iPhone 14</v>
      </c>
      <c r="I118" t="str">
        <f t="shared" si="17"/>
        <v>Apple Iphone 14</v>
      </c>
      <c r="J118" t="str">
        <f t="shared" si="18"/>
        <v>Apple</v>
      </c>
      <c r="K118" t="str">
        <f t="shared" si="19"/>
        <v>Apple</v>
      </c>
      <c r="L118" t="str">
        <f t="shared" si="20"/>
        <v>Electronics</v>
      </c>
      <c r="M118">
        <f t="shared" si="21"/>
        <v>15</v>
      </c>
      <c r="N118">
        <f t="shared" si="22"/>
        <v>15</v>
      </c>
      <c r="O118" s="6">
        <f t="shared" si="23"/>
        <v>799</v>
      </c>
      <c r="P118" t="str">
        <f t="shared" si="24"/>
        <v>Electronics</v>
      </c>
      <c r="Q118">
        <f t="shared" si="25"/>
        <v>799</v>
      </c>
      <c r="R118" t="str">
        <f t="shared" si="26"/>
        <v>Apple Iphone 14|Electronics|799|Apple</v>
      </c>
      <c r="S118" t="b">
        <f t="shared" si="27"/>
        <v>1</v>
      </c>
    </row>
    <row r="119" spans="1:19" x14ac:dyDescent="0.45">
      <c r="A119" t="s">
        <v>205</v>
      </c>
      <c r="B119" t="s">
        <v>54</v>
      </c>
      <c r="C119" t="s">
        <v>61</v>
      </c>
      <c r="D119" t="s">
        <v>74</v>
      </c>
      <c r="E119" t="s">
        <v>89</v>
      </c>
      <c r="F119" t="str">
        <f t="shared" si="14"/>
        <v>Samsung galaxy|Electrnics|799|Apple</v>
      </c>
      <c r="G119" t="b">
        <f t="shared" si="15"/>
        <v>1</v>
      </c>
      <c r="H119" t="str">
        <f t="shared" si="16"/>
        <v>Samsung galaxy</v>
      </c>
      <c r="I119" t="str">
        <f t="shared" si="17"/>
        <v>Samsung Galaxy</v>
      </c>
      <c r="J119" t="str">
        <f t="shared" si="18"/>
        <v>Apple</v>
      </c>
      <c r="K119" t="str">
        <f t="shared" si="19"/>
        <v>Apple</v>
      </c>
      <c r="L119" t="str">
        <f t="shared" si="20"/>
        <v>Electronics</v>
      </c>
      <c r="M119">
        <f t="shared" si="21"/>
        <v>15</v>
      </c>
      <c r="N119">
        <f t="shared" si="22"/>
        <v>14</v>
      </c>
      <c r="O119" s="6">
        <f t="shared" si="23"/>
        <v>799</v>
      </c>
      <c r="P119" t="str">
        <f t="shared" si="24"/>
        <v>Electronics</v>
      </c>
      <c r="Q119">
        <f t="shared" si="25"/>
        <v>799</v>
      </c>
      <c r="R119" t="str">
        <f t="shared" si="26"/>
        <v>Samsung Galaxy|Electronics|799|Apple</v>
      </c>
      <c r="S119" t="b">
        <f t="shared" si="27"/>
        <v>1</v>
      </c>
    </row>
    <row r="120" spans="1:19" x14ac:dyDescent="0.45">
      <c r="A120" t="s">
        <v>206</v>
      </c>
      <c r="B120" t="s">
        <v>102</v>
      </c>
      <c r="C120" t="s">
        <v>94</v>
      </c>
      <c r="D120" t="s">
        <v>81</v>
      </c>
      <c r="E120" t="s">
        <v>70</v>
      </c>
      <c r="F120" t="str">
        <f t="shared" si="14"/>
        <v>GOOGLE PIXEL|gadgets|$799|Samsung</v>
      </c>
      <c r="G120" t="b">
        <f t="shared" si="15"/>
        <v>1</v>
      </c>
      <c r="H120" t="str">
        <f t="shared" si="16"/>
        <v>GOOGLE PIXEL</v>
      </c>
      <c r="I120" t="str">
        <f t="shared" si="17"/>
        <v>Google Pixel</v>
      </c>
      <c r="J120" t="str">
        <f t="shared" si="18"/>
        <v>Samsung</v>
      </c>
      <c r="K120" t="str">
        <f t="shared" si="19"/>
        <v>Samsung</v>
      </c>
      <c r="L120" t="str">
        <f t="shared" si="20"/>
        <v>Gadgets</v>
      </c>
      <c r="M120">
        <f t="shared" si="21"/>
        <v>13</v>
      </c>
      <c r="N120">
        <f t="shared" si="22"/>
        <v>12</v>
      </c>
      <c r="O120" s="6">
        <f t="shared" si="23"/>
        <v>799</v>
      </c>
      <c r="P120" t="str">
        <f t="shared" si="24"/>
        <v>Gadgets</v>
      </c>
      <c r="Q120">
        <f t="shared" si="25"/>
        <v>799</v>
      </c>
      <c r="R120" t="str">
        <f t="shared" si="26"/>
        <v>Google Pixel|Gadgets|799|Samsung</v>
      </c>
      <c r="S120" t="b">
        <f t="shared" si="27"/>
        <v>1</v>
      </c>
    </row>
    <row r="121" spans="1:19" x14ac:dyDescent="0.45">
      <c r="A121" t="s">
        <v>207</v>
      </c>
      <c r="B121" t="s">
        <v>87</v>
      </c>
      <c r="C121" t="s">
        <v>123</v>
      </c>
      <c r="D121" t="s">
        <v>66</v>
      </c>
      <c r="E121" t="s">
        <v>112</v>
      </c>
      <c r="F121" t="str">
        <f t="shared" si="14"/>
        <v>Google Pixel|Electronics|799.00|SAMSUNG</v>
      </c>
      <c r="G121" t="b">
        <f t="shared" si="15"/>
        <v>1</v>
      </c>
      <c r="H121" t="str">
        <f t="shared" si="16"/>
        <v>Google Pixel</v>
      </c>
      <c r="I121" t="str">
        <f t="shared" si="17"/>
        <v>Google Pixel</v>
      </c>
      <c r="J121" t="str">
        <f t="shared" si="18"/>
        <v>SAMSUNG</v>
      </c>
      <c r="K121" t="str">
        <f t="shared" si="19"/>
        <v>Samsung</v>
      </c>
      <c r="L121" t="str">
        <f t="shared" si="20"/>
        <v>Electronics</v>
      </c>
      <c r="M121">
        <f t="shared" si="21"/>
        <v>12</v>
      </c>
      <c r="N121">
        <f t="shared" si="22"/>
        <v>12</v>
      </c>
      <c r="O121" s="6">
        <f t="shared" si="23"/>
        <v>799</v>
      </c>
      <c r="P121" t="str">
        <f t="shared" si="24"/>
        <v>Electronics</v>
      </c>
      <c r="Q121">
        <f t="shared" si="25"/>
        <v>799</v>
      </c>
      <c r="R121" t="str">
        <f t="shared" si="26"/>
        <v>Google Pixel|Electronics|799|Samsung</v>
      </c>
      <c r="S121" t="b">
        <f t="shared" si="27"/>
        <v>1</v>
      </c>
    </row>
    <row r="122" spans="1:19" x14ac:dyDescent="0.45">
      <c r="A122" t="s">
        <v>208</v>
      </c>
      <c r="B122" t="s">
        <v>72</v>
      </c>
      <c r="C122" t="s">
        <v>123</v>
      </c>
      <c r="D122" t="s">
        <v>55</v>
      </c>
      <c r="E122" t="s">
        <v>79</v>
      </c>
      <c r="F122" t="str">
        <f t="shared" si="14"/>
        <v>google pixel|Electronics|799|Samsung</v>
      </c>
      <c r="G122" t="b">
        <f t="shared" si="15"/>
        <v>1</v>
      </c>
      <c r="H122" t="str">
        <f t="shared" si="16"/>
        <v>google pixel</v>
      </c>
      <c r="I122" t="str">
        <f t="shared" si="17"/>
        <v>Google Pixel</v>
      </c>
      <c r="J122" t="str">
        <f t="shared" si="18"/>
        <v>Samsung</v>
      </c>
      <c r="K122" t="str">
        <f t="shared" si="19"/>
        <v>Samsung</v>
      </c>
      <c r="L122" t="str">
        <f t="shared" si="20"/>
        <v>Electronics</v>
      </c>
      <c r="M122">
        <f t="shared" si="21"/>
        <v>14</v>
      </c>
      <c r="N122">
        <f t="shared" si="22"/>
        <v>12</v>
      </c>
      <c r="O122" s="6">
        <f t="shared" si="23"/>
        <v>799</v>
      </c>
      <c r="P122" t="str">
        <f t="shared" si="24"/>
        <v>Electronics</v>
      </c>
      <c r="Q122">
        <f t="shared" si="25"/>
        <v>799</v>
      </c>
      <c r="R122" t="str">
        <f t="shared" si="26"/>
        <v>Google Pixel|Electronics|799|Samsung</v>
      </c>
      <c r="S122" t="b">
        <f t="shared" si="27"/>
        <v>1</v>
      </c>
    </row>
    <row r="123" spans="1:19" x14ac:dyDescent="0.45">
      <c r="A123" t="s">
        <v>209</v>
      </c>
      <c r="B123" t="s">
        <v>72</v>
      </c>
      <c r="C123" t="s">
        <v>85</v>
      </c>
      <c r="D123" t="s">
        <v>55</v>
      </c>
      <c r="E123" t="s">
        <v>79</v>
      </c>
      <c r="F123" t="str">
        <f t="shared" si="14"/>
        <v>google pixel|electronics|799|Samsung</v>
      </c>
      <c r="G123" t="b">
        <f t="shared" si="15"/>
        <v>1</v>
      </c>
      <c r="H123" t="str">
        <f t="shared" si="16"/>
        <v>google pixel</v>
      </c>
      <c r="I123" t="str">
        <f t="shared" si="17"/>
        <v>Google Pixel</v>
      </c>
      <c r="J123" t="str">
        <f t="shared" si="18"/>
        <v>Samsung</v>
      </c>
      <c r="K123" t="str">
        <f t="shared" si="19"/>
        <v>Samsung</v>
      </c>
      <c r="L123" t="str">
        <f t="shared" si="20"/>
        <v>Electronics</v>
      </c>
      <c r="M123">
        <f t="shared" si="21"/>
        <v>14</v>
      </c>
      <c r="N123">
        <f t="shared" si="22"/>
        <v>12</v>
      </c>
      <c r="O123" s="6">
        <f t="shared" si="23"/>
        <v>799</v>
      </c>
      <c r="P123" t="str">
        <f t="shared" si="24"/>
        <v>Electronics</v>
      </c>
      <c r="Q123">
        <f t="shared" si="25"/>
        <v>799</v>
      </c>
      <c r="R123" t="str">
        <f t="shared" si="26"/>
        <v>Google Pixel|Electronics|799|Samsung</v>
      </c>
      <c r="S123" t="b">
        <f t="shared" si="27"/>
        <v>1</v>
      </c>
    </row>
    <row r="124" spans="1:19" x14ac:dyDescent="0.45">
      <c r="A124" t="s">
        <v>210</v>
      </c>
      <c r="B124" t="s">
        <v>65</v>
      </c>
      <c r="C124" t="s">
        <v>96</v>
      </c>
      <c r="D124" t="s">
        <v>55</v>
      </c>
      <c r="E124" t="s">
        <v>91</v>
      </c>
      <c r="F124" t="str">
        <f t="shared" si="14"/>
        <v>apple iphone 14|Gadgets|799|Apple</v>
      </c>
      <c r="G124" t="b">
        <f t="shared" si="15"/>
        <v>1</v>
      </c>
      <c r="H124" t="str">
        <f t="shared" si="16"/>
        <v>apple iphone 14</v>
      </c>
      <c r="I124" t="str">
        <f t="shared" si="17"/>
        <v>Apple Iphone 14</v>
      </c>
      <c r="J124" t="str">
        <f t="shared" si="18"/>
        <v>Apple</v>
      </c>
      <c r="K124" t="str">
        <f t="shared" si="19"/>
        <v>Apple</v>
      </c>
      <c r="L124" t="str">
        <f t="shared" si="20"/>
        <v>Gadgets</v>
      </c>
      <c r="M124">
        <f t="shared" si="21"/>
        <v>17</v>
      </c>
      <c r="N124">
        <f t="shared" si="22"/>
        <v>15</v>
      </c>
      <c r="O124" s="6">
        <f t="shared" si="23"/>
        <v>799</v>
      </c>
      <c r="P124" t="str">
        <f t="shared" si="24"/>
        <v>Gadgets</v>
      </c>
      <c r="Q124">
        <f t="shared" si="25"/>
        <v>799</v>
      </c>
      <c r="R124" t="str">
        <f t="shared" si="26"/>
        <v>Apple Iphone 14|Gadgets|799|Apple</v>
      </c>
      <c r="S124" t="b">
        <f t="shared" si="27"/>
        <v>1</v>
      </c>
    </row>
    <row r="125" spans="1:19" x14ac:dyDescent="0.45">
      <c r="A125" t="s">
        <v>211</v>
      </c>
      <c r="B125" t="s">
        <v>102</v>
      </c>
      <c r="C125" t="s">
        <v>123</v>
      </c>
      <c r="D125" t="s">
        <v>88</v>
      </c>
      <c r="E125" t="s">
        <v>82</v>
      </c>
      <c r="F125" t="str">
        <f t="shared" si="14"/>
        <v>GOOGLE PIXEL|Electronics|USD 799|APPLE</v>
      </c>
      <c r="G125" t="b">
        <f t="shared" si="15"/>
        <v>1</v>
      </c>
      <c r="H125" t="str">
        <f t="shared" si="16"/>
        <v>GOOGLE PIXEL</v>
      </c>
      <c r="I125" t="str">
        <f t="shared" si="17"/>
        <v>Google Pixel</v>
      </c>
      <c r="J125" t="str">
        <f t="shared" si="18"/>
        <v>APPLE</v>
      </c>
      <c r="K125" t="str">
        <f t="shared" si="19"/>
        <v>Apple</v>
      </c>
      <c r="L125" t="str">
        <f t="shared" si="20"/>
        <v>Electronics</v>
      </c>
      <c r="M125">
        <f t="shared" si="21"/>
        <v>13</v>
      </c>
      <c r="N125">
        <f t="shared" si="22"/>
        <v>12</v>
      </c>
      <c r="O125" s="6">
        <f t="shared" si="23"/>
        <v>799</v>
      </c>
      <c r="P125" t="str">
        <f t="shared" si="24"/>
        <v>Electronics</v>
      </c>
      <c r="Q125">
        <f t="shared" si="25"/>
        <v>799</v>
      </c>
      <c r="R125" t="str">
        <f t="shared" si="26"/>
        <v>Google Pixel|Electronics|799|Apple</v>
      </c>
      <c r="S125" t="b">
        <f t="shared" si="27"/>
        <v>1</v>
      </c>
    </row>
    <row r="126" spans="1:19" x14ac:dyDescent="0.45">
      <c r="A126" t="s">
        <v>212</v>
      </c>
      <c r="B126" t="s">
        <v>102</v>
      </c>
      <c r="C126" t="s">
        <v>94</v>
      </c>
      <c r="D126" t="s">
        <v>69</v>
      </c>
      <c r="E126" t="s">
        <v>82</v>
      </c>
      <c r="F126" t="str">
        <f t="shared" si="14"/>
        <v>GOOGLE PIXEL|gadgets|799|APPLE</v>
      </c>
      <c r="G126" t="b">
        <f t="shared" si="15"/>
        <v>1</v>
      </c>
      <c r="H126" t="str">
        <f t="shared" si="16"/>
        <v>GOOGLE PIXEL</v>
      </c>
      <c r="I126" t="str">
        <f t="shared" si="17"/>
        <v>Google Pixel</v>
      </c>
      <c r="J126" t="str">
        <f t="shared" si="18"/>
        <v>APPLE</v>
      </c>
      <c r="K126" t="str">
        <f t="shared" si="19"/>
        <v>Apple</v>
      </c>
      <c r="L126" t="str">
        <f t="shared" si="20"/>
        <v>Gadgets</v>
      </c>
      <c r="M126">
        <f t="shared" si="21"/>
        <v>13</v>
      </c>
      <c r="N126">
        <f t="shared" si="22"/>
        <v>12</v>
      </c>
      <c r="O126" s="6">
        <f t="shared" si="23"/>
        <v>799</v>
      </c>
      <c r="P126" t="str">
        <f t="shared" si="24"/>
        <v>Gadgets</v>
      </c>
      <c r="Q126">
        <f t="shared" si="25"/>
        <v>799</v>
      </c>
      <c r="R126" t="str">
        <f t="shared" si="26"/>
        <v>Google Pixel|Gadgets|799|Apple</v>
      </c>
      <c r="S126" t="b">
        <f t="shared" si="27"/>
        <v>1</v>
      </c>
    </row>
    <row r="127" spans="1:19" x14ac:dyDescent="0.45">
      <c r="A127" t="s">
        <v>213</v>
      </c>
      <c r="B127" t="s">
        <v>78</v>
      </c>
      <c r="C127" t="s">
        <v>85</v>
      </c>
      <c r="D127" t="s">
        <v>81</v>
      </c>
      <c r="E127" t="s">
        <v>82</v>
      </c>
      <c r="F127" t="str">
        <f t="shared" si="14"/>
        <v>samsung Galaxy|electronics|$799|APPLE</v>
      </c>
      <c r="G127" t="b">
        <f t="shared" si="15"/>
        <v>1</v>
      </c>
      <c r="H127" t="str">
        <f t="shared" si="16"/>
        <v>samsung Galaxy</v>
      </c>
      <c r="I127" t="str">
        <f t="shared" si="17"/>
        <v>Samsung Galaxy</v>
      </c>
      <c r="J127" t="str">
        <f t="shared" si="18"/>
        <v>APPLE</v>
      </c>
      <c r="K127" t="str">
        <f t="shared" si="19"/>
        <v>Apple</v>
      </c>
      <c r="L127" t="str">
        <f t="shared" si="20"/>
        <v>Electronics</v>
      </c>
      <c r="M127">
        <f t="shared" si="21"/>
        <v>15</v>
      </c>
      <c r="N127">
        <f t="shared" si="22"/>
        <v>14</v>
      </c>
      <c r="O127" s="6">
        <f t="shared" si="23"/>
        <v>799</v>
      </c>
      <c r="P127" t="str">
        <f t="shared" si="24"/>
        <v>Electronics</v>
      </c>
      <c r="Q127">
        <f t="shared" si="25"/>
        <v>799</v>
      </c>
      <c r="R127" t="str">
        <f t="shared" si="26"/>
        <v>Samsung Galaxy|Electronics|799|Apple</v>
      </c>
      <c r="S127" t="b">
        <f t="shared" si="27"/>
        <v>1</v>
      </c>
    </row>
    <row r="128" spans="1:19" x14ac:dyDescent="0.45">
      <c r="A128" t="s">
        <v>214</v>
      </c>
      <c r="B128" t="s">
        <v>138</v>
      </c>
      <c r="C128" t="s">
        <v>123</v>
      </c>
      <c r="D128" t="s">
        <v>74</v>
      </c>
      <c r="E128" t="s">
        <v>63</v>
      </c>
      <c r="F128" t="str">
        <f t="shared" si="14"/>
        <v>APPLE IPHONE 14|Electronics|799|Google</v>
      </c>
      <c r="G128" t="b">
        <f t="shared" si="15"/>
        <v>1</v>
      </c>
      <c r="H128" t="str">
        <f t="shared" si="16"/>
        <v>APPLE IPHONE 14</v>
      </c>
      <c r="I128" t="str">
        <f t="shared" si="17"/>
        <v>Apple Iphone 14</v>
      </c>
      <c r="J128" t="str">
        <f t="shared" si="18"/>
        <v>Google</v>
      </c>
      <c r="K128" t="str">
        <f t="shared" si="19"/>
        <v>Google</v>
      </c>
      <c r="L128" t="str">
        <f t="shared" si="20"/>
        <v>Electronics</v>
      </c>
      <c r="M128">
        <f t="shared" si="21"/>
        <v>15</v>
      </c>
      <c r="N128">
        <f t="shared" si="22"/>
        <v>15</v>
      </c>
      <c r="O128" s="6">
        <f t="shared" si="23"/>
        <v>799</v>
      </c>
      <c r="P128" t="str">
        <f t="shared" si="24"/>
        <v>Electronics</v>
      </c>
      <c r="Q128">
        <f t="shared" si="25"/>
        <v>799</v>
      </c>
      <c r="R128" t="str">
        <f t="shared" si="26"/>
        <v>Apple Iphone 14|Electronics|799|Google</v>
      </c>
      <c r="S128" t="b">
        <f t="shared" si="27"/>
        <v>1</v>
      </c>
    </row>
    <row r="129" spans="1:19" x14ac:dyDescent="0.45">
      <c r="A129" t="s">
        <v>215</v>
      </c>
      <c r="B129" t="s">
        <v>87</v>
      </c>
      <c r="C129" t="s">
        <v>96</v>
      </c>
      <c r="D129" t="s">
        <v>81</v>
      </c>
      <c r="E129" t="s">
        <v>91</v>
      </c>
      <c r="F129" t="str">
        <f t="shared" si="14"/>
        <v>Google Pixel|Gadgets|$799|Apple</v>
      </c>
      <c r="G129" t="b">
        <f t="shared" si="15"/>
        <v>1</v>
      </c>
      <c r="H129" t="str">
        <f t="shared" si="16"/>
        <v>Google Pixel</v>
      </c>
      <c r="I129" t="str">
        <f t="shared" si="17"/>
        <v>Google Pixel</v>
      </c>
      <c r="J129" t="str">
        <f t="shared" si="18"/>
        <v>Apple</v>
      </c>
      <c r="K129" t="str">
        <f t="shared" si="19"/>
        <v>Apple</v>
      </c>
      <c r="L129" t="str">
        <f t="shared" si="20"/>
        <v>Gadgets</v>
      </c>
      <c r="M129">
        <f t="shared" si="21"/>
        <v>12</v>
      </c>
      <c r="N129">
        <f t="shared" si="22"/>
        <v>12</v>
      </c>
      <c r="O129" s="6">
        <f t="shared" si="23"/>
        <v>799</v>
      </c>
      <c r="P129" t="str">
        <f t="shared" si="24"/>
        <v>Gadgets</v>
      </c>
      <c r="Q129">
        <f t="shared" si="25"/>
        <v>799</v>
      </c>
      <c r="R129" t="str">
        <f t="shared" si="26"/>
        <v>Google Pixel|Gadgets|799|Apple</v>
      </c>
      <c r="S129" t="b">
        <f t="shared" si="27"/>
        <v>1</v>
      </c>
    </row>
    <row r="130" spans="1:19" x14ac:dyDescent="0.45">
      <c r="A130" t="s">
        <v>216</v>
      </c>
      <c r="B130" t="s">
        <v>106</v>
      </c>
      <c r="C130" t="s">
        <v>61</v>
      </c>
      <c r="D130" t="s">
        <v>66</v>
      </c>
      <c r="E130" t="s">
        <v>70</v>
      </c>
      <c r="F130" t="str">
        <f t="shared" ref="F130:F193" si="28">TRIM(B130)&amp;"|"&amp;TRIM(C130)&amp;"|"&amp;TRIM(D130)&amp;"|"&amp;TRIM(E130)</f>
        <v>Samsung Galaxy|Electrnics|799.00|Samsung</v>
      </c>
      <c r="G130" t="b">
        <f t="shared" ref="G130:G193" si="29">COUNTIF($F$2:$F$565,F130)&gt;1</f>
        <v>0</v>
      </c>
      <c r="H130" t="str">
        <f t="shared" ref="H130:H193" si="30">TRIM(B130)</f>
        <v>Samsung Galaxy</v>
      </c>
      <c r="I130" t="str">
        <f t="shared" ref="I130:I193" si="31">PROPER(H130)</f>
        <v>Samsung Galaxy</v>
      </c>
      <c r="J130" t="str">
        <f t="shared" ref="J130:J193" si="32">TRIM(E130)</f>
        <v>Samsung</v>
      </c>
      <c r="K130" t="str">
        <f t="shared" ref="K130:K193" si="33">PROPER(J130)</f>
        <v>Samsung</v>
      </c>
      <c r="L130" t="str">
        <f t="shared" ref="L130:L193" si="34">IF(TRIM(C130)="","",IF(ISNUMBER(SEARCH("gadget",C130)),"Gadgets","Electronics"))</f>
        <v>Electronics</v>
      </c>
      <c r="M130">
        <f t="shared" ref="M130:M193" si="35">LEN(B130)</f>
        <v>14</v>
      </c>
      <c r="N130">
        <f t="shared" ref="N130:N193" si="36">LEN(H130)</f>
        <v>14</v>
      </c>
      <c r="O130" s="6">
        <f t="shared" ref="O130:O193" si="37">IF(TRIM(D130)="","",VALUE(TRIM(SUBSTITUTE(SUBSTITUTE(D130,"USD",""),"$",""))))</f>
        <v>799</v>
      </c>
      <c r="P130" t="str">
        <f t="shared" ref="P130:P193" si="38">IF(L130="","Not Available",L130)</f>
        <v>Electronics</v>
      </c>
      <c r="Q130">
        <f t="shared" ref="Q130:Q193" si="39">IF(O130="","Not Available",O130)</f>
        <v>799</v>
      </c>
      <c r="R130" t="str">
        <f t="shared" ref="R130:R193" si="40">I130&amp;"|"&amp;P130&amp;"|"&amp;Q130&amp;"|"&amp;K130</f>
        <v>Samsung Galaxy|Electronics|799|Samsung</v>
      </c>
      <c r="S130" t="b">
        <f t="shared" ref="S130:S193" si="41">COUNTIF($R$2:$R$565,R130)&gt;1</f>
        <v>1</v>
      </c>
    </row>
    <row r="131" spans="1:19" x14ac:dyDescent="0.45">
      <c r="A131" t="s">
        <v>217</v>
      </c>
      <c r="B131" t="s">
        <v>138</v>
      </c>
      <c r="C131" t="s">
        <v>123</v>
      </c>
      <c r="D131" t="s">
        <v>62</v>
      </c>
      <c r="E131" t="s">
        <v>70</v>
      </c>
      <c r="F131" t="str">
        <f t="shared" si="28"/>
        <v>APPLE IPHONE 14|Electronics|799.0|Samsung</v>
      </c>
      <c r="G131" t="b">
        <f t="shared" si="29"/>
        <v>1</v>
      </c>
      <c r="H131" t="str">
        <f t="shared" si="30"/>
        <v>APPLE IPHONE 14</v>
      </c>
      <c r="I131" t="str">
        <f t="shared" si="31"/>
        <v>Apple Iphone 14</v>
      </c>
      <c r="J131" t="str">
        <f t="shared" si="32"/>
        <v>Samsung</v>
      </c>
      <c r="K131" t="str">
        <f t="shared" si="33"/>
        <v>Samsung</v>
      </c>
      <c r="L131" t="str">
        <f t="shared" si="34"/>
        <v>Electronics</v>
      </c>
      <c r="M131">
        <f t="shared" si="35"/>
        <v>15</v>
      </c>
      <c r="N131">
        <f t="shared" si="36"/>
        <v>15</v>
      </c>
      <c r="O131" s="6">
        <f t="shared" si="37"/>
        <v>799</v>
      </c>
      <c r="P131" t="str">
        <f t="shared" si="38"/>
        <v>Electronics</v>
      </c>
      <c r="Q131">
        <f t="shared" si="39"/>
        <v>799</v>
      </c>
      <c r="R131" t="str">
        <f t="shared" si="40"/>
        <v>Apple Iphone 14|Electronics|799|Samsung</v>
      </c>
      <c r="S131" t="b">
        <f t="shared" si="41"/>
        <v>1</v>
      </c>
    </row>
    <row r="132" spans="1:19" x14ac:dyDescent="0.45">
      <c r="A132" t="s">
        <v>218</v>
      </c>
      <c r="B132" t="s">
        <v>60</v>
      </c>
      <c r="C132" t="s">
        <v>123</v>
      </c>
      <c r="D132" t="s">
        <v>62</v>
      </c>
      <c r="E132" t="s">
        <v>82</v>
      </c>
      <c r="F132" t="str">
        <f t="shared" si="28"/>
        <v>apple iPhone 14|Electronics|799.0|APPLE</v>
      </c>
      <c r="G132" t="b">
        <f t="shared" si="29"/>
        <v>1</v>
      </c>
      <c r="H132" t="str">
        <f t="shared" si="30"/>
        <v>apple iPhone 14</v>
      </c>
      <c r="I132" t="str">
        <f t="shared" si="31"/>
        <v>Apple Iphone 14</v>
      </c>
      <c r="J132" t="str">
        <f t="shared" si="32"/>
        <v>APPLE</v>
      </c>
      <c r="K132" t="str">
        <f t="shared" si="33"/>
        <v>Apple</v>
      </c>
      <c r="L132" t="str">
        <f t="shared" si="34"/>
        <v>Electronics</v>
      </c>
      <c r="M132">
        <f t="shared" si="35"/>
        <v>15</v>
      </c>
      <c r="N132">
        <f t="shared" si="36"/>
        <v>15</v>
      </c>
      <c r="O132" s="6">
        <f t="shared" si="37"/>
        <v>799</v>
      </c>
      <c r="P132" t="str">
        <f t="shared" si="38"/>
        <v>Electronics</v>
      </c>
      <c r="Q132">
        <f t="shared" si="39"/>
        <v>799</v>
      </c>
      <c r="R132" t="str">
        <f t="shared" si="40"/>
        <v>Apple Iphone 14|Electronics|799|Apple</v>
      </c>
      <c r="S132" t="b">
        <f t="shared" si="41"/>
        <v>1</v>
      </c>
    </row>
    <row r="133" spans="1:19" x14ac:dyDescent="0.45">
      <c r="A133" t="s">
        <v>219</v>
      </c>
      <c r="B133" t="s">
        <v>93</v>
      </c>
      <c r="C133" t="s">
        <v>73</v>
      </c>
      <c r="D133" t="s">
        <v>69</v>
      </c>
      <c r="E133" t="s">
        <v>91</v>
      </c>
      <c r="F133" t="str">
        <f t="shared" si="28"/>
        <v>SAMSUNG GALAXY|Electro|799|Apple</v>
      </c>
      <c r="G133" t="b">
        <f t="shared" si="29"/>
        <v>1</v>
      </c>
      <c r="H133" t="str">
        <f t="shared" si="30"/>
        <v>SAMSUNG GALAXY</v>
      </c>
      <c r="I133" t="str">
        <f t="shared" si="31"/>
        <v>Samsung Galaxy</v>
      </c>
      <c r="J133" t="str">
        <f t="shared" si="32"/>
        <v>Apple</v>
      </c>
      <c r="K133" t="str">
        <f t="shared" si="33"/>
        <v>Apple</v>
      </c>
      <c r="L133" t="str">
        <f t="shared" si="34"/>
        <v>Electronics</v>
      </c>
      <c r="M133">
        <f t="shared" si="35"/>
        <v>14</v>
      </c>
      <c r="N133">
        <f t="shared" si="36"/>
        <v>14</v>
      </c>
      <c r="O133" s="6">
        <f t="shared" si="37"/>
        <v>799</v>
      </c>
      <c r="P133" t="str">
        <f t="shared" si="38"/>
        <v>Electronics</v>
      </c>
      <c r="Q133">
        <f t="shared" si="39"/>
        <v>799</v>
      </c>
      <c r="R133" t="str">
        <f t="shared" si="40"/>
        <v>Samsung Galaxy|Electronics|799|Apple</v>
      </c>
      <c r="S133" t="b">
        <f t="shared" si="41"/>
        <v>1</v>
      </c>
    </row>
    <row r="134" spans="1:19" x14ac:dyDescent="0.45">
      <c r="A134" t="s">
        <v>220</v>
      </c>
      <c r="B134" t="s">
        <v>87</v>
      </c>
      <c r="C134" t="s">
        <v>96</v>
      </c>
      <c r="D134" t="s">
        <v>81</v>
      </c>
      <c r="E134" t="s">
        <v>82</v>
      </c>
      <c r="F134" t="str">
        <f t="shared" si="28"/>
        <v>Google Pixel|Gadgets|$799|APPLE</v>
      </c>
      <c r="G134" t="b">
        <f t="shared" si="29"/>
        <v>1</v>
      </c>
      <c r="H134" t="str">
        <f t="shared" si="30"/>
        <v>Google Pixel</v>
      </c>
      <c r="I134" t="str">
        <f t="shared" si="31"/>
        <v>Google Pixel</v>
      </c>
      <c r="J134" t="str">
        <f t="shared" si="32"/>
        <v>APPLE</v>
      </c>
      <c r="K134" t="str">
        <f t="shared" si="33"/>
        <v>Apple</v>
      </c>
      <c r="L134" t="str">
        <f t="shared" si="34"/>
        <v>Gadgets</v>
      </c>
      <c r="M134">
        <f t="shared" si="35"/>
        <v>12</v>
      </c>
      <c r="N134">
        <f t="shared" si="36"/>
        <v>12</v>
      </c>
      <c r="O134" s="6">
        <f t="shared" si="37"/>
        <v>799</v>
      </c>
      <c r="P134" t="str">
        <f t="shared" si="38"/>
        <v>Gadgets</v>
      </c>
      <c r="Q134">
        <f t="shared" si="39"/>
        <v>799</v>
      </c>
      <c r="R134" t="str">
        <f t="shared" si="40"/>
        <v>Google Pixel|Gadgets|799|Apple</v>
      </c>
      <c r="S134" t="b">
        <f t="shared" si="41"/>
        <v>1</v>
      </c>
    </row>
    <row r="135" spans="1:19" x14ac:dyDescent="0.45">
      <c r="A135" t="s">
        <v>221</v>
      </c>
      <c r="B135" t="s">
        <v>87</v>
      </c>
      <c r="C135" t="s">
        <v>123</v>
      </c>
      <c r="D135" t="s">
        <v>62</v>
      </c>
      <c r="E135" t="s">
        <v>89</v>
      </c>
      <c r="F135" t="str">
        <f t="shared" si="28"/>
        <v>Google Pixel|Electronics|799.0|Apple</v>
      </c>
      <c r="G135" t="b">
        <f t="shared" si="29"/>
        <v>0</v>
      </c>
      <c r="H135" t="str">
        <f t="shared" si="30"/>
        <v>Google Pixel</v>
      </c>
      <c r="I135" t="str">
        <f t="shared" si="31"/>
        <v>Google Pixel</v>
      </c>
      <c r="J135" t="str">
        <f t="shared" si="32"/>
        <v>Apple</v>
      </c>
      <c r="K135" t="str">
        <f t="shared" si="33"/>
        <v>Apple</v>
      </c>
      <c r="L135" t="str">
        <f t="shared" si="34"/>
        <v>Electronics</v>
      </c>
      <c r="M135">
        <f t="shared" si="35"/>
        <v>12</v>
      </c>
      <c r="N135">
        <f t="shared" si="36"/>
        <v>12</v>
      </c>
      <c r="O135" s="6">
        <f t="shared" si="37"/>
        <v>799</v>
      </c>
      <c r="P135" t="str">
        <f t="shared" si="38"/>
        <v>Electronics</v>
      </c>
      <c r="Q135">
        <f t="shared" si="39"/>
        <v>799</v>
      </c>
      <c r="R135" t="str">
        <f t="shared" si="40"/>
        <v>Google Pixel|Electronics|799|Apple</v>
      </c>
      <c r="S135" t="b">
        <f t="shared" si="41"/>
        <v>1</v>
      </c>
    </row>
    <row r="136" spans="1:19" x14ac:dyDescent="0.45">
      <c r="A136" t="s">
        <v>222</v>
      </c>
      <c r="B136" t="s">
        <v>58</v>
      </c>
      <c r="C136" t="s">
        <v>123</v>
      </c>
      <c r="D136" t="s">
        <v>74</v>
      </c>
      <c r="E136" t="s">
        <v>91</v>
      </c>
      <c r="F136" t="str">
        <f t="shared" si="28"/>
        <v>Google pixel|Electronics|799|Apple</v>
      </c>
      <c r="G136" t="b">
        <f t="shared" si="29"/>
        <v>1</v>
      </c>
      <c r="H136" t="str">
        <f t="shared" si="30"/>
        <v>Google pixel</v>
      </c>
      <c r="I136" t="str">
        <f t="shared" si="31"/>
        <v>Google Pixel</v>
      </c>
      <c r="J136" t="str">
        <f t="shared" si="32"/>
        <v>Apple</v>
      </c>
      <c r="K136" t="str">
        <f t="shared" si="33"/>
        <v>Apple</v>
      </c>
      <c r="L136" t="str">
        <f t="shared" si="34"/>
        <v>Electronics</v>
      </c>
      <c r="M136">
        <f t="shared" si="35"/>
        <v>12</v>
      </c>
      <c r="N136">
        <f t="shared" si="36"/>
        <v>12</v>
      </c>
      <c r="O136" s="6">
        <f t="shared" si="37"/>
        <v>799</v>
      </c>
      <c r="P136" t="str">
        <f t="shared" si="38"/>
        <v>Electronics</v>
      </c>
      <c r="Q136">
        <f t="shared" si="39"/>
        <v>799</v>
      </c>
      <c r="R136" t="str">
        <f t="shared" si="40"/>
        <v>Google Pixel|Electronics|799|Apple</v>
      </c>
      <c r="S136" t="b">
        <f t="shared" si="41"/>
        <v>1</v>
      </c>
    </row>
    <row r="137" spans="1:19" x14ac:dyDescent="0.45">
      <c r="A137" t="s">
        <v>223</v>
      </c>
      <c r="B137" t="s">
        <v>106</v>
      </c>
      <c r="C137" t="s">
        <v>85</v>
      </c>
      <c r="D137" t="s">
        <v>66</v>
      </c>
      <c r="E137" t="s">
        <v>70</v>
      </c>
      <c r="F137" t="str">
        <f t="shared" si="28"/>
        <v>Samsung Galaxy|electronics|799.00|Samsung</v>
      </c>
      <c r="G137" t="b">
        <f t="shared" si="29"/>
        <v>1</v>
      </c>
      <c r="H137" t="str">
        <f t="shared" si="30"/>
        <v>Samsung Galaxy</v>
      </c>
      <c r="I137" t="str">
        <f t="shared" si="31"/>
        <v>Samsung Galaxy</v>
      </c>
      <c r="J137" t="str">
        <f t="shared" si="32"/>
        <v>Samsung</v>
      </c>
      <c r="K137" t="str">
        <f t="shared" si="33"/>
        <v>Samsung</v>
      </c>
      <c r="L137" t="str">
        <f t="shared" si="34"/>
        <v>Electronics</v>
      </c>
      <c r="M137">
        <f t="shared" si="35"/>
        <v>14</v>
      </c>
      <c r="N137">
        <f t="shared" si="36"/>
        <v>14</v>
      </c>
      <c r="O137" s="6">
        <f t="shared" si="37"/>
        <v>799</v>
      </c>
      <c r="P137" t="str">
        <f t="shared" si="38"/>
        <v>Electronics</v>
      </c>
      <c r="Q137">
        <f t="shared" si="39"/>
        <v>799</v>
      </c>
      <c r="R137" t="str">
        <f t="shared" si="40"/>
        <v>Samsung Galaxy|Electronics|799|Samsung</v>
      </c>
      <c r="S137" t="b">
        <f t="shared" si="41"/>
        <v>1</v>
      </c>
    </row>
    <row r="138" spans="1:19" x14ac:dyDescent="0.45">
      <c r="A138" t="s">
        <v>224</v>
      </c>
      <c r="B138" t="s">
        <v>109</v>
      </c>
      <c r="C138" t="s">
        <v>73</v>
      </c>
      <c r="D138" t="s">
        <v>81</v>
      </c>
      <c r="E138" t="s">
        <v>63</v>
      </c>
      <c r="F138" t="str">
        <f t="shared" si="28"/>
        <v>Apple iPhone14|Electro|$799|Google</v>
      </c>
      <c r="G138" t="b">
        <f t="shared" si="29"/>
        <v>0</v>
      </c>
      <c r="H138" t="str">
        <f t="shared" si="30"/>
        <v>Apple iPhone14</v>
      </c>
      <c r="I138" t="str">
        <f t="shared" si="31"/>
        <v>Apple Iphone14</v>
      </c>
      <c r="J138" t="str">
        <f t="shared" si="32"/>
        <v>Google</v>
      </c>
      <c r="K138" t="str">
        <f t="shared" si="33"/>
        <v>Google</v>
      </c>
      <c r="L138" t="str">
        <f t="shared" si="34"/>
        <v>Electronics</v>
      </c>
      <c r="M138">
        <f t="shared" si="35"/>
        <v>15</v>
      </c>
      <c r="N138">
        <f t="shared" si="36"/>
        <v>14</v>
      </c>
      <c r="O138" s="6">
        <f t="shared" si="37"/>
        <v>799</v>
      </c>
      <c r="P138" t="str">
        <f t="shared" si="38"/>
        <v>Electronics</v>
      </c>
      <c r="Q138">
        <f t="shared" si="39"/>
        <v>799</v>
      </c>
      <c r="R138" t="str">
        <f t="shared" si="40"/>
        <v>Apple Iphone14|Electronics|799|Google</v>
      </c>
      <c r="S138" t="b">
        <f t="shared" si="41"/>
        <v>1</v>
      </c>
    </row>
    <row r="139" spans="1:19" x14ac:dyDescent="0.45">
      <c r="A139" t="s">
        <v>225</v>
      </c>
      <c r="B139" t="s">
        <v>109</v>
      </c>
      <c r="C139" t="s">
        <v>94</v>
      </c>
      <c r="D139" t="s">
        <v>69</v>
      </c>
      <c r="E139" t="s">
        <v>63</v>
      </c>
      <c r="F139" t="str">
        <f t="shared" si="28"/>
        <v>Apple iPhone14|gadgets|799|Google</v>
      </c>
      <c r="G139" t="b">
        <f t="shared" si="29"/>
        <v>1</v>
      </c>
      <c r="H139" t="str">
        <f t="shared" si="30"/>
        <v>Apple iPhone14</v>
      </c>
      <c r="I139" t="str">
        <f t="shared" si="31"/>
        <v>Apple Iphone14</v>
      </c>
      <c r="J139" t="str">
        <f t="shared" si="32"/>
        <v>Google</v>
      </c>
      <c r="K139" t="str">
        <f t="shared" si="33"/>
        <v>Google</v>
      </c>
      <c r="L139" t="str">
        <f t="shared" si="34"/>
        <v>Gadgets</v>
      </c>
      <c r="M139">
        <f t="shared" si="35"/>
        <v>15</v>
      </c>
      <c r="N139">
        <f t="shared" si="36"/>
        <v>14</v>
      </c>
      <c r="O139" s="6">
        <f t="shared" si="37"/>
        <v>799</v>
      </c>
      <c r="P139" t="str">
        <f t="shared" si="38"/>
        <v>Gadgets</v>
      </c>
      <c r="Q139">
        <f t="shared" si="39"/>
        <v>799</v>
      </c>
      <c r="R139" t="str">
        <f t="shared" si="40"/>
        <v>Apple Iphone14|Gadgets|799|Google</v>
      </c>
      <c r="S139" t="b">
        <f t="shared" si="41"/>
        <v>1</v>
      </c>
    </row>
    <row r="140" spans="1:19" x14ac:dyDescent="0.45">
      <c r="A140" t="s">
        <v>226</v>
      </c>
      <c r="B140" t="s">
        <v>106</v>
      </c>
      <c r="C140" t="s">
        <v>96</v>
      </c>
      <c r="D140" t="s">
        <v>81</v>
      </c>
      <c r="E140" t="s">
        <v>82</v>
      </c>
      <c r="F140" t="str">
        <f t="shared" si="28"/>
        <v>Samsung Galaxy|Gadgets|$799|APPLE</v>
      </c>
      <c r="G140" t="b">
        <f t="shared" si="29"/>
        <v>1</v>
      </c>
      <c r="H140" t="str">
        <f t="shared" si="30"/>
        <v>Samsung Galaxy</v>
      </c>
      <c r="I140" t="str">
        <f t="shared" si="31"/>
        <v>Samsung Galaxy</v>
      </c>
      <c r="J140" t="str">
        <f t="shared" si="32"/>
        <v>APPLE</v>
      </c>
      <c r="K140" t="str">
        <f t="shared" si="33"/>
        <v>Apple</v>
      </c>
      <c r="L140" t="str">
        <f t="shared" si="34"/>
        <v>Gadgets</v>
      </c>
      <c r="M140">
        <f t="shared" si="35"/>
        <v>14</v>
      </c>
      <c r="N140">
        <f t="shared" si="36"/>
        <v>14</v>
      </c>
      <c r="O140" s="6">
        <f t="shared" si="37"/>
        <v>799</v>
      </c>
      <c r="P140" t="str">
        <f t="shared" si="38"/>
        <v>Gadgets</v>
      </c>
      <c r="Q140">
        <f t="shared" si="39"/>
        <v>799</v>
      </c>
      <c r="R140" t="str">
        <f t="shared" si="40"/>
        <v>Samsung Galaxy|Gadgets|799|Apple</v>
      </c>
      <c r="S140" t="b">
        <f t="shared" si="41"/>
        <v>1</v>
      </c>
    </row>
    <row r="141" spans="1:19" x14ac:dyDescent="0.45">
      <c r="A141" t="s">
        <v>227</v>
      </c>
      <c r="B141" t="s">
        <v>138</v>
      </c>
      <c r="C141" t="s">
        <v>73</v>
      </c>
      <c r="D141" t="s">
        <v>55</v>
      </c>
      <c r="E141" t="s">
        <v>67</v>
      </c>
      <c r="F141" t="str">
        <f t="shared" si="28"/>
        <v>APPLE IPHONE 14|Electro|799|apple</v>
      </c>
      <c r="G141" t="b">
        <f t="shared" si="29"/>
        <v>1</v>
      </c>
      <c r="H141" t="str">
        <f t="shared" si="30"/>
        <v>APPLE IPHONE 14</v>
      </c>
      <c r="I141" t="str">
        <f t="shared" si="31"/>
        <v>Apple Iphone 14</v>
      </c>
      <c r="J141" t="str">
        <f t="shared" si="32"/>
        <v>apple</v>
      </c>
      <c r="K141" t="str">
        <f t="shared" si="33"/>
        <v>Apple</v>
      </c>
      <c r="L141" t="str">
        <f t="shared" si="34"/>
        <v>Electronics</v>
      </c>
      <c r="M141">
        <f t="shared" si="35"/>
        <v>15</v>
      </c>
      <c r="N141">
        <f t="shared" si="36"/>
        <v>15</v>
      </c>
      <c r="O141" s="6">
        <f t="shared" si="37"/>
        <v>799</v>
      </c>
      <c r="P141" t="str">
        <f t="shared" si="38"/>
        <v>Electronics</v>
      </c>
      <c r="Q141">
        <f t="shared" si="39"/>
        <v>799</v>
      </c>
      <c r="R141" t="str">
        <f t="shared" si="40"/>
        <v>Apple Iphone 14|Electronics|799|Apple</v>
      </c>
      <c r="S141" t="b">
        <f t="shared" si="41"/>
        <v>1</v>
      </c>
    </row>
    <row r="142" spans="1:19" x14ac:dyDescent="0.45">
      <c r="A142" t="s">
        <v>228</v>
      </c>
      <c r="B142" t="s">
        <v>106</v>
      </c>
      <c r="C142" t="s">
        <v>61</v>
      </c>
      <c r="D142" t="s">
        <v>69</v>
      </c>
      <c r="E142" t="s">
        <v>67</v>
      </c>
      <c r="F142" t="str">
        <f t="shared" si="28"/>
        <v>Samsung Galaxy|Electrnics|799|apple</v>
      </c>
      <c r="G142" t="b">
        <f t="shared" si="29"/>
        <v>1</v>
      </c>
      <c r="H142" t="str">
        <f t="shared" si="30"/>
        <v>Samsung Galaxy</v>
      </c>
      <c r="I142" t="str">
        <f t="shared" si="31"/>
        <v>Samsung Galaxy</v>
      </c>
      <c r="J142" t="str">
        <f t="shared" si="32"/>
        <v>apple</v>
      </c>
      <c r="K142" t="str">
        <f t="shared" si="33"/>
        <v>Apple</v>
      </c>
      <c r="L142" t="str">
        <f t="shared" si="34"/>
        <v>Electronics</v>
      </c>
      <c r="M142">
        <f t="shared" si="35"/>
        <v>14</v>
      </c>
      <c r="N142">
        <f t="shared" si="36"/>
        <v>14</v>
      </c>
      <c r="O142" s="6">
        <f t="shared" si="37"/>
        <v>799</v>
      </c>
      <c r="P142" t="str">
        <f t="shared" si="38"/>
        <v>Electronics</v>
      </c>
      <c r="Q142">
        <f t="shared" si="39"/>
        <v>799</v>
      </c>
      <c r="R142" t="str">
        <f t="shared" si="40"/>
        <v>Samsung Galaxy|Electronics|799|Apple</v>
      </c>
      <c r="S142" t="b">
        <f t="shared" si="41"/>
        <v>1</v>
      </c>
    </row>
    <row r="143" spans="1:19" x14ac:dyDescent="0.45">
      <c r="A143" t="s">
        <v>229</v>
      </c>
      <c r="B143" t="s">
        <v>65</v>
      </c>
      <c r="D143" t="s">
        <v>62</v>
      </c>
      <c r="E143" t="s">
        <v>89</v>
      </c>
      <c r="F143" t="str">
        <f t="shared" si="28"/>
        <v>apple iphone 14||799.0|Apple</v>
      </c>
      <c r="G143" t="b">
        <f t="shared" si="29"/>
        <v>1</v>
      </c>
      <c r="H143" t="str">
        <f t="shared" si="30"/>
        <v>apple iphone 14</v>
      </c>
      <c r="I143" t="str">
        <f t="shared" si="31"/>
        <v>Apple Iphone 14</v>
      </c>
      <c r="J143" t="str">
        <f t="shared" si="32"/>
        <v>Apple</v>
      </c>
      <c r="K143" t="str">
        <f t="shared" si="33"/>
        <v>Apple</v>
      </c>
      <c r="L143" t="str">
        <f t="shared" si="34"/>
        <v/>
      </c>
      <c r="M143">
        <f t="shared" si="35"/>
        <v>17</v>
      </c>
      <c r="N143">
        <f t="shared" si="36"/>
        <v>15</v>
      </c>
      <c r="O143" s="6">
        <f t="shared" si="37"/>
        <v>799</v>
      </c>
      <c r="P143" t="str">
        <f t="shared" si="38"/>
        <v>Not Available</v>
      </c>
      <c r="Q143">
        <f t="shared" si="39"/>
        <v>799</v>
      </c>
      <c r="R143" t="str">
        <f t="shared" si="40"/>
        <v>Apple Iphone 14|Not Available|799|Apple</v>
      </c>
      <c r="S143" t="b">
        <f t="shared" si="41"/>
        <v>1</v>
      </c>
    </row>
    <row r="144" spans="1:19" x14ac:dyDescent="0.45">
      <c r="A144" t="s">
        <v>230</v>
      </c>
      <c r="B144" t="s">
        <v>102</v>
      </c>
      <c r="E144" t="s">
        <v>91</v>
      </c>
      <c r="F144" t="str">
        <f t="shared" si="28"/>
        <v>GOOGLE PIXEL|||Apple</v>
      </c>
      <c r="G144" t="b">
        <f t="shared" si="29"/>
        <v>1</v>
      </c>
      <c r="H144" t="str">
        <f t="shared" si="30"/>
        <v>GOOGLE PIXEL</v>
      </c>
      <c r="I144" t="str">
        <f t="shared" si="31"/>
        <v>Google Pixel</v>
      </c>
      <c r="J144" t="str">
        <f t="shared" si="32"/>
        <v>Apple</v>
      </c>
      <c r="K144" t="str">
        <f t="shared" si="33"/>
        <v>Apple</v>
      </c>
      <c r="L144" t="str">
        <f t="shared" si="34"/>
        <v/>
      </c>
      <c r="M144">
        <f t="shared" si="35"/>
        <v>13</v>
      </c>
      <c r="N144">
        <f t="shared" si="36"/>
        <v>12</v>
      </c>
      <c r="O144" s="6" t="str">
        <f t="shared" si="37"/>
        <v/>
      </c>
      <c r="P144" t="str">
        <f t="shared" si="38"/>
        <v>Not Available</v>
      </c>
      <c r="Q144" t="str">
        <f t="shared" si="39"/>
        <v>Not Available</v>
      </c>
      <c r="R144" t="str">
        <f t="shared" si="40"/>
        <v>Google Pixel|Not Available|Not Available|Apple</v>
      </c>
      <c r="S144" t="b">
        <f t="shared" si="41"/>
        <v>1</v>
      </c>
    </row>
    <row r="145" spans="1:19" x14ac:dyDescent="0.45">
      <c r="A145" t="s">
        <v>231</v>
      </c>
      <c r="B145" t="s">
        <v>102</v>
      </c>
      <c r="C145" t="s">
        <v>123</v>
      </c>
      <c r="D145" t="s">
        <v>88</v>
      </c>
      <c r="E145" t="s">
        <v>75</v>
      </c>
      <c r="F145" t="str">
        <f t="shared" si="28"/>
        <v>GOOGLE PIXEL|Electronics|USD 799|google</v>
      </c>
      <c r="G145" t="b">
        <f t="shared" si="29"/>
        <v>0</v>
      </c>
      <c r="H145" t="str">
        <f t="shared" si="30"/>
        <v>GOOGLE PIXEL</v>
      </c>
      <c r="I145" t="str">
        <f t="shared" si="31"/>
        <v>Google Pixel</v>
      </c>
      <c r="J145" t="str">
        <f t="shared" si="32"/>
        <v>google</v>
      </c>
      <c r="K145" t="str">
        <f t="shared" si="33"/>
        <v>Google</v>
      </c>
      <c r="L145" t="str">
        <f t="shared" si="34"/>
        <v>Electronics</v>
      </c>
      <c r="M145">
        <f t="shared" si="35"/>
        <v>13</v>
      </c>
      <c r="N145">
        <f t="shared" si="36"/>
        <v>12</v>
      </c>
      <c r="O145" s="6">
        <f t="shared" si="37"/>
        <v>799</v>
      </c>
      <c r="P145" t="str">
        <f t="shared" si="38"/>
        <v>Electronics</v>
      </c>
      <c r="Q145">
        <f t="shared" si="39"/>
        <v>799</v>
      </c>
      <c r="R145" t="str">
        <f t="shared" si="40"/>
        <v>Google Pixel|Electronics|799|Google</v>
      </c>
      <c r="S145" t="b">
        <f t="shared" si="41"/>
        <v>1</v>
      </c>
    </row>
    <row r="146" spans="1:19" x14ac:dyDescent="0.45">
      <c r="A146" t="s">
        <v>232</v>
      </c>
      <c r="B146" t="s">
        <v>102</v>
      </c>
      <c r="C146" t="s">
        <v>96</v>
      </c>
      <c r="D146" t="s">
        <v>62</v>
      </c>
      <c r="E146" t="s">
        <v>79</v>
      </c>
      <c r="F146" t="str">
        <f t="shared" si="28"/>
        <v>GOOGLE PIXEL|Gadgets|799.0|Samsung</v>
      </c>
      <c r="G146" t="b">
        <f t="shared" si="29"/>
        <v>1</v>
      </c>
      <c r="H146" t="str">
        <f t="shared" si="30"/>
        <v>GOOGLE PIXEL</v>
      </c>
      <c r="I146" t="str">
        <f t="shared" si="31"/>
        <v>Google Pixel</v>
      </c>
      <c r="J146" t="str">
        <f t="shared" si="32"/>
        <v>Samsung</v>
      </c>
      <c r="K146" t="str">
        <f t="shared" si="33"/>
        <v>Samsung</v>
      </c>
      <c r="L146" t="str">
        <f t="shared" si="34"/>
        <v>Gadgets</v>
      </c>
      <c r="M146">
        <f t="shared" si="35"/>
        <v>13</v>
      </c>
      <c r="N146">
        <f t="shared" si="36"/>
        <v>12</v>
      </c>
      <c r="O146" s="6">
        <f t="shared" si="37"/>
        <v>799</v>
      </c>
      <c r="P146" t="str">
        <f t="shared" si="38"/>
        <v>Gadgets</v>
      </c>
      <c r="Q146">
        <f t="shared" si="39"/>
        <v>799</v>
      </c>
      <c r="R146" t="str">
        <f t="shared" si="40"/>
        <v>Google Pixel|Gadgets|799|Samsung</v>
      </c>
      <c r="S146" t="b">
        <f t="shared" si="41"/>
        <v>1</v>
      </c>
    </row>
    <row r="147" spans="1:19" x14ac:dyDescent="0.45">
      <c r="A147" t="s">
        <v>233</v>
      </c>
      <c r="B147" t="s">
        <v>65</v>
      </c>
      <c r="C147" t="s">
        <v>73</v>
      </c>
      <c r="D147" t="s">
        <v>81</v>
      </c>
      <c r="E147" t="s">
        <v>82</v>
      </c>
      <c r="F147" t="str">
        <f t="shared" si="28"/>
        <v>apple iphone 14|Electro|$799|APPLE</v>
      </c>
      <c r="G147" t="b">
        <f t="shared" si="29"/>
        <v>1</v>
      </c>
      <c r="H147" t="str">
        <f t="shared" si="30"/>
        <v>apple iphone 14</v>
      </c>
      <c r="I147" t="str">
        <f t="shared" si="31"/>
        <v>Apple Iphone 14</v>
      </c>
      <c r="J147" t="str">
        <f t="shared" si="32"/>
        <v>APPLE</v>
      </c>
      <c r="K147" t="str">
        <f t="shared" si="33"/>
        <v>Apple</v>
      </c>
      <c r="L147" t="str">
        <f t="shared" si="34"/>
        <v>Electronics</v>
      </c>
      <c r="M147">
        <f t="shared" si="35"/>
        <v>17</v>
      </c>
      <c r="N147">
        <f t="shared" si="36"/>
        <v>15</v>
      </c>
      <c r="O147" s="6">
        <f t="shared" si="37"/>
        <v>799</v>
      </c>
      <c r="P147" t="str">
        <f t="shared" si="38"/>
        <v>Electronics</v>
      </c>
      <c r="Q147">
        <f t="shared" si="39"/>
        <v>799</v>
      </c>
      <c r="R147" t="str">
        <f t="shared" si="40"/>
        <v>Apple Iphone 14|Electronics|799|Apple</v>
      </c>
      <c r="S147" t="b">
        <f t="shared" si="41"/>
        <v>1</v>
      </c>
    </row>
    <row r="148" spans="1:19" x14ac:dyDescent="0.45">
      <c r="A148" t="s">
        <v>234</v>
      </c>
      <c r="B148" t="s">
        <v>54</v>
      </c>
      <c r="C148" t="s">
        <v>73</v>
      </c>
      <c r="D148" t="s">
        <v>88</v>
      </c>
      <c r="E148" t="s">
        <v>89</v>
      </c>
      <c r="F148" t="str">
        <f t="shared" si="28"/>
        <v>Samsung galaxy|Electro|USD 799|Apple</v>
      </c>
      <c r="G148" t="b">
        <f t="shared" si="29"/>
        <v>1</v>
      </c>
      <c r="H148" t="str">
        <f t="shared" si="30"/>
        <v>Samsung galaxy</v>
      </c>
      <c r="I148" t="str">
        <f t="shared" si="31"/>
        <v>Samsung Galaxy</v>
      </c>
      <c r="J148" t="str">
        <f t="shared" si="32"/>
        <v>Apple</v>
      </c>
      <c r="K148" t="str">
        <f t="shared" si="33"/>
        <v>Apple</v>
      </c>
      <c r="L148" t="str">
        <f t="shared" si="34"/>
        <v>Electronics</v>
      </c>
      <c r="M148">
        <f t="shared" si="35"/>
        <v>15</v>
      </c>
      <c r="N148">
        <f t="shared" si="36"/>
        <v>14</v>
      </c>
      <c r="O148" s="6">
        <f t="shared" si="37"/>
        <v>799</v>
      </c>
      <c r="P148" t="str">
        <f t="shared" si="38"/>
        <v>Electronics</v>
      </c>
      <c r="Q148">
        <f t="shared" si="39"/>
        <v>799</v>
      </c>
      <c r="R148" t="str">
        <f t="shared" si="40"/>
        <v>Samsung Galaxy|Electronics|799|Apple</v>
      </c>
      <c r="S148" t="b">
        <f t="shared" si="41"/>
        <v>1</v>
      </c>
    </row>
    <row r="149" spans="1:19" x14ac:dyDescent="0.45">
      <c r="A149" t="s">
        <v>235</v>
      </c>
      <c r="B149" t="s">
        <v>60</v>
      </c>
      <c r="E149" t="s">
        <v>63</v>
      </c>
      <c r="F149" t="str">
        <f t="shared" si="28"/>
        <v>apple iPhone 14|||Google</v>
      </c>
      <c r="G149" t="b">
        <f t="shared" si="29"/>
        <v>1</v>
      </c>
      <c r="H149" t="str">
        <f t="shared" si="30"/>
        <v>apple iPhone 14</v>
      </c>
      <c r="I149" t="str">
        <f t="shared" si="31"/>
        <v>Apple Iphone 14</v>
      </c>
      <c r="J149" t="str">
        <f t="shared" si="32"/>
        <v>Google</v>
      </c>
      <c r="K149" t="str">
        <f t="shared" si="33"/>
        <v>Google</v>
      </c>
      <c r="L149" t="str">
        <f t="shared" si="34"/>
        <v/>
      </c>
      <c r="M149">
        <f t="shared" si="35"/>
        <v>15</v>
      </c>
      <c r="N149">
        <f t="shared" si="36"/>
        <v>15</v>
      </c>
      <c r="O149" s="6" t="str">
        <f t="shared" si="37"/>
        <v/>
      </c>
      <c r="P149" t="str">
        <f t="shared" si="38"/>
        <v>Not Available</v>
      </c>
      <c r="Q149" t="str">
        <f t="shared" si="39"/>
        <v>Not Available</v>
      </c>
      <c r="R149" t="str">
        <f t="shared" si="40"/>
        <v>Apple Iphone 14|Not Available|Not Available|Google</v>
      </c>
      <c r="S149" t="b">
        <f t="shared" si="41"/>
        <v>1</v>
      </c>
    </row>
    <row r="150" spans="1:19" x14ac:dyDescent="0.45">
      <c r="A150" t="s">
        <v>236</v>
      </c>
      <c r="B150" t="s">
        <v>102</v>
      </c>
      <c r="C150" t="s">
        <v>85</v>
      </c>
      <c r="D150" t="s">
        <v>66</v>
      </c>
      <c r="E150" t="s">
        <v>70</v>
      </c>
      <c r="F150" t="str">
        <f t="shared" si="28"/>
        <v>GOOGLE PIXEL|electronics|799.00|Samsung</v>
      </c>
      <c r="G150" t="b">
        <f t="shared" si="29"/>
        <v>1</v>
      </c>
      <c r="H150" t="str">
        <f t="shared" si="30"/>
        <v>GOOGLE PIXEL</v>
      </c>
      <c r="I150" t="str">
        <f t="shared" si="31"/>
        <v>Google Pixel</v>
      </c>
      <c r="J150" t="str">
        <f t="shared" si="32"/>
        <v>Samsung</v>
      </c>
      <c r="K150" t="str">
        <f t="shared" si="33"/>
        <v>Samsung</v>
      </c>
      <c r="L150" t="str">
        <f t="shared" si="34"/>
        <v>Electronics</v>
      </c>
      <c r="M150">
        <f t="shared" si="35"/>
        <v>13</v>
      </c>
      <c r="N150">
        <f t="shared" si="36"/>
        <v>12</v>
      </c>
      <c r="O150" s="6">
        <f t="shared" si="37"/>
        <v>799</v>
      </c>
      <c r="P150" t="str">
        <f t="shared" si="38"/>
        <v>Electronics</v>
      </c>
      <c r="Q150">
        <f t="shared" si="39"/>
        <v>799</v>
      </c>
      <c r="R150" t="str">
        <f t="shared" si="40"/>
        <v>Google Pixel|Electronics|799|Samsung</v>
      </c>
      <c r="S150" t="b">
        <f t="shared" si="41"/>
        <v>1</v>
      </c>
    </row>
    <row r="151" spans="1:19" x14ac:dyDescent="0.45">
      <c r="A151" t="s">
        <v>237</v>
      </c>
      <c r="B151" t="s">
        <v>65</v>
      </c>
      <c r="C151" t="s">
        <v>94</v>
      </c>
      <c r="D151" t="s">
        <v>55</v>
      </c>
      <c r="E151" t="s">
        <v>63</v>
      </c>
      <c r="F151" t="str">
        <f t="shared" si="28"/>
        <v>apple iphone 14|gadgets|799|Google</v>
      </c>
      <c r="G151" t="b">
        <f t="shared" si="29"/>
        <v>1</v>
      </c>
      <c r="H151" t="str">
        <f t="shared" si="30"/>
        <v>apple iphone 14</v>
      </c>
      <c r="I151" t="str">
        <f t="shared" si="31"/>
        <v>Apple Iphone 14</v>
      </c>
      <c r="J151" t="str">
        <f t="shared" si="32"/>
        <v>Google</v>
      </c>
      <c r="K151" t="str">
        <f t="shared" si="33"/>
        <v>Google</v>
      </c>
      <c r="L151" t="str">
        <f t="shared" si="34"/>
        <v>Gadgets</v>
      </c>
      <c r="M151">
        <f t="shared" si="35"/>
        <v>17</v>
      </c>
      <c r="N151">
        <f t="shared" si="36"/>
        <v>15</v>
      </c>
      <c r="O151" s="6">
        <f t="shared" si="37"/>
        <v>799</v>
      </c>
      <c r="P151" t="str">
        <f t="shared" si="38"/>
        <v>Gadgets</v>
      </c>
      <c r="Q151">
        <f t="shared" si="39"/>
        <v>799</v>
      </c>
      <c r="R151" t="str">
        <f t="shared" si="40"/>
        <v>Apple Iphone 14|Gadgets|799|Google</v>
      </c>
      <c r="S151" t="b">
        <f t="shared" si="41"/>
        <v>1</v>
      </c>
    </row>
    <row r="152" spans="1:19" x14ac:dyDescent="0.45">
      <c r="A152" t="s">
        <v>238</v>
      </c>
      <c r="B152" t="s">
        <v>60</v>
      </c>
      <c r="C152" t="s">
        <v>123</v>
      </c>
      <c r="E152" t="s">
        <v>79</v>
      </c>
      <c r="F152" t="str">
        <f t="shared" si="28"/>
        <v>apple iPhone 14|Electronics||Samsung</v>
      </c>
      <c r="G152" t="b">
        <f t="shared" si="29"/>
        <v>1</v>
      </c>
      <c r="H152" t="str">
        <f t="shared" si="30"/>
        <v>apple iPhone 14</v>
      </c>
      <c r="I152" t="str">
        <f t="shared" si="31"/>
        <v>Apple Iphone 14</v>
      </c>
      <c r="J152" t="str">
        <f t="shared" si="32"/>
        <v>Samsung</v>
      </c>
      <c r="K152" t="str">
        <f t="shared" si="33"/>
        <v>Samsung</v>
      </c>
      <c r="L152" t="str">
        <f t="shared" si="34"/>
        <v>Electronics</v>
      </c>
      <c r="M152">
        <f t="shared" si="35"/>
        <v>15</v>
      </c>
      <c r="N152">
        <f t="shared" si="36"/>
        <v>15</v>
      </c>
      <c r="O152" s="6" t="str">
        <f t="shared" si="37"/>
        <v/>
      </c>
      <c r="P152" t="str">
        <f t="shared" si="38"/>
        <v>Electronics</v>
      </c>
      <c r="Q152" t="str">
        <f t="shared" si="39"/>
        <v>Not Available</v>
      </c>
      <c r="R152" t="str">
        <f t="shared" si="40"/>
        <v>Apple Iphone 14|Electronics|Not Available|Samsung</v>
      </c>
      <c r="S152" t="b">
        <f t="shared" si="41"/>
        <v>1</v>
      </c>
    </row>
    <row r="153" spans="1:19" x14ac:dyDescent="0.45">
      <c r="A153" t="s">
        <v>239</v>
      </c>
      <c r="B153" t="s">
        <v>93</v>
      </c>
      <c r="C153" t="s">
        <v>61</v>
      </c>
      <c r="D153" t="s">
        <v>55</v>
      </c>
      <c r="E153" t="s">
        <v>91</v>
      </c>
      <c r="F153" t="str">
        <f t="shared" si="28"/>
        <v>SAMSUNG GALAXY|Electrnics|799|Apple</v>
      </c>
      <c r="G153" t="b">
        <f t="shared" si="29"/>
        <v>1</v>
      </c>
      <c r="H153" t="str">
        <f t="shared" si="30"/>
        <v>SAMSUNG GALAXY</v>
      </c>
      <c r="I153" t="str">
        <f t="shared" si="31"/>
        <v>Samsung Galaxy</v>
      </c>
      <c r="J153" t="str">
        <f t="shared" si="32"/>
        <v>Apple</v>
      </c>
      <c r="K153" t="str">
        <f t="shared" si="33"/>
        <v>Apple</v>
      </c>
      <c r="L153" t="str">
        <f t="shared" si="34"/>
        <v>Electronics</v>
      </c>
      <c r="M153">
        <f t="shared" si="35"/>
        <v>14</v>
      </c>
      <c r="N153">
        <f t="shared" si="36"/>
        <v>14</v>
      </c>
      <c r="O153" s="6">
        <f t="shared" si="37"/>
        <v>799</v>
      </c>
      <c r="P153" t="str">
        <f t="shared" si="38"/>
        <v>Electronics</v>
      </c>
      <c r="Q153">
        <f t="shared" si="39"/>
        <v>799</v>
      </c>
      <c r="R153" t="str">
        <f t="shared" si="40"/>
        <v>Samsung Galaxy|Electronics|799|Apple</v>
      </c>
      <c r="S153" t="b">
        <f t="shared" si="41"/>
        <v>1</v>
      </c>
    </row>
    <row r="154" spans="1:19" x14ac:dyDescent="0.45">
      <c r="A154" t="s">
        <v>240</v>
      </c>
      <c r="B154" t="s">
        <v>78</v>
      </c>
      <c r="C154" t="s">
        <v>85</v>
      </c>
      <c r="D154" t="s">
        <v>66</v>
      </c>
      <c r="E154" t="s">
        <v>63</v>
      </c>
      <c r="F154" t="str">
        <f t="shared" si="28"/>
        <v>samsung Galaxy|electronics|799.00|Google</v>
      </c>
      <c r="G154" t="b">
        <f t="shared" si="29"/>
        <v>1</v>
      </c>
      <c r="H154" t="str">
        <f t="shared" si="30"/>
        <v>samsung Galaxy</v>
      </c>
      <c r="I154" t="str">
        <f t="shared" si="31"/>
        <v>Samsung Galaxy</v>
      </c>
      <c r="J154" t="str">
        <f t="shared" si="32"/>
        <v>Google</v>
      </c>
      <c r="K154" t="str">
        <f t="shared" si="33"/>
        <v>Google</v>
      </c>
      <c r="L154" t="str">
        <f t="shared" si="34"/>
        <v>Electronics</v>
      </c>
      <c r="M154">
        <f t="shared" si="35"/>
        <v>15</v>
      </c>
      <c r="N154">
        <f t="shared" si="36"/>
        <v>14</v>
      </c>
      <c r="O154" s="6">
        <f t="shared" si="37"/>
        <v>799</v>
      </c>
      <c r="P154" t="str">
        <f t="shared" si="38"/>
        <v>Electronics</v>
      </c>
      <c r="Q154">
        <f t="shared" si="39"/>
        <v>799</v>
      </c>
      <c r="R154" t="str">
        <f t="shared" si="40"/>
        <v>Samsung Galaxy|Electronics|799|Google</v>
      </c>
      <c r="S154" t="b">
        <f t="shared" si="41"/>
        <v>1</v>
      </c>
    </row>
    <row r="155" spans="1:19" x14ac:dyDescent="0.45">
      <c r="A155" t="s">
        <v>241</v>
      </c>
      <c r="B155" t="s">
        <v>78</v>
      </c>
      <c r="C155" t="s">
        <v>61</v>
      </c>
      <c r="D155" t="s">
        <v>66</v>
      </c>
      <c r="E155" t="s">
        <v>91</v>
      </c>
      <c r="F155" t="str">
        <f t="shared" si="28"/>
        <v>samsung Galaxy|Electrnics|799.00|Apple</v>
      </c>
      <c r="G155" t="b">
        <f t="shared" si="29"/>
        <v>1</v>
      </c>
      <c r="H155" t="str">
        <f t="shared" si="30"/>
        <v>samsung Galaxy</v>
      </c>
      <c r="I155" t="str">
        <f t="shared" si="31"/>
        <v>Samsung Galaxy</v>
      </c>
      <c r="J155" t="str">
        <f t="shared" si="32"/>
        <v>Apple</v>
      </c>
      <c r="K155" t="str">
        <f t="shared" si="33"/>
        <v>Apple</v>
      </c>
      <c r="L155" t="str">
        <f t="shared" si="34"/>
        <v>Electronics</v>
      </c>
      <c r="M155">
        <f t="shared" si="35"/>
        <v>15</v>
      </c>
      <c r="N155">
        <f t="shared" si="36"/>
        <v>14</v>
      </c>
      <c r="O155" s="6">
        <f t="shared" si="37"/>
        <v>799</v>
      </c>
      <c r="P155" t="str">
        <f t="shared" si="38"/>
        <v>Electronics</v>
      </c>
      <c r="Q155">
        <f t="shared" si="39"/>
        <v>799</v>
      </c>
      <c r="R155" t="str">
        <f t="shared" si="40"/>
        <v>Samsung Galaxy|Electronics|799|Apple</v>
      </c>
      <c r="S155" t="b">
        <f t="shared" si="41"/>
        <v>1</v>
      </c>
    </row>
    <row r="156" spans="1:19" x14ac:dyDescent="0.45">
      <c r="A156" t="s">
        <v>242</v>
      </c>
      <c r="B156" t="s">
        <v>78</v>
      </c>
      <c r="C156" t="s">
        <v>96</v>
      </c>
      <c r="D156" t="s">
        <v>81</v>
      </c>
      <c r="E156" t="s">
        <v>112</v>
      </c>
      <c r="F156" t="str">
        <f t="shared" si="28"/>
        <v>samsung Galaxy|Gadgets|$799|SAMSUNG</v>
      </c>
      <c r="G156" t="b">
        <f t="shared" si="29"/>
        <v>0</v>
      </c>
      <c r="H156" t="str">
        <f t="shared" si="30"/>
        <v>samsung Galaxy</v>
      </c>
      <c r="I156" t="str">
        <f t="shared" si="31"/>
        <v>Samsung Galaxy</v>
      </c>
      <c r="J156" t="str">
        <f t="shared" si="32"/>
        <v>SAMSUNG</v>
      </c>
      <c r="K156" t="str">
        <f t="shared" si="33"/>
        <v>Samsung</v>
      </c>
      <c r="L156" t="str">
        <f t="shared" si="34"/>
        <v>Gadgets</v>
      </c>
      <c r="M156">
        <f t="shared" si="35"/>
        <v>15</v>
      </c>
      <c r="N156">
        <f t="shared" si="36"/>
        <v>14</v>
      </c>
      <c r="O156" s="6">
        <f t="shared" si="37"/>
        <v>799</v>
      </c>
      <c r="P156" t="str">
        <f t="shared" si="38"/>
        <v>Gadgets</v>
      </c>
      <c r="Q156">
        <f t="shared" si="39"/>
        <v>799</v>
      </c>
      <c r="R156" t="str">
        <f t="shared" si="40"/>
        <v>Samsung Galaxy|Gadgets|799|Samsung</v>
      </c>
      <c r="S156" t="b">
        <f t="shared" si="41"/>
        <v>1</v>
      </c>
    </row>
    <row r="157" spans="1:19" x14ac:dyDescent="0.45">
      <c r="A157" t="s">
        <v>243</v>
      </c>
      <c r="B157" t="s">
        <v>54</v>
      </c>
      <c r="C157" t="s">
        <v>73</v>
      </c>
      <c r="D157" t="s">
        <v>69</v>
      </c>
      <c r="E157" t="s">
        <v>82</v>
      </c>
      <c r="F157" t="str">
        <f t="shared" si="28"/>
        <v>Samsung galaxy|Electro|799|APPLE</v>
      </c>
      <c r="G157" t="b">
        <f t="shared" si="29"/>
        <v>1</v>
      </c>
      <c r="H157" t="str">
        <f t="shared" si="30"/>
        <v>Samsung galaxy</v>
      </c>
      <c r="I157" t="str">
        <f t="shared" si="31"/>
        <v>Samsung Galaxy</v>
      </c>
      <c r="J157" t="str">
        <f t="shared" si="32"/>
        <v>APPLE</v>
      </c>
      <c r="K157" t="str">
        <f t="shared" si="33"/>
        <v>Apple</v>
      </c>
      <c r="L157" t="str">
        <f t="shared" si="34"/>
        <v>Electronics</v>
      </c>
      <c r="M157">
        <f t="shared" si="35"/>
        <v>15</v>
      </c>
      <c r="N157">
        <f t="shared" si="36"/>
        <v>14</v>
      </c>
      <c r="O157" s="6">
        <f t="shared" si="37"/>
        <v>799</v>
      </c>
      <c r="P157" t="str">
        <f t="shared" si="38"/>
        <v>Electronics</v>
      </c>
      <c r="Q157">
        <f t="shared" si="39"/>
        <v>799</v>
      </c>
      <c r="R157" t="str">
        <f t="shared" si="40"/>
        <v>Samsung Galaxy|Electronics|799|Apple</v>
      </c>
      <c r="S157" t="b">
        <f t="shared" si="41"/>
        <v>1</v>
      </c>
    </row>
    <row r="158" spans="1:19" x14ac:dyDescent="0.45">
      <c r="A158" t="s">
        <v>244</v>
      </c>
      <c r="B158" t="s">
        <v>93</v>
      </c>
      <c r="C158" t="s">
        <v>61</v>
      </c>
      <c r="D158" t="s">
        <v>66</v>
      </c>
      <c r="E158" t="s">
        <v>63</v>
      </c>
      <c r="F158" t="str">
        <f t="shared" si="28"/>
        <v>SAMSUNG GALAXY|Electrnics|799.00|Google</v>
      </c>
      <c r="G158" t="b">
        <f t="shared" si="29"/>
        <v>1</v>
      </c>
      <c r="H158" t="str">
        <f t="shared" si="30"/>
        <v>SAMSUNG GALAXY</v>
      </c>
      <c r="I158" t="str">
        <f t="shared" si="31"/>
        <v>Samsung Galaxy</v>
      </c>
      <c r="J158" t="str">
        <f t="shared" si="32"/>
        <v>Google</v>
      </c>
      <c r="K158" t="str">
        <f t="shared" si="33"/>
        <v>Google</v>
      </c>
      <c r="L158" t="str">
        <f t="shared" si="34"/>
        <v>Electronics</v>
      </c>
      <c r="M158">
        <f t="shared" si="35"/>
        <v>14</v>
      </c>
      <c r="N158">
        <f t="shared" si="36"/>
        <v>14</v>
      </c>
      <c r="O158" s="6">
        <f t="shared" si="37"/>
        <v>799</v>
      </c>
      <c r="P158" t="str">
        <f t="shared" si="38"/>
        <v>Electronics</v>
      </c>
      <c r="Q158">
        <f t="shared" si="39"/>
        <v>799</v>
      </c>
      <c r="R158" t="str">
        <f t="shared" si="40"/>
        <v>Samsung Galaxy|Electronics|799|Google</v>
      </c>
      <c r="S158" t="b">
        <f t="shared" si="41"/>
        <v>1</v>
      </c>
    </row>
    <row r="159" spans="1:19" x14ac:dyDescent="0.45">
      <c r="A159" t="s">
        <v>245</v>
      </c>
      <c r="B159" t="s">
        <v>106</v>
      </c>
      <c r="C159" t="s">
        <v>123</v>
      </c>
      <c r="D159" t="s">
        <v>81</v>
      </c>
      <c r="E159" t="s">
        <v>67</v>
      </c>
      <c r="F159" t="str">
        <f t="shared" si="28"/>
        <v>Samsung Galaxy|Electronics|$799|apple</v>
      </c>
      <c r="G159" t="b">
        <f t="shared" si="29"/>
        <v>1</v>
      </c>
      <c r="H159" t="str">
        <f t="shared" si="30"/>
        <v>Samsung Galaxy</v>
      </c>
      <c r="I159" t="str">
        <f t="shared" si="31"/>
        <v>Samsung Galaxy</v>
      </c>
      <c r="J159" t="str">
        <f t="shared" si="32"/>
        <v>apple</v>
      </c>
      <c r="K159" t="str">
        <f t="shared" si="33"/>
        <v>Apple</v>
      </c>
      <c r="L159" t="str">
        <f t="shared" si="34"/>
        <v>Electronics</v>
      </c>
      <c r="M159">
        <f t="shared" si="35"/>
        <v>14</v>
      </c>
      <c r="N159">
        <f t="shared" si="36"/>
        <v>14</v>
      </c>
      <c r="O159" s="6">
        <f t="shared" si="37"/>
        <v>799</v>
      </c>
      <c r="P159" t="str">
        <f t="shared" si="38"/>
        <v>Electronics</v>
      </c>
      <c r="Q159">
        <f t="shared" si="39"/>
        <v>799</v>
      </c>
      <c r="R159" t="str">
        <f t="shared" si="40"/>
        <v>Samsung Galaxy|Electronics|799|Apple</v>
      </c>
      <c r="S159" t="b">
        <f t="shared" si="41"/>
        <v>1</v>
      </c>
    </row>
    <row r="160" spans="1:19" x14ac:dyDescent="0.45">
      <c r="A160" t="s">
        <v>246</v>
      </c>
      <c r="B160" t="s">
        <v>60</v>
      </c>
      <c r="D160" t="s">
        <v>62</v>
      </c>
      <c r="E160" t="s">
        <v>82</v>
      </c>
      <c r="F160" t="str">
        <f t="shared" si="28"/>
        <v>apple iPhone 14||799.0|APPLE</v>
      </c>
      <c r="G160" t="b">
        <f t="shared" si="29"/>
        <v>1</v>
      </c>
      <c r="H160" t="str">
        <f t="shared" si="30"/>
        <v>apple iPhone 14</v>
      </c>
      <c r="I160" t="str">
        <f t="shared" si="31"/>
        <v>Apple Iphone 14</v>
      </c>
      <c r="J160" t="str">
        <f t="shared" si="32"/>
        <v>APPLE</v>
      </c>
      <c r="K160" t="str">
        <f t="shared" si="33"/>
        <v>Apple</v>
      </c>
      <c r="L160" t="str">
        <f t="shared" si="34"/>
        <v/>
      </c>
      <c r="M160">
        <f t="shared" si="35"/>
        <v>15</v>
      </c>
      <c r="N160">
        <f t="shared" si="36"/>
        <v>15</v>
      </c>
      <c r="O160" s="6">
        <f t="shared" si="37"/>
        <v>799</v>
      </c>
      <c r="P160" t="str">
        <f t="shared" si="38"/>
        <v>Not Available</v>
      </c>
      <c r="Q160">
        <f t="shared" si="39"/>
        <v>799</v>
      </c>
      <c r="R160" t="str">
        <f t="shared" si="40"/>
        <v>Apple Iphone 14|Not Available|799|Apple</v>
      </c>
      <c r="S160" t="b">
        <f t="shared" si="41"/>
        <v>1</v>
      </c>
    </row>
    <row r="161" spans="1:19" x14ac:dyDescent="0.45">
      <c r="A161" t="s">
        <v>247</v>
      </c>
      <c r="B161" t="s">
        <v>60</v>
      </c>
      <c r="C161" t="s">
        <v>94</v>
      </c>
      <c r="D161" t="s">
        <v>69</v>
      </c>
      <c r="E161" t="s">
        <v>75</v>
      </c>
      <c r="F161" t="str">
        <f t="shared" si="28"/>
        <v>apple iPhone 14|gadgets|799|google</v>
      </c>
      <c r="G161" t="b">
        <f t="shared" si="29"/>
        <v>1</v>
      </c>
      <c r="H161" t="str">
        <f t="shared" si="30"/>
        <v>apple iPhone 14</v>
      </c>
      <c r="I161" t="str">
        <f t="shared" si="31"/>
        <v>Apple Iphone 14</v>
      </c>
      <c r="J161" t="str">
        <f t="shared" si="32"/>
        <v>google</v>
      </c>
      <c r="K161" t="str">
        <f t="shared" si="33"/>
        <v>Google</v>
      </c>
      <c r="L161" t="str">
        <f t="shared" si="34"/>
        <v>Gadgets</v>
      </c>
      <c r="M161">
        <f t="shared" si="35"/>
        <v>15</v>
      </c>
      <c r="N161">
        <f t="shared" si="36"/>
        <v>15</v>
      </c>
      <c r="O161" s="6">
        <f t="shared" si="37"/>
        <v>799</v>
      </c>
      <c r="P161" t="str">
        <f t="shared" si="38"/>
        <v>Gadgets</v>
      </c>
      <c r="Q161">
        <f t="shared" si="39"/>
        <v>799</v>
      </c>
      <c r="R161" t="str">
        <f t="shared" si="40"/>
        <v>Apple Iphone 14|Gadgets|799|Google</v>
      </c>
      <c r="S161" t="b">
        <f t="shared" si="41"/>
        <v>1</v>
      </c>
    </row>
    <row r="162" spans="1:19" x14ac:dyDescent="0.45">
      <c r="A162" t="s">
        <v>248</v>
      </c>
      <c r="B162" t="s">
        <v>102</v>
      </c>
      <c r="D162" t="s">
        <v>62</v>
      </c>
      <c r="E162" t="s">
        <v>89</v>
      </c>
      <c r="F162" t="str">
        <f t="shared" si="28"/>
        <v>GOOGLE PIXEL||799.0|Apple</v>
      </c>
      <c r="G162" t="b">
        <f t="shared" si="29"/>
        <v>0</v>
      </c>
      <c r="H162" t="str">
        <f t="shared" si="30"/>
        <v>GOOGLE PIXEL</v>
      </c>
      <c r="I162" t="str">
        <f t="shared" si="31"/>
        <v>Google Pixel</v>
      </c>
      <c r="J162" t="str">
        <f t="shared" si="32"/>
        <v>Apple</v>
      </c>
      <c r="K162" t="str">
        <f t="shared" si="33"/>
        <v>Apple</v>
      </c>
      <c r="L162" t="str">
        <f t="shared" si="34"/>
        <v/>
      </c>
      <c r="M162">
        <f t="shared" si="35"/>
        <v>13</v>
      </c>
      <c r="N162">
        <f t="shared" si="36"/>
        <v>12</v>
      </c>
      <c r="O162" s="6">
        <f t="shared" si="37"/>
        <v>799</v>
      </c>
      <c r="P162" t="str">
        <f t="shared" si="38"/>
        <v>Not Available</v>
      </c>
      <c r="Q162">
        <f t="shared" si="39"/>
        <v>799</v>
      </c>
      <c r="R162" t="str">
        <f t="shared" si="40"/>
        <v>Google Pixel|Not Available|799|Apple</v>
      </c>
      <c r="S162" t="b">
        <f t="shared" si="41"/>
        <v>1</v>
      </c>
    </row>
    <row r="163" spans="1:19" x14ac:dyDescent="0.45">
      <c r="A163" t="s">
        <v>249</v>
      </c>
      <c r="B163" t="s">
        <v>58</v>
      </c>
      <c r="C163" t="s">
        <v>123</v>
      </c>
      <c r="D163" t="s">
        <v>69</v>
      </c>
      <c r="E163" t="s">
        <v>112</v>
      </c>
      <c r="F163" t="str">
        <f t="shared" si="28"/>
        <v>Google pixel|Electronics|799|SAMSUNG</v>
      </c>
      <c r="G163" t="b">
        <f t="shared" si="29"/>
        <v>1</v>
      </c>
      <c r="H163" t="str">
        <f t="shared" si="30"/>
        <v>Google pixel</v>
      </c>
      <c r="I163" t="str">
        <f t="shared" si="31"/>
        <v>Google Pixel</v>
      </c>
      <c r="J163" t="str">
        <f t="shared" si="32"/>
        <v>SAMSUNG</v>
      </c>
      <c r="K163" t="str">
        <f t="shared" si="33"/>
        <v>Samsung</v>
      </c>
      <c r="L163" t="str">
        <f t="shared" si="34"/>
        <v>Electronics</v>
      </c>
      <c r="M163">
        <f t="shared" si="35"/>
        <v>12</v>
      </c>
      <c r="N163">
        <f t="shared" si="36"/>
        <v>12</v>
      </c>
      <c r="O163" s="6">
        <f t="shared" si="37"/>
        <v>799</v>
      </c>
      <c r="P163" t="str">
        <f t="shared" si="38"/>
        <v>Electronics</v>
      </c>
      <c r="Q163">
        <f t="shared" si="39"/>
        <v>799</v>
      </c>
      <c r="R163" t="str">
        <f t="shared" si="40"/>
        <v>Google Pixel|Electronics|799|Samsung</v>
      </c>
      <c r="S163" t="b">
        <f t="shared" si="41"/>
        <v>1</v>
      </c>
    </row>
    <row r="164" spans="1:19" x14ac:dyDescent="0.45">
      <c r="A164" t="s">
        <v>250</v>
      </c>
      <c r="B164" t="s">
        <v>65</v>
      </c>
      <c r="C164" t="s">
        <v>61</v>
      </c>
      <c r="D164" t="s">
        <v>55</v>
      </c>
      <c r="E164" t="s">
        <v>75</v>
      </c>
      <c r="F164" t="str">
        <f t="shared" si="28"/>
        <v>apple iphone 14|Electrnics|799|google</v>
      </c>
      <c r="G164" t="b">
        <f t="shared" si="29"/>
        <v>1</v>
      </c>
      <c r="H164" t="str">
        <f t="shared" si="30"/>
        <v>apple iphone 14</v>
      </c>
      <c r="I164" t="str">
        <f t="shared" si="31"/>
        <v>Apple Iphone 14</v>
      </c>
      <c r="J164" t="str">
        <f t="shared" si="32"/>
        <v>google</v>
      </c>
      <c r="K164" t="str">
        <f t="shared" si="33"/>
        <v>Google</v>
      </c>
      <c r="L164" t="str">
        <f t="shared" si="34"/>
        <v>Electronics</v>
      </c>
      <c r="M164">
        <f t="shared" si="35"/>
        <v>17</v>
      </c>
      <c r="N164">
        <f t="shared" si="36"/>
        <v>15</v>
      </c>
      <c r="O164" s="6">
        <f t="shared" si="37"/>
        <v>799</v>
      </c>
      <c r="P164" t="str">
        <f t="shared" si="38"/>
        <v>Electronics</v>
      </c>
      <c r="Q164">
        <f t="shared" si="39"/>
        <v>799</v>
      </c>
      <c r="R164" t="str">
        <f t="shared" si="40"/>
        <v>Apple Iphone 14|Electronics|799|Google</v>
      </c>
      <c r="S164" t="b">
        <f t="shared" si="41"/>
        <v>1</v>
      </c>
    </row>
    <row r="165" spans="1:19" x14ac:dyDescent="0.45">
      <c r="A165" t="s">
        <v>251</v>
      </c>
      <c r="B165" t="s">
        <v>87</v>
      </c>
      <c r="C165" t="s">
        <v>94</v>
      </c>
      <c r="D165" t="s">
        <v>88</v>
      </c>
      <c r="E165" t="s">
        <v>67</v>
      </c>
      <c r="F165" t="str">
        <f t="shared" si="28"/>
        <v>Google Pixel|gadgets|USD 799|apple</v>
      </c>
      <c r="G165" t="b">
        <f t="shared" si="29"/>
        <v>0</v>
      </c>
      <c r="H165" t="str">
        <f t="shared" si="30"/>
        <v>Google Pixel</v>
      </c>
      <c r="I165" t="str">
        <f t="shared" si="31"/>
        <v>Google Pixel</v>
      </c>
      <c r="J165" t="str">
        <f t="shared" si="32"/>
        <v>apple</v>
      </c>
      <c r="K165" t="str">
        <f t="shared" si="33"/>
        <v>Apple</v>
      </c>
      <c r="L165" t="str">
        <f t="shared" si="34"/>
        <v>Gadgets</v>
      </c>
      <c r="M165">
        <f t="shared" si="35"/>
        <v>12</v>
      </c>
      <c r="N165">
        <f t="shared" si="36"/>
        <v>12</v>
      </c>
      <c r="O165" s="6">
        <f t="shared" si="37"/>
        <v>799</v>
      </c>
      <c r="P165" t="str">
        <f t="shared" si="38"/>
        <v>Gadgets</v>
      </c>
      <c r="Q165">
        <f t="shared" si="39"/>
        <v>799</v>
      </c>
      <c r="R165" t="str">
        <f t="shared" si="40"/>
        <v>Google Pixel|Gadgets|799|Apple</v>
      </c>
      <c r="S165" t="b">
        <f t="shared" si="41"/>
        <v>1</v>
      </c>
    </row>
    <row r="166" spans="1:19" x14ac:dyDescent="0.45">
      <c r="A166" t="s">
        <v>252</v>
      </c>
      <c r="B166" t="s">
        <v>109</v>
      </c>
      <c r="D166" t="s">
        <v>62</v>
      </c>
      <c r="E166" t="s">
        <v>91</v>
      </c>
      <c r="F166" t="str">
        <f t="shared" si="28"/>
        <v>Apple iPhone14||799.0|Apple</v>
      </c>
      <c r="G166" t="b">
        <f t="shared" si="29"/>
        <v>0</v>
      </c>
      <c r="H166" t="str">
        <f t="shared" si="30"/>
        <v>Apple iPhone14</v>
      </c>
      <c r="I166" t="str">
        <f t="shared" si="31"/>
        <v>Apple Iphone14</v>
      </c>
      <c r="J166" t="str">
        <f t="shared" si="32"/>
        <v>Apple</v>
      </c>
      <c r="K166" t="str">
        <f t="shared" si="33"/>
        <v>Apple</v>
      </c>
      <c r="L166" t="str">
        <f t="shared" si="34"/>
        <v/>
      </c>
      <c r="M166">
        <f t="shared" si="35"/>
        <v>15</v>
      </c>
      <c r="N166">
        <f t="shared" si="36"/>
        <v>14</v>
      </c>
      <c r="O166" s="6">
        <f t="shared" si="37"/>
        <v>799</v>
      </c>
      <c r="P166" t="str">
        <f t="shared" si="38"/>
        <v>Not Available</v>
      </c>
      <c r="Q166">
        <f t="shared" si="39"/>
        <v>799</v>
      </c>
      <c r="R166" t="str">
        <f t="shared" si="40"/>
        <v>Apple Iphone14|Not Available|799|Apple</v>
      </c>
      <c r="S166" t="b">
        <f t="shared" si="41"/>
        <v>1</v>
      </c>
    </row>
    <row r="167" spans="1:19" x14ac:dyDescent="0.45">
      <c r="A167" t="s">
        <v>253</v>
      </c>
      <c r="B167" t="s">
        <v>54</v>
      </c>
      <c r="E167" t="s">
        <v>56</v>
      </c>
      <c r="F167" t="str">
        <f t="shared" si="28"/>
        <v>Samsung galaxy|||GOOGLE</v>
      </c>
      <c r="G167" t="b">
        <f t="shared" si="29"/>
        <v>1</v>
      </c>
      <c r="H167" t="str">
        <f t="shared" si="30"/>
        <v>Samsung galaxy</v>
      </c>
      <c r="I167" t="str">
        <f t="shared" si="31"/>
        <v>Samsung Galaxy</v>
      </c>
      <c r="J167" t="str">
        <f t="shared" si="32"/>
        <v>GOOGLE</v>
      </c>
      <c r="K167" t="str">
        <f t="shared" si="33"/>
        <v>Google</v>
      </c>
      <c r="L167" t="str">
        <f t="shared" si="34"/>
        <v/>
      </c>
      <c r="M167">
        <f t="shared" si="35"/>
        <v>15</v>
      </c>
      <c r="N167">
        <f t="shared" si="36"/>
        <v>14</v>
      </c>
      <c r="O167" s="6" t="str">
        <f t="shared" si="37"/>
        <v/>
      </c>
      <c r="P167" t="str">
        <f t="shared" si="38"/>
        <v>Not Available</v>
      </c>
      <c r="Q167" t="str">
        <f t="shared" si="39"/>
        <v>Not Available</v>
      </c>
      <c r="R167" t="str">
        <f t="shared" si="40"/>
        <v>Samsung Galaxy|Not Available|Not Available|Google</v>
      </c>
      <c r="S167" t="b">
        <f t="shared" si="41"/>
        <v>1</v>
      </c>
    </row>
    <row r="168" spans="1:19" x14ac:dyDescent="0.45">
      <c r="A168" t="s">
        <v>254</v>
      </c>
      <c r="B168" t="s">
        <v>65</v>
      </c>
      <c r="C168" t="s">
        <v>61</v>
      </c>
      <c r="D168" t="s">
        <v>69</v>
      </c>
      <c r="E168" t="s">
        <v>91</v>
      </c>
      <c r="F168" t="str">
        <f t="shared" si="28"/>
        <v>apple iphone 14|Electrnics|799|Apple</v>
      </c>
      <c r="G168" t="b">
        <f t="shared" si="29"/>
        <v>1</v>
      </c>
      <c r="H168" t="str">
        <f t="shared" si="30"/>
        <v>apple iphone 14</v>
      </c>
      <c r="I168" t="str">
        <f t="shared" si="31"/>
        <v>Apple Iphone 14</v>
      </c>
      <c r="J168" t="str">
        <f t="shared" si="32"/>
        <v>Apple</v>
      </c>
      <c r="K168" t="str">
        <f t="shared" si="33"/>
        <v>Apple</v>
      </c>
      <c r="L168" t="str">
        <f t="shared" si="34"/>
        <v>Electronics</v>
      </c>
      <c r="M168">
        <f t="shared" si="35"/>
        <v>17</v>
      </c>
      <c r="N168">
        <f t="shared" si="36"/>
        <v>15</v>
      </c>
      <c r="O168" s="6">
        <f t="shared" si="37"/>
        <v>799</v>
      </c>
      <c r="P168" t="str">
        <f t="shared" si="38"/>
        <v>Electronics</v>
      </c>
      <c r="Q168">
        <f t="shared" si="39"/>
        <v>799</v>
      </c>
      <c r="R168" t="str">
        <f t="shared" si="40"/>
        <v>Apple Iphone 14|Electronics|799|Apple</v>
      </c>
      <c r="S168" t="b">
        <f t="shared" si="41"/>
        <v>1</v>
      </c>
    </row>
    <row r="169" spans="1:19" x14ac:dyDescent="0.45">
      <c r="A169" t="s">
        <v>255</v>
      </c>
      <c r="B169" t="s">
        <v>58</v>
      </c>
      <c r="C169" t="s">
        <v>73</v>
      </c>
      <c r="D169" t="s">
        <v>88</v>
      </c>
      <c r="E169" t="s">
        <v>70</v>
      </c>
      <c r="F169" t="str">
        <f t="shared" si="28"/>
        <v>Google pixel|Electro|USD 799|Samsung</v>
      </c>
      <c r="G169" t="b">
        <f t="shared" si="29"/>
        <v>1</v>
      </c>
      <c r="H169" t="str">
        <f t="shared" si="30"/>
        <v>Google pixel</v>
      </c>
      <c r="I169" t="str">
        <f t="shared" si="31"/>
        <v>Google Pixel</v>
      </c>
      <c r="J169" t="str">
        <f t="shared" si="32"/>
        <v>Samsung</v>
      </c>
      <c r="K169" t="str">
        <f t="shared" si="33"/>
        <v>Samsung</v>
      </c>
      <c r="L169" t="str">
        <f t="shared" si="34"/>
        <v>Electronics</v>
      </c>
      <c r="M169">
        <f t="shared" si="35"/>
        <v>12</v>
      </c>
      <c r="N169">
        <f t="shared" si="36"/>
        <v>12</v>
      </c>
      <c r="O169" s="6">
        <f t="shared" si="37"/>
        <v>799</v>
      </c>
      <c r="P169" t="str">
        <f t="shared" si="38"/>
        <v>Electronics</v>
      </c>
      <c r="Q169">
        <f t="shared" si="39"/>
        <v>799</v>
      </c>
      <c r="R169" t="str">
        <f t="shared" si="40"/>
        <v>Google Pixel|Electronics|799|Samsung</v>
      </c>
      <c r="S169" t="b">
        <f t="shared" si="41"/>
        <v>1</v>
      </c>
    </row>
    <row r="170" spans="1:19" x14ac:dyDescent="0.45">
      <c r="A170" t="s">
        <v>256</v>
      </c>
      <c r="B170" t="s">
        <v>65</v>
      </c>
      <c r="C170" t="s">
        <v>85</v>
      </c>
      <c r="D170" t="s">
        <v>74</v>
      </c>
      <c r="E170" t="s">
        <v>70</v>
      </c>
      <c r="F170" t="str">
        <f t="shared" si="28"/>
        <v>apple iphone 14|electronics|799|Samsung</v>
      </c>
      <c r="G170" t="b">
        <f t="shared" si="29"/>
        <v>1</v>
      </c>
      <c r="H170" t="str">
        <f t="shared" si="30"/>
        <v>apple iphone 14</v>
      </c>
      <c r="I170" t="str">
        <f t="shared" si="31"/>
        <v>Apple Iphone 14</v>
      </c>
      <c r="J170" t="str">
        <f t="shared" si="32"/>
        <v>Samsung</v>
      </c>
      <c r="K170" t="str">
        <f t="shared" si="33"/>
        <v>Samsung</v>
      </c>
      <c r="L170" t="str">
        <f t="shared" si="34"/>
        <v>Electronics</v>
      </c>
      <c r="M170">
        <f t="shared" si="35"/>
        <v>17</v>
      </c>
      <c r="N170">
        <f t="shared" si="36"/>
        <v>15</v>
      </c>
      <c r="O170" s="6">
        <f t="shared" si="37"/>
        <v>799</v>
      </c>
      <c r="P170" t="str">
        <f t="shared" si="38"/>
        <v>Electronics</v>
      </c>
      <c r="Q170">
        <f t="shared" si="39"/>
        <v>799</v>
      </c>
      <c r="R170" t="str">
        <f t="shared" si="40"/>
        <v>Apple Iphone 14|Electronics|799|Samsung</v>
      </c>
      <c r="S170" t="b">
        <f t="shared" si="41"/>
        <v>1</v>
      </c>
    </row>
    <row r="171" spans="1:19" x14ac:dyDescent="0.45">
      <c r="A171" t="s">
        <v>257</v>
      </c>
      <c r="B171" t="s">
        <v>87</v>
      </c>
      <c r="C171" t="s">
        <v>96</v>
      </c>
      <c r="D171" t="s">
        <v>81</v>
      </c>
      <c r="E171" t="s">
        <v>89</v>
      </c>
      <c r="F171" t="str">
        <f t="shared" si="28"/>
        <v>Google Pixel|Gadgets|$799|Apple</v>
      </c>
      <c r="G171" t="b">
        <f t="shared" si="29"/>
        <v>1</v>
      </c>
      <c r="H171" t="str">
        <f t="shared" si="30"/>
        <v>Google Pixel</v>
      </c>
      <c r="I171" t="str">
        <f t="shared" si="31"/>
        <v>Google Pixel</v>
      </c>
      <c r="J171" t="str">
        <f t="shared" si="32"/>
        <v>Apple</v>
      </c>
      <c r="K171" t="str">
        <f t="shared" si="33"/>
        <v>Apple</v>
      </c>
      <c r="L171" t="str">
        <f t="shared" si="34"/>
        <v>Gadgets</v>
      </c>
      <c r="M171">
        <f t="shared" si="35"/>
        <v>12</v>
      </c>
      <c r="N171">
        <f t="shared" si="36"/>
        <v>12</v>
      </c>
      <c r="O171" s="6">
        <f t="shared" si="37"/>
        <v>799</v>
      </c>
      <c r="P171" t="str">
        <f t="shared" si="38"/>
        <v>Gadgets</v>
      </c>
      <c r="Q171">
        <f t="shared" si="39"/>
        <v>799</v>
      </c>
      <c r="R171" t="str">
        <f t="shared" si="40"/>
        <v>Google Pixel|Gadgets|799|Apple</v>
      </c>
      <c r="S171" t="b">
        <f t="shared" si="41"/>
        <v>1</v>
      </c>
    </row>
    <row r="172" spans="1:19" x14ac:dyDescent="0.45">
      <c r="A172" t="s">
        <v>258</v>
      </c>
      <c r="B172" t="s">
        <v>109</v>
      </c>
      <c r="C172" t="s">
        <v>94</v>
      </c>
      <c r="D172" t="s">
        <v>69</v>
      </c>
      <c r="E172" t="s">
        <v>63</v>
      </c>
      <c r="F172" t="str">
        <f t="shared" si="28"/>
        <v>Apple iPhone14|gadgets|799|Google</v>
      </c>
      <c r="G172" t="b">
        <f t="shared" si="29"/>
        <v>1</v>
      </c>
      <c r="H172" t="str">
        <f t="shared" si="30"/>
        <v>Apple iPhone14</v>
      </c>
      <c r="I172" t="str">
        <f t="shared" si="31"/>
        <v>Apple Iphone14</v>
      </c>
      <c r="J172" t="str">
        <f t="shared" si="32"/>
        <v>Google</v>
      </c>
      <c r="K172" t="str">
        <f t="shared" si="33"/>
        <v>Google</v>
      </c>
      <c r="L172" t="str">
        <f t="shared" si="34"/>
        <v>Gadgets</v>
      </c>
      <c r="M172">
        <f t="shared" si="35"/>
        <v>15</v>
      </c>
      <c r="N172">
        <f t="shared" si="36"/>
        <v>14</v>
      </c>
      <c r="O172" s="6">
        <f t="shared" si="37"/>
        <v>799</v>
      </c>
      <c r="P172" t="str">
        <f t="shared" si="38"/>
        <v>Gadgets</v>
      </c>
      <c r="Q172">
        <f t="shared" si="39"/>
        <v>799</v>
      </c>
      <c r="R172" t="str">
        <f t="shared" si="40"/>
        <v>Apple Iphone14|Gadgets|799|Google</v>
      </c>
      <c r="S172" t="b">
        <f t="shared" si="41"/>
        <v>1</v>
      </c>
    </row>
    <row r="173" spans="1:19" x14ac:dyDescent="0.45">
      <c r="A173" t="s">
        <v>259</v>
      </c>
      <c r="B173" t="s">
        <v>65</v>
      </c>
      <c r="C173" t="s">
        <v>96</v>
      </c>
      <c r="D173" t="s">
        <v>74</v>
      </c>
      <c r="E173" t="s">
        <v>70</v>
      </c>
      <c r="F173" t="str">
        <f t="shared" si="28"/>
        <v>apple iphone 14|Gadgets|799|Samsung</v>
      </c>
      <c r="G173" t="b">
        <f t="shared" si="29"/>
        <v>1</v>
      </c>
      <c r="H173" t="str">
        <f t="shared" si="30"/>
        <v>apple iphone 14</v>
      </c>
      <c r="I173" t="str">
        <f t="shared" si="31"/>
        <v>Apple Iphone 14</v>
      </c>
      <c r="J173" t="str">
        <f t="shared" si="32"/>
        <v>Samsung</v>
      </c>
      <c r="K173" t="str">
        <f t="shared" si="33"/>
        <v>Samsung</v>
      </c>
      <c r="L173" t="str">
        <f t="shared" si="34"/>
        <v>Gadgets</v>
      </c>
      <c r="M173">
        <f t="shared" si="35"/>
        <v>17</v>
      </c>
      <c r="N173">
        <f t="shared" si="36"/>
        <v>15</v>
      </c>
      <c r="O173" s="6">
        <f t="shared" si="37"/>
        <v>799</v>
      </c>
      <c r="P173" t="str">
        <f t="shared" si="38"/>
        <v>Gadgets</v>
      </c>
      <c r="Q173">
        <f t="shared" si="39"/>
        <v>799</v>
      </c>
      <c r="R173" t="str">
        <f t="shared" si="40"/>
        <v>Apple Iphone 14|Gadgets|799|Samsung</v>
      </c>
      <c r="S173" t="b">
        <f t="shared" si="41"/>
        <v>1</v>
      </c>
    </row>
    <row r="174" spans="1:19" x14ac:dyDescent="0.45">
      <c r="A174" t="s">
        <v>260</v>
      </c>
      <c r="B174" t="s">
        <v>54</v>
      </c>
      <c r="C174" t="s">
        <v>61</v>
      </c>
      <c r="E174" t="s">
        <v>82</v>
      </c>
      <c r="F174" t="str">
        <f t="shared" si="28"/>
        <v>Samsung galaxy|Electrnics||APPLE</v>
      </c>
      <c r="G174" t="b">
        <f t="shared" si="29"/>
        <v>0</v>
      </c>
      <c r="H174" t="str">
        <f t="shared" si="30"/>
        <v>Samsung galaxy</v>
      </c>
      <c r="I174" t="str">
        <f t="shared" si="31"/>
        <v>Samsung Galaxy</v>
      </c>
      <c r="J174" t="str">
        <f t="shared" si="32"/>
        <v>APPLE</v>
      </c>
      <c r="K174" t="str">
        <f t="shared" si="33"/>
        <v>Apple</v>
      </c>
      <c r="L174" t="str">
        <f t="shared" si="34"/>
        <v>Electronics</v>
      </c>
      <c r="M174">
        <f t="shared" si="35"/>
        <v>15</v>
      </c>
      <c r="N174">
        <f t="shared" si="36"/>
        <v>14</v>
      </c>
      <c r="O174" s="6" t="str">
        <f t="shared" si="37"/>
        <v/>
      </c>
      <c r="P174" t="str">
        <f t="shared" si="38"/>
        <v>Electronics</v>
      </c>
      <c r="Q174" t="str">
        <f t="shared" si="39"/>
        <v>Not Available</v>
      </c>
      <c r="R174" t="str">
        <f t="shared" si="40"/>
        <v>Samsung Galaxy|Electronics|Not Available|Apple</v>
      </c>
      <c r="S174" t="b">
        <f t="shared" si="41"/>
        <v>1</v>
      </c>
    </row>
    <row r="175" spans="1:19" x14ac:dyDescent="0.45">
      <c r="A175" t="s">
        <v>261</v>
      </c>
      <c r="B175" t="s">
        <v>106</v>
      </c>
      <c r="C175" t="s">
        <v>123</v>
      </c>
      <c r="D175" t="s">
        <v>66</v>
      </c>
      <c r="E175" t="s">
        <v>112</v>
      </c>
      <c r="F175" t="str">
        <f t="shared" si="28"/>
        <v>Samsung Galaxy|Electronics|799.00|SAMSUNG</v>
      </c>
      <c r="G175" t="b">
        <f t="shared" si="29"/>
        <v>1</v>
      </c>
      <c r="H175" t="str">
        <f t="shared" si="30"/>
        <v>Samsung Galaxy</v>
      </c>
      <c r="I175" t="str">
        <f t="shared" si="31"/>
        <v>Samsung Galaxy</v>
      </c>
      <c r="J175" t="str">
        <f t="shared" si="32"/>
        <v>SAMSUNG</v>
      </c>
      <c r="K175" t="str">
        <f t="shared" si="33"/>
        <v>Samsung</v>
      </c>
      <c r="L175" t="str">
        <f t="shared" si="34"/>
        <v>Electronics</v>
      </c>
      <c r="M175">
        <f t="shared" si="35"/>
        <v>14</v>
      </c>
      <c r="N175">
        <f t="shared" si="36"/>
        <v>14</v>
      </c>
      <c r="O175" s="6">
        <f t="shared" si="37"/>
        <v>799</v>
      </c>
      <c r="P175" t="str">
        <f t="shared" si="38"/>
        <v>Electronics</v>
      </c>
      <c r="Q175">
        <f t="shared" si="39"/>
        <v>799</v>
      </c>
      <c r="R175" t="str">
        <f t="shared" si="40"/>
        <v>Samsung Galaxy|Electronics|799|Samsung</v>
      </c>
      <c r="S175" t="b">
        <f t="shared" si="41"/>
        <v>1</v>
      </c>
    </row>
    <row r="176" spans="1:19" x14ac:dyDescent="0.45">
      <c r="A176" t="s">
        <v>262</v>
      </c>
      <c r="B176" t="s">
        <v>58</v>
      </c>
      <c r="C176" t="s">
        <v>96</v>
      </c>
      <c r="D176" t="s">
        <v>81</v>
      </c>
      <c r="E176" t="s">
        <v>91</v>
      </c>
      <c r="F176" t="str">
        <f t="shared" si="28"/>
        <v>Google pixel|Gadgets|$799|Apple</v>
      </c>
      <c r="G176" t="b">
        <f t="shared" si="29"/>
        <v>1</v>
      </c>
      <c r="H176" t="str">
        <f t="shared" si="30"/>
        <v>Google pixel</v>
      </c>
      <c r="I176" t="str">
        <f t="shared" si="31"/>
        <v>Google Pixel</v>
      </c>
      <c r="J176" t="str">
        <f t="shared" si="32"/>
        <v>Apple</v>
      </c>
      <c r="K176" t="str">
        <f t="shared" si="33"/>
        <v>Apple</v>
      </c>
      <c r="L176" t="str">
        <f t="shared" si="34"/>
        <v>Gadgets</v>
      </c>
      <c r="M176">
        <f t="shared" si="35"/>
        <v>12</v>
      </c>
      <c r="N176">
        <f t="shared" si="36"/>
        <v>12</v>
      </c>
      <c r="O176" s="6">
        <f t="shared" si="37"/>
        <v>799</v>
      </c>
      <c r="P176" t="str">
        <f t="shared" si="38"/>
        <v>Gadgets</v>
      </c>
      <c r="Q176">
        <f t="shared" si="39"/>
        <v>799</v>
      </c>
      <c r="R176" t="str">
        <f t="shared" si="40"/>
        <v>Google Pixel|Gadgets|799|Apple</v>
      </c>
      <c r="S176" t="b">
        <f t="shared" si="41"/>
        <v>1</v>
      </c>
    </row>
    <row r="177" spans="1:19" x14ac:dyDescent="0.45">
      <c r="A177" t="s">
        <v>263</v>
      </c>
      <c r="B177" t="s">
        <v>58</v>
      </c>
      <c r="D177" t="s">
        <v>88</v>
      </c>
      <c r="E177" t="s">
        <v>79</v>
      </c>
      <c r="F177" t="str">
        <f t="shared" si="28"/>
        <v>Google pixel||USD 799|Samsung</v>
      </c>
      <c r="G177" t="b">
        <f t="shared" si="29"/>
        <v>1</v>
      </c>
      <c r="H177" t="str">
        <f t="shared" si="30"/>
        <v>Google pixel</v>
      </c>
      <c r="I177" t="str">
        <f t="shared" si="31"/>
        <v>Google Pixel</v>
      </c>
      <c r="J177" t="str">
        <f t="shared" si="32"/>
        <v>Samsung</v>
      </c>
      <c r="K177" t="str">
        <f t="shared" si="33"/>
        <v>Samsung</v>
      </c>
      <c r="L177" t="str">
        <f t="shared" si="34"/>
        <v/>
      </c>
      <c r="M177">
        <f t="shared" si="35"/>
        <v>12</v>
      </c>
      <c r="N177">
        <f t="shared" si="36"/>
        <v>12</v>
      </c>
      <c r="O177" s="6">
        <f t="shared" si="37"/>
        <v>799</v>
      </c>
      <c r="P177" t="str">
        <f t="shared" si="38"/>
        <v>Not Available</v>
      </c>
      <c r="Q177">
        <f t="shared" si="39"/>
        <v>799</v>
      </c>
      <c r="R177" t="str">
        <f t="shared" si="40"/>
        <v>Google Pixel|Not Available|799|Samsung</v>
      </c>
      <c r="S177" t="b">
        <f t="shared" si="41"/>
        <v>1</v>
      </c>
    </row>
    <row r="178" spans="1:19" x14ac:dyDescent="0.45">
      <c r="A178" t="s">
        <v>264</v>
      </c>
      <c r="B178" t="s">
        <v>93</v>
      </c>
      <c r="D178" t="s">
        <v>66</v>
      </c>
      <c r="E178" t="s">
        <v>89</v>
      </c>
      <c r="F178" t="str">
        <f t="shared" si="28"/>
        <v>SAMSUNG GALAXY||799.00|Apple</v>
      </c>
      <c r="G178" t="b">
        <f t="shared" si="29"/>
        <v>1</v>
      </c>
      <c r="H178" t="str">
        <f t="shared" si="30"/>
        <v>SAMSUNG GALAXY</v>
      </c>
      <c r="I178" t="str">
        <f t="shared" si="31"/>
        <v>Samsung Galaxy</v>
      </c>
      <c r="J178" t="str">
        <f t="shared" si="32"/>
        <v>Apple</v>
      </c>
      <c r="K178" t="str">
        <f t="shared" si="33"/>
        <v>Apple</v>
      </c>
      <c r="L178" t="str">
        <f t="shared" si="34"/>
        <v/>
      </c>
      <c r="M178">
        <f t="shared" si="35"/>
        <v>14</v>
      </c>
      <c r="N178">
        <f t="shared" si="36"/>
        <v>14</v>
      </c>
      <c r="O178" s="6">
        <f t="shared" si="37"/>
        <v>799</v>
      </c>
      <c r="P178" t="str">
        <f t="shared" si="38"/>
        <v>Not Available</v>
      </c>
      <c r="Q178">
        <f t="shared" si="39"/>
        <v>799</v>
      </c>
      <c r="R178" t="str">
        <f t="shared" si="40"/>
        <v>Samsung Galaxy|Not Available|799|Apple</v>
      </c>
      <c r="S178" t="b">
        <f t="shared" si="41"/>
        <v>1</v>
      </c>
    </row>
    <row r="179" spans="1:19" x14ac:dyDescent="0.45">
      <c r="A179" t="s">
        <v>265</v>
      </c>
      <c r="B179" t="s">
        <v>65</v>
      </c>
      <c r="C179" t="s">
        <v>73</v>
      </c>
      <c r="E179" t="s">
        <v>56</v>
      </c>
      <c r="F179" t="str">
        <f t="shared" si="28"/>
        <v>apple iphone 14|Electro||GOOGLE</v>
      </c>
      <c r="G179" t="b">
        <f t="shared" si="29"/>
        <v>1</v>
      </c>
      <c r="H179" t="str">
        <f t="shared" si="30"/>
        <v>apple iphone 14</v>
      </c>
      <c r="I179" t="str">
        <f t="shared" si="31"/>
        <v>Apple Iphone 14</v>
      </c>
      <c r="J179" t="str">
        <f t="shared" si="32"/>
        <v>GOOGLE</v>
      </c>
      <c r="K179" t="str">
        <f t="shared" si="33"/>
        <v>Google</v>
      </c>
      <c r="L179" t="str">
        <f t="shared" si="34"/>
        <v>Electronics</v>
      </c>
      <c r="M179">
        <f t="shared" si="35"/>
        <v>17</v>
      </c>
      <c r="N179">
        <f t="shared" si="36"/>
        <v>15</v>
      </c>
      <c r="O179" s="6" t="str">
        <f t="shared" si="37"/>
        <v/>
      </c>
      <c r="P179" t="str">
        <f t="shared" si="38"/>
        <v>Electronics</v>
      </c>
      <c r="Q179" t="str">
        <f t="shared" si="39"/>
        <v>Not Available</v>
      </c>
      <c r="R179" t="str">
        <f t="shared" si="40"/>
        <v>Apple Iphone 14|Electronics|Not Available|Google</v>
      </c>
      <c r="S179" t="b">
        <f t="shared" si="41"/>
        <v>1</v>
      </c>
    </row>
    <row r="180" spans="1:19" x14ac:dyDescent="0.45">
      <c r="A180" t="s">
        <v>266</v>
      </c>
      <c r="B180" t="s">
        <v>93</v>
      </c>
      <c r="C180" t="s">
        <v>96</v>
      </c>
      <c r="D180" t="s">
        <v>55</v>
      </c>
      <c r="E180" t="s">
        <v>75</v>
      </c>
      <c r="F180" t="str">
        <f t="shared" si="28"/>
        <v>SAMSUNG GALAXY|Gadgets|799|google</v>
      </c>
      <c r="G180" t="b">
        <f t="shared" si="29"/>
        <v>1</v>
      </c>
      <c r="H180" t="str">
        <f t="shared" si="30"/>
        <v>SAMSUNG GALAXY</v>
      </c>
      <c r="I180" t="str">
        <f t="shared" si="31"/>
        <v>Samsung Galaxy</v>
      </c>
      <c r="J180" t="str">
        <f t="shared" si="32"/>
        <v>google</v>
      </c>
      <c r="K180" t="str">
        <f t="shared" si="33"/>
        <v>Google</v>
      </c>
      <c r="L180" t="str">
        <f t="shared" si="34"/>
        <v>Gadgets</v>
      </c>
      <c r="M180">
        <f t="shared" si="35"/>
        <v>14</v>
      </c>
      <c r="N180">
        <f t="shared" si="36"/>
        <v>14</v>
      </c>
      <c r="O180" s="6">
        <f t="shared" si="37"/>
        <v>799</v>
      </c>
      <c r="P180" t="str">
        <f t="shared" si="38"/>
        <v>Gadgets</v>
      </c>
      <c r="Q180">
        <f t="shared" si="39"/>
        <v>799</v>
      </c>
      <c r="R180" t="str">
        <f t="shared" si="40"/>
        <v>Samsung Galaxy|Gadgets|799|Google</v>
      </c>
      <c r="S180" t="b">
        <f t="shared" si="41"/>
        <v>1</v>
      </c>
    </row>
    <row r="181" spans="1:19" x14ac:dyDescent="0.45">
      <c r="A181" t="s">
        <v>267</v>
      </c>
      <c r="B181" t="s">
        <v>60</v>
      </c>
      <c r="D181" t="s">
        <v>66</v>
      </c>
      <c r="E181" t="s">
        <v>70</v>
      </c>
      <c r="F181" t="str">
        <f t="shared" si="28"/>
        <v>apple iPhone 14||799.00|Samsung</v>
      </c>
      <c r="G181" t="b">
        <f t="shared" si="29"/>
        <v>0</v>
      </c>
      <c r="H181" t="str">
        <f t="shared" si="30"/>
        <v>apple iPhone 14</v>
      </c>
      <c r="I181" t="str">
        <f t="shared" si="31"/>
        <v>Apple Iphone 14</v>
      </c>
      <c r="J181" t="str">
        <f t="shared" si="32"/>
        <v>Samsung</v>
      </c>
      <c r="K181" t="str">
        <f t="shared" si="33"/>
        <v>Samsung</v>
      </c>
      <c r="L181" t="str">
        <f t="shared" si="34"/>
        <v/>
      </c>
      <c r="M181">
        <f t="shared" si="35"/>
        <v>15</v>
      </c>
      <c r="N181">
        <f t="shared" si="36"/>
        <v>15</v>
      </c>
      <c r="O181" s="6">
        <f t="shared" si="37"/>
        <v>799</v>
      </c>
      <c r="P181" t="str">
        <f t="shared" si="38"/>
        <v>Not Available</v>
      </c>
      <c r="Q181">
        <f t="shared" si="39"/>
        <v>799</v>
      </c>
      <c r="R181" t="str">
        <f t="shared" si="40"/>
        <v>Apple Iphone 14|Not Available|799|Samsung</v>
      </c>
      <c r="S181" t="b">
        <f t="shared" si="41"/>
        <v>1</v>
      </c>
    </row>
    <row r="182" spans="1:19" x14ac:dyDescent="0.45">
      <c r="A182" t="s">
        <v>268</v>
      </c>
      <c r="B182" t="s">
        <v>60</v>
      </c>
      <c r="C182" t="s">
        <v>123</v>
      </c>
      <c r="D182" t="s">
        <v>62</v>
      </c>
      <c r="E182" t="s">
        <v>75</v>
      </c>
      <c r="F182" t="str">
        <f t="shared" si="28"/>
        <v>apple iPhone 14|Electronics|799.0|google</v>
      </c>
      <c r="G182" t="b">
        <f t="shared" si="29"/>
        <v>1</v>
      </c>
      <c r="H182" t="str">
        <f t="shared" si="30"/>
        <v>apple iPhone 14</v>
      </c>
      <c r="I182" t="str">
        <f t="shared" si="31"/>
        <v>Apple Iphone 14</v>
      </c>
      <c r="J182" t="str">
        <f t="shared" si="32"/>
        <v>google</v>
      </c>
      <c r="K182" t="str">
        <f t="shared" si="33"/>
        <v>Google</v>
      </c>
      <c r="L182" t="str">
        <f t="shared" si="34"/>
        <v>Electronics</v>
      </c>
      <c r="M182">
        <f t="shared" si="35"/>
        <v>15</v>
      </c>
      <c r="N182">
        <f t="shared" si="36"/>
        <v>15</v>
      </c>
      <c r="O182" s="6">
        <f t="shared" si="37"/>
        <v>799</v>
      </c>
      <c r="P182" t="str">
        <f t="shared" si="38"/>
        <v>Electronics</v>
      </c>
      <c r="Q182">
        <f t="shared" si="39"/>
        <v>799</v>
      </c>
      <c r="R182" t="str">
        <f t="shared" si="40"/>
        <v>Apple Iphone 14|Electronics|799|Google</v>
      </c>
      <c r="S182" t="b">
        <f t="shared" si="41"/>
        <v>1</v>
      </c>
    </row>
    <row r="183" spans="1:19" x14ac:dyDescent="0.45">
      <c r="A183" t="s">
        <v>269</v>
      </c>
      <c r="B183" t="s">
        <v>72</v>
      </c>
      <c r="C183" t="s">
        <v>61</v>
      </c>
      <c r="D183" t="s">
        <v>66</v>
      </c>
      <c r="E183" t="s">
        <v>112</v>
      </c>
      <c r="F183" t="str">
        <f t="shared" si="28"/>
        <v>google pixel|Electrnics|799.00|SAMSUNG</v>
      </c>
      <c r="G183" t="b">
        <f t="shared" si="29"/>
        <v>0</v>
      </c>
      <c r="H183" t="str">
        <f t="shared" si="30"/>
        <v>google pixel</v>
      </c>
      <c r="I183" t="str">
        <f t="shared" si="31"/>
        <v>Google Pixel</v>
      </c>
      <c r="J183" t="str">
        <f t="shared" si="32"/>
        <v>SAMSUNG</v>
      </c>
      <c r="K183" t="str">
        <f t="shared" si="33"/>
        <v>Samsung</v>
      </c>
      <c r="L183" t="str">
        <f t="shared" si="34"/>
        <v>Electronics</v>
      </c>
      <c r="M183">
        <f t="shared" si="35"/>
        <v>14</v>
      </c>
      <c r="N183">
        <f t="shared" si="36"/>
        <v>12</v>
      </c>
      <c r="O183" s="6">
        <f t="shared" si="37"/>
        <v>799</v>
      </c>
      <c r="P183" t="str">
        <f t="shared" si="38"/>
        <v>Electronics</v>
      </c>
      <c r="Q183">
        <f t="shared" si="39"/>
        <v>799</v>
      </c>
      <c r="R183" t="str">
        <f t="shared" si="40"/>
        <v>Google Pixel|Electronics|799|Samsung</v>
      </c>
      <c r="S183" t="b">
        <f t="shared" si="41"/>
        <v>1</v>
      </c>
    </row>
    <row r="184" spans="1:19" x14ac:dyDescent="0.45">
      <c r="A184" t="s">
        <v>270</v>
      </c>
      <c r="B184" t="s">
        <v>78</v>
      </c>
      <c r="C184" t="s">
        <v>94</v>
      </c>
      <c r="D184" t="s">
        <v>69</v>
      </c>
      <c r="E184" t="s">
        <v>63</v>
      </c>
      <c r="F184" t="str">
        <f t="shared" si="28"/>
        <v>samsung Galaxy|gadgets|799|Google</v>
      </c>
      <c r="G184" t="b">
        <f t="shared" si="29"/>
        <v>1</v>
      </c>
      <c r="H184" t="str">
        <f t="shared" si="30"/>
        <v>samsung Galaxy</v>
      </c>
      <c r="I184" t="str">
        <f t="shared" si="31"/>
        <v>Samsung Galaxy</v>
      </c>
      <c r="J184" t="str">
        <f t="shared" si="32"/>
        <v>Google</v>
      </c>
      <c r="K184" t="str">
        <f t="shared" si="33"/>
        <v>Google</v>
      </c>
      <c r="L184" t="str">
        <f t="shared" si="34"/>
        <v>Gadgets</v>
      </c>
      <c r="M184">
        <f t="shared" si="35"/>
        <v>15</v>
      </c>
      <c r="N184">
        <f t="shared" si="36"/>
        <v>14</v>
      </c>
      <c r="O184" s="6">
        <f t="shared" si="37"/>
        <v>799</v>
      </c>
      <c r="P184" t="str">
        <f t="shared" si="38"/>
        <v>Gadgets</v>
      </c>
      <c r="Q184">
        <f t="shared" si="39"/>
        <v>799</v>
      </c>
      <c r="R184" t="str">
        <f t="shared" si="40"/>
        <v>Samsung Galaxy|Gadgets|799|Google</v>
      </c>
      <c r="S184" t="b">
        <f t="shared" si="41"/>
        <v>1</v>
      </c>
    </row>
    <row r="185" spans="1:19" x14ac:dyDescent="0.45">
      <c r="A185" t="s">
        <v>271</v>
      </c>
      <c r="B185" t="s">
        <v>65</v>
      </c>
      <c r="C185" t="s">
        <v>96</v>
      </c>
      <c r="D185" t="s">
        <v>74</v>
      </c>
      <c r="E185" t="s">
        <v>75</v>
      </c>
      <c r="F185" t="str">
        <f t="shared" si="28"/>
        <v>apple iphone 14|Gadgets|799|google</v>
      </c>
      <c r="G185" t="b">
        <f t="shared" si="29"/>
        <v>1</v>
      </c>
      <c r="H185" t="str">
        <f t="shared" si="30"/>
        <v>apple iphone 14</v>
      </c>
      <c r="I185" t="str">
        <f t="shared" si="31"/>
        <v>Apple Iphone 14</v>
      </c>
      <c r="J185" t="str">
        <f t="shared" si="32"/>
        <v>google</v>
      </c>
      <c r="K185" t="str">
        <f t="shared" si="33"/>
        <v>Google</v>
      </c>
      <c r="L185" t="str">
        <f t="shared" si="34"/>
        <v>Gadgets</v>
      </c>
      <c r="M185">
        <f t="shared" si="35"/>
        <v>17</v>
      </c>
      <c r="N185">
        <f t="shared" si="36"/>
        <v>15</v>
      </c>
      <c r="O185" s="6">
        <f t="shared" si="37"/>
        <v>799</v>
      </c>
      <c r="P185" t="str">
        <f t="shared" si="38"/>
        <v>Gadgets</v>
      </c>
      <c r="Q185">
        <f t="shared" si="39"/>
        <v>799</v>
      </c>
      <c r="R185" t="str">
        <f t="shared" si="40"/>
        <v>Apple Iphone 14|Gadgets|799|Google</v>
      </c>
      <c r="S185" t="b">
        <f t="shared" si="41"/>
        <v>1</v>
      </c>
    </row>
    <row r="186" spans="1:19" x14ac:dyDescent="0.45">
      <c r="A186" t="s">
        <v>272</v>
      </c>
      <c r="B186" t="s">
        <v>60</v>
      </c>
      <c r="C186" t="s">
        <v>123</v>
      </c>
      <c r="D186" t="s">
        <v>88</v>
      </c>
      <c r="E186" t="s">
        <v>70</v>
      </c>
      <c r="F186" t="str">
        <f t="shared" si="28"/>
        <v>apple iPhone 14|Electronics|USD 799|Samsung</v>
      </c>
      <c r="G186" t="b">
        <f t="shared" si="29"/>
        <v>1</v>
      </c>
      <c r="H186" t="str">
        <f t="shared" si="30"/>
        <v>apple iPhone 14</v>
      </c>
      <c r="I186" t="str">
        <f t="shared" si="31"/>
        <v>Apple Iphone 14</v>
      </c>
      <c r="J186" t="str">
        <f t="shared" si="32"/>
        <v>Samsung</v>
      </c>
      <c r="K186" t="str">
        <f t="shared" si="33"/>
        <v>Samsung</v>
      </c>
      <c r="L186" t="str">
        <f t="shared" si="34"/>
        <v>Electronics</v>
      </c>
      <c r="M186">
        <f t="shared" si="35"/>
        <v>15</v>
      </c>
      <c r="N186">
        <f t="shared" si="36"/>
        <v>15</v>
      </c>
      <c r="O186" s="6">
        <f t="shared" si="37"/>
        <v>799</v>
      </c>
      <c r="P186" t="str">
        <f t="shared" si="38"/>
        <v>Electronics</v>
      </c>
      <c r="Q186">
        <f t="shared" si="39"/>
        <v>799</v>
      </c>
      <c r="R186" t="str">
        <f t="shared" si="40"/>
        <v>Apple Iphone 14|Electronics|799|Samsung</v>
      </c>
      <c r="S186" t="b">
        <f t="shared" si="41"/>
        <v>1</v>
      </c>
    </row>
    <row r="187" spans="1:19" x14ac:dyDescent="0.45">
      <c r="A187" t="s">
        <v>273</v>
      </c>
      <c r="B187" t="s">
        <v>78</v>
      </c>
      <c r="C187" t="s">
        <v>96</v>
      </c>
      <c r="D187" t="s">
        <v>66</v>
      </c>
      <c r="E187" t="s">
        <v>63</v>
      </c>
      <c r="F187" t="str">
        <f t="shared" si="28"/>
        <v>samsung Galaxy|Gadgets|799.00|Google</v>
      </c>
      <c r="G187" t="b">
        <f t="shared" si="29"/>
        <v>1</v>
      </c>
      <c r="H187" t="str">
        <f t="shared" si="30"/>
        <v>samsung Galaxy</v>
      </c>
      <c r="I187" t="str">
        <f t="shared" si="31"/>
        <v>Samsung Galaxy</v>
      </c>
      <c r="J187" t="str">
        <f t="shared" si="32"/>
        <v>Google</v>
      </c>
      <c r="K187" t="str">
        <f t="shared" si="33"/>
        <v>Google</v>
      </c>
      <c r="L187" t="str">
        <f t="shared" si="34"/>
        <v>Gadgets</v>
      </c>
      <c r="M187">
        <f t="shared" si="35"/>
        <v>15</v>
      </c>
      <c r="N187">
        <f t="shared" si="36"/>
        <v>14</v>
      </c>
      <c r="O187" s="6">
        <f t="shared" si="37"/>
        <v>799</v>
      </c>
      <c r="P187" t="str">
        <f t="shared" si="38"/>
        <v>Gadgets</v>
      </c>
      <c r="Q187">
        <f t="shared" si="39"/>
        <v>799</v>
      </c>
      <c r="R187" t="str">
        <f t="shared" si="40"/>
        <v>Samsung Galaxy|Gadgets|799|Google</v>
      </c>
      <c r="S187" t="b">
        <f t="shared" si="41"/>
        <v>1</v>
      </c>
    </row>
    <row r="188" spans="1:19" x14ac:dyDescent="0.45">
      <c r="A188" t="s">
        <v>274</v>
      </c>
      <c r="B188" t="s">
        <v>60</v>
      </c>
      <c r="C188" t="s">
        <v>85</v>
      </c>
      <c r="E188" t="s">
        <v>70</v>
      </c>
      <c r="F188" t="str">
        <f t="shared" si="28"/>
        <v>apple iPhone 14|electronics||Samsung</v>
      </c>
      <c r="G188" t="b">
        <f t="shared" si="29"/>
        <v>1</v>
      </c>
      <c r="H188" t="str">
        <f t="shared" si="30"/>
        <v>apple iPhone 14</v>
      </c>
      <c r="I188" t="str">
        <f t="shared" si="31"/>
        <v>Apple Iphone 14</v>
      </c>
      <c r="J188" t="str">
        <f t="shared" si="32"/>
        <v>Samsung</v>
      </c>
      <c r="K188" t="str">
        <f t="shared" si="33"/>
        <v>Samsung</v>
      </c>
      <c r="L188" t="str">
        <f t="shared" si="34"/>
        <v>Electronics</v>
      </c>
      <c r="M188">
        <f t="shared" si="35"/>
        <v>15</v>
      </c>
      <c r="N188">
        <f t="shared" si="36"/>
        <v>15</v>
      </c>
      <c r="O188" s="6" t="str">
        <f t="shared" si="37"/>
        <v/>
      </c>
      <c r="P188" t="str">
        <f t="shared" si="38"/>
        <v>Electronics</v>
      </c>
      <c r="Q188" t="str">
        <f t="shared" si="39"/>
        <v>Not Available</v>
      </c>
      <c r="R188" t="str">
        <f t="shared" si="40"/>
        <v>Apple Iphone 14|Electronics|Not Available|Samsung</v>
      </c>
      <c r="S188" t="b">
        <f t="shared" si="41"/>
        <v>1</v>
      </c>
    </row>
    <row r="189" spans="1:19" x14ac:dyDescent="0.45">
      <c r="A189" t="s">
        <v>275</v>
      </c>
      <c r="B189" t="s">
        <v>102</v>
      </c>
      <c r="E189" t="s">
        <v>112</v>
      </c>
      <c r="F189" t="str">
        <f t="shared" si="28"/>
        <v>GOOGLE PIXEL|||SAMSUNG</v>
      </c>
      <c r="G189" t="b">
        <f t="shared" si="29"/>
        <v>0</v>
      </c>
      <c r="H189" t="str">
        <f t="shared" si="30"/>
        <v>GOOGLE PIXEL</v>
      </c>
      <c r="I189" t="str">
        <f t="shared" si="31"/>
        <v>Google Pixel</v>
      </c>
      <c r="J189" t="str">
        <f t="shared" si="32"/>
        <v>SAMSUNG</v>
      </c>
      <c r="K189" t="str">
        <f t="shared" si="33"/>
        <v>Samsung</v>
      </c>
      <c r="L189" t="str">
        <f t="shared" si="34"/>
        <v/>
      </c>
      <c r="M189">
        <f t="shared" si="35"/>
        <v>13</v>
      </c>
      <c r="N189">
        <f t="shared" si="36"/>
        <v>12</v>
      </c>
      <c r="O189" s="6" t="str">
        <f t="shared" si="37"/>
        <v/>
      </c>
      <c r="P189" t="str">
        <f t="shared" si="38"/>
        <v>Not Available</v>
      </c>
      <c r="Q189" t="str">
        <f t="shared" si="39"/>
        <v>Not Available</v>
      </c>
      <c r="R189" t="str">
        <f t="shared" si="40"/>
        <v>Google Pixel|Not Available|Not Available|Samsung</v>
      </c>
      <c r="S189" t="b">
        <f t="shared" si="41"/>
        <v>0</v>
      </c>
    </row>
    <row r="190" spans="1:19" x14ac:dyDescent="0.45">
      <c r="A190" t="s">
        <v>276</v>
      </c>
      <c r="B190" t="s">
        <v>72</v>
      </c>
      <c r="C190" t="s">
        <v>85</v>
      </c>
      <c r="D190" t="s">
        <v>88</v>
      </c>
      <c r="E190" t="s">
        <v>82</v>
      </c>
      <c r="F190" t="str">
        <f t="shared" si="28"/>
        <v>google pixel|electronics|USD 799|APPLE</v>
      </c>
      <c r="G190" t="b">
        <f t="shared" si="29"/>
        <v>1</v>
      </c>
      <c r="H190" t="str">
        <f t="shared" si="30"/>
        <v>google pixel</v>
      </c>
      <c r="I190" t="str">
        <f t="shared" si="31"/>
        <v>Google Pixel</v>
      </c>
      <c r="J190" t="str">
        <f t="shared" si="32"/>
        <v>APPLE</v>
      </c>
      <c r="K190" t="str">
        <f t="shared" si="33"/>
        <v>Apple</v>
      </c>
      <c r="L190" t="str">
        <f t="shared" si="34"/>
        <v>Electronics</v>
      </c>
      <c r="M190">
        <f t="shared" si="35"/>
        <v>14</v>
      </c>
      <c r="N190">
        <f t="shared" si="36"/>
        <v>12</v>
      </c>
      <c r="O190" s="6">
        <f t="shared" si="37"/>
        <v>799</v>
      </c>
      <c r="P190" t="str">
        <f t="shared" si="38"/>
        <v>Electronics</v>
      </c>
      <c r="Q190">
        <f t="shared" si="39"/>
        <v>799</v>
      </c>
      <c r="R190" t="str">
        <f t="shared" si="40"/>
        <v>Google Pixel|Electronics|799|Apple</v>
      </c>
      <c r="S190" t="b">
        <f t="shared" si="41"/>
        <v>1</v>
      </c>
    </row>
    <row r="191" spans="1:19" x14ac:dyDescent="0.45">
      <c r="A191" t="s">
        <v>277</v>
      </c>
      <c r="B191" t="s">
        <v>72</v>
      </c>
      <c r="C191" t="s">
        <v>94</v>
      </c>
      <c r="D191" t="s">
        <v>88</v>
      </c>
      <c r="E191" t="s">
        <v>63</v>
      </c>
      <c r="F191" t="str">
        <f t="shared" si="28"/>
        <v>google pixel|gadgets|USD 799|Google</v>
      </c>
      <c r="G191" t="b">
        <f t="shared" si="29"/>
        <v>0</v>
      </c>
      <c r="H191" t="str">
        <f t="shared" si="30"/>
        <v>google pixel</v>
      </c>
      <c r="I191" t="str">
        <f t="shared" si="31"/>
        <v>Google Pixel</v>
      </c>
      <c r="J191" t="str">
        <f t="shared" si="32"/>
        <v>Google</v>
      </c>
      <c r="K191" t="str">
        <f t="shared" si="33"/>
        <v>Google</v>
      </c>
      <c r="L191" t="str">
        <f t="shared" si="34"/>
        <v>Gadgets</v>
      </c>
      <c r="M191">
        <f t="shared" si="35"/>
        <v>14</v>
      </c>
      <c r="N191">
        <f t="shared" si="36"/>
        <v>12</v>
      </c>
      <c r="O191" s="6">
        <f t="shared" si="37"/>
        <v>799</v>
      </c>
      <c r="P191" t="str">
        <f t="shared" si="38"/>
        <v>Gadgets</v>
      </c>
      <c r="Q191">
        <f t="shared" si="39"/>
        <v>799</v>
      </c>
      <c r="R191" t="str">
        <f t="shared" si="40"/>
        <v>Google Pixel|Gadgets|799|Google</v>
      </c>
      <c r="S191" t="b">
        <f t="shared" si="41"/>
        <v>1</v>
      </c>
    </row>
    <row r="192" spans="1:19" x14ac:dyDescent="0.45">
      <c r="A192" t="s">
        <v>278</v>
      </c>
      <c r="B192" t="s">
        <v>93</v>
      </c>
      <c r="C192" t="s">
        <v>85</v>
      </c>
      <c r="D192" t="s">
        <v>62</v>
      </c>
      <c r="E192" t="s">
        <v>75</v>
      </c>
      <c r="F192" t="str">
        <f t="shared" si="28"/>
        <v>SAMSUNG GALAXY|electronics|799.0|google</v>
      </c>
      <c r="G192" t="b">
        <f t="shared" si="29"/>
        <v>0</v>
      </c>
      <c r="H192" t="str">
        <f t="shared" si="30"/>
        <v>SAMSUNG GALAXY</v>
      </c>
      <c r="I192" t="str">
        <f t="shared" si="31"/>
        <v>Samsung Galaxy</v>
      </c>
      <c r="J192" t="str">
        <f t="shared" si="32"/>
        <v>google</v>
      </c>
      <c r="K192" t="str">
        <f t="shared" si="33"/>
        <v>Google</v>
      </c>
      <c r="L192" t="str">
        <f t="shared" si="34"/>
        <v>Electronics</v>
      </c>
      <c r="M192">
        <f t="shared" si="35"/>
        <v>14</v>
      </c>
      <c r="N192">
        <f t="shared" si="36"/>
        <v>14</v>
      </c>
      <c r="O192" s="6">
        <f t="shared" si="37"/>
        <v>799</v>
      </c>
      <c r="P192" t="str">
        <f t="shared" si="38"/>
        <v>Electronics</v>
      </c>
      <c r="Q192">
        <f t="shared" si="39"/>
        <v>799</v>
      </c>
      <c r="R192" t="str">
        <f t="shared" si="40"/>
        <v>Samsung Galaxy|Electronics|799|Google</v>
      </c>
      <c r="S192" t="b">
        <f t="shared" si="41"/>
        <v>1</v>
      </c>
    </row>
    <row r="193" spans="1:19" x14ac:dyDescent="0.45">
      <c r="A193" t="s">
        <v>279</v>
      </c>
      <c r="B193" t="s">
        <v>138</v>
      </c>
      <c r="C193" t="s">
        <v>73</v>
      </c>
      <c r="D193" t="s">
        <v>62</v>
      </c>
      <c r="E193" t="s">
        <v>56</v>
      </c>
      <c r="F193" t="str">
        <f t="shared" si="28"/>
        <v>APPLE IPHONE 14|Electro|799.0|GOOGLE</v>
      </c>
      <c r="G193" t="b">
        <f t="shared" si="29"/>
        <v>0</v>
      </c>
      <c r="H193" t="str">
        <f t="shared" si="30"/>
        <v>APPLE IPHONE 14</v>
      </c>
      <c r="I193" t="str">
        <f t="shared" si="31"/>
        <v>Apple Iphone 14</v>
      </c>
      <c r="J193" t="str">
        <f t="shared" si="32"/>
        <v>GOOGLE</v>
      </c>
      <c r="K193" t="str">
        <f t="shared" si="33"/>
        <v>Google</v>
      </c>
      <c r="L193" t="str">
        <f t="shared" si="34"/>
        <v>Electronics</v>
      </c>
      <c r="M193">
        <f t="shared" si="35"/>
        <v>15</v>
      </c>
      <c r="N193">
        <f t="shared" si="36"/>
        <v>15</v>
      </c>
      <c r="O193" s="6">
        <f t="shared" si="37"/>
        <v>799</v>
      </c>
      <c r="P193" t="str">
        <f t="shared" si="38"/>
        <v>Electronics</v>
      </c>
      <c r="Q193">
        <f t="shared" si="39"/>
        <v>799</v>
      </c>
      <c r="R193" t="str">
        <f t="shared" si="40"/>
        <v>Apple Iphone 14|Electronics|799|Google</v>
      </c>
      <c r="S193" t="b">
        <f t="shared" si="41"/>
        <v>1</v>
      </c>
    </row>
    <row r="194" spans="1:19" x14ac:dyDescent="0.45">
      <c r="A194" t="s">
        <v>280</v>
      </c>
      <c r="B194" t="s">
        <v>106</v>
      </c>
      <c r="C194" t="s">
        <v>85</v>
      </c>
      <c r="E194" t="s">
        <v>91</v>
      </c>
      <c r="F194" t="str">
        <f t="shared" ref="F194:F257" si="42">TRIM(B194)&amp;"|"&amp;TRIM(C194)&amp;"|"&amp;TRIM(D194)&amp;"|"&amp;TRIM(E194)</f>
        <v>Samsung Galaxy|electronics||Apple</v>
      </c>
      <c r="G194" t="b">
        <f t="shared" ref="G194:G257" si="43">COUNTIF($F$2:$F$565,F194)&gt;1</f>
        <v>0</v>
      </c>
      <c r="H194" t="str">
        <f t="shared" ref="H194:H257" si="44">TRIM(B194)</f>
        <v>Samsung Galaxy</v>
      </c>
      <c r="I194" t="str">
        <f t="shared" ref="I194:I257" si="45">PROPER(H194)</f>
        <v>Samsung Galaxy</v>
      </c>
      <c r="J194" t="str">
        <f t="shared" ref="J194:J257" si="46">TRIM(E194)</f>
        <v>Apple</v>
      </c>
      <c r="K194" t="str">
        <f t="shared" ref="K194:K257" si="47">PROPER(J194)</f>
        <v>Apple</v>
      </c>
      <c r="L194" t="str">
        <f t="shared" ref="L194:L257" si="48">IF(TRIM(C194)="","",IF(ISNUMBER(SEARCH("gadget",C194)),"Gadgets","Electronics"))</f>
        <v>Electronics</v>
      </c>
      <c r="M194">
        <f t="shared" ref="M194:M257" si="49">LEN(B194)</f>
        <v>14</v>
      </c>
      <c r="N194">
        <f t="shared" ref="N194:N257" si="50">LEN(H194)</f>
        <v>14</v>
      </c>
      <c r="O194" s="6" t="str">
        <f t="shared" ref="O194:O257" si="51">IF(TRIM(D194)="","",VALUE(TRIM(SUBSTITUTE(SUBSTITUTE(D194,"USD",""),"$",""))))</f>
        <v/>
      </c>
      <c r="P194" t="str">
        <f t="shared" ref="P194:P257" si="52">IF(L194="","Not Available",L194)</f>
        <v>Electronics</v>
      </c>
      <c r="Q194" t="str">
        <f t="shared" ref="Q194:Q257" si="53">IF(O194="","Not Available",O194)</f>
        <v>Not Available</v>
      </c>
      <c r="R194" t="str">
        <f t="shared" ref="R194:R257" si="54">I194&amp;"|"&amp;P194&amp;"|"&amp;Q194&amp;"|"&amp;K194</f>
        <v>Samsung Galaxy|Electronics|Not Available|Apple</v>
      </c>
      <c r="S194" t="b">
        <f t="shared" ref="S194:S257" si="55">COUNTIF($R$2:$R$565,R194)&gt;1</f>
        <v>1</v>
      </c>
    </row>
    <row r="195" spans="1:19" x14ac:dyDescent="0.45">
      <c r="A195" t="s">
        <v>281</v>
      </c>
      <c r="B195" t="s">
        <v>72</v>
      </c>
      <c r="D195" t="s">
        <v>81</v>
      </c>
      <c r="E195" t="s">
        <v>89</v>
      </c>
      <c r="F195" t="str">
        <f t="shared" si="42"/>
        <v>google pixel||$799|Apple</v>
      </c>
      <c r="G195" t="b">
        <f t="shared" si="43"/>
        <v>1</v>
      </c>
      <c r="H195" t="str">
        <f t="shared" si="44"/>
        <v>google pixel</v>
      </c>
      <c r="I195" t="str">
        <f t="shared" si="45"/>
        <v>Google Pixel</v>
      </c>
      <c r="J195" t="str">
        <f t="shared" si="46"/>
        <v>Apple</v>
      </c>
      <c r="K195" t="str">
        <f t="shared" si="47"/>
        <v>Apple</v>
      </c>
      <c r="L195" t="str">
        <f t="shared" si="48"/>
        <v/>
      </c>
      <c r="M195">
        <f t="shared" si="49"/>
        <v>14</v>
      </c>
      <c r="N195">
        <f t="shared" si="50"/>
        <v>12</v>
      </c>
      <c r="O195" s="6">
        <f t="shared" si="51"/>
        <v>799</v>
      </c>
      <c r="P195" t="str">
        <f t="shared" si="52"/>
        <v>Not Available</v>
      </c>
      <c r="Q195">
        <f t="shared" si="53"/>
        <v>799</v>
      </c>
      <c r="R195" t="str">
        <f t="shared" si="54"/>
        <v>Google Pixel|Not Available|799|Apple</v>
      </c>
      <c r="S195" t="b">
        <f t="shared" si="55"/>
        <v>1</v>
      </c>
    </row>
    <row r="196" spans="1:19" x14ac:dyDescent="0.45">
      <c r="A196" t="s">
        <v>282</v>
      </c>
      <c r="B196" t="s">
        <v>60</v>
      </c>
      <c r="C196" t="s">
        <v>73</v>
      </c>
      <c r="D196" t="s">
        <v>66</v>
      </c>
      <c r="E196" t="s">
        <v>67</v>
      </c>
      <c r="F196" t="str">
        <f t="shared" si="42"/>
        <v>apple iPhone 14|Electro|799.00|apple</v>
      </c>
      <c r="G196" t="b">
        <f t="shared" si="43"/>
        <v>1</v>
      </c>
      <c r="H196" t="str">
        <f t="shared" si="44"/>
        <v>apple iPhone 14</v>
      </c>
      <c r="I196" t="str">
        <f t="shared" si="45"/>
        <v>Apple Iphone 14</v>
      </c>
      <c r="J196" t="str">
        <f t="shared" si="46"/>
        <v>apple</v>
      </c>
      <c r="K196" t="str">
        <f t="shared" si="47"/>
        <v>Apple</v>
      </c>
      <c r="L196" t="str">
        <f t="shared" si="48"/>
        <v>Electronics</v>
      </c>
      <c r="M196">
        <f t="shared" si="49"/>
        <v>15</v>
      </c>
      <c r="N196">
        <f t="shared" si="50"/>
        <v>15</v>
      </c>
      <c r="O196" s="6">
        <f t="shared" si="51"/>
        <v>799</v>
      </c>
      <c r="P196" t="str">
        <f t="shared" si="52"/>
        <v>Electronics</v>
      </c>
      <c r="Q196">
        <f t="shared" si="53"/>
        <v>799</v>
      </c>
      <c r="R196" t="str">
        <f t="shared" si="54"/>
        <v>Apple Iphone 14|Electronics|799|Apple</v>
      </c>
      <c r="S196" t="b">
        <f t="shared" si="55"/>
        <v>1</v>
      </c>
    </row>
    <row r="197" spans="1:19" x14ac:dyDescent="0.45">
      <c r="A197" t="s">
        <v>283</v>
      </c>
      <c r="B197" t="s">
        <v>72</v>
      </c>
      <c r="C197" t="s">
        <v>94</v>
      </c>
      <c r="D197" t="s">
        <v>88</v>
      </c>
      <c r="E197" t="s">
        <v>79</v>
      </c>
      <c r="F197" t="str">
        <f t="shared" si="42"/>
        <v>google pixel|gadgets|USD 799|Samsung</v>
      </c>
      <c r="G197" t="b">
        <f t="shared" si="43"/>
        <v>1</v>
      </c>
      <c r="H197" t="str">
        <f t="shared" si="44"/>
        <v>google pixel</v>
      </c>
      <c r="I197" t="str">
        <f t="shared" si="45"/>
        <v>Google Pixel</v>
      </c>
      <c r="J197" t="str">
        <f t="shared" si="46"/>
        <v>Samsung</v>
      </c>
      <c r="K197" t="str">
        <f t="shared" si="47"/>
        <v>Samsung</v>
      </c>
      <c r="L197" t="str">
        <f t="shared" si="48"/>
        <v>Gadgets</v>
      </c>
      <c r="M197">
        <f t="shared" si="49"/>
        <v>14</v>
      </c>
      <c r="N197">
        <f t="shared" si="50"/>
        <v>12</v>
      </c>
      <c r="O197" s="6">
        <f t="shared" si="51"/>
        <v>799</v>
      </c>
      <c r="P197" t="str">
        <f t="shared" si="52"/>
        <v>Gadgets</v>
      </c>
      <c r="Q197">
        <f t="shared" si="53"/>
        <v>799</v>
      </c>
      <c r="R197" t="str">
        <f t="shared" si="54"/>
        <v>Google Pixel|Gadgets|799|Samsung</v>
      </c>
      <c r="S197" t="b">
        <f t="shared" si="55"/>
        <v>1</v>
      </c>
    </row>
    <row r="198" spans="1:19" x14ac:dyDescent="0.45">
      <c r="A198" t="s">
        <v>284</v>
      </c>
      <c r="B198" t="s">
        <v>72</v>
      </c>
      <c r="C198" t="s">
        <v>94</v>
      </c>
      <c r="D198" t="s">
        <v>62</v>
      </c>
      <c r="E198" t="s">
        <v>63</v>
      </c>
      <c r="F198" t="str">
        <f t="shared" si="42"/>
        <v>google pixel|gadgets|799.0|Google</v>
      </c>
      <c r="G198" t="b">
        <f t="shared" si="43"/>
        <v>1</v>
      </c>
      <c r="H198" t="str">
        <f t="shared" si="44"/>
        <v>google pixel</v>
      </c>
      <c r="I198" t="str">
        <f t="shared" si="45"/>
        <v>Google Pixel</v>
      </c>
      <c r="J198" t="str">
        <f t="shared" si="46"/>
        <v>Google</v>
      </c>
      <c r="K198" t="str">
        <f t="shared" si="47"/>
        <v>Google</v>
      </c>
      <c r="L198" t="str">
        <f t="shared" si="48"/>
        <v>Gadgets</v>
      </c>
      <c r="M198">
        <f t="shared" si="49"/>
        <v>14</v>
      </c>
      <c r="N198">
        <f t="shared" si="50"/>
        <v>12</v>
      </c>
      <c r="O198" s="6">
        <f t="shared" si="51"/>
        <v>799</v>
      </c>
      <c r="P198" t="str">
        <f t="shared" si="52"/>
        <v>Gadgets</v>
      </c>
      <c r="Q198">
        <f t="shared" si="53"/>
        <v>799</v>
      </c>
      <c r="R198" t="str">
        <f t="shared" si="54"/>
        <v>Google Pixel|Gadgets|799|Google</v>
      </c>
      <c r="S198" t="b">
        <f t="shared" si="55"/>
        <v>1</v>
      </c>
    </row>
    <row r="199" spans="1:19" x14ac:dyDescent="0.45">
      <c r="A199" t="s">
        <v>285</v>
      </c>
      <c r="B199" t="s">
        <v>54</v>
      </c>
      <c r="D199" t="s">
        <v>74</v>
      </c>
      <c r="E199" t="s">
        <v>112</v>
      </c>
      <c r="F199" t="str">
        <f t="shared" si="42"/>
        <v>Samsung galaxy||799|SAMSUNG</v>
      </c>
      <c r="G199" t="b">
        <f t="shared" si="43"/>
        <v>1</v>
      </c>
      <c r="H199" t="str">
        <f t="shared" si="44"/>
        <v>Samsung galaxy</v>
      </c>
      <c r="I199" t="str">
        <f t="shared" si="45"/>
        <v>Samsung Galaxy</v>
      </c>
      <c r="J199" t="str">
        <f t="shared" si="46"/>
        <v>SAMSUNG</v>
      </c>
      <c r="K199" t="str">
        <f t="shared" si="47"/>
        <v>Samsung</v>
      </c>
      <c r="L199" t="str">
        <f t="shared" si="48"/>
        <v/>
      </c>
      <c r="M199">
        <f t="shared" si="49"/>
        <v>15</v>
      </c>
      <c r="N199">
        <f t="shared" si="50"/>
        <v>14</v>
      </c>
      <c r="O199" s="6">
        <f t="shared" si="51"/>
        <v>799</v>
      </c>
      <c r="P199" t="str">
        <f t="shared" si="52"/>
        <v>Not Available</v>
      </c>
      <c r="Q199">
        <f t="shared" si="53"/>
        <v>799</v>
      </c>
      <c r="R199" t="str">
        <f t="shared" si="54"/>
        <v>Samsung Galaxy|Not Available|799|Samsung</v>
      </c>
      <c r="S199" t="b">
        <f t="shared" si="55"/>
        <v>1</v>
      </c>
    </row>
    <row r="200" spans="1:19" x14ac:dyDescent="0.45">
      <c r="A200" t="s">
        <v>286</v>
      </c>
      <c r="B200" t="s">
        <v>54</v>
      </c>
      <c r="C200" t="s">
        <v>96</v>
      </c>
      <c r="D200" t="s">
        <v>74</v>
      </c>
      <c r="E200" t="s">
        <v>91</v>
      </c>
      <c r="F200" t="str">
        <f t="shared" si="42"/>
        <v>Samsung galaxy|Gadgets|799|Apple</v>
      </c>
      <c r="G200" t="b">
        <f t="shared" si="43"/>
        <v>1</v>
      </c>
      <c r="H200" t="str">
        <f t="shared" si="44"/>
        <v>Samsung galaxy</v>
      </c>
      <c r="I200" t="str">
        <f t="shared" si="45"/>
        <v>Samsung Galaxy</v>
      </c>
      <c r="J200" t="str">
        <f t="shared" si="46"/>
        <v>Apple</v>
      </c>
      <c r="K200" t="str">
        <f t="shared" si="47"/>
        <v>Apple</v>
      </c>
      <c r="L200" t="str">
        <f t="shared" si="48"/>
        <v>Gadgets</v>
      </c>
      <c r="M200">
        <f t="shared" si="49"/>
        <v>15</v>
      </c>
      <c r="N200">
        <f t="shared" si="50"/>
        <v>14</v>
      </c>
      <c r="O200" s="6">
        <f t="shared" si="51"/>
        <v>799</v>
      </c>
      <c r="P200" t="str">
        <f t="shared" si="52"/>
        <v>Gadgets</v>
      </c>
      <c r="Q200">
        <f t="shared" si="53"/>
        <v>799</v>
      </c>
      <c r="R200" t="str">
        <f t="shared" si="54"/>
        <v>Samsung Galaxy|Gadgets|799|Apple</v>
      </c>
      <c r="S200" t="b">
        <f t="shared" si="55"/>
        <v>1</v>
      </c>
    </row>
    <row r="201" spans="1:19" x14ac:dyDescent="0.45">
      <c r="A201" t="s">
        <v>287</v>
      </c>
      <c r="B201" t="s">
        <v>78</v>
      </c>
      <c r="C201" t="s">
        <v>96</v>
      </c>
      <c r="D201" t="s">
        <v>62</v>
      </c>
      <c r="E201" t="s">
        <v>63</v>
      </c>
      <c r="F201" t="str">
        <f t="shared" si="42"/>
        <v>samsung Galaxy|Gadgets|799.0|Google</v>
      </c>
      <c r="G201" t="b">
        <f t="shared" si="43"/>
        <v>1</v>
      </c>
      <c r="H201" t="str">
        <f t="shared" si="44"/>
        <v>samsung Galaxy</v>
      </c>
      <c r="I201" t="str">
        <f t="shared" si="45"/>
        <v>Samsung Galaxy</v>
      </c>
      <c r="J201" t="str">
        <f t="shared" si="46"/>
        <v>Google</v>
      </c>
      <c r="K201" t="str">
        <f t="shared" si="47"/>
        <v>Google</v>
      </c>
      <c r="L201" t="str">
        <f t="shared" si="48"/>
        <v>Gadgets</v>
      </c>
      <c r="M201">
        <f t="shared" si="49"/>
        <v>15</v>
      </c>
      <c r="N201">
        <f t="shared" si="50"/>
        <v>14</v>
      </c>
      <c r="O201" s="6">
        <f t="shared" si="51"/>
        <v>799</v>
      </c>
      <c r="P201" t="str">
        <f t="shared" si="52"/>
        <v>Gadgets</v>
      </c>
      <c r="Q201">
        <f t="shared" si="53"/>
        <v>799</v>
      </c>
      <c r="R201" t="str">
        <f t="shared" si="54"/>
        <v>Samsung Galaxy|Gadgets|799|Google</v>
      </c>
      <c r="S201" t="b">
        <f t="shared" si="55"/>
        <v>1</v>
      </c>
    </row>
    <row r="202" spans="1:19" x14ac:dyDescent="0.45">
      <c r="A202" t="s">
        <v>288</v>
      </c>
      <c r="B202" t="s">
        <v>109</v>
      </c>
      <c r="C202" t="s">
        <v>94</v>
      </c>
      <c r="D202" t="s">
        <v>66</v>
      </c>
      <c r="E202" t="s">
        <v>79</v>
      </c>
      <c r="F202" t="str">
        <f t="shared" si="42"/>
        <v>Apple iPhone14|gadgets|799.00|Samsung</v>
      </c>
      <c r="G202" t="b">
        <f t="shared" si="43"/>
        <v>0</v>
      </c>
      <c r="H202" t="str">
        <f t="shared" si="44"/>
        <v>Apple iPhone14</v>
      </c>
      <c r="I202" t="str">
        <f t="shared" si="45"/>
        <v>Apple Iphone14</v>
      </c>
      <c r="J202" t="str">
        <f t="shared" si="46"/>
        <v>Samsung</v>
      </c>
      <c r="K202" t="str">
        <f t="shared" si="47"/>
        <v>Samsung</v>
      </c>
      <c r="L202" t="str">
        <f t="shared" si="48"/>
        <v>Gadgets</v>
      </c>
      <c r="M202">
        <f t="shared" si="49"/>
        <v>15</v>
      </c>
      <c r="N202">
        <f t="shared" si="50"/>
        <v>14</v>
      </c>
      <c r="O202" s="6">
        <f t="shared" si="51"/>
        <v>799</v>
      </c>
      <c r="P202" t="str">
        <f t="shared" si="52"/>
        <v>Gadgets</v>
      </c>
      <c r="Q202">
        <f t="shared" si="53"/>
        <v>799</v>
      </c>
      <c r="R202" t="str">
        <f t="shared" si="54"/>
        <v>Apple Iphone14|Gadgets|799|Samsung</v>
      </c>
      <c r="S202" t="b">
        <f t="shared" si="55"/>
        <v>1</v>
      </c>
    </row>
    <row r="203" spans="1:19" x14ac:dyDescent="0.45">
      <c r="A203" t="s">
        <v>289</v>
      </c>
      <c r="B203" t="s">
        <v>109</v>
      </c>
      <c r="C203" t="s">
        <v>85</v>
      </c>
      <c r="E203" t="s">
        <v>89</v>
      </c>
      <c r="F203" t="str">
        <f t="shared" si="42"/>
        <v>Apple iPhone14|electronics||Apple</v>
      </c>
      <c r="G203" t="b">
        <f t="shared" si="43"/>
        <v>0</v>
      </c>
      <c r="H203" t="str">
        <f t="shared" si="44"/>
        <v>Apple iPhone14</v>
      </c>
      <c r="I203" t="str">
        <f t="shared" si="45"/>
        <v>Apple Iphone14</v>
      </c>
      <c r="J203" t="str">
        <f t="shared" si="46"/>
        <v>Apple</v>
      </c>
      <c r="K203" t="str">
        <f t="shared" si="47"/>
        <v>Apple</v>
      </c>
      <c r="L203" t="str">
        <f t="shared" si="48"/>
        <v>Electronics</v>
      </c>
      <c r="M203">
        <f t="shared" si="49"/>
        <v>15</v>
      </c>
      <c r="N203">
        <f t="shared" si="50"/>
        <v>14</v>
      </c>
      <c r="O203" s="6" t="str">
        <f t="shared" si="51"/>
        <v/>
      </c>
      <c r="P203" t="str">
        <f t="shared" si="52"/>
        <v>Electronics</v>
      </c>
      <c r="Q203" t="str">
        <f t="shared" si="53"/>
        <v>Not Available</v>
      </c>
      <c r="R203" t="str">
        <f t="shared" si="54"/>
        <v>Apple Iphone14|Electronics|Not Available|Apple</v>
      </c>
      <c r="S203" t="b">
        <f t="shared" si="55"/>
        <v>0</v>
      </c>
    </row>
    <row r="204" spans="1:19" x14ac:dyDescent="0.45">
      <c r="A204" t="s">
        <v>290</v>
      </c>
      <c r="B204" t="s">
        <v>58</v>
      </c>
      <c r="C204" t="s">
        <v>96</v>
      </c>
      <c r="D204" t="s">
        <v>69</v>
      </c>
      <c r="E204" t="s">
        <v>70</v>
      </c>
      <c r="F204" t="str">
        <f t="shared" si="42"/>
        <v>Google pixel|Gadgets|799|Samsung</v>
      </c>
      <c r="G204" t="b">
        <f t="shared" si="43"/>
        <v>1</v>
      </c>
      <c r="H204" t="str">
        <f t="shared" si="44"/>
        <v>Google pixel</v>
      </c>
      <c r="I204" t="str">
        <f t="shared" si="45"/>
        <v>Google Pixel</v>
      </c>
      <c r="J204" t="str">
        <f t="shared" si="46"/>
        <v>Samsung</v>
      </c>
      <c r="K204" t="str">
        <f t="shared" si="47"/>
        <v>Samsung</v>
      </c>
      <c r="L204" t="str">
        <f t="shared" si="48"/>
        <v>Gadgets</v>
      </c>
      <c r="M204">
        <f t="shared" si="49"/>
        <v>12</v>
      </c>
      <c r="N204">
        <f t="shared" si="50"/>
        <v>12</v>
      </c>
      <c r="O204" s="6">
        <f t="shared" si="51"/>
        <v>799</v>
      </c>
      <c r="P204" t="str">
        <f t="shared" si="52"/>
        <v>Gadgets</v>
      </c>
      <c r="Q204">
        <f t="shared" si="53"/>
        <v>799</v>
      </c>
      <c r="R204" t="str">
        <f t="shared" si="54"/>
        <v>Google Pixel|Gadgets|799|Samsung</v>
      </c>
      <c r="S204" t="b">
        <f t="shared" si="55"/>
        <v>1</v>
      </c>
    </row>
    <row r="205" spans="1:19" x14ac:dyDescent="0.45">
      <c r="A205" t="s">
        <v>291</v>
      </c>
      <c r="B205" t="s">
        <v>78</v>
      </c>
      <c r="C205" t="s">
        <v>123</v>
      </c>
      <c r="D205" t="s">
        <v>74</v>
      </c>
      <c r="E205" t="s">
        <v>82</v>
      </c>
      <c r="F205" t="str">
        <f t="shared" si="42"/>
        <v>samsung Galaxy|Electronics|799|APPLE</v>
      </c>
      <c r="G205" t="b">
        <f t="shared" si="43"/>
        <v>1</v>
      </c>
      <c r="H205" t="str">
        <f t="shared" si="44"/>
        <v>samsung Galaxy</v>
      </c>
      <c r="I205" t="str">
        <f t="shared" si="45"/>
        <v>Samsung Galaxy</v>
      </c>
      <c r="J205" t="str">
        <f t="shared" si="46"/>
        <v>APPLE</v>
      </c>
      <c r="K205" t="str">
        <f t="shared" si="47"/>
        <v>Apple</v>
      </c>
      <c r="L205" t="str">
        <f t="shared" si="48"/>
        <v>Electronics</v>
      </c>
      <c r="M205">
        <f t="shared" si="49"/>
        <v>15</v>
      </c>
      <c r="N205">
        <f t="shared" si="50"/>
        <v>14</v>
      </c>
      <c r="O205" s="6">
        <f t="shared" si="51"/>
        <v>799</v>
      </c>
      <c r="P205" t="str">
        <f t="shared" si="52"/>
        <v>Electronics</v>
      </c>
      <c r="Q205">
        <f t="shared" si="53"/>
        <v>799</v>
      </c>
      <c r="R205" t="str">
        <f t="shared" si="54"/>
        <v>Samsung Galaxy|Electronics|799|Apple</v>
      </c>
      <c r="S205" t="b">
        <f t="shared" si="55"/>
        <v>1</v>
      </c>
    </row>
    <row r="206" spans="1:19" x14ac:dyDescent="0.45">
      <c r="A206" t="s">
        <v>292</v>
      </c>
      <c r="B206" t="s">
        <v>72</v>
      </c>
      <c r="C206" t="s">
        <v>61</v>
      </c>
      <c r="D206" t="s">
        <v>66</v>
      </c>
      <c r="E206" t="s">
        <v>63</v>
      </c>
      <c r="F206" t="str">
        <f t="shared" si="42"/>
        <v>google pixel|Electrnics|799.00|Google</v>
      </c>
      <c r="G206" t="b">
        <f t="shared" si="43"/>
        <v>1</v>
      </c>
      <c r="H206" t="str">
        <f t="shared" si="44"/>
        <v>google pixel</v>
      </c>
      <c r="I206" t="str">
        <f t="shared" si="45"/>
        <v>Google Pixel</v>
      </c>
      <c r="J206" t="str">
        <f t="shared" si="46"/>
        <v>Google</v>
      </c>
      <c r="K206" t="str">
        <f t="shared" si="47"/>
        <v>Google</v>
      </c>
      <c r="L206" t="str">
        <f t="shared" si="48"/>
        <v>Electronics</v>
      </c>
      <c r="M206">
        <f t="shared" si="49"/>
        <v>14</v>
      </c>
      <c r="N206">
        <f t="shared" si="50"/>
        <v>12</v>
      </c>
      <c r="O206" s="6">
        <f t="shared" si="51"/>
        <v>799</v>
      </c>
      <c r="P206" t="str">
        <f t="shared" si="52"/>
        <v>Electronics</v>
      </c>
      <c r="Q206">
        <f t="shared" si="53"/>
        <v>799</v>
      </c>
      <c r="R206" t="str">
        <f t="shared" si="54"/>
        <v>Google Pixel|Electronics|799|Google</v>
      </c>
      <c r="S206" t="b">
        <f t="shared" si="55"/>
        <v>1</v>
      </c>
    </row>
    <row r="207" spans="1:19" x14ac:dyDescent="0.45">
      <c r="A207" t="s">
        <v>293</v>
      </c>
      <c r="B207" t="s">
        <v>138</v>
      </c>
      <c r="C207" t="s">
        <v>61</v>
      </c>
      <c r="D207" t="s">
        <v>88</v>
      </c>
      <c r="E207" t="s">
        <v>75</v>
      </c>
      <c r="F207" t="str">
        <f t="shared" si="42"/>
        <v>APPLE IPHONE 14|Electrnics|USD 799|google</v>
      </c>
      <c r="G207" t="b">
        <f t="shared" si="43"/>
        <v>0</v>
      </c>
      <c r="H207" t="str">
        <f t="shared" si="44"/>
        <v>APPLE IPHONE 14</v>
      </c>
      <c r="I207" t="str">
        <f t="shared" si="45"/>
        <v>Apple Iphone 14</v>
      </c>
      <c r="J207" t="str">
        <f t="shared" si="46"/>
        <v>google</v>
      </c>
      <c r="K207" t="str">
        <f t="shared" si="47"/>
        <v>Google</v>
      </c>
      <c r="L207" t="str">
        <f t="shared" si="48"/>
        <v>Electronics</v>
      </c>
      <c r="M207">
        <f t="shared" si="49"/>
        <v>15</v>
      </c>
      <c r="N207">
        <f t="shared" si="50"/>
        <v>15</v>
      </c>
      <c r="O207" s="6">
        <f t="shared" si="51"/>
        <v>799</v>
      </c>
      <c r="P207" t="str">
        <f t="shared" si="52"/>
        <v>Electronics</v>
      </c>
      <c r="Q207">
        <f t="shared" si="53"/>
        <v>799</v>
      </c>
      <c r="R207" t="str">
        <f t="shared" si="54"/>
        <v>Apple Iphone 14|Electronics|799|Google</v>
      </c>
      <c r="S207" t="b">
        <f t="shared" si="55"/>
        <v>1</v>
      </c>
    </row>
    <row r="208" spans="1:19" x14ac:dyDescent="0.45">
      <c r="A208" t="s">
        <v>294</v>
      </c>
      <c r="B208" t="s">
        <v>60</v>
      </c>
      <c r="C208" t="s">
        <v>96</v>
      </c>
      <c r="D208" t="s">
        <v>81</v>
      </c>
      <c r="E208" t="s">
        <v>70</v>
      </c>
      <c r="F208" t="str">
        <f t="shared" si="42"/>
        <v>apple iPhone 14|Gadgets|$799|Samsung</v>
      </c>
      <c r="G208" t="b">
        <f t="shared" si="43"/>
        <v>1</v>
      </c>
      <c r="H208" t="str">
        <f t="shared" si="44"/>
        <v>apple iPhone 14</v>
      </c>
      <c r="I208" t="str">
        <f t="shared" si="45"/>
        <v>Apple Iphone 14</v>
      </c>
      <c r="J208" t="str">
        <f t="shared" si="46"/>
        <v>Samsung</v>
      </c>
      <c r="K208" t="str">
        <f t="shared" si="47"/>
        <v>Samsung</v>
      </c>
      <c r="L208" t="str">
        <f t="shared" si="48"/>
        <v>Gadgets</v>
      </c>
      <c r="M208">
        <f t="shared" si="49"/>
        <v>15</v>
      </c>
      <c r="N208">
        <f t="shared" si="50"/>
        <v>15</v>
      </c>
      <c r="O208" s="6">
        <f t="shared" si="51"/>
        <v>799</v>
      </c>
      <c r="P208" t="str">
        <f t="shared" si="52"/>
        <v>Gadgets</v>
      </c>
      <c r="Q208">
        <f t="shared" si="53"/>
        <v>799</v>
      </c>
      <c r="R208" t="str">
        <f t="shared" si="54"/>
        <v>Apple Iphone 14|Gadgets|799|Samsung</v>
      </c>
      <c r="S208" t="b">
        <f t="shared" si="55"/>
        <v>1</v>
      </c>
    </row>
    <row r="209" spans="1:19" x14ac:dyDescent="0.45">
      <c r="A209" t="s">
        <v>295</v>
      </c>
      <c r="B209" t="s">
        <v>60</v>
      </c>
      <c r="D209" t="s">
        <v>88</v>
      </c>
      <c r="E209" t="s">
        <v>75</v>
      </c>
      <c r="F209" t="str">
        <f t="shared" si="42"/>
        <v>apple iPhone 14||USD 799|google</v>
      </c>
      <c r="G209" t="b">
        <f t="shared" si="43"/>
        <v>1</v>
      </c>
      <c r="H209" t="str">
        <f t="shared" si="44"/>
        <v>apple iPhone 14</v>
      </c>
      <c r="I209" t="str">
        <f t="shared" si="45"/>
        <v>Apple Iphone 14</v>
      </c>
      <c r="J209" t="str">
        <f t="shared" si="46"/>
        <v>google</v>
      </c>
      <c r="K209" t="str">
        <f t="shared" si="47"/>
        <v>Google</v>
      </c>
      <c r="L209" t="str">
        <f t="shared" si="48"/>
        <v/>
      </c>
      <c r="M209">
        <f t="shared" si="49"/>
        <v>15</v>
      </c>
      <c r="N209">
        <f t="shared" si="50"/>
        <v>15</v>
      </c>
      <c r="O209" s="6">
        <f t="shared" si="51"/>
        <v>799</v>
      </c>
      <c r="P209" t="str">
        <f t="shared" si="52"/>
        <v>Not Available</v>
      </c>
      <c r="Q209">
        <f t="shared" si="53"/>
        <v>799</v>
      </c>
      <c r="R209" t="str">
        <f t="shared" si="54"/>
        <v>Apple Iphone 14|Not Available|799|Google</v>
      </c>
      <c r="S209" t="b">
        <f t="shared" si="55"/>
        <v>1</v>
      </c>
    </row>
    <row r="210" spans="1:19" x14ac:dyDescent="0.45">
      <c r="A210" t="s">
        <v>296</v>
      </c>
      <c r="B210" t="s">
        <v>54</v>
      </c>
      <c r="D210" t="s">
        <v>69</v>
      </c>
      <c r="E210" t="s">
        <v>79</v>
      </c>
      <c r="F210" t="str">
        <f t="shared" si="42"/>
        <v>Samsung galaxy||799|Samsung</v>
      </c>
      <c r="G210" t="b">
        <f t="shared" si="43"/>
        <v>1</v>
      </c>
      <c r="H210" t="str">
        <f t="shared" si="44"/>
        <v>Samsung galaxy</v>
      </c>
      <c r="I210" t="str">
        <f t="shared" si="45"/>
        <v>Samsung Galaxy</v>
      </c>
      <c r="J210" t="str">
        <f t="shared" si="46"/>
        <v>Samsung</v>
      </c>
      <c r="K210" t="str">
        <f t="shared" si="47"/>
        <v>Samsung</v>
      </c>
      <c r="L210" t="str">
        <f t="shared" si="48"/>
        <v/>
      </c>
      <c r="M210">
        <f t="shared" si="49"/>
        <v>15</v>
      </c>
      <c r="N210">
        <f t="shared" si="50"/>
        <v>14</v>
      </c>
      <c r="O210" s="6">
        <f t="shared" si="51"/>
        <v>799</v>
      </c>
      <c r="P210" t="str">
        <f t="shared" si="52"/>
        <v>Not Available</v>
      </c>
      <c r="Q210">
        <f t="shared" si="53"/>
        <v>799</v>
      </c>
      <c r="R210" t="str">
        <f t="shared" si="54"/>
        <v>Samsung Galaxy|Not Available|799|Samsung</v>
      </c>
      <c r="S210" t="b">
        <f t="shared" si="55"/>
        <v>1</v>
      </c>
    </row>
    <row r="211" spans="1:19" x14ac:dyDescent="0.45">
      <c r="A211" t="s">
        <v>297</v>
      </c>
      <c r="B211" t="s">
        <v>109</v>
      </c>
      <c r="C211" t="s">
        <v>73</v>
      </c>
      <c r="D211" t="s">
        <v>74</v>
      </c>
      <c r="E211" t="s">
        <v>79</v>
      </c>
      <c r="F211" t="str">
        <f t="shared" si="42"/>
        <v>Apple iPhone14|Electro|799|Samsung</v>
      </c>
      <c r="G211" t="b">
        <f t="shared" si="43"/>
        <v>1</v>
      </c>
      <c r="H211" t="str">
        <f t="shared" si="44"/>
        <v>Apple iPhone14</v>
      </c>
      <c r="I211" t="str">
        <f t="shared" si="45"/>
        <v>Apple Iphone14</v>
      </c>
      <c r="J211" t="str">
        <f t="shared" si="46"/>
        <v>Samsung</v>
      </c>
      <c r="K211" t="str">
        <f t="shared" si="47"/>
        <v>Samsung</v>
      </c>
      <c r="L211" t="str">
        <f t="shared" si="48"/>
        <v>Electronics</v>
      </c>
      <c r="M211">
        <f t="shared" si="49"/>
        <v>15</v>
      </c>
      <c r="N211">
        <f t="shared" si="50"/>
        <v>14</v>
      </c>
      <c r="O211" s="6">
        <f t="shared" si="51"/>
        <v>799</v>
      </c>
      <c r="P211" t="str">
        <f t="shared" si="52"/>
        <v>Electronics</v>
      </c>
      <c r="Q211">
        <f t="shared" si="53"/>
        <v>799</v>
      </c>
      <c r="R211" t="str">
        <f t="shared" si="54"/>
        <v>Apple Iphone14|Electronics|799|Samsung</v>
      </c>
      <c r="S211" t="b">
        <f t="shared" si="55"/>
        <v>1</v>
      </c>
    </row>
    <row r="212" spans="1:19" x14ac:dyDescent="0.45">
      <c r="A212" t="s">
        <v>298</v>
      </c>
      <c r="B212" t="s">
        <v>109</v>
      </c>
      <c r="C212" t="s">
        <v>73</v>
      </c>
      <c r="D212" t="s">
        <v>88</v>
      </c>
      <c r="E212" t="s">
        <v>82</v>
      </c>
      <c r="F212" t="str">
        <f t="shared" si="42"/>
        <v>Apple iPhone14|Electro|USD 799|APPLE</v>
      </c>
      <c r="G212" t="b">
        <f t="shared" si="43"/>
        <v>1</v>
      </c>
      <c r="H212" t="str">
        <f t="shared" si="44"/>
        <v>Apple iPhone14</v>
      </c>
      <c r="I212" t="str">
        <f t="shared" si="45"/>
        <v>Apple Iphone14</v>
      </c>
      <c r="J212" t="str">
        <f t="shared" si="46"/>
        <v>APPLE</v>
      </c>
      <c r="K212" t="str">
        <f t="shared" si="47"/>
        <v>Apple</v>
      </c>
      <c r="L212" t="str">
        <f t="shared" si="48"/>
        <v>Electronics</v>
      </c>
      <c r="M212">
        <f t="shared" si="49"/>
        <v>15</v>
      </c>
      <c r="N212">
        <f t="shared" si="50"/>
        <v>14</v>
      </c>
      <c r="O212" s="6">
        <f t="shared" si="51"/>
        <v>799</v>
      </c>
      <c r="P212" t="str">
        <f t="shared" si="52"/>
        <v>Electronics</v>
      </c>
      <c r="Q212">
        <f t="shared" si="53"/>
        <v>799</v>
      </c>
      <c r="R212" t="str">
        <f t="shared" si="54"/>
        <v>Apple Iphone14|Electronics|799|Apple</v>
      </c>
      <c r="S212" t="b">
        <f t="shared" si="55"/>
        <v>1</v>
      </c>
    </row>
    <row r="213" spans="1:19" x14ac:dyDescent="0.45">
      <c r="A213" t="s">
        <v>299</v>
      </c>
      <c r="B213" t="s">
        <v>65</v>
      </c>
      <c r="C213" t="s">
        <v>73</v>
      </c>
      <c r="D213" t="s">
        <v>74</v>
      </c>
      <c r="E213" t="s">
        <v>56</v>
      </c>
      <c r="F213" t="str">
        <f t="shared" si="42"/>
        <v>apple iphone 14|Electro|799|GOOGLE</v>
      </c>
      <c r="G213" t="b">
        <f t="shared" si="43"/>
        <v>1</v>
      </c>
      <c r="H213" t="str">
        <f t="shared" si="44"/>
        <v>apple iphone 14</v>
      </c>
      <c r="I213" t="str">
        <f t="shared" si="45"/>
        <v>Apple Iphone 14</v>
      </c>
      <c r="J213" t="str">
        <f t="shared" si="46"/>
        <v>GOOGLE</v>
      </c>
      <c r="K213" t="str">
        <f t="shared" si="47"/>
        <v>Google</v>
      </c>
      <c r="L213" t="str">
        <f t="shared" si="48"/>
        <v>Electronics</v>
      </c>
      <c r="M213">
        <f t="shared" si="49"/>
        <v>17</v>
      </c>
      <c r="N213">
        <f t="shared" si="50"/>
        <v>15</v>
      </c>
      <c r="O213" s="6">
        <f t="shared" si="51"/>
        <v>799</v>
      </c>
      <c r="P213" t="str">
        <f t="shared" si="52"/>
        <v>Electronics</v>
      </c>
      <c r="Q213">
        <f t="shared" si="53"/>
        <v>799</v>
      </c>
      <c r="R213" t="str">
        <f t="shared" si="54"/>
        <v>Apple Iphone 14|Electronics|799|Google</v>
      </c>
      <c r="S213" t="b">
        <f t="shared" si="55"/>
        <v>1</v>
      </c>
    </row>
    <row r="214" spans="1:19" x14ac:dyDescent="0.45">
      <c r="A214" t="s">
        <v>300</v>
      </c>
      <c r="B214" t="s">
        <v>109</v>
      </c>
      <c r="C214" t="s">
        <v>96</v>
      </c>
      <c r="D214" t="s">
        <v>88</v>
      </c>
      <c r="E214" t="s">
        <v>67</v>
      </c>
      <c r="F214" t="str">
        <f t="shared" si="42"/>
        <v>Apple iPhone14|Gadgets|USD 799|apple</v>
      </c>
      <c r="G214" t="b">
        <f t="shared" si="43"/>
        <v>0</v>
      </c>
      <c r="H214" t="str">
        <f t="shared" si="44"/>
        <v>Apple iPhone14</v>
      </c>
      <c r="I214" t="str">
        <f t="shared" si="45"/>
        <v>Apple Iphone14</v>
      </c>
      <c r="J214" t="str">
        <f t="shared" si="46"/>
        <v>apple</v>
      </c>
      <c r="K214" t="str">
        <f t="shared" si="47"/>
        <v>Apple</v>
      </c>
      <c r="L214" t="str">
        <f t="shared" si="48"/>
        <v>Gadgets</v>
      </c>
      <c r="M214">
        <f t="shared" si="49"/>
        <v>15</v>
      </c>
      <c r="N214">
        <f t="shared" si="50"/>
        <v>14</v>
      </c>
      <c r="O214" s="6">
        <f t="shared" si="51"/>
        <v>799</v>
      </c>
      <c r="P214" t="str">
        <f t="shared" si="52"/>
        <v>Gadgets</v>
      </c>
      <c r="Q214">
        <f t="shared" si="53"/>
        <v>799</v>
      </c>
      <c r="R214" t="str">
        <f t="shared" si="54"/>
        <v>Apple Iphone14|Gadgets|799|Apple</v>
      </c>
      <c r="S214" t="b">
        <f t="shared" si="55"/>
        <v>1</v>
      </c>
    </row>
    <row r="215" spans="1:19" x14ac:dyDescent="0.45">
      <c r="A215" t="s">
        <v>301</v>
      </c>
      <c r="B215" t="s">
        <v>72</v>
      </c>
      <c r="C215" t="s">
        <v>85</v>
      </c>
      <c r="D215" t="s">
        <v>62</v>
      </c>
      <c r="E215" t="s">
        <v>112</v>
      </c>
      <c r="F215" t="str">
        <f t="shared" si="42"/>
        <v>google pixel|electronics|799.0|SAMSUNG</v>
      </c>
      <c r="G215" t="b">
        <f t="shared" si="43"/>
        <v>1</v>
      </c>
      <c r="H215" t="str">
        <f t="shared" si="44"/>
        <v>google pixel</v>
      </c>
      <c r="I215" t="str">
        <f t="shared" si="45"/>
        <v>Google Pixel</v>
      </c>
      <c r="J215" t="str">
        <f t="shared" si="46"/>
        <v>SAMSUNG</v>
      </c>
      <c r="K215" t="str">
        <f t="shared" si="47"/>
        <v>Samsung</v>
      </c>
      <c r="L215" t="str">
        <f t="shared" si="48"/>
        <v>Electronics</v>
      </c>
      <c r="M215">
        <f t="shared" si="49"/>
        <v>14</v>
      </c>
      <c r="N215">
        <f t="shared" si="50"/>
        <v>12</v>
      </c>
      <c r="O215" s="6">
        <f t="shared" si="51"/>
        <v>799</v>
      </c>
      <c r="P215" t="str">
        <f t="shared" si="52"/>
        <v>Electronics</v>
      </c>
      <c r="Q215">
        <f t="shared" si="53"/>
        <v>799</v>
      </c>
      <c r="R215" t="str">
        <f t="shared" si="54"/>
        <v>Google Pixel|Electronics|799|Samsung</v>
      </c>
      <c r="S215" t="b">
        <f t="shared" si="55"/>
        <v>1</v>
      </c>
    </row>
    <row r="216" spans="1:19" x14ac:dyDescent="0.45">
      <c r="A216" t="s">
        <v>302</v>
      </c>
      <c r="B216" t="s">
        <v>54</v>
      </c>
      <c r="C216" t="s">
        <v>73</v>
      </c>
      <c r="E216" t="s">
        <v>67</v>
      </c>
      <c r="F216" t="str">
        <f t="shared" si="42"/>
        <v>Samsung galaxy|Electro||apple</v>
      </c>
      <c r="G216" t="b">
        <f t="shared" si="43"/>
        <v>1</v>
      </c>
      <c r="H216" t="str">
        <f t="shared" si="44"/>
        <v>Samsung galaxy</v>
      </c>
      <c r="I216" t="str">
        <f t="shared" si="45"/>
        <v>Samsung Galaxy</v>
      </c>
      <c r="J216" t="str">
        <f t="shared" si="46"/>
        <v>apple</v>
      </c>
      <c r="K216" t="str">
        <f t="shared" si="47"/>
        <v>Apple</v>
      </c>
      <c r="L216" t="str">
        <f t="shared" si="48"/>
        <v>Electronics</v>
      </c>
      <c r="M216">
        <f t="shared" si="49"/>
        <v>15</v>
      </c>
      <c r="N216">
        <f t="shared" si="50"/>
        <v>14</v>
      </c>
      <c r="O216" s="6" t="str">
        <f t="shared" si="51"/>
        <v/>
      </c>
      <c r="P216" t="str">
        <f t="shared" si="52"/>
        <v>Electronics</v>
      </c>
      <c r="Q216" t="str">
        <f t="shared" si="53"/>
        <v>Not Available</v>
      </c>
      <c r="R216" t="str">
        <f t="shared" si="54"/>
        <v>Samsung Galaxy|Electronics|Not Available|Apple</v>
      </c>
      <c r="S216" t="b">
        <f t="shared" si="55"/>
        <v>1</v>
      </c>
    </row>
    <row r="217" spans="1:19" x14ac:dyDescent="0.45">
      <c r="A217" t="s">
        <v>303</v>
      </c>
      <c r="B217" t="s">
        <v>60</v>
      </c>
      <c r="C217" t="s">
        <v>85</v>
      </c>
      <c r="D217" t="s">
        <v>66</v>
      </c>
      <c r="E217" t="s">
        <v>63</v>
      </c>
      <c r="F217" t="str">
        <f t="shared" si="42"/>
        <v>apple iPhone 14|electronics|799.00|Google</v>
      </c>
      <c r="G217" t="b">
        <f t="shared" si="43"/>
        <v>1</v>
      </c>
      <c r="H217" t="str">
        <f t="shared" si="44"/>
        <v>apple iPhone 14</v>
      </c>
      <c r="I217" t="str">
        <f t="shared" si="45"/>
        <v>Apple Iphone 14</v>
      </c>
      <c r="J217" t="str">
        <f t="shared" si="46"/>
        <v>Google</v>
      </c>
      <c r="K217" t="str">
        <f t="shared" si="47"/>
        <v>Google</v>
      </c>
      <c r="L217" t="str">
        <f t="shared" si="48"/>
        <v>Electronics</v>
      </c>
      <c r="M217">
        <f t="shared" si="49"/>
        <v>15</v>
      </c>
      <c r="N217">
        <f t="shared" si="50"/>
        <v>15</v>
      </c>
      <c r="O217" s="6">
        <f t="shared" si="51"/>
        <v>799</v>
      </c>
      <c r="P217" t="str">
        <f t="shared" si="52"/>
        <v>Electronics</v>
      </c>
      <c r="Q217">
        <f t="shared" si="53"/>
        <v>799</v>
      </c>
      <c r="R217" t="str">
        <f t="shared" si="54"/>
        <v>Apple Iphone 14|Electronics|799|Google</v>
      </c>
      <c r="S217" t="b">
        <f t="shared" si="55"/>
        <v>1</v>
      </c>
    </row>
    <row r="218" spans="1:19" x14ac:dyDescent="0.45">
      <c r="A218" t="s">
        <v>304</v>
      </c>
      <c r="B218" t="s">
        <v>78</v>
      </c>
      <c r="C218" t="s">
        <v>94</v>
      </c>
      <c r="D218" t="s">
        <v>66</v>
      </c>
      <c r="E218" t="s">
        <v>56</v>
      </c>
      <c r="F218" t="str">
        <f t="shared" si="42"/>
        <v>samsung Galaxy|gadgets|799.00|GOOGLE</v>
      </c>
      <c r="G218" t="b">
        <f t="shared" si="43"/>
        <v>1</v>
      </c>
      <c r="H218" t="str">
        <f t="shared" si="44"/>
        <v>samsung Galaxy</v>
      </c>
      <c r="I218" t="str">
        <f t="shared" si="45"/>
        <v>Samsung Galaxy</v>
      </c>
      <c r="J218" t="str">
        <f t="shared" si="46"/>
        <v>GOOGLE</v>
      </c>
      <c r="K218" t="str">
        <f t="shared" si="47"/>
        <v>Google</v>
      </c>
      <c r="L218" t="str">
        <f t="shared" si="48"/>
        <v>Gadgets</v>
      </c>
      <c r="M218">
        <f t="shared" si="49"/>
        <v>15</v>
      </c>
      <c r="N218">
        <f t="shared" si="50"/>
        <v>14</v>
      </c>
      <c r="O218" s="6">
        <f t="shared" si="51"/>
        <v>799</v>
      </c>
      <c r="P218" t="str">
        <f t="shared" si="52"/>
        <v>Gadgets</v>
      </c>
      <c r="Q218">
        <f t="shared" si="53"/>
        <v>799</v>
      </c>
      <c r="R218" t="str">
        <f t="shared" si="54"/>
        <v>Samsung Galaxy|Gadgets|799|Google</v>
      </c>
      <c r="S218" t="b">
        <f t="shared" si="55"/>
        <v>1</v>
      </c>
    </row>
    <row r="219" spans="1:19" x14ac:dyDescent="0.45">
      <c r="A219" t="s">
        <v>305</v>
      </c>
      <c r="B219" t="s">
        <v>60</v>
      </c>
      <c r="C219" t="s">
        <v>85</v>
      </c>
      <c r="D219" t="s">
        <v>81</v>
      </c>
      <c r="E219" t="s">
        <v>91</v>
      </c>
      <c r="F219" t="str">
        <f t="shared" si="42"/>
        <v>apple iPhone 14|electronics|$799|Apple</v>
      </c>
      <c r="G219" t="b">
        <f t="shared" si="43"/>
        <v>1</v>
      </c>
      <c r="H219" t="str">
        <f t="shared" si="44"/>
        <v>apple iPhone 14</v>
      </c>
      <c r="I219" t="str">
        <f t="shared" si="45"/>
        <v>Apple Iphone 14</v>
      </c>
      <c r="J219" t="str">
        <f t="shared" si="46"/>
        <v>Apple</v>
      </c>
      <c r="K219" t="str">
        <f t="shared" si="47"/>
        <v>Apple</v>
      </c>
      <c r="L219" t="str">
        <f t="shared" si="48"/>
        <v>Electronics</v>
      </c>
      <c r="M219">
        <f t="shared" si="49"/>
        <v>15</v>
      </c>
      <c r="N219">
        <f t="shared" si="50"/>
        <v>15</v>
      </c>
      <c r="O219" s="6">
        <f t="shared" si="51"/>
        <v>799</v>
      </c>
      <c r="P219" t="str">
        <f t="shared" si="52"/>
        <v>Electronics</v>
      </c>
      <c r="Q219">
        <f t="shared" si="53"/>
        <v>799</v>
      </c>
      <c r="R219" t="str">
        <f t="shared" si="54"/>
        <v>Apple Iphone 14|Electronics|799|Apple</v>
      </c>
      <c r="S219" t="b">
        <f t="shared" si="55"/>
        <v>1</v>
      </c>
    </row>
    <row r="220" spans="1:19" x14ac:dyDescent="0.45">
      <c r="A220" t="s">
        <v>306</v>
      </c>
      <c r="B220" t="s">
        <v>87</v>
      </c>
      <c r="C220" t="s">
        <v>123</v>
      </c>
      <c r="D220" t="s">
        <v>55</v>
      </c>
      <c r="E220" t="s">
        <v>70</v>
      </c>
      <c r="F220" t="str">
        <f t="shared" si="42"/>
        <v>Google Pixel|Electronics|799|Samsung</v>
      </c>
      <c r="G220" t="b">
        <f t="shared" si="43"/>
        <v>1</v>
      </c>
      <c r="H220" t="str">
        <f t="shared" si="44"/>
        <v>Google Pixel</v>
      </c>
      <c r="I220" t="str">
        <f t="shared" si="45"/>
        <v>Google Pixel</v>
      </c>
      <c r="J220" t="str">
        <f t="shared" si="46"/>
        <v>Samsung</v>
      </c>
      <c r="K220" t="str">
        <f t="shared" si="47"/>
        <v>Samsung</v>
      </c>
      <c r="L220" t="str">
        <f t="shared" si="48"/>
        <v>Electronics</v>
      </c>
      <c r="M220">
        <f t="shared" si="49"/>
        <v>12</v>
      </c>
      <c r="N220">
        <f t="shared" si="50"/>
        <v>12</v>
      </c>
      <c r="O220" s="6">
        <f t="shared" si="51"/>
        <v>799</v>
      </c>
      <c r="P220" t="str">
        <f t="shared" si="52"/>
        <v>Electronics</v>
      </c>
      <c r="Q220">
        <f t="shared" si="53"/>
        <v>799</v>
      </c>
      <c r="R220" t="str">
        <f t="shared" si="54"/>
        <v>Google Pixel|Electronics|799|Samsung</v>
      </c>
      <c r="S220" t="b">
        <f t="shared" si="55"/>
        <v>1</v>
      </c>
    </row>
    <row r="221" spans="1:19" x14ac:dyDescent="0.45">
      <c r="A221" t="s">
        <v>307</v>
      </c>
      <c r="B221" t="s">
        <v>87</v>
      </c>
      <c r="C221" t="s">
        <v>85</v>
      </c>
      <c r="D221" t="s">
        <v>62</v>
      </c>
      <c r="E221" t="s">
        <v>112</v>
      </c>
      <c r="F221" t="str">
        <f t="shared" si="42"/>
        <v>Google Pixel|electronics|799.0|SAMSUNG</v>
      </c>
      <c r="G221" t="b">
        <f t="shared" si="43"/>
        <v>1</v>
      </c>
      <c r="H221" t="str">
        <f t="shared" si="44"/>
        <v>Google Pixel</v>
      </c>
      <c r="I221" t="str">
        <f t="shared" si="45"/>
        <v>Google Pixel</v>
      </c>
      <c r="J221" t="str">
        <f t="shared" si="46"/>
        <v>SAMSUNG</v>
      </c>
      <c r="K221" t="str">
        <f t="shared" si="47"/>
        <v>Samsung</v>
      </c>
      <c r="L221" t="str">
        <f t="shared" si="48"/>
        <v>Electronics</v>
      </c>
      <c r="M221">
        <f t="shared" si="49"/>
        <v>12</v>
      </c>
      <c r="N221">
        <f t="shared" si="50"/>
        <v>12</v>
      </c>
      <c r="O221" s="6">
        <f t="shared" si="51"/>
        <v>799</v>
      </c>
      <c r="P221" t="str">
        <f t="shared" si="52"/>
        <v>Electronics</v>
      </c>
      <c r="Q221">
        <f t="shared" si="53"/>
        <v>799</v>
      </c>
      <c r="R221" t="str">
        <f t="shared" si="54"/>
        <v>Google Pixel|Electronics|799|Samsung</v>
      </c>
      <c r="S221" t="b">
        <f t="shared" si="55"/>
        <v>1</v>
      </c>
    </row>
    <row r="222" spans="1:19" x14ac:dyDescent="0.45">
      <c r="A222" t="s">
        <v>308</v>
      </c>
      <c r="B222" t="s">
        <v>93</v>
      </c>
      <c r="C222" t="s">
        <v>85</v>
      </c>
      <c r="D222" t="s">
        <v>66</v>
      </c>
      <c r="E222" t="s">
        <v>112</v>
      </c>
      <c r="F222" t="str">
        <f t="shared" si="42"/>
        <v>SAMSUNG GALAXY|electronics|799.00|SAMSUNG</v>
      </c>
      <c r="G222" t="b">
        <f t="shared" si="43"/>
        <v>1</v>
      </c>
      <c r="H222" t="str">
        <f t="shared" si="44"/>
        <v>SAMSUNG GALAXY</v>
      </c>
      <c r="I222" t="str">
        <f t="shared" si="45"/>
        <v>Samsung Galaxy</v>
      </c>
      <c r="J222" t="str">
        <f t="shared" si="46"/>
        <v>SAMSUNG</v>
      </c>
      <c r="K222" t="str">
        <f t="shared" si="47"/>
        <v>Samsung</v>
      </c>
      <c r="L222" t="str">
        <f t="shared" si="48"/>
        <v>Electronics</v>
      </c>
      <c r="M222">
        <f t="shared" si="49"/>
        <v>14</v>
      </c>
      <c r="N222">
        <f t="shared" si="50"/>
        <v>14</v>
      </c>
      <c r="O222" s="6">
        <f t="shared" si="51"/>
        <v>799</v>
      </c>
      <c r="P222" t="str">
        <f t="shared" si="52"/>
        <v>Electronics</v>
      </c>
      <c r="Q222">
        <f t="shared" si="53"/>
        <v>799</v>
      </c>
      <c r="R222" t="str">
        <f t="shared" si="54"/>
        <v>Samsung Galaxy|Electronics|799|Samsung</v>
      </c>
      <c r="S222" t="b">
        <f t="shared" si="55"/>
        <v>1</v>
      </c>
    </row>
    <row r="223" spans="1:19" x14ac:dyDescent="0.45">
      <c r="A223" t="s">
        <v>309</v>
      </c>
      <c r="B223" t="s">
        <v>138</v>
      </c>
      <c r="C223" t="s">
        <v>85</v>
      </c>
      <c r="D223" t="s">
        <v>74</v>
      </c>
      <c r="E223" t="s">
        <v>89</v>
      </c>
      <c r="F223" t="str">
        <f t="shared" si="42"/>
        <v>APPLE IPHONE 14|electronics|799|Apple</v>
      </c>
      <c r="G223" t="b">
        <f t="shared" si="43"/>
        <v>1</v>
      </c>
      <c r="H223" t="str">
        <f t="shared" si="44"/>
        <v>APPLE IPHONE 14</v>
      </c>
      <c r="I223" t="str">
        <f t="shared" si="45"/>
        <v>Apple Iphone 14</v>
      </c>
      <c r="J223" t="str">
        <f t="shared" si="46"/>
        <v>Apple</v>
      </c>
      <c r="K223" t="str">
        <f t="shared" si="47"/>
        <v>Apple</v>
      </c>
      <c r="L223" t="str">
        <f t="shared" si="48"/>
        <v>Electronics</v>
      </c>
      <c r="M223">
        <f t="shared" si="49"/>
        <v>15</v>
      </c>
      <c r="N223">
        <f t="shared" si="50"/>
        <v>15</v>
      </c>
      <c r="O223" s="6">
        <f t="shared" si="51"/>
        <v>799</v>
      </c>
      <c r="P223" t="str">
        <f t="shared" si="52"/>
        <v>Electronics</v>
      </c>
      <c r="Q223">
        <f t="shared" si="53"/>
        <v>799</v>
      </c>
      <c r="R223" t="str">
        <f t="shared" si="54"/>
        <v>Apple Iphone 14|Electronics|799|Apple</v>
      </c>
      <c r="S223" t="b">
        <f t="shared" si="55"/>
        <v>1</v>
      </c>
    </row>
    <row r="224" spans="1:19" x14ac:dyDescent="0.45">
      <c r="A224" t="s">
        <v>310</v>
      </c>
      <c r="B224" t="s">
        <v>60</v>
      </c>
      <c r="C224" t="s">
        <v>94</v>
      </c>
      <c r="D224" t="s">
        <v>66</v>
      </c>
      <c r="E224" t="s">
        <v>91</v>
      </c>
      <c r="F224" t="str">
        <f t="shared" si="42"/>
        <v>apple iPhone 14|gadgets|799.00|Apple</v>
      </c>
      <c r="G224" t="b">
        <f t="shared" si="43"/>
        <v>1</v>
      </c>
      <c r="H224" t="str">
        <f t="shared" si="44"/>
        <v>apple iPhone 14</v>
      </c>
      <c r="I224" t="str">
        <f t="shared" si="45"/>
        <v>Apple Iphone 14</v>
      </c>
      <c r="J224" t="str">
        <f t="shared" si="46"/>
        <v>Apple</v>
      </c>
      <c r="K224" t="str">
        <f t="shared" si="47"/>
        <v>Apple</v>
      </c>
      <c r="L224" t="str">
        <f t="shared" si="48"/>
        <v>Gadgets</v>
      </c>
      <c r="M224">
        <f t="shared" si="49"/>
        <v>15</v>
      </c>
      <c r="N224">
        <f t="shared" si="50"/>
        <v>15</v>
      </c>
      <c r="O224" s="6">
        <f t="shared" si="51"/>
        <v>799</v>
      </c>
      <c r="P224" t="str">
        <f t="shared" si="52"/>
        <v>Gadgets</v>
      </c>
      <c r="Q224">
        <f t="shared" si="53"/>
        <v>799</v>
      </c>
      <c r="R224" t="str">
        <f t="shared" si="54"/>
        <v>Apple Iphone 14|Gadgets|799|Apple</v>
      </c>
      <c r="S224" t="b">
        <f t="shared" si="55"/>
        <v>1</v>
      </c>
    </row>
    <row r="225" spans="1:19" x14ac:dyDescent="0.45">
      <c r="A225" t="s">
        <v>311</v>
      </c>
      <c r="B225" t="s">
        <v>78</v>
      </c>
      <c r="C225" t="s">
        <v>85</v>
      </c>
      <c r="D225" t="s">
        <v>62</v>
      </c>
      <c r="E225" t="s">
        <v>91</v>
      </c>
      <c r="F225" t="str">
        <f t="shared" si="42"/>
        <v>samsung Galaxy|electronics|799.0|Apple</v>
      </c>
      <c r="G225" t="b">
        <f t="shared" si="43"/>
        <v>1</v>
      </c>
      <c r="H225" t="str">
        <f t="shared" si="44"/>
        <v>samsung Galaxy</v>
      </c>
      <c r="I225" t="str">
        <f t="shared" si="45"/>
        <v>Samsung Galaxy</v>
      </c>
      <c r="J225" t="str">
        <f t="shared" si="46"/>
        <v>Apple</v>
      </c>
      <c r="K225" t="str">
        <f t="shared" si="47"/>
        <v>Apple</v>
      </c>
      <c r="L225" t="str">
        <f t="shared" si="48"/>
        <v>Electronics</v>
      </c>
      <c r="M225">
        <f t="shared" si="49"/>
        <v>15</v>
      </c>
      <c r="N225">
        <f t="shared" si="50"/>
        <v>14</v>
      </c>
      <c r="O225" s="6">
        <f t="shared" si="51"/>
        <v>799</v>
      </c>
      <c r="P225" t="str">
        <f t="shared" si="52"/>
        <v>Electronics</v>
      </c>
      <c r="Q225">
        <f t="shared" si="53"/>
        <v>799</v>
      </c>
      <c r="R225" t="str">
        <f t="shared" si="54"/>
        <v>Samsung Galaxy|Electronics|799|Apple</v>
      </c>
      <c r="S225" t="b">
        <f t="shared" si="55"/>
        <v>1</v>
      </c>
    </row>
    <row r="226" spans="1:19" x14ac:dyDescent="0.45">
      <c r="A226" t="s">
        <v>312</v>
      </c>
      <c r="B226" t="s">
        <v>93</v>
      </c>
      <c r="C226" t="s">
        <v>73</v>
      </c>
      <c r="D226" t="s">
        <v>88</v>
      </c>
      <c r="E226" t="s">
        <v>112</v>
      </c>
      <c r="F226" t="str">
        <f t="shared" si="42"/>
        <v>SAMSUNG GALAXY|Electro|USD 799|SAMSUNG</v>
      </c>
      <c r="G226" t="b">
        <f t="shared" si="43"/>
        <v>1</v>
      </c>
      <c r="H226" t="str">
        <f t="shared" si="44"/>
        <v>SAMSUNG GALAXY</v>
      </c>
      <c r="I226" t="str">
        <f t="shared" si="45"/>
        <v>Samsung Galaxy</v>
      </c>
      <c r="J226" t="str">
        <f t="shared" si="46"/>
        <v>SAMSUNG</v>
      </c>
      <c r="K226" t="str">
        <f t="shared" si="47"/>
        <v>Samsung</v>
      </c>
      <c r="L226" t="str">
        <f t="shared" si="48"/>
        <v>Electronics</v>
      </c>
      <c r="M226">
        <f t="shared" si="49"/>
        <v>14</v>
      </c>
      <c r="N226">
        <f t="shared" si="50"/>
        <v>14</v>
      </c>
      <c r="O226" s="6">
        <f t="shared" si="51"/>
        <v>799</v>
      </c>
      <c r="P226" t="str">
        <f t="shared" si="52"/>
        <v>Electronics</v>
      </c>
      <c r="Q226">
        <f t="shared" si="53"/>
        <v>799</v>
      </c>
      <c r="R226" t="str">
        <f t="shared" si="54"/>
        <v>Samsung Galaxy|Electronics|799|Samsung</v>
      </c>
      <c r="S226" t="b">
        <f t="shared" si="55"/>
        <v>1</v>
      </c>
    </row>
    <row r="227" spans="1:19" x14ac:dyDescent="0.45">
      <c r="A227" t="s">
        <v>313</v>
      </c>
      <c r="B227" t="s">
        <v>78</v>
      </c>
      <c r="C227" t="s">
        <v>73</v>
      </c>
      <c r="D227" t="s">
        <v>88</v>
      </c>
      <c r="E227" t="s">
        <v>56</v>
      </c>
      <c r="F227" t="str">
        <f t="shared" si="42"/>
        <v>samsung Galaxy|Electro|USD 799|GOOGLE</v>
      </c>
      <c r="G227" t="b">
        <f t="shared" si="43"/>
        <v>0</v>
      </c>
      <c r="H227" t="str">
        <f t="shared" si="44"/>
        <v>samsung Galaxy</v>
      </c>
      <c r="I227" t="str">
        <f t="shared" si="45"/>
        <v>Samsung Galaxy</v>
      </c>
      <c r="J227" t="str">
        <f t="shared" si="46"/>
        <v>GOOGLE</v>
      </c>
      <c r="K227" t="str">
        <f t="shared" si="47"/>
        <v>Google</v>
      </c>
      <c r="L227" t="str">
        <f t="shared" si="48"/>
        <v>Electronics</v>
      </c>
      <c r="M227">
        <f t="shared" si="49"/>
        <v>15</v>
      </c>
      <c r="N227">
        <f t="shared" si="50"/>
        <v>14</v>
      </c>
      <c r="O227" s="6">
        <f t="shared" si="51"/>
        <v>799</v>
      </c>
      <c r="P227" t="str">
        <f t="shared" si="52"/>
        <v>Electronics</v>
      </c>
      <c r="Q227">
        <f t="shared" si="53"/>
        <v>799</v>
      </c>
      <c r="R227" t="str">
        <f t="shared" si="54"/>
        <v>Samsung Galaxy|Electronics|799|Google</v>
      </c>
      <c r="S227" t="b">
        <f t="shared" si="55"/>
        <v>1</v>
      </c>
    </row>
    <row r="228" spans="1:19" x14ac:dyDescent="0.45">
      <c r="A228" t="s">
        <v>314</v>
      </c>
      <c r="B228" t="s">
        <v>60</v>
      </c>
      <c r="D228" t="s">
        <v>81</v>
      </c>
      <c r="E228" t="s">
        <v>70</v>
      </c>
      <c r="F228" t="str">
        <f t="shared" si="42"/>
        <v>apple iPhone 14||$799|Samsung</v>
      </c>
      <c r="G228" t="b">
        <f t="shared" si="43"/>
        <v>1</v>
      </c>
      <c r="H228" t="str">
        <f t="shared" si="44"/>
        <v>apple iPhone 14</v>
      </c>
      <c r="I228" t="str">
        <f t="shared" si="45"/>
        <v>Apple Iphone 14</v>
      </c>
      <c r="J228" t="str">
        <f t="shared" si="46"/>
        <v>Samsung</v>
      </c>
      <c r="K228" t="str">
        <f t="shared" si="47"/>
        <v>Samsung</v>
      </c>
      <c r="L228" t="str">
        <f t="shared" si="48"/>
        <v/>
      </c>
      <c r="M228">
        <f t="shared" si="49"/>
        <v>15</v>
      </c>
      <c r="N228">
        <f t="shared" si="50"/>
        <v>15</v>
      </c>
      <c r="O228" s="6">
        <f t="shared" si="51"/>
        <v>799</v>
      </c>
      <c r="P228" t="str">
        <f t="shared" si="52"/>
        <v>Not Available</v>
      </c>
      <c r="Q228">
        <f t="shared" si="53"/>
        <v>799</v>
      </c>
      <c r="R228" t="str">
        <f t="shared" si="54"/>
        <v>Apple Iphone 14|Not Available|799|Samsung</v>
      </c>
      <c r="S228" t="b">
        <f t="shared" si="55"/>
        <v>1</v>
      </c>
    </row>
    <row r="229" spans="1:19" x14ac:dyDescent="0.45">
      <c r="A229" t="s">
        <v>315</v>
      </c>
      <c r="B229" t="s">
        <v>87</v>
      </c>
      <c r="C229" t="s">
        <v>94</v>
      </c>
      <c r="E229" t="s">
        <v>75</v>
      </c>
      <c r="F229" t="str">
        <f t="shared" si="42"/>
        <v>Google Pixel|gadgets||google</v>
      </c>
      <c r="G229" t="b">
        <f t="shared" si="43"/>
        <v>0</v>
      </c>
      <c r="H229" t="str">
        <f t="shared" si="44"/>
        <v>Google Pixel</v>
      </c>
      <c r="I229" t="str">
        <f t="shared" si="45"/>
        <v>Google Pixel</v>
      </c>
      <c r="J229" t="str">
        <f t="shared" si="46"/>
        <v>google</v>
      </c>
      <c r="K229" t="str">
        <f t="shared" si="47"/>
        <v>Google</v>
      </c>
      <c r="L229" t="str">
        <f t="shared" si="48"/>
        <v>Gadgets</v>
      </c>
      <c r="M229">
        <f t="shared" si="49"/>
        <v>12</v>
      </c>
      <c r="N229">
        <f t="shared" si="50"/>
        <v>12</v>
      </c>
      <c r="O229" s="6" t="str">
        <f t="shared" si="51"/>
        <v/>
      </c>
      <c r="P229" t="str">
        <f t="shared" si="52"/>
        <v>Gadgets</v>
      </c>
      <c r="Q229" t="str">
        <f t="shared" si="53"/>
        <v>Not Available</v>
      </c>
      <c r="R229" t="str">
        <f t="shared" si="54"/>
        <v>Google Pixel|Gadgets|Not Available|Google</v>
      </c>
      <c r="S229" t="b">
        <f t="shared" si="55"/>
        <v>0</v>
      </c>
    </row>
    <row r="230" spans="1:19" x14ac:dyDescent="0.45">
      <c r="A230" t="s">
        <v>316</v>
      </c>
      <c r="B230" t="s">
        <v>138</v>
      </c>
      <c r="C230" t="s">
        <v>85</v>
      </c>
      <c r="D230" t="s">
        <v>66</v>
      </c>
      <c r="E230" t="s">
        <v>91</v>
      </c>
      <c r="F230" t="str">
        <f t="shared" si="42"/>
        <v>APPLE IPHONE 14|electronics|799.00|Apple</v>
      </c>
      <c r="G230" t="b">
        <f t="shared" si="43"/>
        <v>1</v>
      </c>
      <c r="H230" t="str">
        <f t="shared" si="44"/>
        <v>APPLE IPHONE 14</v>
      </c>
      <c r="I230" t="str">
        <f t="shared" si="45"/>
        <v>Apple Iphone 14</v>
      </c>
      <c r="J230" t="str">
        <f t="shared" si="46"/>
        <v>Apple</v>
      </c>
      <c r="K230" t="str">
        <f t="shared" si="47"/>
        <v>Apple</v>
      </c>
      <c r="L230" t="str">
        <f t="shared" si="48"/>
        <v>Electronics</v>
      </c>
      <c r="M230">
        <f t="shared" si="49"/>
        <v>15</v>
      </c>
      <c r="N230">
        <f t="shared" si="50"/>
        <v>15</v>
      </c>
      <c r="O230" s="6">
        <f t="shared" si="51"/>
        <v>799</v>
      </c>
      <c r="P230" t="str">
        <f t="shared" si="52"/>
        <v>Electronics</v>
      </c>
      <c r="Q230">
        <f t="shared" si="53"/>
        <v>799</v>
      </c>
      <c r="R230" t="str">
        <f t="shared" si="54"/>
        <v>Apple Iphone 14|Electronics|799|Apple</v>
      </c>
      <c r="S230" t="b">
        <f t="shared" si="55"/>
        <v>1</v>
      </c>
    </row>
    <row r="231" spans="1:19" x14ac:dyDescent="0.45">
      <c r="A231" t="s">
        <v>317</v>
      </c>
      <c r="B231" t="s">
        <v>102</v>
      </c>
      <c r="C231" t="s">
        <v>61</v>
      </c>
      <c r="D231" t="s">
        <v>88</v>
      </c>
      <c r="E231" t="s">
        <v>89</v>
      </c>
      <c r="F231" t="str">
        <f t="shared" si="42"/>
        <v>GOOGLE PIXEL|Electrnics|USD 799|Apple</v>
      </c>
      <c r="G231" t="b">
        <f t="shared" si="43"/>
        <v>1</v>
      </c>
      <c r="H231" t="str">
        <f t="shared" si="44"/>
        <v>GOOGLE PIXEL</v>
      </c>
      <c r="I231" t="str">
        <f t="shared" si="45"/>
        <v>Google Pixel</v>
      </c>
      <c r="J231" t="str">
        <f t="shared" si="46"/>
        <v>Apple</v>
      </c>
      <c r="K231" t="str">
        <f t="shared" si="47"/>
        <v>Apple</v>
      </c>
      <c r="L231" t="str">
        <f t="shared" si="48"/>
        <v>Electronics</v>
      </c>
      <c r="M231">
        <f t="shared" si="49"/>
        <v>13</v>
      </c>
      <c r="N231">
        <f t="shared" si="50"/>
        <v>12</v>
      </c>
      <c r="O231" s="6">
        <f t="shared" si="51"/>
        <v>799</v>
      </c>
      <c r="P231" t="str">
        <f t="shared" si="52"/>
        <v>Electronics</v>
      </c>
      <c r="Q231">
        <f t="shared" si="53"/>
        <v>799</v>
      </c>
      <c r="R231" t="str">
        <f t="shared" si="54"/>
        <v>Google Pixel|Electronics|799|Apple</v>
      </c>
      <c r="S231" t="b">
        <f t="shared" si="55"/>
        <v>1</v>
      </c>
    </row>
    <row r="232" spans="1:19" x14ac:dyDescent="0.45">
      <c r="A232" t="s">
        <v>318</v>
      </c>
      <c r="B232" t="s">
        <v>60</v>
      </c>
      <c r="C232" t="s">
        <v>61</v>
      </c>
      <c r="D232" t="s">
        <v>88</v>
      </c>
      <c r="E232" t="s">
        <v>79</v>
      </c>
      <c r="F232" t="str">
        <f t="shared" si="42"/>
        <v>apple iPhone 14|Electrnics|USD 799|Samsung</v>
      </c>
      <c r="G232" t="b">
        <f t="shared" si="43"/>
        <v>1</v>
      </c>
      <c r="H232" t="str">
        <f t="shared" si="44"/>
        <v>apple iPhone 14</v>
      </c>
      <c r="I232" t="str">
        <f t="shared" si="45"/>
        <v>Apple Iphone 14</v>
      </c>
      <c r="J232" t="str">
        <f t="shared" si="46"/>
        <v>Samsung</v>
      </c>
      <c r="K232" t="str">
        <f t="shared" si="47"/>
        <v>Samsung</v>
      </c>
      <c r="L232" t="str">
        <f t="shared" si="48"/>
        <v>Electronics</v>
      </c>
      <c r="M232">
        <f t="shared" si="49"/>
        <v>15</v>
      </c>
      <c r="N232">
        <f t="shared" si="50"/>
        <v>15</v>
      </c>
      <c r="O232" s="6">
        <f t="shared" si="51"/>
        <v>799</v>
      </c>
      <c r="P232" t="str">
        <f t="shared" si="52"/>
        <v>Electronics</v>
      </c>
      <c r="Q232">
        <f t="shared" si="53"/>
        <v>799</v>
      </c>
      <c r="R232" t="str">
        <f t="shared" si="54"/>
        <v>Apple Iphone 14|Electronics|799|Samsung</v>
      </c>
      <c r="S232" t="b">
        <f t="shared" si="55"/>
        <v>1</v>
      </c>
    </row>
    <row r="233" spans="1:19" x14ac:dyDescent="0.45">
      <c r="A233" t="s">
        <v>319</v>
      </c>
      <c r="B233" t="s">
        <v>72</v>
      </c>
      <c r="C233" t="s">
        <v>73</v>
      </c>
      <c r="D233" t="s">
        <v>66</v>
      </c>
      <c r="E233" t="s">
        <v>56</v>
      </c>
      <c r="F233" t="str">
        <f t="shared" si="42"/>
        <v>google pixel|Electro|799.00|GOOGLE</v>
      </c>
      <c r="G233" t="b">
        <f t="shared" si="43"/>
        <v>0</v>
      </c>
      <c r="H233" t="str">
        <f t="shared" si="44"/>
        <v>google pixel</v>
      </c>
      <c r="I233" t="str">
        <f t="shared" si="45"/>
        <v>Google Pixel</v>
      </c>
      <c r="J233" t="str">
        <f t="shared" si="46"/>
        <v>GOOGLE</v>
      </c>
      <c r="K233" t="str">
        <f t="shared" si="47"/>
        <v>Google</v>
      </c>
      <c r="L233" t="str">
        <f t="shared" si="48"/>
        <v>Electronics</v>
      </c>
      <c r="M233">
        <f t="shared" si="49"/>
        <v>14</v>
      </c>
      <c r="N233">
        <f t="shared" si="50"/>
        <v>12</v>
      </c>
      <c r="O233" s="6">
        <f t="shared" si="51"/>
        <v>799</v>
      </c>
      <c r="P233" t="str">
        <f t="shared" si="52"/>
        <v>Electronics</v>
      </c>
      <c r="Q233">
        <f t="shared" si="53"/>
        <v>799</v>
      </c>
      <c r="R233" t="str">
        <f t="shared" si="54"/>
        <v>Google Pixel|Electronics|799|Google</v>
      </c>
      <c r="S233" t="b">
        <f t="shared" si="55"/>
        <v>1</v>
      </c>
    </row>
    <row r="234" spans="1:19" x14ac:dyDescent="0.45">
      <c r="A234" t="s">
        <v>320</v>
      </c>
      <c r="B234" t="s">
        <v>87</v>
      </c>
      <c r="C234" t="s">
        <v>96</v>
      </c>
      <c r="D234" t="s">
        <v>74</v>
      </c>
      <c r="E234" t="s">
        <v>63</v>
      </c>
      <c r="F234" t="str">
        <f t="shared" si="42"/>
        <v>Google Pixel|Gadgets|799|Google</v>
      </c>
      <c r="G234" t="b">
        <f t="shared" si="43"/>
        <v>1</v>
      </c>
      <c r="H234" t="str">
        <f t="shared" si="44"/>
        <v>Google Pixel</v>
      </c>
      <c r="I234" t="str">
        <f t="shared" si="45"/>
        <v>Google Pixel</v>
      </c>
      <c r="J234" t="str">
        <f t="shared" si="46"/>
        <v>Google</v>
      </c>
      <c r="K234" t="str">
        <f t="shared" si="47"/>
        <v>Google</v>
      </c>
      <c r="L234" t="str">
        <f t="shared" si="48"/>
        <v>Gadgets</v>
      </c>
      <c r="M234">
        <f t="shared" si="49"/>
        <v>12</v>
      </c>
      <c r="N234">
        <f t="shared" si="50"/>
        <v>12</v>
      </c>
      <c r="O234" s="6">
        <f t="shared" si="51"/>
        <v>799</v>
      </c>
      <c r="P234" t="str">
        <f t="shared" si="52"/>
        <v>Gadgets</v>
      </c>
      <c r="Q234">
        <f t="shared" si="53"/>
        <v>799</v>
      </c>
      <c r="R234" t="str">
        <f t="shared" si="54"/>
        <v>Google Pixel|Gadgets|799|Google</v>
      </c>
      <c r="S234" t="b">
        <f t="shared" si="55"/>
        <v>1</v>
      </c>
    </row>
    <row r="235" spans="1:19" x14ac:dyDescent="0.45">
      <c r="A235" t="s">
        <v>321</v>
      </c>
      <c r="B235" t="s">
        <v>106</v>
      </c>
      <c r="D235" t="s">
        <v>81</v>
      </c>
      <c r="E235" t="s">
        <v>56</v>
      </c>
      <c r="F235" t="str">
        <f t="shared" si="42"/>
        <v>Samsung Galaxy||$799|GOOGLE</v>
      </c>
      <c r="G235" t="b">
        <f t="shared" si="43"/>
        <v>0</v>
      </c>
      <c r="H235" t="str">
        <f t="shared" si="44"/>
        <v>Samsung Galaxy</v>
      </c>
      <c r="I235" t="str">
        <f t="shared" si="45"/>
        <v>Samsung Galaxy</v>
      </c>
      <c r="J235" t="str">
        <f t="shared" si="46"/>
        <v>GOOGLE</v>
      </c>
      <c r="K235" t="str">
        <f t="shared" si="47"/>
        <v>Google</v>
      </c>
      <c r="L235" t="str">
        <f t="shared" si="48"/>
        <v/>
      </c>
      <c r="M235">
        <f t="shared" si="49"/>
        <v>14</v>
      </c>
      <c r="N235">
        <f t="shared" si="50"/>
        <v>14</v>
      </c>
      <c r="O235" s="6">
        <f t="shared" si="51"/>
        <v>799</v>
      </c>
      <c r="P235" t="str">
        <f t="shared" si="52"/>
        <v>Not Available</v>
      </c>
      <c r="Q235">
        <f t="shared" si="53"/>
        <v>799</v>
      </c>
      <c r="R235" t="str">
        <f t="shared" si="54"/>
        <v>Samsung Galaxy|Not Available|799|Google</v>
      </c>
      <c r="S235" t="b">
        <f t="shared" si="55"/>
        <v>1</v>
      </c>
    </row>
    <row r="236" spans="1:19" x14ac:dyDescent="0.45">
      <c r="A236" t="s">
        <v>322</v>
      </c>
      <c r="B236" t="s">
        <v>109</v>
      </c>
      <c r="D236" t="s">
        <v>74</v>
      </c>
      <c r="E236" t="s">
        <v>70</v>
      </c>
      <c r="F236" t="str">
        <f t="shared" si="42"/>
        <v>Apple iPhone14||799|Samsung</v>
      </c>
      <c r="G236" t="b">
        <f t="shared" si="43"/>
        <v>1</v>
      </c>
      <c r="H236" t="str">
        <f t="shared" si="44"/>
        <v>Apple iPhone14</v>
      </c>
      <c r="I236" t="str">
        <f t="shared" si="45"/>
        <v>Apple Iphone14</v>
      </c>
      <c r="J236" t="str">
        <f t="shared" si="46"/>
        <v>Samsung</v>
      </c>
      <c r="K236" t="str">
        <f t="shared" si="47"/>
        <v>Samsung</v>
      </c>
      <c r="L236" t="str">
        <f t="shared" si="48"/>
        <v/>
      </c>
      <c r="M236">
        <f t="shared" si="49"/>
        <v>15</v>
      </c>
      <c r="N236">
        <f t="shared" si="50"/>
        <v>14</v>
      </c>
      <c r="O236" s="6">
        <f t="shared" si="51"/>
        <v>799</v>
      </c>
      <c r="P236" t="str">
        <f t="shared" si="52"/>
        <v>Not Available</v>
      </c>
      <c r="Q236">
        <f t="shared" si="53"/>
        <v>799</v>
      </c>
      <c r="R236" t="str">
        <f t="shared" si="54"/>
        <v>Apple Iphone14|Not Available|799|Samsung</v>
      </c>
      <c r="S236" t="b">
        <f t="shared" si="55"/>
        <v>1</v>
      </c>
    </row>
    <row r="237" spans="1:19" x14ac:dyDescent="0.45">
      <c r="A237" t="s">
        <v>323</v>
      </c>
      <c r="B237" t="s">
        <v>65</v>
      </c>
      <c r="C237" t="s">
        <v>73</v>
      </c>
      <c r="D237" t="s">
        <v>81</v>
      </c>
      <c r="E237" t="s">
        <v>75</v>
      </c>
      <c r="F237" t="str">
        <f t="shared" si="42"/>
        <v>apple iphone 14|Electro|$799|google</v>
      </c>
      <c r="G237" t="b">
        <f t="shared" si="43"/>
        <v>0</v>
      </c>
      <c r="H237" t="str">
        <f t="shared" si="44"/>
        <v>apple iphone 14</v>
      </c>
      <c r="I237" t="str">
        <f t="shared" si="45"/>
        <v>Apple Iphone 14</v>
      </c>
      <c r="J237" t="str">
        <f t="shared" si="46"/>
        <v>google</v>
      </c>
      <c r="K237" t="str">
        <f t="shared" si="47"/>
        <v>Google</v>
      </c>
      <c r="L237" t="str">
        <f t="shared" si="48"/>
        <v>Electronics</v>
      </c>
      <c r="M237">
        <f t="shared" si="49"/>
        <v>17</v>
      </c>
      <c r="N237">
        <f t="shared" si="50"/>
        <v>15</v>
      </c>
      <c r="O237" s="6">
        <f t="shared" si="51"/>
        <v>799</v>
      </c>
      <c r="P237" t="str">
        <f t="shared" si="52"/>
        <v>Electronics</v>
      </c>
      <c r="Q237">
        <f t="shared" si="53"/>
        <v>799</v>
      </c>
      <c r="R237" t="str">
        <f t="shared" si="54"/>
        <v>Apple Iphone 14|Electronics|799|Google</v>
      </c>
      <c r="S237" t="b">
        <f t="shared" si="55"/>
        <v>1</v>
      </c>
    </row>
    <row r="238" spans="1:19" x14ac:dyDescent="0.45">
      <c r="A238" t="s">
        <v>324</v>
      </c>
      <c r="B238" t="s">
        <v>65</v>
      </c>
      <c r="C238" t="s">
        <v>85</v>
      </c>
      <c r="D238" t="s">
        <v>62</v>
      </c>
      <c r="E238" t="s">
        <v>79</v>
      </c>
      <c r="F238" t="str">
        <f t="shared" si="42"/>
        <v>apple iphone 14|electronics|799.0|Samsung</v>
      </c>
      <c r="G238" t="b">
        <f t="shared" si="43"/>
        <v>1</v>
      </c>
      <c r="H238" t="str">
        <f t="shared" si="44"/>
        <v>apple iphone 14</v>
      </c>
      <c r="I238" t="str">
        <f t="shared" si="45"/>
        <v>Apple Iphone 14</v>
      </c>
      <c r="J238" t="str">
        <f t="shared" si="46"/>
        <v>Samsung</v>
      </c>
      <c r="K238" t="str">
        <f t="shared" si="47"/>
        <v>Samsung</v>
      </c>
      <c r="L238" t="str">
        <f t="shared" si="48"/>
        <v>Electronics</v>
      </c>
      <c r="M238">
        <f t="shared" si="49"/>
        <v>17</v>
      </c>
      <c r="N238">
        <f t="shared" si="50"/>
        <v>15</v>
      </c>
      <c r="O238" s="6">
        <f t="shared" si="51"/>
        <v>799</v>
      </c>
      <c r="P238" t="str">
        <f t="shared" si="52"/>
        <v>Electronics</v>
      </c>
      <c r="Q238">
        <f t="shared" si="53"/>
        <v>799</v>
      </c>
      <c r="R238" t="str">
        <f t="shared" si="54"/>
        <v>Apple Iphone 14|Electronics|799|Samsung</v>
      </c>
      <c r="S238" t="b">
        <f t="shared" si="55"/>
        <v>1</v>
      </c>
    </row>
    <row r="239" spans="1:19" x14ac:dyDescent="0.45">
      <c r="A239" t="s">
        <v>325</v>
      </c>
      <c r="B239" t="s">
        <v>109</v>
      </c>
      <c r="D239" t="s">
        <v>66</v>
      </c>
      <c r="E239" t="s">
        <v>112</v>
      </c>
      <c r="F239" t="str">
        <f t="shared" si="42"/>
        <v>Apple iPhone14||799.00|SAMSUNG</v>
      </c>
      <c r="G239" t="b">
        <f t="shared" si="43"/>
        <v>0</v>
      </c>
      <c r="H239" t="str">
        <f t="shared" si="44"/>
        <v>Apple iPhone14</v>
      </c>
      <c r="I239" t="str">
        <f t="shared" si="45"/>
        <v>Apple Iphone14</v>
      </c>
      <c r="J239" t="str">
        <f t="shared" si="46"/>
        <v>SAMSUNG</v>
      </c>
      <c r="K239" t="str">
        <f t="shared" si="47"/>
        <v>Samsung</v>
      </c>
      <c r="L239" t="str">
        <f t="shared" si="48"/>
        <v/>
      </c>
      <c r="M239">
        <f t="shared" si="49"/>
        <v>15</v>
      </c>
      <c r="N239">
        <f t="shared" si="50"/>
        <v>14</v>
      </c>
      <c r="O239" s="6">
        <f t="shared" si="51"/>
        <v>799</v>
      </c>
      <c r="P239" t="str">
        <f t="shared" si="52"/>
        <v>Not Available</v>
      </c>
      <c r="Q239">
        <f t="shared" si="53"/>
        <v>799</v>
      </c>
      <c r="R239" t="str">
        <f t="shared" si="54"/>
        <v>Apple Iphone14|Not Available|799|Samsung</v>
      </c>
      <c r="S239" t="b">
        <f t="shared" si="55"/>
        <v>1</v>
      </c>
    </row>
    <row r="240" spans="1:19" x14ac:dyDescent="0.45">
      <c r="A240" t="s">
        <v>326</v>
      </c>
      <c r="B240" t="s">
        <v>65</v>
      </c>
      <c r="C240" t="s">
        <v>96</v>
      </c>
      <c r="D240" t="s">
        <v>88</v>
      </c>
      <c r="E240" t="s">
        <v>89</v>
      </c>
      <c r="F240" t="str">
        <f t="shared" si="42"/>
        <v>apple iphone 14|Gadgets|USD 799|Apple</v>
      </c>
      <c r="G240" t="b">
        <f t="shared" si="43"/>
        <v>0</v>
      </c>
      <c r="H240" t="str">
        <f t="shared" si="44"/>
        <v>apple iphone 14</v>
      </c>
      <c r="I240" t="str">
        <f t="shared" si="45"/>
        <v>Apple Iphone 14</v>
      </c>
      <c r="J240" t="str">
        <f t="shared" si="46"/>
        <v>Apple</v>
      </c>
      <c r="K240" t="str">
        <f t="shared" si="47"/>
        <v>Apple</v>
      </c>
      <c r="L240" t="str">
        <f t="shared" si="48"/>
        <v>Gadgets</v>
      </c>
      <c r="M240">
        <f t="shared" si="49"/>
        <v>17</v>
      </c>
      <c r="N240">
        <f t="shared" si="50"/>
        <v>15</v>
      </c>
      <c r="O240" s="6">
        <f t="shared" si="51"/>
        <v>799</v>
      </c>
      <c r="P240" t="str">
        <f t="shared" si="52"/>
        <v>Gadgets</v>
      </c>
      <c r="Q240">
        <f t="shared" si="53"/>
        <v>799</v>
      </c>
      <c r="R240" t="str">
        <f t="shared" si="54"/>
        <v>Apple Iphone 14|Gadgets|799|Apple</v>
      </c>
      <c r="S240" t="b">
        <f t="shared" si="55"/>
        <v>1</v>
      </c>
    </row>
    <row r="241" spans="1:19" x14ac:dyDescent="0.45">
      <c r="A241" t="s">
        <v>327</v>
      </c>
      <c r="B241" t="s">
        <v>78</v>
      </c>
      <c r="D241" t="s">
        <v>62</v>
      </c>
      <c r="E241" t="s">
        <v>89</v>
      </c>
      <c r="F241" t="str">
        <f t="shared" si="42"/>
        <v>samsung Galaxy||799.0|Apple</v>
      </c>
      <c r="G241" t="b">
        <f t="shared" si="43"/>
        <v>1</v>
      </c>
      <c r="H241" t="str">
        <f t="shared" si="44"/>
        <v>samsung Galaxy</v>
      </c>
      <c r="I241" t="str">
        <f t="shared" si="45"/>
        <v>Samsung Galaxy</v>
      </c>
      <c r="J241" t="str">
        <f t="shared" si="46"/>
        <v>Apple</v>
      </c>
      <c r="K241" t="str">
        <f t="shared" si="47"/>
        <v>Apple</v>
      </c>
      <c r="L241" t="str">
        <f t="shared" si="48"/>
        <v/>
      </c>
      <c r="M241">
        <f t="shared" si="49"/>
        <v>15</v>
      </c>
      <c r="N241">
        <f t="shared" si="50"/>
        <v>14</v>
      </c>
      <c r="O241" s="6">
        <f t="shared" si="51"/>
        <v>799</v>
      </c>
      <c r="P241" t="str">
        <f t="shared" si="52"/>
        <v>Not Available</v>
      </c>
      <c r="Q241">
        <f t="shared" si="53"/>
        <v>799</v>
      </c>
      <c r="R241" t="str">
        <f t="shared" si="54"/>
        <v>Samsung Galaxy|Not Available|799|Apple</v>
      </c>
      <c r="S241" t="b">
        <f t="shared" si="55"/>
        <v>1</v>
      </c>
    </row>
    <row r="242" spans="1:19" x14ac:dyDescent="0.45">
      <c r="A242" t="s">
        <v>328</v>
      </c>
      <c r="B242" t="s">
        <v>72</v>
      </c>
      <c r="C242" t="s">
        <v>94</v>
      </c>
      <c r="D242" t="s">
        <v>62</v>
      </c>
      <c r="E242" t="s">
        <v>82</v>
      </c>
      <c r="F242" t="str">
        <f t="shared" si="42"/>
        <v>google pixel|gadgets|799.0|APPLE</v>
      </c>
      <c r="G242" t="b">
        <f t="shared" si="43"/>
        <v>1</v>
      </c>
      <c r="H242" t="str">
        <f t="shared" si="44"/>
        <v>google pixel</v>
      </c>
      <c r="I242" t="str">
        <f t="shared" si="45"/>
        <v>Google Pixel</v>
      </c>
      <c r="J242" t="str">
        <f t="shared" si="46"/>
        <v>APPLE</v>
      </c>
      <c r="K242" t="str">
        <f t="shared" si="47"/>
        <v>Apple</v>
      </c>
      <c r="L242" t="str">
        <f t="shared" si="48"/>
        <v>Gadgets</v>
      </c>
      <c r="M242">
        <f t="shared" si="49"/>
        <v>14</v>
      </c>
      <c r="N242">
        <f t="shared" si="50"/>
        <v>12</v>
      </c>
      <c r="O242" s="6">
        <f t="shared" si="51"/>
        <v>799</v>
      </c>
      <c r="P242" t="str">
        <f t="shared" si="52"/>
        <v>Gadgets</v>
      </c>
      <c r="Q242">
        <f t="shared" si="53"/>
        <v>799</v>
      </c>
      <c r="R242" t="str">
        <f t="shared" si="54"/>
        <v>Google Pixel|Gadgets|799|Apple</v>
      </c>
      <c r="S242" t="b">
        <f t="shared" si="55"/>
        <v>1</v>
      </c>
    </row>
    <row r="243" spans="1:19" x14ac:dyDescent="0.45">
      <c r="A243" t="s">
        <v>329</v>
      </c>
      <c r="B243" t="s">
        <v>60</v>
      </c>
      <c r="C243" t="s">
        <v>61</v>
      </c>
      <c r="D243" t="s">
        <v>69</v>
      </c>
      <c r="E243" t="s">
        <v>67</v>
      </c>
      <c r="F243" t="str">
        <f t="shared" si="42"/>
        <v>apple iPhone 14|Electrnics|799|apple</v>
      </c>
      <c r="G243" t="b">
        <f t="shared" si="43"/>
        <v>1</v>
      </c>
      <c r="H243" t="str">
        <f t="shared" si="44"/>
        <v>apple iPhone 14</v>
      </c>
      <c r="I243" t="str">
        <f t="shared" si="45"/>
        <v>Apple Iphone 14</v>
      </c>
      <c r="J243" t="str">
        <f t="shared" si="46"/>
        <v>apple</v>
      </c>
      <c r="K243" t="str">
        <f t="shared" si="47"/>
        <v>Apple</v>
      </c>
      <c r="L243" t="str">
        <f t="shared" si="48"/>
        <v>Electronics</v>
      </c>
      <c r="M243">
        <f t="shared" si="49"/>
        <v>15</v>
      </c>
      <c r="N243">
        <f t="shared" si="50"/>
        <v>15</v>
      </c>
      <c r="O243" s="6">
        <f t="shared" si="51"/>
        <v>799</v>
      </c>
      <c r="P243" t="str">
        <f t="shared" si="52"/>
        <v>Electronics</v>
      </c>
      <c r="Q243">
        <f t="shared" si="53"/>
        <v>799</v>
      </c>
      <c r="R243" t="str">
        <f t="shared" si="54"/>
        <v>Apple Iphone 14|Electronics|799|Apple</v>
      </c>
      <c r="S243" t="b">
        <f t="shared" si="55"/>
        <v>1</v>
      </c>
    </row>
    <row r="244" spans="1:19" x14ac:dyDescent="0.45">
      <c r="A244" t="s">
        <v>330</v>
      </c>
      <c r="B244" t="s">
        <v>54</v>
      </c>
      <c r="C244" t="s">
        <v>85</v>
      </c>
      <c r="D244" t="s">
        <v>88</v>
      </c>
      <c r="E244" t="s">
        <v>112</v>
      </c>
      <c r="F244" t="str">
        <f t="shared" si="42"/>
        <v>Samsung galaxy|electronics|USD 799|SAMSUNG</v>
      </c>
      <c r="G244" t="b">
        <f t="shared" si="43"/>
        <v>1</v>
      </c>
      <c r="H244" t="str">
        <f t="shared" si="44"/>
        <v>Samsung galaxy</v>
      </c>
      <c r="I244" t="str">
        <f t="shared" si="45"/>
        <v>Samsung Galaxy</v>
      </c>
      <c r="J244" t="str">
        <f t="shared" si="46"/>
        <v>SAMSUNG</v>
      </c>
      <c r="K244" t="str">
        <f t="shared" si="47"/>
        <v>Samsung</v>
      </c>
      <c r="L244" t="str">
        <f t="shared" si="48"/>
        <v>Electronics</v>
      </c>
      <c r="M244">
        <f t="shared" si="49"/>
        <v>15</v>
      </c>
      <c r="N244">
        <f t="shared" si="50"/>
        <v>14</v>
      </c>
      <c r="O244" s="6">
        <f t="shared" si="51"/>
        <v>799</v>
      </c>
      <c r="P244" t="str">
        <f t="shared" si="52"/>
        <v>Electronics</v>
      </c>
      <c r="Q244">
        <f t="shared" si="53"/>
        <v>799</v>
      </c>
      <c r="R244" t="str">
        <f t="shared" si="54"/>
        <v>Samsung Galaxy|Electronics|799|Samsung</v>
      </c>
      <c r="S244" t="b">
        <f t="shared" si="55"/>
        <v>1</v>
      </c>
    </row>
    <row r="245" spans="1:19" x14ac:dyDescent="0.45">
      <c r="A245" t="s">
        <v>331</v>
      </c>
      <c r="B245" t="s">
        <v>72</v>
      </c>
      <c r="C245" t="s">
        <v>123</v>
      </c>
      <c r="D245" t="s">
        <v>55</v>
      </c>
      <c r="E245" t="s">
        <v>70</v>
      </c>
      <c r="F245" t="str">
        <f t="shared" si="42"/>
        <v>google pixel|Electronics|799|Samsung</v>
      </c>
      <c r="G245" t="b">
        <f t="shared" si="43"/>
        <v>1</v>
      </c>
      <c r="H245" t="str">
        <f t="shared" si="44"/>
        <v>google pixel</v>
      </c>
      <c r="I245" t="str">
        <f t="shared" si="45"/>
        <v>Google Pixel</v>
      </c>
      <c r="J245" t="str">
        <f t="shared" si="46"/>
        <v>Samsung</v>
      </c>
      <c r="K245" t="str">
        <f t="shared" si="47"/>
        <v>Samsung</v>
      </c>
      <c r="L245" t="str">
        <f t="shared" si="48"/>
        <v>Electronics</v>
      </c>
      <c r="M245">
        <f t="shared" si="49"/>
        <v>14</v>
      </c>
      <c r="N245">
        <f t="shared" si="50"/>
        <v>12</v>
      </c>
      <c r="O245" s="6">
        <f t="shared" si="51"/>
        <v>799</v>
      </c>
      <c r="P245" t="str">
        <f t="shared" si="52"/>
        <v>Electronics</v>
      </c>
      <c r="Q245">
        <f t="shared" si="53"/>
        <v>799</v>
      </c>
      <c r="R245" t="str">
        <f t="shared" si="54"/>
        <v>Google Pixel|Electronics|799|Samsung</v>
      </c>
      <c r="S245" t="b">
        <f t="shared" si="55"/>
        <v>1</v>
      </c>
    </row>
    <row r="246" spans="1:19" x14ac:dyDescent="0.45">
      <c r="A246" t="s">
        <v>332</v>
      </c>
      <c r="B246" t="s">
        <v>102</v>
      </c>
      <c r="C246" t="s">
        <v>61</v>
      </c>
      <c r="D246" t="s">
        <v>66</v>
      </c>
      <c r="E246" t="s">
        <v>89</v>
      </c>
      <c r="F246" t="str">
        <f t="shared" si="42"/>
        <v>GOOGLE PIXEL|Electrnics|799.00|Apple</v>
      </c>
      <c r="G246" t="b">
        <f t="shared" si="43"/>
        <v>0</v>
      </c>
      <c r="H246" t="str">
        <f t="shared" si="44"/>
        <v>GOOGLE PIXEL</v>
      </c>
      <c r="I246" t="str">
        <f t="shared" si="45"/>
        <v>Google Pixel</v>
      </c>
      <c r="J246" t="str">
        <f t="shared" si="46"/>
        <v>Apple</v>
      </c>
      <c r="K246" t="str">
        <f t="shared" si="47"/>
        <v>Apple</v>
      </c>
      <c r="L246" t="str">
        <f t="shared" si="48"/>
        <v>Electronics</v>
      </c>
      <c r="M246">
        <f t="shared" si="49"/>
        <v>13</v>
      </c>
      <c r="N246">
        <f t="shared" si="50"/>
        <v>12</v>
      </c>
      <c r="O246" s="6">
        <f t="shared" si="51"/>
        <v>799</v>
      </c>
      <c r="P246" t="str">
        <f t="shared" si="52"/>
        <v>Electronics</v>
      </c>
      <c r="Q246">
        <f t="shared" si="53"/>
        <v>799</v>
      </c>
      <c r="R246" t="str">
        <f t="shared" si="54"/>
        <v>Google Pixel|Electronics|799|Apple</v>
      </c>
      <c r="S246" t="b">
        <f t="shared" si="55"/>
        <v>1</v>
      </c>
    </row>
    <row r="247" spans="1:19" x14ac:dyDescent="0.45">
      <c r="A247" t="s">
        <v>333</v>
      </c>
      <c r="B247" t="s">
        <v>58</v>
      </c>
      <c r="C247" t="s">
        <v>73</v>
      </c>
      <c r="D247" t="s">
        <v>69</v>
      </c>
      <c r="E247" t="s">
        <v>75</v>
      </c>
      <c r="F247" t="str">
        <f t="shared" si="42"/>
        <v>Google pixel|Electro|799|google</v>
      </c>
      <c r="G247" t="b">
        <f t="shared" si="43"/>
        <v>1</v>
      </c>
      <c r="H247" t="str">
        <f t="shared" si="44"/>
        <v>Google pixel</v>
      </c>
      <c r="I247" t="str">
        <f t="shared" si="45"/>
        <v>Google Pixel</v>
      </c>
      <c r="J247" t="str">
        <f t="shared" si="46"/>
        <v>google</v>
      </c>
      <c r="K247" t="str">
        <f t="shared" si="47"/>
        <v>Google</v>
      </c>
      <c r="L247" t="str">
        <f t="shared" si="48"/>
        <v>Electronics</v>
      </c>
      <c r="M247">
        <f t="shared" si="49"/>
        <v>12</v>
      </c>
      <c r="N247">
        <f t="shared" si="50"/>
        <v>12</v>
      </c>
      <c r="O247" s="6">
        <f t="shared" si="51"/>
        <v>799</v>
      </c>
      <c r="P247" t="str">
        <f t="shared" si="52"/>
        <v>Electronics</v>
      </c>
      <c r="Q247">
        <f t="shared" si="53"/>
        <v>799</v>
      </c>
      <c r="R247" t="str">
        <f t="shared" si="54"/>
        <v>Google Pixel|Electronics|799|Google</v>
      </c>
      <c r="S247" t="b">
        <f t="shared" si="55"/>
        <v>1</v>
      </c>
    </row>
    <row r="248" spans="1:19" x14ac:dyDescent="0.45">
      <c r="A248" t="s">
        <v>334</v>
      </c>
      <c r="B248" t="s">
        <v>138</v>
      </c>
      <c r="D248" t="s">
        <v>81</v>
      </c>
      <c r="E248" t="s">
        <v>75</v>
      </c>
      <c r="F248" t="str">
        <f t="shared" si="42"/>
        <v>APPLE IPHONE 14||$799|google</v>
      </c>
      <c r="G248" t="b">
        <f t="shared" si="43"/>
        <v>1</v>
      </c>
      <c r="H248" t="str">
        <f t="shared" si="44"/>
        <v>APPLE IPHONE 14</v>
      </c>
      <c r="I248" t="str">
        <f t="shared" si="45"/>
        <v>Apple Iphone 14</v>
      </c>
      <c r="J248" t="str">
        <f t="shared" si="46"/>
        <v>google</v>
      </c>
      <c r="K248" t="str">
        <f t="shared" si="47"/>
        <v>Google</v>
      </c>
      <c r="L248" t="str">
        <f t="shared" si="48"/>
        <v/>
      </c>
      <c r="M248">
        <f t="shared" si="49"/>
        <v>15</v>
      </c>
      <c r="N248">
        <f t="shared" si="50"/>
        <v>15</v>
      </c>
      <c r="O248" s="6">
        <f t="shared" si="51"/>
        <v>799</v>
      </c>
      <c r="P248" t="str">
        <f t="shared" si="52"/>
        <v>Not Available</v>
      </c>
      <c r="Q248">
        <f t="shared" si="53"/>
        <v>799</v>
      </c>
      <c r="R248" t="str">
        <f t="shared" si="54"/>
        <v>Apple Iphone 14|Not Available|799|Google</v>
      </c>
      <c r="S248" t="b">
        <f t="shared" si="55"/>
        <v>1</v>
      </c>
    </row>
    <row r="249" spans="1:19" x14ac:dyDescent="0.45">
      <c r="A249" t="s">
        <v>335</v>
      </c>
      <c r="B249" t="s">
        <v>87</v>
      </c>
      <c r="C249" t="s">
        <v>123</v>
      </c>
      <c r="D249" t="s">
        <v>66</v>
      </c>
      <c r="E249" t="s">
        <v>67</v>
      </c>
      <c r="F249" t="str">
        <f t="shared" si="42"/>
        <v>Google Pixel|Electronics|799.00|apple</v>
      </c>
      <c r="G249" t="b">
        <f t="shared" si="43"/>
        <v>1</v>
      </c>
      <c r="H249" t="str">
        <f t="shared" si="44"/>
        <v>Google Pixel</v>
      </c>
      <c r="I249" t="str">
        <f t="shared" si="45"/>
        <v>Google Pixel</v>
      </c>
      <c r="J249" t="str">
        <f t="shared" si="46"/>
        <v>apple</v>
      </c>
      <c r="K249" t="str">
        <f t="shared" si="47"/>
        <v>Apple</v>
      </c>
      <c r="L249" t="str">
        <f t="shared" si="48"/>
        <v>Electronics</v>
      </c>
      <c r="M249">
        <f t="shared" si="49"/>
        <v>12</v>
      </c>
      <c r="N249">
        <f t="shared" si="50"/>
        <v>12</v>
      </c>
      <c r="O249" s="6">
        <f t="shared" si="51"/>
        <v>799</v>
      </c>
      <c r="P249" t="str">
        <f t="shared" si="52"/>
        <v>Electronics</v>
      </c>
      <c r="Q249">
        <f t="shared" si="53"/>
        <v>799</v>
      </c>
      <c r="R249" t="str">
        <f t="shared" si="54"/>
        <v>Google Pixel|Electronics|799|Apple</v>
      </c>
      <c r="S249" t="b">
        <f t="shared" si="55"/>
        <v>1</v>
      </c>
    </row>
    <row r="250" spans="1:19" x14ac:dyDescent="0.45">
      <c r="A250" t="s">
        <v>336</v>
      </c>
      <c r="B250" t="s">
        <v>78</v>
      </c>
      <c r="C250" t="s">
        <v>96</v>
      </c>
      <c r="D250" t="s">
        <v>88</v>
      </c>
      <c r="E250" t="s">
        <v>56</v>
      </c>
      <c r="F250" t="str">
        <f t="shared" si="42"/>
        <v>samsung Galaxy|Gadgets|USD 799|GOOGLE</v>
      </c>
      <c r="G250" t="b">
        <f t="shared" si="43"/>
        <v>1</v>
      </c>
      <c r="H250" t="str">
        <f t="shared" si="44"/>
        <v>samsung Galaxy</v>
      </c>
      <c r="I250" t="str">
        <f t="shared" si="45"/>
        <v>Samsung Galaxy</v>
      </c>
      <c r="J250" t="str">
        <f t="shared" si="46"/>
        <v>GOOGLE</v>
      </c>
      <c r="K250" t="str">
        <f t="shared" si="47"/>
        <v>Google</v>
      </c>
      <c r="L250" t="str">
        <f t="shared" si="48"/>
        <v>Gadgets</v>
      </c>
      <c r="M250">
        <f t="shared" si="49"/>
        <v>15</v>
      </c>
      <c r="N250">
        <f t="shared" si="50"/>
        <v>14</v>
      </c>
      <c r="O250" s="6">
        <f t="shared" si="51"/>
        <v>799</v>
      </c>
      <c r="P250" t="str">
        <f t="shared" si="52"/>
        <v>Gadgets</v>
      </c>
      <c r="Q250">
        <f t="shared" si="53"/>
        <v>799</v>
      </c>
      <c r="R250" t="str">
        <f t="shared" si="54"/>
        <v>Samsung Galaxy|Gadgets|799|Google</v>
      </c>
      <c r="S250" t="b">
        <f t="shared" si="55"/>
        <v>1</v>
      </c>
    </row>
    <row r="251" spans="1:19" x14ac:dyDescent="0.45">
      <c r="A251" t="s">
        <v>337</v>
      </c>
      <c r="B251" t="s">
        <v>72</v>
      </c>
      <c r="E251" t="s">
        <v>91</v>
      </c>
      <c r="F251" t="str">
        <f t="shared" si="42"/>
        <v>google pixel|||Apple</v>
      </c>
      <c r="G251" t="b">
        <f t="shared" si="43"/>
        <v>1</v>
      </c>
      <c r="H251" t="str">
        <f t="shared" si="44"/>
        <v>google pixel</v>
      </c>
      <c r="I251" t="str">
        <f t="shared" si="45"/>
        <v>Google Pixel</v>
      </c>
      <c r="J251" t="str">
        <f t="shared" si="46"/>
        <v>Apple</v>
      </c>
      <c r="K251" t="str">
        <f t="shared" si="47"/>
        <v>Apple</v>
      </c>
      <c r="L251" t="str">
        <f t="shared" si="48"/>
        <v/>
      </c>
      <c r="M251">
        <f t="shared" si="49"/>
        <v>14</v>
      </c>
      <c r="N251">
        <f t="shared" si="50"/>
        <v>12</v>
      </c>
      <c r="O251" s="6" t="str">
        <f t="shared" si="51"/>
        <v/>
      </c>
      <c r="P251" t="str">
        <f t="shared" si="52"/>
        <v>Not Available</v>
      </c>
      <c r="Q251" t="str">
        <f t="shared" si="53"/>
        <v>Not Available</v>
      </c>
      <c r="R251" t="str">
        <f t="shared" si="54"/>
        <v>Google Pixel|Not Available|Not Available|Apple</v>
      </c>
      <c r="S251" t="b">
        <f t="shared" si="55"/>
        <v>1</v>
      </c>
    </row>
    <row r="252" spans="1:19" x14ac:dyDescent="0.45">
      <c r="A252" t="s">
        <v>338</v>
      </c>
      <c r="B252" t="s">
        <v>65</v>
      </c>
      <c r="C252" t="s">
        <v>85</v>
      </c>
      <c r="D252" t="s">
        <v>55</v>
      </c>
      <c r="E252" t="s">
        <v>63</v>
      </c>
      <c r="F252" t="str">
        <f t="shared" si="42"/>
        <v>apple iphone 14|electronics|799|Google</v>
      </c>
      <c r="G252" t="b">
        <f t="shared" si="43"/>
        <v>1</v>
      </c>
      <c r="H252" t="str">
        <f t="shared" si="44"/>
        <v>apple iphone 14</v>
      </c>
      <c r="I252" t="str">
        <f t="shared" si="45"/>
        <v>Apple Iphone 14</v>
      </c>
      <c r="J252" t="str">
        <f t="shared" si="46"/>
        <v>Google</v>
      </c>
      <c r="K252" t="str">
        <f t="shared" si="47"/>
        <v>Google</v>
      </c>
      <c r="L252" t="str">
        <f t="shared" si="48"/>
        <v>Electronics</v>
      </c>
      <c r="M252">
        <f t="shared" si="49"/>
        <v>17</v>
      </c>
      <c r="N252">
        <f t="shared" si="50"/>
        <v>15</v>
      </c>
      <c r="O252" s="6">
        <f t="shared" si="51"/>
        <v>799</v>
      </c>
      <c r="P252" t="str">
        <f t="shared" si="52"/>
        <v>Electronics</v>
      </c>
      <c r="Q252">
        <f t="shared" si="53"/>
        <v>799</v>
      </c>
      <c r="R252" t="str">
        <f t="shared" si="54"/>
        <v>Apple Iphone 14|Electronics|799|Google</v>
      </c>
      <c r="S252" t="b">
        <f t="shared" si="55"/>
        <v>1</v>
      </c>
    </row>
    <row r="253" spans="1:19" x14ac:dyDescent="0.45">
      <c r="A253" t="s">
        <v>339</v>
      </c>
      <c r="B253" t="s">
        <v>54</v>
      </c>
      <c r="C253" t="s">
        <v>123</v>
      </c>
      <c r="D253" t="s">
        <v>55</v>
      </c>
      <c r="E253" t="s">
        <v>56</v>
      </c>
      <c r="F253" t="str">
        <f t="shared" si="42"/>
        <v>Samsung galaxy|Electronics|799|GOOGLE</v>
      </c>
      <c r="G253" t="b">
        <f t="shared" si="43"/>
        <v>1</v>
      </c>
      <c r="H253" t="str">
        <f t="shared" si="44"/>
        <v>Samsung galaxy</v>
      </c>
      <c r="I253" t="str">
        <f t="shared" si="45"/>
        <v>Samsung Galaxy</v>
      </c>
      <c r="J253" t="str">
        <f t="shared" si="46"/>
        <v>GOOGLE</v>
      </c>
      <c r="K253" t="str">
        <f t="shared" si="47"/>
        <v>Google</v>
      </c>
      <c r="L253" t="str">
        <f t="shared" si="48"/>
        <v>Electronics</v>
      </c>
      <c r="M253">
        <f t="shared" si="49"/>
        <v>15</v>
      </c>
      <c r="N253">
        <f t="shared" si="50"/>
        <v>14</v>
      </c>
      <c r="O253" s="6">
        <f t="shared" si="51"/>
        <v>799</v>
      </c>
      <c r="P253" t="str">
        <f t="shared" si="52"/>
        <v>Electronics</v>
      </c>
      <c r="Q253">
        <f t="shared" si="53"/>
        <v>799</v>
      </c>
      <c r="R253" t="str">
        <f t="shared" si="54"/>
        <v>Samsung Galaxy|Electronics|799|Google</v>
      </c>
      <c r="S253" t="b">
        <f t="shared" si="55"/>
        <v>1</v>
      </c>
    </row>
    <row r="254" spans="1:19" x14ac:dyDescent="0.45">
      <c r="A254" t="s">
        <v>340</v>
      </c>
      <c r="B254" t="s">
        <v>78</v>
      </c>
      <c r="C254" t="s">
        <v>94</v>
      </c>
      <c r="D254" t="s">
        <v>62</v>
      </c>
      <c r="E254" t="s">
        <v>63</v>
      </c>
      <c r="F254" t="str">
        <f t="shared" si="42"/>
        <v>samsung Galaxy|gadgets|799.0|Google</v>
      </c>
      <c r="G254" t="b">
        <f t="shared" si="43"/>
        <v>1</v>
      </c>
      <c r="H254" t="str">
        <f t="shared" si="44"/>
        <v>samsung Galaxy</v>
      </c>
      <c r="I254" t="str">
        <f t="shared" si="45"/>
        <v>Samsung Galaxy</v>
      </c>
      <c r="J254" t="str">
        <f t="shared" si="46"/>
        <v>Google</v>
      </c>
      <c r="K254" t="str">
        <f t="shared" si="47"/>
        <v>Google</v>
      </c>
      <c r="L254" t="str">
        <f t="shared" si="48"/>
        <v>Gadgets</v>
      </c>
      <c r="M254">
        <f t="shared" si="49"/>
        <v>15</v>
      </c>
      <c r="N254">
        <f t="shared" si="50"/>
        <v>14</v>
      </c>
      <c r="O254" s="6">
        <f t="shared" si="51"/>
        <v>799</v>
      </c>
      <c r="P254" t="str">
        <f t="shared" si="52"/>
        <v>Gadgets</v>
      </c>
      <c r="Q254">
        <f t="shared" si="53"/>
        <v>799</v>
      </c>
      <c r="R254" t="str">
        <f t="shared" si="54"/>
        <v>Samsung Galaxy|Gadgets|799|Google</v>
      </c>
      <c r="S254" t="b">
        <f t="shared" si="55"/>
        <v>1</v>
      </c>
    </row>
    <row r="255" spans="1:19" x14ac:dyDescent="0.45">
      <c r="A255" t="s">
        <v>341</v>
      </c>
      <c r="B255" t="s">
        <v>102</v>
      </c>
      <c r="C255" t="s">
        <v>123</v>
      </c>
      <c r="E255" t="s">
        <v>70</v>
      </c>
      <c r="F255" t="str">
        <f t="shared" si="42"/>
        <v>GOOGLE PIXEL|Electronics||Samsung</v>
      </c>
      <c r="G255" t="b">
        <f t="shared" si="43"/>
        <v>1</v>
      </c>
      <c r="H255" t="str">
        <f t="shared" si="44"/>
        <v>GOOGLE PIXEL</v>
      </c>
      <c r="I255" t="str">
        <f t="shared" si="45"/>
        <v>Google Pixel</v>
      </c>
      <c r="J255" t="str">
        <f t="shared" si="46"/>
        <v>Samsung</v>
      </c>
      <c r="K255" t="str">
        <f t="shared" si="47"/>
        <v>Samsung</v>
      </c>
      <c r="L255" t="str">
        <f t="shared" si="48"/>
        <v>Electronics</v>
      </c>
      <c r="M255">
        <f t="shared" si="49"/>
        <v>13</v>
      </c>
      <c r="N255">
        <f t="shared" si="50"/>
        <v>12</v>
      </c>
      <c r="O255" s="6" t="str">
        <f t="shared" si="51"/>
        <v/>
      </c>
      <c r="P255" t="str">
        <f t="shared" si="52"/>
        <v>Electronics</v>
      </c>
      <c r="Q255" t="str">
        <f t="shared" si="53"/>
        <v>Not Available</v>
      </c>
      <c r="R255" t="str">
        <f t="shared" si="54"/>
        <v>Google Pixel|Electronics|Not Available|Samsung</v>
      </c>
      <c r="S255" t="b">
        <f t="shared" si="55"/>
        <v>1</v>
      </c>
    </row>
    <row r="256" spans="1:19" x14ac:dyDescent="0.45">
      <c r="A256" t="s">
        <v>342</v>
      </c>
      <c r="B256" t="s">
        <v>93</v>
      </c>
      <c r="C256" t="s">
        <v>96</v>
      </c>
      <c r="D256" t="s">
        <v>81</v>
      </c>
      <c r="E256" t="s">
        <v>89</v>
      </c>
      <c r="F256" t="str">
        <f t="shared" si="42"/>
        <v>SAMSUNG GALAXY|Gadgets|$799|Apple</v>
      </c>
      <c r="G256" t="b">
        <f t="shared" si="43"/>
        <v>1</v>
      </c>
      <c r="H256" t="str">
        <f t="shared" si="44"/>
        <v>SAMSUNG GALAXY</v>
      </c>
      <c r="I256" t="str">
        <f t="shared" si="45"/>
        <v>Samsung Galaxy</v>
      </c>
      <c r="J256" t="str">
        <f t="shared" si="46"/>
        <v>Apple</v>
      </c>
      <c r="K256" t="str">
        <f t="shared" si="47"/>
        <v>Apple</v>
      </c>
      <c r="L256" t="str">
        <f t="shared" si="48"/>
        <v>Gadgets</v>
      </c>
      <c r="M256">
        <f t="shared" si="49"/>
        <v>14</v>
      </c>
      <c r="N256">
        <f t="shared" si="50"/>
        <v>14</v>
      </c>
      <c r="O256" s="6">
        <f t="shared" si="51"/>
        <v>799</v>
      </c>
      <c r="P256" t="str">
        <f t="shared" si="52"/>
        <v>Gadgets</v>
      </c>
      <c r="Q256">
        <f t="shared" si="53"/>
        <v>799</v>
      </c>
      <c r="R256" t="str">
        <f t="shared" si="54"/>
        <v>Samsung Galaxy|Gadgets|799|Apple</v>
      </c>
      <c r="S256" t="b">
        <f t="shared" si="55"/>
        <v>1</v>
      </c>
    </row>
    <row r="257" spans="1:19" x14ac:dyDescent="0.45">
      <c r="A257" t="s">
        <v>343</v>
      </c>
      <c r="B257" t="s">
        <v>109</v>
      </c>
      <c r="C257" t="s">
        <v>61</v>
      </c>
      <c r="D257" t="s">
        <v>69</v>
      </c>
      <c r="E257" t="s">
        <v>63</v>
      </c>
      <c r="F257" t="str">
        <f t="shared" si="42"/>
        <v>Apple iPhone14|Electrnics|799|Google</v>
      </c>
      <c r="G257" t="b">
        <f t="shared" si="43"/>
        <v>1</v>
      </c>
      <c r="H257" t="str">
        <f t="shared" si="44"/>
        <v>Apple iPhone14</v>
      </c>
      <c r="I257" t="str">
        <f t="shared" si="45"/>
        <v>Apple Iphone14</v>
      </c>
      <c r="J257" t="str">
        <f t="shared" si="46"/>
        <v>Google</v>
      </c>
      <c r="K257" t="str">
        <f t="shared" si="47"/>
        <v>Google</v>
      </c>
      <c r="L257" t="str">
        <f t="shared" si="48"/>
        <v>Electronics</v>
      </c>
      <c r="M257">
        <f t="shared" si="49"/>
        <v>15</v>
      </c>
      <c r="N257">
        <f t="shared" si="50"/>
        <v>14</v>
      </c>
      <c r="O257" s="6">
        <f t="shared" si="51"/>
        <v>799</v>
      </c>
      <c r="P257" t="str">
        <f t="shared" si="52"/>
        <v>Electronics</v>
      </c>
      <c r="Q257">
        <f t="shared" si="53"/>
        <v>799</v>
      </c>
      <c r="R257" t="str">
        <f t="shared" si="54"/>
        <v>Apple Iphone14|Electronics|799|Google</v>
      </c>
      <c r="S257" t="b">
        <f t="shared" si="55"/>
        <v>1</v>
      </c>
    </row>
    <row r="258" spans="1:19" x14ac:dyDescent="0.45">
      <c r="A258" t="s">
        <v>344</v>
      </c>
      <c r="B258" t="s">
        <v>102</v>
      </c>
      <c r="C258" t="s">
        <v>123</v>
      </c>
      <c r="D258" t="s">
        <v>55</v>
      </c>
      <c r="E258" t="s">
        <v>56</v>
      </c>
      <c r="F258" t="str">
        <f t="shared" ref="F258:F321" si="56">TRIM(B258)&amp;"|"&amp;TRIM(C258)&amp;"|"&amp;TRIM(D258)&amp;"|"&amp;TRIM(E258)</f>
        <v>GOOGLE PIXEL|Electronics|799|GOOGLE</v>
      </c>
      <c r="G258" t="b">
        <f t="shared" ref="G258:G321" si="57">COUNTIF($F$2:$F$565,F258)&gt;1</f>
        <v>1</v>
      </c>
      <c r="H258" t="str">
        <f t="shared" ref="H258:H321" si="58">TRIM(B258)</f>
        <v>GOOGLE PIXEL</v>
      </c>
      <c r="I258" t="str">
        <f t="shared" ref="I258:I321" si="59">PROPER(H258)</f>
        <v>Google Pixel</v>
      </c>
      <c r="J258" t="str">
        <f t="shared" ref="J258:J321" si="60">TRIM(E258)</f>
        <v>GOOGLE</v>
      </c>
      <c r="K258" t="str">
        <f t="shared" ref="K258:K321" si="61">PROPER(J258)</f>
        <v>Google</v>
      </c>
      <c r="L258" t="str">
        <f t="shared" ref="L258:L321" si="62">IF(TRIM(C258)="","",IF(ISNUMBER(SEARCH("gadget",C258)),"Gadgets","Electronics"))</f>
        <v>Electronics</v>
      </c>
      <c r="M258">
        <f t="shared" ref="M258:M321" si="63">LEN(B258)</f>
        <v>13</v>
      </c>
      <c r="N258">
        <f t="shared" ref="N258:N321" si="64">LEN(H258)</f>
        <v>12</v>
      </c>
      <c r="O258" s="6">
        <f t="shared" ref="O258:O321" si="65">IF(TRIM(D258)="","",VALUE(TRIM(SUBSTITUTE(SUBSTITUTE(D258,"USD",""),"$",""))))</f>
        <v>799</v>
      </c>
      <c r="P258" t="str">
        <f t="shared" ref="P258:P321" si="66">IF(L258="","Not Available",L258)</f>
        <v>Electronics</v>
      </c>
      <c r="Q258">
        <f t="shared" ref="Q258:Q321" si="67">IF(O258="","Not Available",O258)</f>
        <v>799</v>
      </c>
      <c r="R258" t="str">
        <f t="shared" ref="R258:R321" si="68">I258&amp;"|"&amp;P258&amp;"|"&amp;Q258&amp;"|"&amp;K258</f>
        <v>Google Pixel|Electronics|799|Google</v>
      </c>
      <c r="S258" t="b">
        <f t="shared" ref="S258:S321" si="69">COUNTIF($R$2:$R$565,R258)&gt;1</f>
        <v>1</v>
      </c>
    </row>
    <row r="259" spans="1:19" x14ac:dyDescent="0.45">
      <c r="A259" t="s">
        <v>345</v>
      </c>
      <c r="B259" t="s">
        <v>60</v>
      </c>
      <c r="C259" t="s">
        <v>85</v>
      </c>
      <c r="D259" t="s">
        <v>55</v>
      </c>
      <c r="E259" t="s">
        <v>82</v>
      </c>
      <c r="F259" t="str">
        <f t="shared" si="56"/>
        <v>apple iPhone 14|electronics|799|APPLE</v>
      </c>
      <c r="G259" t="b">
        <f t="shared" si="57"/>
        <v>1</v>
      </c>
      <c r="H259" t="str">
        <f t="shared" si="58"/>
        <v>apple iPhone 14</v>
      </c>
      <c r="I259" t="str">
        <f t="shared" si="59"/>
        <v>Apple Iphone 14</v>
      </c>
      <c r="J259" t="str">
        <f t="shared" si="60"/>
        <v>APPLE</v>
      </c>
      <c r="K259" t="str">
        <f t="shared" si="61"/>
        <v>Apple</v>
      </c>
      <c r="L259" t="str">
        <f t="shared" si="62"/>
        <v>Electronics</v>
      </c>
      <c r="M259">
        <f t="shared" si="63"/>
        <v>15</v>
      </c>
      <c r="N259">
        <f t="shared" si="64"/>
        <v>15</v>
      </c>
      <c r="O259" s="6">
        <f t="shared" si="65"/>
        <v>799</v>
      </c>
      <c r="P259" t="str">
        <f t="shared" si="66"/>
        <v>Electronics</v>
      </c>
      <c r="Q259">
        <f t="shared" si="67"/>
        <v>799</v>
      </c>
      <c r="R259" t="str">
        <f t="shared" si="68"/>
        <v>Apple Iphone 14|Electronics|799|Apple</v>
      </c>
      <c r="S259" t="b">
        <f t="shared" si="69"/>
        <v>1</v>
      </c>
    </row>
    <row r="260" spans="1:19" x14ac:dyDescent="0.45">
      <c r="A260" t="s">
        <v>346</v>
      </c>
      <c r="B260" t="s">
        <v>58</v>
      </c>
      <c r="C260" t="s">
        <v>61</v>
      </c>
      <c r="D260" t="s">
        <v>81</v>
      </c>
      <c r="E260" t="s">
        <v>56</v>
      </c>
      <c r="F260" t="str">
        <f t="shared" si="56"/>
        <v>Google pixel|Electrnics|$799|GOOGLE</v>
      </c>
      <c r="G260" t="b">
        <f t="shared" si="57"/>
        <v>0</v>
      </c>
      <c r="H260" t="str">
        <f t="shared" si="58"/>
        <v>Google pixel</v>
      </c>
      <c r="I260" t="str">
        <f t="shared" si="59"/>
        <v>Google Pixel</v>
      </c>
      <c r="J260" t="str">
        <f t="shared" si="60"/>
        <v>GOOGLE</v>
      </c>
      <c r="K260" t="str">
        <f t="shared" si="61"/>
        <v>Google</v>
      </c>
      <c r="L260" t="str">
        <f t="shared" si="62"/>
        <v>Electronics</v>
      </c>
      <c r="M260">
        <f t="shared" si="63"/>
        <v>12</v>
      </c>
      <c r="N260">
        <f t="shared" si="64"/>
        <v>12</v>
      </c>
      <c r="O260" s="6">
        <f t="shared" si="65"/>
        <v>799</v>
      </c>
      <c r="P260" t="str">
        <f t="shared" si="66"/>
        <v>Electronics</v>
      </c>
      <c r="Q260">
        <f t="shared" si="67"/>
        <v>799</v>
      </c>
      <c r="R260" t="str">
        <f t="shared" si="68"/>
        <v>Google Pixel|Electronics|799|Google</v>
      </c>
      <c r="S260" t="b">
        <f t="shared" si="69"/>
        <v>1</v>
      </c>
    </row>
    <row r="261" spans="1:19" x14ac:dyDescent="0.45">
      <c r="A261" t="s">
        <v>347</v>
      </c>
      <c r="B261" t="s">
        <v>78</v>
      </c>
      <c r="C261" t="s">
        <v>85</v>
      </c>
      <c r="D261" t="s">
        <v>62</v>
      </c>
      <c r="E261" t="s">
        <v>67</v>
      </c>
      <c r="F261" t="str">
        <f t="shared" si="56"/>
        <v>samsung Galaxy|electronics|799.0|apple</v>
      </c>
      <c r="G261" t="b">
        <f t="shared" si="57"/>
        <v>1</v>
      </c>
      <c r="H261" t="str">
        <f t="shared" si="58"/>
        <v>samsung Galaxy</v>
      </c>
      <c r="I261" t="str">
        <f t="shared" si="59"/>
        <v>Samsung Galaxy</v>
      </c>
      <c r="J261" t="str">
        <f t="shared" si="60"/>
        <v>apple</v>
      </c>
      <c r="K261" t="str">
        <f t="shared" si="61"/>
        <v>Apple</v>
      </c>
      <c r="L261" t="str">
        <f t="shared" si="62"/>
        <v>Electronics</v>
      </c>
      <c r="M261">
        <f t="shared" si="63"/>
        <v>15</v>
      </c>
      <c r="N261">
        <f t="shared" si="64"/>
        <v>14</v>
      </c>
      <c r="O261" s="6">
        <f t="shared" si="65"/>
        <v>799</v>
      </c>
      <c r="P261" t="str">
        <f t="shared" si="66"/>
        <v>Electronics</v>
      </c>
      <c r="Q261">
        <f t="shared" si="67"/>
        <v>799</v>
      </c>
      <c r="R261" t="str">
        <f t="shared" si="68"/>
        <v>Samsung Galaxy|Electronics|799|Apple</v>
      </c>
      <c r="S261" t="b">
        <f t="shared" si="69"/>
        <v>1</v>
      </c>
    </row>
    <row r="262" spans="1:19" x14ac:dyDescent="0.45">
      <c r="A262" t="s">
        <v>348</v>
      </c>
      <c r="B262" t="s">
        <v>109</v>
      </c>
      <c r="D262" t="s">
        <v>74</v>
      </c>
      <c r="E262" t="s">
        <v>112</v>
      </c>
      <c r="F262" t="str">
        <f t="shared" si="56"/>
        <v>Apple iPhone14||799|SAMSUNG</v>
      </c>
      <c r="G262" t="b">
        <f t="shared" si="57"/>
        <v>1</v>
      </c>
      <c r="H262" t="str">
        <f t="shared" si="58"/>
        <v>Apple iPhone14</v>
      </c>
      <c r="I262" t="str">
        <f t="shared" si="59"/>
        <v>Apple Iphone14</v>
      </c>
      <c r="J262" t="str">
        <f t="shared" si="60"/>
        <v>SAMSUNG</v>
      </c>
      <c r="K262" t="str">
        <f t="shared" si="61"/>
        <v>Samsung</v>
      </c>
      <c r="L262" t="str">
        <f t="shared" si="62"/>
        <v/>
      </c>
      <c r="M262">
        <f t="shared" si="63"/>
        <v>15</v>
      </c>
      <c r="N262">
        <f t="shared" si="64"/>
        <v>14</v>
      </c>
      <c r="O262" s="6">
        <f t="shared" si="65"/>
        <v>799</v>
      </c>
      <c r="P262" t="str">
        <f t="shared" si="66"/>
        <v>Not Available</v>
      </c>
      <c r="Q262">
        <f t="shared" si="67"/>
        <v>799</v>
      </c>
      <c r="R262" t="str">
        <f t="shared" si="68"/>
        <v>Apple Iphone14|Not Available|799|Samsung</v>
      </c>
      <c r="S262" t="b">
        <f t="shared" si="69"/>
        <v>1</v>
      </c>
    </row>
    <row r="263" spans="1:19" x14ac:dyDescent="0.45">
      <c r="A263" t="s">
        <v>349</v>
      </c>
      <c r="B263" t="s">
        <v>72</v>
      </c>
      <c r="C263" t="s">
        <v>96</v>
      </c>
      <c r="D263" t="s">
        <v>81</v>
      </c>
      <c r="E263" t="s">
        <v>89</v>
      </c>
      <c r="F263" t="str">
        <f t="shared" si="56"/>
        <v>google pixel|Gadgets|$799|Apple</v>
      </c>
      <c r="G263" t="b">
        <f t="shared" si="57"/>
        <v>1</v>
      </c>
      <c r="H263" t="str">
        <f t="shared" si="58"/>
        <v>google pixel</v>
      </c>
      <c r="I263" t="str">
        <f t="shared" si="59"/>
        <v>Google Pixel</v>
      </c>
      <c r="J263" t="str">
        <f t="shared" si="60"/>
        <v>Apple</v>
      </c>
      <c r="K263" t="str">
        <f t="shared" si="61"/>
        <v>Apple</v>
      </c>
      <c r="L263" t="str">
        <f t="shared" si="62"/>
        <v>Gadgets</v>
      </c>
      <c r="M263">
        <f t="shared" si="63"/>
        <v>14</v>
      </c>
      <c r="N263">
        <f t="shared" si="64"/>
        <v>12</v>
      </c>
      <c r="O263" s="6">
        <f t="shared" si="65"/>
        <v>799</v>
      </c>
      <c r="P263" t="str">
        <f t="shared" si="66"/>
        <v>Gadgets</v>
      </c>
      <c r="Q263">
        <f t="shared" si="67"/>
        <v>799</v>
      </c>
      <c r="R263" t="str">
        <f t="shared" si="68"/>
        <v>Google Pixel|Gadgets|799|Apple</v>
      </c>
      <c r="S263" t="b">
        <f t="shared" si="69"/>
        <v>1</v>
      </c>
    </row>
    <row r="264" spans="1:19" x14ac:dyDescent="0.45">
      <c r="A264" t="s">
        <v>350</v>
      </c>
      <c r="B264" t="s">
        <v>72</v>
      </c>
      <c r="C264" t="s">
        <v>96</v>
      </c>
      <c r="E264" t="s">
        <v>89</v>
      </c>
      <c r="F264" t="str">
        <f t="shared" si="56"/>
        <v>google pixel|Gadgets||Apple</v>
      </c>
      <c r="G264" t="b">
        <f t="shared" si="57"/>
        <v>1</v>
      </c>
      <c r="H264" t="str">
        <f t="shared" si="58"/>
        <v>google pixel</v>
      </c>
      <c r="I264" t="str">
        <f t="shared" si="59"/>
        <v>Google Pixel</v>
      </c>
      <c r="J264" t="str">
        <f t="shared" si="60"/>
        <v>Apple</v>
      </c>
      <c r="K264" t="str">
        <f t="shared" si="61"/>
        <v>Apple</v>
      </c>
      <c r="L264" t="str">
        <f t="shared" si="62"/>
        <v>Gadgets</v>
      </c>
      <c r="M264">
        <f t="shared" si="63"/>
        <v>14</v>
      </c>
      <c r="N264">
        <f t="shared" si="64"/>
        <v>12</v>
      </c>
      <c r="O264" s="6" t="str">
        <f t="shared" si="65"/>
        <v/>
      </c>
      <c r="P264" t="str">
        <f t="shared" si="66"/>
        <v>Gadgets</v>
      </c>
      <c r="Q264" t="str">
        <f t="shared" si="67"/>
        <v>Not Available</v>
      </c>
      <c r="R264" t="str">
        <f t="shared" si="68"/>
        <v>Google Pixel|Gadgets|Not Available|Apple</v>
      </c>
      <c r="S264" t="b">
        <f t="shared" si="69"/>
        <v>1</v>
      </c>
    </row>
    <row r="265" spans="1:19" x14ac:dyDescent="0.45">
      <c r="A265" t="s">
        <v>351</v>
      </c>
      <c r="B265" t="s">
        <v>109</v>
      </c>
      <c r="C265" t="s">
        <v>73</v>
      </c>
      <c r="D265" t="s">
        <v>66</v>
      </c>
      <c r="E265" t="s">
        <v>79</v>
      </c>
      <c r="F265" t="str">
        <f t="shared" si="56"/>
        <v>Apple iPhone14|Electro|799.00|Samsung</v>
      </c>
      <c r="G265" t="b">
        <f t="shared" si="57"/>
        <v>1</v>
      </c>
      <c r="H265" t="str">
        <f t="shared" si="58"/>
        <v>Apple iPhone14</v>
      </c>
      <c r="I265" t="str">
        <f t="shared" si="59"/>
        <v>Apple Iphone14</v>
      </c>
      <c r="J265" t="str">
        <f t="shared" si="60"/>
        <v>Samsung</v>
      </c>
      <c r="K265" t="str">
        <f t="shared" si="61"/>
        <v>Samsung</v>
      </c>
      <c r="L265" t="str">
        <f t="shared" si="62"/>
        <v>Electronics</v>
      </c>
      <c r="M265">
        <f t="shared" si="63"/>
        <v>15</v>
      </c>
      <c r="N265">
        <f t="shared" si="64"/>
        <v>14</v>
      </c>
      <c r="O265" s="6">
        <f t="shared" si="65"/>
        <v>799</v>
      </c>
      <c r="P265" t="str">
        <f t="shared" si="66"/>
        <v>Electronics</v>
      </c>
      <c r="Q265">
        <f t="shared" si="67"/>
        <v>799</v>
      </c>
      <c r="R265" t="str">
        <f t="shared" si="68"/>
        <v>Apple Iphone14|Electronics|799|Samsung</v>
      </c>
      <c r="S265" t="b">
        <f t="shared" si="69"/>
        <v>1</v>
      </c>
    </row>
    <row r="266" spans="1:19" x14ac:dyDescent="0.45">
      <c r="A266" t="s">
        <v>352</v>
      </c>
      <c r="B266" t="s">
        <v>87</v>
      </c>
      <c r="C266" t="s">
        <v>96</v>
      </c>
      <c r="D266" t="s">
        <v>62</v>
      </c>
      <c r="E266" t="s">
        <v>75</v>
      </c>
      <c r="F266" t="str">
        <f t="shared" si="56"/>
        <v>Google Pixel|Gadgets|799.0|google</v>
      </c>
      <c r="G266" t="b">
        <f t="shared" si="57"/>
        <v>1</v>
      </c>
      <c r="H266" t="str">
        <f t="shared" si="58"/>
        <v>Google Pixel</v>
      </c>
      <c r="I266" t="str">
        <f t="shared" si="59"/>
        <v>Google Pixel</v>
      </c>
      <c r="J266" t="str">
        <f t="shared" si="60"/>
        <v>google</v>
      </c>
      <c r="K266" t="str">
        <f t="shared" si="61"/>
        <v>Google</v>
      </c>
      <c r="L266" t="str">
        <f t="shared" si="62"/>
        <v>Gadgets</v>
      </c>
      <c r="M266">
        <f t="shared" si="63"/>
        <v>12</v>
      </c>
      <c r="N266">
        <f t="shared" si="64"/>
        <v>12</v>
      </c>
      <c r="O266" s="6">
        <f t="shared" si="65"/>
        <v>799</v>
      </c>
      <c r="P266" t="str">
        <f t="shared" si="66"/>
        <v>Gadgets</v>
      </c>
      <c r="Q266">
        <f t="shared" si="67"/>
        <v>799</v>
      </c>
      <c r="R266" t="str">
        <f t="shared" si="68"/>
        <v>Google Pixel|Gadgets|799|Google</v>
      </c>
      <c r="S266" t="b">
        <f t="shared" si="69"/>
        <v>1</v>
      </c>
    </row>
    <row r="267" spans="1:19" x14ac:dyDescent="0.45">
      <c r="A267" t="s">
        <v>353</v>
      </c>
      <c r="B267" t="s">
        <v>138</v>
      </c>
      <c r="C267" t="s">
        <v>61</v>
      </c>
      <c r="D267" t="s">
        <v>69</v>
      </c>
      <c r="E267" t="s">
        <v>70</v>
      </c>
      <c r="F267" t="str">
        <f t="shared" si="56"/>
        <v>APPLE IPHONE 14|Electrnics|799|Samsung</v>
      </c>
      <c r="G267" t="b">
        <f t="shared" si="57"/>
        <v>1</v>
      </c>
      <c r="H267" t="str">
        <f t="shared" si="58"/>
        <v>APPLE IPHONE 14</v>
      </c>
      <c r="I267" t="str">
        <f t="shared" si="59"/>
        <v>Apple Iphone 14</v>
      </c>
      <c r="J267" t="str">
        <f t="shared" si="60"/>
        <v>Samsung</v>
      </c>
      <c r="K267" t="str">
        <f t="shared" si="61"/>
        <v>Samsung</v>
      </c>
      <c r="L267" t="str">
        <f t="shared" si="62"/>
        <v>Electronics</v>
      </c>
      <c r="M267">
        <f t="shared" si="63"/>
        <v>15</v>
      </c>
      <c r="N267">
        <f t="shared" si="64"/>
        <v>15</v>
      </c>
      <c r="O267" s="6">
        <f t="shared" si="65"/>
        <v>799</v>
      </c>
      <c r="P267" t="str">
        <f t="shared" si="66"/>
        <v>Electronics</v>
      </c>
      <c r="Q267">
        <f t="shared" si="67"/>
        <v>799</v>
      </c>
      <c r="R267" t="str">
        <f t="shared" si="68"/>
        <v>Apple Iphone 14|Electronics|799|Samsung</v>
      </c>
      <c r="S267" t="b">
        <f t="shared" si="69"/>
        <v>1</v>
      </c>
    </row>
    <row r="268" spans="1:19" x14ac:dyDescent="0.45">
      <c r="A268" t="s">
        <v>354</v>
      </c>
      <c r="B268" t="s">
        <v>109</v>
      </c>
      <c r="D268" t="s">
        <v>88</v>
      </c>
      <c r="E268" t="s">
        <v>112</v>
      </c>
      <c r="F268" t="str">
        <f t="shared" si="56"/>
        <v>Apple iPhone14||USD 799|SAMSUNG</v>
      </c>
      <c r="G268" t="b">
        <f t="shared" si="57"/>
        <v>0</v>
      </c>
      <c r="H268" t="str">
        <f t="shared" si="58"/>
        <v>Apple iPhone14</v>
      </c>
      <c r="I268" t="str">
        <f t="shared" si="59"/>
        <v>Apple Iphone14</v>
      </c>
      <c r="J268" t="str">
        <f t="shared" si="60"/>
        <v>SAMSUNG</v>
      </c>
      <c r="K268" t="str">
        <f t="shared" si="61"/>
        <v>Samsung</v>
      </c>
      <c r="L268" t="str">
        <f t="shared" si="62"/>
        <v/>
      </c>
      <c r="M268">
        <f t="shared" si="63"/>
        <v>15</v>
      </c>
      <c r="N268">
        <f t="shared" si="64"/>
        <v>14</v>
      </c>
      <c r="O268" s="6">
        <f t="shared" si="65"/>
        <v>799</v>
      </c>
      <c r="P268" t="str">
        <f t="shared" si="66"/>
        <v>Not Available</v>
      </c>
      <c r="Q268">
        <f t="shared" si="67"/>
        <v>799</v>
      </c>
      <c r="R268" t="str">
        <f t="shared" si="68"/>
        <v>Apple Iphone14|Not Available|799|Samsung</v>
      </c>
      <c r="S268" t="b">
        <f t="shared" si="69"/>
        <v>1</v>
      </c>
    </row>
    <row r="269" spans="1:19" x14ac:dyDescent="0.45">
      <c r="A269" t="s">
        <v>355</v>
      </c>
      <c r="B269" t="s">
        <v>87</v>
      </c>
      <c r="D269" t="s">
        <v>66</v>
      </c>
      <c r="E269" t="s">
        <v>56</v>
      </c>
      <c r="F269" t="str">
        <f t="shared" si="56"/>
        <v>Google Pixel||799.00|GOOGLE</v>
      </c>
      <c r="G269" t="b">
        <f t="shared" si="57"/>
        <v>1</v>
      </c>
      <c r="H269" t="str">
        <f t="shared" si="58"/>
        <v>Google Pixel</v>
      </c>
      <c r="I269" t="str">
        <f t="shared" si="59"/>
        <v>Google Pixel</v>
      </c>
      <c r="J269" t="str">
        <f t="shared" si="60"/>
        <v>GOOGLE</v>
      </c>
      <c r="K269" t="str">
        <f t="shared" si="61"/>
        <v>Google</v>
      </c>
      <c r="L269" t="str">
        <f t="shared" si="62"/>
        <v/>
      </c>
      <c r="M269">
        <f t="shared" si="63"/>
        <v>12</v>
      </c>
      <c r="N269">
        <f t="shared" si="64"/>
        <v>12</v>
      </c>
      <c r="O269" s="6">
        <f t="shared" si="65"/>
        <v>799</v>
      </c>
      <c r="P269" t="str">
        <f t="shared" si="66"/>
        <v>Not Available</v>
      </c>
      <c r="Q269">
        <f t="shared" si="67"/>
        <v>799</v>
      </c>
      <c r="R269" t="str">
        <f t="shared" si="68"/>
        <v>Google Pixel|Not Available|799|Google</v>
      </c>
      <c r="S269" t="b">
        <f t="shared" si="69"/>
        <v>1</v>
      </c>
    </row>
    <row r="270" spans="1:19" x14ac:dyDescent="0.45">
      <c r="A270" t="s">
        <v>356</v>
      </c>
      <c r="B270" t="s">
        <v>72</v>
      </c>
      <c r="C270" t="s">
        <v>85</v>
      </c>
      <c r="D270" t="s">
        <v>74</v>
      </c>
      <c r="E270" t="s">
        <v>91</v>
      </c>
      <c r="F270" t="str">
        <f t="shared" si="56"/>
        <v>google pixel|electronics|799|Apple</v>
      </c>
      <c r="G270" t="b">
        <f t="shared" si="57"/>
        <v>1</v>
      </c>
      <c r="H270" t="str">
        <f t="shared" si="58"/>
        <v>google pixel</v>
      </c>
      <c r="I270" t="str">
        <f t="shared" si="59"/>
        <v>Google Pixel</v>
      </c>
      <c r="J270" t="str">
        <f t="shared" si="60"/>
        <v>Apple</v>
      </c>
      <c r="K270" t="str">
        <f t="shared" si="61"/>
        <v>Apple</v>
      </c>
      <c r="L270" t="str">
        <f t="shared" si="62"/>
        <v>Electronics</v>
      </c>
      <c r="M270">
        <f t="shared" si="63"/>
        <v>14</v>
      </c>
      <c r="N270">
        <f t="shared" si="64"/>
        <v>12</v>
      </c>
      <c r="O270" s="6">
        <f t="shared" si="65"/>
        <v>799</v>
      </c>
      <c r="P270" t="str">
        <f t="shared" si="66"/>
        <v>Electronics</v>
      </c>
      <c r="Q270">
        <f t="shared" si="67"/>
        <v>799</v>
      </c>
      <c r="R270" t="str">
        <f t="shared" si="68"/>
        <v>Google Pixel|Electronics|799|Apple</v>
      </c>
      <c r="S270" t="b">
        <f t="shared" si="69"/>
        <v>1</v>
      </c>
    </row>
    <row r="271" spans="1:19" x14ac:dyDescent="0.45">
      <c r="A271" t="s">
        <v>357</v>
      </c>
      <c r="B271" t="s">
        <v>138</v>
      </c>
      <c r="C271" t="s">
        <v>85</v>
      </c>
      <c r="D271" t="s">
        <v>88</v>
      </c>
      <c r="E271" t="s">
        <v>82</v>
      </c>
      <c r="F271" t="str">
        <f t="shared" si="56"/>
        <v>APPLE IPHONE 14|electronics|USD 799|APPLE</v>
      </c>
      <c r="G271" t="b">
        <f t="shared" si="57"/>
        <v>1</v>
      </c>
      <c r="H271" t="str">
        <f t="shared" si="58"/>
        <v>APPLE IPHONE 14</v>
      </c>
      <c r="I271" t="str">
        <f t="shared" si="59"/>
        <v>Apple Iphone 14</v>
      </c>
      <c r="J271" t="str">
        <f t="shared" si="60"/>
        <v>APPLE</v>
      </c>
      <c r="K271" t="str">
        <f t="shared" si="61"/>
        <v>Apple</v>
      </c>
      <c r="L271" t="str">
        <f t="shared" si="62"/>
        <v>Electronics</v>
      </c>
      <c r="M271">
        <f t="shared" si="63"/>
        <v>15</v>
      </c>
      <c r="N271">
        <f t="shared" si="64"/>
        <v>15</v>
      </c>
      <c r="O271" s="6">
        <f t="shared" si="65"/>
        <v>799</v>
      </c>
      <c r="P271" t="str">
        <f t="shared" si="66"/>
        <v>Electronics</v>
      </c>
      <c r="Q271">
        <f t="shared" si="67"/>
        <v>799</v>
      </c>
      <c r="R271" t="str">
        <f t="shared" si="68"/>
        <v>Apple Iphone 14|Electronics|799|Apple</v>
      </c>
      <c r="S271" t="b">
        <f t="shared" si="69"/>
        <v>1</v>
      </c>
    </row>
    <row r="272" spans="1:19" x14ac:dyDescent="0.45">
      <c r="A272" t="s">
        <v>358</v>
      </c>
      <c r="B272" t="s">
        <v>106</v>
      </c>
      <c r="C272" t="s">
        <v>61</v>
      </c>
      <c r="D272" t="s">
        <v>62</v>
      </c>
      <c r="E272" t="s">
        <v>70</v>
      </c>
      <c r="F272" t="str">
        <f t="shared" si="56"/>
        <v>Samsung Galaxy|Electrnics|799.0|Samsung</v>
      </c>
      <c r="G272" t="b">
        <f t="shared" si="57"/>
        <v>0</v>
      </c>
      <c r="H272" t="str">
        <f t="shared" si="58"/>
        <v>Samsung Galaxy</v>
      </c>
      <c r="I272" t="str">
        <f t="shared" si="59"/>
        <v>Samsung Galaxy</v>
      </c>
      <c r="J272" t="str">
        <f t="shared" si="60"/>
        <v>Samsung</v>
      </c>
      <c r="K272" t="str">
        <f t="shared" si="61"/>
        <v>Samsung</v>
      </c>
      <c r="L272" t="str">
        <f t="shared" si="62"/>
        <v>Electronics</v>
      </c>
      <c r="M272">
        <f t="shared" si="63"/>
        <v>14</v>
      </c>
      <c r="N272">
        <f t="shared" si="64"/>
        <v>14</v>
      </c>
      <c r="O272" s="6">
        <f t="shared" si="65"/>
        <v>799</v>
      </c>
      <c r="P272" t="str">
        <f t="shared" si="66"/>
        <v>Electronics</v>
      </c>
      <c r="Q272">
        <f t="shared" si="67"/>
        <v>799</v>
      </c>
      <c r="R272" t="str">
        <f t="shared" si="68"/>
        <v>Samsung Galaxy|Electronics|799|Samsung</v>
      </c>
      <c r="S272" t="b">
        <f t="shared" si="69"/>
        <v>1</v>
      </c>
    </row>
    <row r="273" spans="1:19" x14ac:dyDescent="0.45">
      <c r="A273" t="s">
        <v>359</v>
      </c>
      <c r="B273" t="s">
        <v>138</v>
      </c>
      <c r="C273" t="s">
        <v>123</v>
      </c>
      <c r="D273" t="s">
        <v>88</v>
      </c>
      <c r="E273" t="s">
        <v>89</v>
      </c>
      <c r="F273" t="str">
        <f t="shared" si="56"/>
        <v>APPLE IPHONE 14|Electronics|USD 799|Apple</v>
      </c>
      <c r="G273" t="b">
        <f t="shared" si="57"/>
        <v>1</v>
      </c>
      <c r="H273" t="str">
        <f t="shared" si="58"/>
        <v>APPLE IPHONE 14</v>
      </c>
      <c r="I273" t="str">
        <f t="shared" si="59"/>
        <v>Apple Iphone 14</v>
      </c>
      <c r="J273" t="str">
        <f t="shared" si="60"/>
        <v>Apple</v>
      </c>
      <c r="K273" t="str">
        <f t="shared" si="61"/>
        <v>Apple</v>
      </c>
      <c r="L273" t="str">
        <f t="shared" si="62"/>
        <v>Electronics</v>
      </c>
      <c r="M273">
        <f t="shared" si="63"/>
        <v>15</v>
      </c>
      <c r="N273">
        <f t="shared" si="64"/>
        <v>15</v>
      </c>
      <c r="O273" s="6">
        <f t="shared" si="65"/>
        <v>799</v>
      </c>
      <c r="P273" t="str">
        <f t="shared" si="66"/>
        <v>Electronics</v>
      </c>
      <c r="Q273">
        <f t="shared" si="67"/>
        <v>799</v>
      </c>
      <c r="R273" t="str">
        <f t="shared" si="68"/>
        <v>Apple Iphone 14|Electronics|799|Apple</v>
      </c>
      <c r="S273" t="b">
        <f t="shared" si="69"/>
        <v>1</v>
      </c>
    </row>
    <row r="274" spans="1:19" x14ac:dyDescent="0.45">
      <c r="A274" t="s">
        <v>360</v>
      </c>
      <c r="B274" t="s">
        <v>54</v>
      </c>
      <c r="C274" t="s">
        <v>123</v>
      </c>
      <c r="D274" t="s">
        <v>88</v>
      </c>
      <c r="E274" t="s">
        <v>82</v>
      </c>
      <c r="F274" t="str">
        <f t="shared" si="56"/>
        <v>Samsung galaxy|Electronics|USD 799|APPLE</v>
      </c>
      <c r="G274" t="b">
        <f t="shared" si="57"/>
        <v>1</v>
      </c>
      <c r="H274" t="str">
        <f t="shared" si="58"/>
        <v>Samsung galaxy</v>
      </c>
      <c r="I274" t="str">
        <f t="shared" si="59"/>
        <v>Samsung Galaxy</v>
      </c>
      <c r="J274" t="str">
        <f t="shared" si="60"/>
        <v>APPLE</v>
      </c>
      <c r="K274" t="str">
        <f t="shared" si="61"/>
        <v>Apple</v>
      </c>
      <c r="L274" t="str">
        <f t="shared" si="62"/>
        <v>Electronics</v>
      </c>
      <c r="M274">
        <f t="shared" si="63"/>
        <v>15</v>
      </c>
      <c r="N274">
        <f t="shared" si="64"/>
        <v>14</v>
      </c>
      <c r="O274" s="6">
        <f t="shared" si="65"/>
        <v>799</v>
      </c>
      <c r="P274" t="str">
        <f t="shared" si="66"/>
        <v>Electronics</v>
      </c>
      <c r="Q274">
        <f t="shared" si="67"/>
        <v>799</v>
      </c>
      <c r="R274" t="str">
        <f t="shared" si="68"/>
        <v>Samsung Galaxy|Electronics|799|Apple</v>
      </c>
      <c r="S274" t="b">
        <f t="shared" si="69"/>
        <v>1</v>
      </c>
    </row>
    <row r="275" spans="1:19" x14ac:dyDescent="0.45">
      <c r="A275" t="s">
        <v>361</v>
      </c>
      <c r="B275" t="s">
        <v>138</v>
      </c>
      <c r="D275" t="s">
        <v>88</v>
      </c>
      <c r="E275" t="s">
        <v>91</v>
      </c>
      <c r="F275" t="str">
        <f t="shared" si="56"/>
        <v>APPLE IPHONE 14||USD 799|Apple</v>
      </c>
      <c r="G275" t="b">
        <f t="shared" si="57"/>
        <v>0</v>
      </c>
      <c r="H275" t="str">
        <f t="shared" si="58"/>
        <v>APPLE IPHONE 14</v>
      </c>
      <c r="I275" t="str">
        <f t="shared" si="59"/>
        <v>Apple Iphone 14</v>
      </c>
      <c r="J275" t="str">
        <f t="shared" si="60"/>
        <v>Apple</v>
      </c>
      <c r="K275" t="str">
        <f t="shared" si="61"/>
        <v>Apple</v>
      </c>
      <c r="L275" t="str">
        <f t="shared" si="62"/>
        <v/>
      </c>
      <c r="M275">
        <f t="shared" si="63"/>
        <v>15</v>
      </c>
      <c r="N275">
        <f t="shared" si="64"/>
        <v>15</v>
      </c>
      <c r="O275" s="6">
        <f t="shared" si="65"/>
        <v>799</v>
      </c>
      <c r="P275" t="str">
        <f t="shared" si="66"/>
        <v>Not Available</v>
      </c>
      <c r="Q275">
        <f t="shared" si="67"/>
        <v>799</v>
      </c>
      <c r="R275" t="str">
        <f t="shared" si="68"/>
        <v>Apple Iphone 14|Not Available|799|Apple</v>
      </c>
      <c r="S275" t="b">
        <f t="shared" si="69"/>
        <v>1</v>
      </c>
    </row>
    <row r="276" spans="1:19" x14ac:dyDescent="0.45">
      <c r="A276" t="s">
        <v>362</v>
      </c>
      <c r="B276" t="s">
        <v>65</v>
      </c>
      <c r="C276" t="s">
        <v>96</v>
      </c>
      <c r="D276" t="s">
        <v>81</v>
      </c>
      <c r="E276" t="s">
        <v>70</v>
      </c>
      <c r="F276" t="str">
        <f t="shared" si="56"/>
        <v>apple iphone 14|Gadgets|$799|Samsung</v>
      </c>
      <c r="G276" t="b">
        <f t="shared" si="57"/>
        <v>1</v>
      </c>
      <c r="H276" t="str">
        <f t="shared" si="58"/>
        <v>apple iphone 14</v>
      </c>
      <c r="I276" t="str">
        <f t="shared" si="59"/>
        <v>Apple Iphone 14</v>
      </c>
      <c r="J276" t="str">
        <f t="shared" si="60"/>
        <v>Samsung</v>
      </c>
      <c r="K276" t="str">
        <f t="shared" si="61"/>
        <v>Samsung</v>
      </c>
      <c r="L276" t="str">
        <f t="shared" si="62"/>
        <v>Gadgets</v>
      </c>
      <c r="M276">
        <f t="shared" si="63"/>
        <v>17</v>
      </c>
      <c r="N276">
        <f t="shared" si="64"/>
        <v>15</v>
      </c>
      <c r="O276" s="6">
        <f t="shared" si="65"/>
        <v>799</v>
      </c>
      <c r="P276" t="str">
        <f t="shared" si="66"/>
        <v>Gadgets</v>
      </c>
      <c r="Q276">
        <f t="shared" si="67"/>
        <v>799</v>
      </c>
      <c r="R276" t="str">
        <f t="shared" si="68"/>
        <v>Apple Iphone 14|Gadgets|799|Samsung</v>
      </c>
      <c r="S276" t="b">
        <f t="shared" si="69"/>
        <v>1</v>
      </c>
    </row>
    <row r="277" spans="1:19" x14ac:dyDescent="0.45">
      <c r="A277" t="s">
        <v>363</v>
      </c>
      <c r="B277" t="s">
        <v>78</v>
      </c>
      <c r="C277" t="s">
        <v>73</v>
      </c>
      <c r="E277" t="s">
        <v>70</v>
      </c>
      <c r="F277" t="str">
        <f t="shared" si="56"/>
        <v>samsung Galaxy|Electro||Samsung</v>
      </c>
      <c r="G277" t="b">
        <f t="shared" si="57"/>
        <v>1</v>
      </c>
      <c r="H277" t="str">
        <f t="shared" si="58"/>
        <v>samsung Galaxy</v>
      </c>
      <c r="I277" t="str">
        <f t="shared" si="59"/>
        <v>Samsung Galaxy</v>
      </c>
      <c r="J277" t="str">
        <f t="shared" si="60"/>
        <v>Samsung</v>
      </c>
      <c r="K277" t="str">
        <f t="shared" si="61"/>
        <v>Samsung</v>
      </c>
      <c r="L277" t="str">
        <f t="shared" si="62"/>
        <v>Electronics</v>
      </c>
      <c r="M277">
        <f t="shared" si="63"/>
        <v>15</v>
      </c>
      <c r="N277">
        <f t="shared" si="64"/>
        <v>14</v>
      </c>
      <c r="O277" s="6" t="str">
        <f t="shared" si="65"/>
        <v/>
      </c>
      <c r="P277" t="str">
        <f t="shared" si="66"/>
        <v>Electronics</v>
      </c>
      <c r="Q277" t="str">
        <f t="shared" si="67"/>
        <v>Not Available</v>
      </c>
      <c r="R277" t="str">
        <f t="shared" si="68"/>
        <v>Samsung Galaxy|Electronics|Not Available|Samsung</v>
      </c>
      <c r="S277" t="b">
        <f t="shared" si="69"/>
        <v>1</v>
      </c>
    </row>
    <row r="278" spans="1:19" x14ac:dyDescent="0.45">
      <c r="A278" t="s">
        <v>364</v>
      </c>
      <c r="B278" t="s">
        <v>87</v>
      </c>
      <c r="C278" t="s">
        <v>73</v>
      </c>
      <c r="D278" t="s">
        <v>69</v>
      </c>
      <c r="E278" t="s">
        <v>79</v>
      </c>
      <c r="F278" t="str">
        <f t="shared" si="56"/>
        <v>Google Pixel|Electro|799|Samsung</v>
      </c>
      <c r="G278" t="b">
        <f t="shared" si="57"/>
        <v>1</v>
      </c>
      <c r="H278" t="str">
        <f t="shared" si="58"/>
        <v>Google Pixel</v>
      </c>
      <c r="I278" t="str">
        <f t="shared" si="59"/>
        <v>Google Pixel</v>
      </c>
      <c r="J278" t="str">
        <f t="shared" si="60"/>
        <v>Samsung</v>
      </c>
      <c r="K278" t="str">
        <f t="shared" si="61"/>
        <v>Samsung</v>
      </c>
      <c r="L278" t="str">
        <f t="shared" si="62"/>
        <v>Electronics</v>
      </c>
      <c r="M278">
        <f t="shared" si="63"/>
        <v>12</v>
      </c>
      <c r="N278">
        <f t="shared" si="64"/>
        <v>12</v>
      </c>
      <c r="O278" s="6">
        <f t="shared" si="65"/>
        <v>799</v>
      </c>
      <c r="P278" t="str">
        <f t="shared" si="66"/>
        <v>Electronics</v>
      </c>
      <c r="Q278">
        <f t="shared" si="67"/>
        <v>799</v>
      </c>
      <c r="R278" t="str">
        <f t="shared" si="68"/>
        <v>Google Pixel|Electronics|799|Samsung</v>
      </c>
      <c r="S278" t="b">
        <f t="shared" si="69"/>
        <v>1</v>
      </c>
    </row>
    <row r="279" spans="1:19" x14ac:dyDescent="0.45">
      <c r="A279" t="s">
        <v>365</v>
      </c>
      <c r="B279" t="s">
        <v>54</v>
      </c>
      <c r="D279" t="s">
        <v>62</v>
      </c>
      <c r="E279" t="s">
        <v>79</v>
      </c>
      <c r="F279" t="str">
        <f t="shared" si="56"/>
        <v>Samsung galaxy||799.0|Samsung</v>
      </c>
      <c r="G279" t="b">
        <f t="shared" si="57"/>
        <v>1</v>
      </c>
      <c r="H279" t="str">
        <f t="shared" si="58"/>
        <v>Samsung galaxy</v>
      </c>
      <c r="I279" t="str">
        <f t="shared" si="59"/>
        <v>Samsung Galaxy</v>
      </c>
      <c r="J279" t="str">
        <f t="shared" si="60"/>
        <v>Samsung</v>
      </c>
      <c r="K279" t="str">
        <f t="shared" si="61"/>
        <v>Samsung</v>
      </c>
      <c r="L279" t="str">
        <f t="shared" si="62"/>
        <v/>
      </c>
      <c r="M279">
        <f t="shared" si="63"/>
        <v>15</v>
      </c>
      <c r="N279">
        <f t="shared" si="64"/>
        <v>14</v>
      </c>
      <c r="O279" s="6">
        <f t="shared" si="65"/>
        <v>799</v>
      </c>
      <c r="P279" t="str">
        <f t="shared" si="66"/>
        <v>Not Available</v>
      </c>
      <c r="Q279">
        <f t="shared" si="67"/>
        <v>799</v>
      </c>
      <c r="R279" t="str">
        <f t="shared" si="68"/>
        <v>Samsung Galaxy|Not Available|799|Samsung</v>
      </c>
      <c r="S279" t="b">
        <f t="shared" si="69"/>
        <v>1</v>
      </c>
    </row>
    <row r="280" spans="1:19" x14ac:dyDescent="0.45">
      <c r="A280" t="s">
        <v>366</v>
      </c>
      <c r="B280" t="s">
        <v>65</v>
      </c>
      <c r="C280" t="s">
        <v>85</v>
      </c>
      <c r="D280" t="s">
        <v>74</v>
      </c>
      <c r="E280" t="s">
        <v>89</v>
      </c>
      <c r="F280" t="str">
        <f t="shared" si="56"/>
        <v>apple iphone 14|electronics|799|Apple</v>
      </c>
      <c r="G280" t="b">
        <f t="shared" si="57"/>
        <v>1</v>
      </c>
      <c r="H280" t="str">
        <f t="shared" si="58"/>
        <v>apple iphone 14</v>
      </c>
      <c r="I280" t="str">
        <f t="shared" si="59"/>
        <v>Apple Iphone 14</v>
      </c>
      <c r="J280" t="str">
        <f t="shared" si="60"/>
        <v>Apple</v>
      </c>
      <c r="K280" t="str">
        <f t="shared" si="61"/>
        <v>Apple</v>
      </c>
      <c r="L280" t="str">
        <f t="shared" si="62"/>
        <v>Electronics</v>
      </c>
      <c r="M280">
        <f t="shared" si="63"/>
        <v>17</v>
      </c>
      <c r="N280">
        <f t="shared" si="64"/>
        <v>15</v>
      </c>
      <c r="O280" s="6">
        <f t="shared" si="65"/>
        <v>799</v>
      </c>
      <c r="P280" t="str">
        <f t="shared" si="66"/>
        <v>Electronics</v>
      </c>
      <c r="Q280">
        <f t="shared" si="67"/>
        <v>799</v>
      </c>
      <c r="R280" t="str">
        <f t="shared" si="68"/>
        <v>Apple Iphone 14|Electronics|799|Apple</v>
      </c>
      <c r="S280" t="b">
        <f t="shared" si="69"/>
        <v>1</v>
      </c>
    </row>
    <row r="281" spans="1:19" x14ac:dyDescent="0.45">
      <c r="A281" t="s">
        <v>367</v>
      </c>
      <c r="B281" t="s">
        <v>72</v>
      </c>
      <c r="C281" t="s">
        <v>96</v>
      </c>
      <c r="D281" t="s">
        <v>55</v>
      </c>
      <c r="E281" t="s">
        <v>70</v>
      </c>
      <c r="F281" t="str">
        <f t="shared" si="56"/>
        <v>google pixel|Gadgets|799|Samsung</v>
      </c>
      <c r="G281" t="b">
        <f t="shared" si="57"/>
        <v>1</v>
      </c>
      <c r="H281" t="str">
        <f t="shared" si="58"/>
        <v>google pixel</v>
      </c>
      <c r="I281" t="str">
        <f t="shared" si="59"/>
        <v>Google Pixel</v>
      </c>
      <c r="J281" t="str">
        <f t="shared" si="60"/>
        <v>Samsung</v>
      </c>
      <c r="K281" t="str">
        <f t="shared" si="61"/>
        <v>Samsung</v>
      </c>
      <c r="L281" t="str">
        <f t="shared" si="62"/>
        <v>Gadgets</v>
      </c>
      <c r="M281">
        <f t="shared" si="63"/>
        <v>14</v>
      </c>
      <c r="N281">
        <f t="shared" si="64"/>
        <v>12</v>
      </c>
      <c r="O281" s="6">
        <f t="shared" si="65"/>
        <v>799</v>
      </c>
      <c r="P281" t="str">
        <f t="shared" si="66"/>
        <v>Gadgets</v>
      </c>
      <c r="Q281">
        <f t="shared" si="67"/>
        <v>799</v>
      </c>
      <c r="R281" t="str">
        <f t="shared" si="68"/>
        <v>Google Pixel|Gadgets|799|Samsung</v>
      </c>
      <c r="S281" t="b">
        <f t="shared" si="69"/>
        <v>1</v>
      </c>
    </row>
    <row r="282" spans="1:19" x14ac:dyDescent="0.45">
      <c r="A282" t="s">
        <v>368</v>
      </c>
      <c r="B282" t="s">
        <v>109</v>
      </c>
      <c r="C282" t="s">
        <v>123</v>
      </c>
      <c r="D282" t="s">
        <v>55</v>
      </c>
      <c r="E282" t="s">
        <v>79</v>
      </c>
      <c r="F282" t="str">
        <f t="shared" si="56"/>
        <v>Apple iPhone14|Electronics|799|Samsung</v>
      </c>
      <c r="G282" t="b">
        <f t="shared" si="57"/>
        <v>1</v>
      </c>
      <c r="H282" t="str">
        <f t="shared" si="58"/>
        <v>Apple iPhone14</v>
      </c>
      <c r="I282" t="str">
        <f t="shared" si="59"/>
        <v>Apple Iphone14</v>
      </c>
      <c r="J282" t="str">
        <f t="shared" si="60"/>
        <v>Samsung</v>
      </c>
      <c r="K282" t="str">
        <f t="shared" si="61"/>
        <v>Samsung</v>
      </c>
      <c r="L282" t="str">
        <f t="shared" si="62"/>
        <v>Electronics</v>
      </c>
      <c r="M282">
        <f t="shared" si="63"/>
        <v>15</v>
      </c>
      <c r="N282">
        <f t="shared" si="64"/>
        <v>14</v>
      </c>
      <c r="O282" s="6">
        <f t="shared" si="65"/>
        <v>799</v>
      </c>
      <c r="P282" t="str">
        <f t="shared" si="66"/>
        <v>Electronics</v>
      </c>
      <c r="Q282">
        <f t="shared" si="67"/>
        <v>799</v>
      </c>
      <c r="R282" t="str">
        <f t="shared" si="68"/>
        <v>Apple Iphone14|Electronics|799|Samsung</v>
      </c>
      <c r="S282" t="b">
        <f t="shared" si="69"/>
        <v>1</v>
      </c>
    </row>
    <row r="283" spans="1:19" x14ac:dyDescent="0.45">
      <c r="A283" t="s">
        <v>369</v>
      </c>
      <c r="B283" t="s">
        <v>78</v>
      </c>
      <c r="C283" t="s">
        <v>96</v>
      </c>
      <c r="D283" t="s">
        <v>62</v>
      </c>
      <c r="E283" t="s">
        <v>56</v>
      </c>
      <c r="F283" t="str">
        <f t="shared" si="56"/>
        <v>samsung Galaxy|Gadgets|799.0|GOOGLE</v>
      </c>
      <c r="G283" t="b">
        <f t="shared" si="57"/>
        <v>1</v>
      </c>
      <c r="H283" t="str">
        <f t="shared" si="58"/>
        <v>samsung Galaxy</v>
      </c>
      <c r="I283" t="str">
        <f t="shared" si="59"/>
        <v>Samsung Galaxy</v>
      </c>
      <c r="J283" t="str">
        <f t="shared" si="60"/>
        <v>GOOGLE</v>
      </c>
      <c r="K283" t="str">
        <f t="shared" si="61"/>
        <v>Google</v>
      </c>
      <c r="L283" t="str">
        <f t="shared" si="62"/>
        <v>Gadgets</v>
      </c>
      <c r="M283">
        <f t="shared" si="63"/>
        <v>15</v>
      </c>
      <c r="N283">
        <f t="shared" si="64"/>
        <v>14</v>
      </c>
      <c r="O283" s="6">
        <f t="shared" si="65"/>
        <v>799</v>
      </c>
      <c r="P283" t="str">
        <f t="shared" si="66"/>
        <v>Gadgets</v>
      </c>
      <c r="Q283">
        <f t="shared" si="67"/>
        <v>799</v>
      </c>
      <c r="R283" t="str">
        <f t="shared" si="68"/>
        <v>Samsung Galaxy|Gadgets|799|Google</v>
      </c>
      <c r="S283" t="b">
        <f t="shared" si="69"/>
        <v>1</v>
      </c>
    </row>
    <row r="284" spans="1:19" x14ac:dyDescent="0.45">
      <c r="A284" t="s">
        <v>370</v>
      </c>
      <c r="B284" t="s">
        <v>54</v>
      </c>
      <c r="C284" t="s">
        <v>61</v>
      </c>
      <c r="D284" t="s">
        <v>81</v>
      </c>
      <c r="E284" t="s">
        <v>91</v>
      </c>
      <c r="F284" t="str">
        <f t="shared" si="56"/>
        <v>Samsung galaxy|Electrnics|$799|Apple</v>
      </c>
      <c r="G284" t="b">
        <f t="shared" si="57"/>
        <v>1</v>
      </c>
      <c r="H284" t="str">
        <f t="shared" si="58"/>
        <v>Samsung galaxy</v>
      </c>
      <c r="I284" t="str">
        <f t="shared" si="59"/>
        <v>Samsung Galaxy</v>
      </c>
      <c r="J284" t="str">
        <f t="shared" si="60"/>
        <v>Apple</v>
      </c>
      <c r="K284" t="str">
        <f t="shared" si="61"/>
        <v>Apple</v>
      </c>
      <c r="L284" t="str">
        <f t="shared" si="62"/>
        <v>Electronics</v>
      </c>
      <c r="M284">
        <f t="shared" si="63"/>
        <v>15</v>
      </c>
      <c r="N284">
        <f t="shared" si="64"/>
        <v>14</v>
      </c>
      <c r="O284" s="6">
        <f t="shared" si="65"/>
        <v>799</v>
      </c>
      <c r="P284" t="str">
        <f t="shared" si="66"/>
        <v>Electronics</v>
      </c>
      <c r="Q284">
        <f t="shared" si="67"/>
        <v>799</v>
      </c>
      <c r="R284" t="str">
        <f t="shared" si="68"/>
        <v>Samsung Galaxy|Electronics|799|Apple</v>
      </c>
      <c r="S284" t="b">
        <f t="shared" si="69"/>
        <v>1</v>
      </c>
    </row>
    <row r="285" spans="1:19" x14ac:dyDescent="0.45">
      <c r="A285" t="s">
        <v>371</v>
      </c>
      <c r="B285" t="s">
        <v>58</v>
      </c>
      <c r="E285" t="s">
        <v>67</v>
      </c>
      <c r="F285" t="str">
        <f t="shared" si="56"/>
        <v>Google pixel|||apple</v>
      </c>
      <c r="G285" t="b">
        <f t="shared" si="57"/>
        <v>1</v>
      </c>
      <c r="H285" t="str">
        <f t="shared" si="58"/>
        <v>Google pixel</v>
      </c>
      <c r="I285" t="str">
        <f t="shared" si="59"/>
        <v>Google Pixel</v>
      </c>
      <c r="J285" t="str">
        <f t="shared" si="60"/>
        <v>apple</v>
      </c>
      <c r="K285" t="str">
        <f t="shared" si="61"/>
        <v>Apple</v>
      </c>
      <c r="L285" t="str">
        <f t="shared" si="62"/>
        <v/>
      </c>
      <c r="M285">
        <f t="shared" si="63"/>
        <v>12</v>
      </c>
      <c r="N285">
        <f t="shared" si="64"/>
        <v>12</v>
      </c>
      <c r="O285" s="6" t="str">
        <f t="shared" si="65"/>
        <v/>
      </c>
      <c r="P285" t="str">
        <f t="shared" si="66"/>
        <v>Not Available</v>
      </c>
      <c r="Q285" t="str">
        <f t="shared" si="67"/>
        <v>Not Available</v>
      </c>
      <c r="R285" t="str">
        <f t="shared" si="68"/>
        <v>Google Pixel|Not Available|Not Available|Apple</v>
      </c>
      <c r="S285" t="b">
        <f t="shared" si="69"/>
        <v>1</v>
      </c>
    </row>
    <row r="286" spans="1:19" x14ac:dyDescent="0.45">
      <c r="A286" t="s">
        <v>372</v>
      </c>
      <c r="B286" t="s">
        <v>60</v>
      </c>
      <c r="C286" t="s">
        <v>85</v>
      </c>
      <c r="D286" t="s">
        <v>62</v>
      </c>
      <c r="E286" t="s">
        <v>56</v>
      </c>
      <c r="F286" t="str">
        <f t="shared" si="56"/>
        <v>apple iPhone 14|electronics|799.0|GOOGLE</v>
      </c>
      <c r="G286" t="b">
        <f t="shared" si="57"/>
        <v>1</v>
      </c>
      <c r="H286" t="str">
        <f t="shared" si="58"/>
        <v>apple iPhone 14</v>
      </c>
      <c r="I286" t="str">
        <f t="shared" si="59"/>
        <v>Apple Iphone 14</v>
      </c>
      <c r="J286" t="str">
        <f t="shared" si="60"/>
        <v>GOOGLE</v>
      </c>
      <c r="K286" t="str">
        <f t="shared" si="61"/>
        <v>Google</v>
      </c>
      <c r="L286" t="str">
        <f t="shared" si="62"/>
        <v>Electronics</v>
      </c>
      <c r="M286">
        <f t="shared" si="63"/>
        <v>15</v>
      </c>
      <c r="N286">
        <f t="shared" si="64"/>
        <v>15</v>
      </c>
      <c r="O286" s="6">
        <f t="shared" si="65"/>
        <v>799</v>
      </c>
      <c r="P286" t="str">
        <f t="shared" si="66"/>
        <v>Electronics</v>
      </c>
      <c r="Q286">
        <f t="shared" si="67"/>
        <v>799</v>
      </c>
      <c r="R286" t="str">
        <f t="shared" si="68"/>
        <v>Apple Iphone 14|Electronics|799|Google</v>
      </c>
      <c r="S286" t="b">
        <f t="shared" si="69"/>
        <v>1</v>
      </c>
    </row>
    <row r="287" spans="1:19" x14ac:dyDescent="0.45">
      <c r="A287" t="s">
        <v>373</v>
      </c>
      <c r="B287" t="s">
        <v>58</v>
      </c>
      <c r="D287" t="s">
        <v>69</v>
      </c>
      <c r="E287" t="s">
        <v>56</v>
      </c>
      <c r="F287" t="str">
        <f t="shared" si="56"/>
        <v>Google pixel||799|GOOGLE</v>
      </c>
      <c r="G287" t="b">
        <f t="shared" si="57"/>
        <v>1</v>
      </c>
      <c r="H287" t="str">
        <f t="shared" si="58"/>
        <v>Google pixel</v>
      </c>
      <c r="I287" t="str">
        <f t="shared" si="59"/>
        <v>Google Pixel</v>
      </c>
      <c r="J287" t="str">
        <f t="shared" si="60"/>
        <v>GOOGLE</v>
      </c>
      <c r="K287" t="str">
        <f t="shared" si="61"/>
        <v>Google</v>
      </c>
      <c r="L287" t="str">
        <f t="shared" si="62"/>
        <v/>
      </c>
      <c r="M287">
        <f t="shared" si="63"/>
        <v>12</v>
      </c>
      <c r="N287">
        <f t="shared" si="64"/>
        <v>12</v>
      </c>
      <c r="O287" s="6">
        <f t="shared" si="65"/>
        <v>799</v>
      </c>
      <c r="P287" t="str">
        <f t="shared" si="66"/>
        <v>Not Available</v>
      </c>
      <c r="Q287">
        <f t="shared" si="67"/>
        <v>799</v>
      </c>
      <c r="R287" t="str">
        <f t="shared" si="68"/>
        <v>Google Pixel|Not Available|799|Google</v>
      </c>
      <c r="S287" t="b">
        <f t="shared" si="69"/>
        <v>1</v>
      </c>
    </row>
    <row r="288" spans="1:19" x14ac:dyDescent="0.45">
      <c r="A288" t="s">
        <v>374</v>
      </c>
      <c r="B288" t="s">
        <v>72</v>
      </c>
      <c r="D288" t="s">
        <v>66</v>
      </c>
      <c r="E288" t="s">
        <v>91</v>
      </c>
      <c r="F288" t="str">
        <f t="shared" si="56"/>
        <v>google pixel||799.00|Apple</v>
      </c>
      <c r="G288" t="b">
        <f t="shared" si="57"/>
        <v>1</v>
      </c>
      <c r="H288" t="str">
        <f t="shared" si="58"/>
        <v>google pixel</v>
      </c>
      <c r="I288" t="str">
        <f t="shared" si="59"/>
        <v>Google Pixel</v>
      </c>
      <c r="J288" t="str">
        <f t="shared" si="60"/>
        <v>Apple</v>
      </c>
      <c r="K288" t="str">
        <f t="shared" si="61"/>
        <v>Apple</v>
      </c>
      <c r="L288" t="str">
        <f t="shared" si="62"/>
        <v/>
      </c>
      <c r="M288">
        <f t="shared" si="63"/>
        <v>14</v>
      </c>
      <c r="N288">
        <f t="shared" si="64"/>
        <v>12</v>
      </c>
      <c r="O288" s="6">
        <f t="shared" si="65"/>
        <v>799</v>
      </c>
      <c r="P288" t="str">
        <f t="shared" si="66"/>
        <v>Not Available</v>
      </c>
      <c r="Q288">
        <f t="shared" si="67"/>
        <v>799</v>
      </c>
      <c r="R288" t="str">
        <f t="shared" si="68"/>
        <v>Google Pixel|Not Available|799|Apple</v>
      </c>
      <c r="S288" t="b">
        <f t="shared" si="69"/>
        <v>1</v>
      </c>
    </row>
    <row r="289" spans="1:19" x14ac:dyDescent="0.45">
      <c r="A289" t="s">
        <v>375</v>
      </c>
      <c r="B289" t="s">
        <v>106</v>
      </c>
      <c r="C289" t="s">
        <v>73</v>
      </c>
      <c r="D289" t="s">
        <v>88</v>
      </c>
      <c r="E289" t="s">
        <v>70</v>
      </c>
      <c r="F289" t="str">
        <f t="shared" si="56"/>
        <v>Samsung Galaxy|Electro|USD 799|Samsung</v>
      </c>
      <c r="G289" t="b">
        <f t="shared" si="57"/>
        <v>1</v>
      </c>
      <c r="H289" t="str">
        <f t="shared" si="58"/>
        <v>Samsung Galaxy</v>
      </c>
      <c r="I289" t="str">
        <f t="shared" si="59"/>
        <v>Samsung Galaxy</v>
      </c>
      <c r="J289" t="str">
        <f t="shared" si="60"/>
        <v>Samsung</v>
      </c>
      <c r="K289" t="str">
        <f t="shared" si="61"/>
        <v>Samsung</v>
      </c>
      <c r="L289" t="str">
        <f t="shared" si="62"/>
        <v>Electronics</v>
      </c>
      <c r="M289">
        <f t="shared" si="63"/>
        <v>14</v>
      </c>
      <c r="N289">
        <f t="shared" si="64"/>
        <v>14</v>
      </c>
      <c r="O289" s="6">
        <f t="shared" si="65"/>
        <v>799</v>
      </c>
      <c r="P289" t="str">
        <f t="shared" si="66"/>
        <v>Electronics</v>
      </c>
      <c r="Q289">
        <f t="shared" si="67"/>
        <v>799</v>
      </c>
      <c r="R289" t="str">
        <f t="shared" si="68"/>
        <v>Samsung Galaxy|Electronics|799|Samsung</v>
      </c>
      <c r="S289" t="b">
        <f t="shared" si="69"/>
        <v>1</v>
      </c>
    </row>
    <row r="290" spans="1:19" x14ac:dyDescent="0.45">
      <c r="A290" t="s">
        <v>376</v>
      </c>
      <c r="B290" t="s">
        <v>102</v>
      </c>
      <c r="C290" t="s">
        <v>96</v>
      </c>
      <c r="D290" t="s">
        <v>81</v>
      </c>
      <c r="E290" t="s">
        <v>91</v>
      </c>
      <c r="F290" t="str">
        <f t="shared" si="56"/>
        <v>GOOGLE PIXEL|Gadgets|$799|Apple</v>
      </c>
      <c r="G290" t="b">
        <f t="shared" si="57"/>
        <v>1</v>
      </c>
      <c r="H290" t="str">
        <f t="shared" si="58"/>
        <v>GOOGLE PIXEL</v>
      </c>
      <c r="I290" t="str">
        <f t="shared" si="59"/>
        <v>Google Pixel</v>
      </c>
      <c r="J290" t="str">
        <f t="shared" si="60"/>
        <v>Apple</v>
      </c>
      <c r="K290" t="str">
        <f t="shared" si="61"/>
        <v>Apple</v>
      </c>
      <c r="L290" t="str">
        <f t="shared" si="62"/>
        <v>Gadgets</v>
      </c>
      <c r="M290">
        <f t="shared" si="63"/>
        <v>13</v>
      </c>
      <c r="N290">
        <f t="shared" si="64"/>
        <v>12</v>
      </c>
      <c r="O290" s="6">
        <f t="shared" si="65"/>
        <v>799</v>
      </c>
      <c r="P290" t="str">
        <f t="shared" si="66"/>
        <v>Gadgets</v>
      </c>
      <c r="Q290">
        <f t="shared" si="67"/>
        <v>799</v>
      </c>
      <c r="R290" t="str">
        <f t="shared" si="68"/>
        <v>Google Pixel|Gadgets|799|Apple</v>
      </c>
      <c r="S290" t="b">
        <f t="shared" si="69"/>
        <v>1</v>
      </c>
    </row>
    <row r="291" spans="1:19" x14ac:dyDescent="0.45">
      <c r="A291" t="s">
        <v>377</v>
      </c>
      <c r="B291" t="s">
        <v>109</v>
      </c>
      <c r="E291" t="s">
        <v>89</v>
      </c>
      <c r="F291" t="str">
        <f t="shared" si="56"/>
        <v>Apple iPhone14|||Apple</v>
      </c>
      <c r="G291" t="b">
        <f t="shared" si="57"/>
        <v>0</v>
      </c>
      <c r="H291" t="str">
        <f t="shared" si="58"/>
        <v>Apple iPhone14</v>
      </c>
      <c r="I291" t="str">
        <f t="shared" si="59"/>
        <v>Apple Iphone14</v>
      </c>
      <c r="J291" t="str">
        <f t="shared" si="60"/>
        <v>Apple</v>
      </c>
      <c r="K291" t="str">
        <f t="shared" si="61"/>
        <v>Apple</v>
      </c>
      <c r="L291" t="str">
        <f t="shared" si="62"/>
        <v/>
      </c>
      <c r="M291">
        <f t="shared" si="63"/>
        <v>15</v>
      </c>
      <c r="N291">
        <f t="shared" si="64"/>
        <v>14</v>
      </c>
      <c r="O291" s="6" t="str">
        <f t="shared" si="65"/>
        <v/>
      </c>
      <c r="P291" t="str">
        <f t="shared" si="66"/>
        <v>Not Available</v>
      </c>
      <c r="Q291" t="str">
        <f t="shared" si="67"/>
        <v>Not Available</v>
      </c>
      <c r="R291" t="str">
        <f t="shared" si="68"/>
        <v>Apple Iphone14|Not Available|Not Available|Apple</v>
      </c>
      <c r="S291" t="b">
        <f t="shared" si="69"/>
        <v>0</v>
      </c>
    </row>
    <row r="292" spans="1:19" x14ac:dyDescent="0.45">
      <c r="A292" t="s">
        <v>378</v>
      </c>
      <c r="B292" t="s">
        <v>78</v>
      </c>
      <c r="E292" t="s">
        <v>91</v>
      </c>
      <c r="F292" t="str">
        <f t="shared" si="56"/>
        <v>samsung Galaxy|||Apple</v>
      </c>
      <c r="G292" t="b">
        <f t="shared" si="57"/>
        <v>1</v>
      </c>
      <c r="H292" t="str">
        <f t="shared" si="58"/>
        <v>samsung Galaxy</v>
      </c>
      <c r="I292" t="str">
        <f t="shared" si="59"/>
        <v>Samsung Galaxy</v>
      </c>
      <c r="J292" t="str">
        <f t="shared" si="60"/>
        <v>Apple</v>
      </c>
      <c r="K292" t="str">
        <f t="shared" si="61"/>
        <v>Apple</v>
      </c>
      <c r="L292" t="str">
        <f t="shared" si="62"/>
        <v/>
      </c>
      <c r="M292">
        <f t="shared" si="63"/>
        <v>15</v>
      </c>
      <c r="N292">
        <f t="shared" si="64"/>
        <v>14</v>
      </c>
      <c r="O292" s="6" t="str">
        <f t="shared" si="65"/>
        <v/>
      </c>
      <c r="P292" t="str">
        <f t="shared" si="66"/>
        <v>Not Available</v>
      </c>
      <c r="Q292" t="str">
        <f t="shared" si="67"/>
        <v>Not Available</v>
      </c>
      <c r="R292" t="str">
        <f t="shared" si="68"/>
        <v>Samsung Galaxy|Not Available|Not Available|Apple</v>
      </c>
      <c r="S292" t="b">
        <f t="shared" si="69"/>
        <v>1</v>
      </c>
    </row>
    <row r="293" spans="1:19" x14ac:dyDescent="0.45">
      <c r="A293" t="s">
        <v>379</v>
      </c>
      <c r="B293" t="s">
        <v>72</v>
      </c>
      <c r="C293" t="s">
        <v>123</v>
      </c>
      <c r="D293" t="s">
        <v>55</v>
      </c>
      <c r="E293" t="s">
        <v>63</v>
      </c>
      <c r="F293" t="str">
        <f t="shared" si="56"/>
        <v>google pixel|Electronics|799|Google</v>
      </c>
      <c r="G293" t="b">
        <f t="shared" si="57"/>
        <v>1</v>
      </c>
      <c r="H293" t="str">
        <f t="shared" si="58"/>
        <v>google pixel</v>
      </c>
      <c r="I293" t="str">
        <f t="shared" si="59"/>
        <v>Google Pixel</v>
      </c>
      <c r="J293" t="str">
        <f t="shared" si="60"/>
        <v>Google</v>
      </c>
      <c r="K293" t="str">
        <f t="shared" si="61"/>
        <v>Google</v>
      </c>
      <c r="L293" t="str">
        <f t="shared" si="62"/>
        <v>Electronics</v>
      </c>
      <c r="M293">
        <f t="shared" si="63"/>
        <v>14</v>
      </c>
      <c r="N293">
        <f t="shared" si="64"/>
        <v>12</v>
      </c>
      <c r="O293" s="6">
        <f t="shared" si="65"/>
        <v>799</v>
      </c>
      <c r="P293" t="str">
        <f t="shared" si="66"/>
        <v>Electronics</v>
      </c>
      <c r="Q293">
        <f t="shared" si="67"/>
        <v>799</v>
      </c>
      <c r="R293" t="str">
        <f t="shared" si="68"/>
        <v>Google Pixel|Electronics|799|Google</v>
      </c>
      <c r="S293" t="b">
        <f t="shared" si="69"/>
        <v>1</v>
      </c>
    </row>
    <row r="294" spans="1:19" x14ac:dyDescent="0.45">
      <c r="A294" t="s">
        <v>380</v>
      </c>
      <c r="B294" t="s">
        <v>87</v>
      </c>
      <c r="D294" t="s">
        <v>69</v>
      </c>
      <c r="E294" t="s">
        <v>79</v>
      </c>
      <c r="F294" t="str">
        <f t="shared" si="56"/>
        <v>Google Pixel||799|Samsung</v>
      </c>
      <c r="G294" t="b">
        <f t="shared" si="57"/>
        <v>1</v>
      </c>
      <c r="H294" t="str">
        <f t="shared" si="58"/>
        <v>Google Pixel</v>
      </c>
      <c r="I294" t="str">
        <f t="shared" si="59"/>
        <v>Google Pixel</v>
      </c>
      <c r="J294" t="str">
        <f t="shared" si="60"/>
        <v>Samsung</v>
      </c>
      <c r="K294" t="str">
        <f t="shared" si="61"/>
        <v>Samsung</v>
      </c>
      <c r="L294" t="str">
        <f t="shared" si="62"/>
        <v/>
      </c>
      <c r="M294">
        <f t="shared" si="63"/>
        <v>12</v>
      </c>
      <c r="N294">
        <f t="shared" si="64"/>
        <v>12</v>
      </c>
      <c r="O294" s="6">
        <f t="shared" si="65"/>
        <v>799</v>
      </c>
      <c r="P294" t="str">
        <f t="shared" si="66"/>
        <v>Not Available</v>
      </c>
      <c r="Q294">
        <f t="shared" si="67"/>
        <v>799</v>
      </c>
      <c r="R294" t="str">
        <f t="shared" si="68"/>
        <v>Google Pixel|Not Available|799|Samsung</v>
      </c>
      <c r="S294" t="b">
        <f t="shared" si="69"/>
        <v>1</v>
      </c>
    </row>
    <row r="295" spans="1:19" x14ac:dyDescent="0.45">
      <c r="A295" t="s">
        <v>381</v>
      </c>
      <c r="B295" t="s">
        <v>72</v>
      </c>
      <c r="C295" t="s">
        <v>61</v>
      </c>
      <c r="D295" t="s">
        <v>69</v>
      </c>
      <c r="E295" t="s">
        <v>112</v>
      </c>
      <c r="F295" t="str">
        <f t="shared" si="56"/>
        <v>google pixel|Electrnics|799|SAMSUNG</v>
      </c>
      <c r="G295" t="b">
        <f t="shared" si="57"/>
        <v>1</v>
      </c>
      <c r="H295" t="str">
        <f t="shared" si="58"/>
        <v>google pixel</v>
      </c>
      <c r="I295" t="str">
        <f t="shared" si="59"/>
        <v>Google Pixel</v>
      </c>
      <c r="J295" t="str">
        <f t="shared" si="60"/>
        <v>SAMSUNG</v>
      </c>
      <c r="K295" t="str">
        <f t="shared" si="61"/>
        <v>Samsung</v>
      </c>
      <c r="L295" t="str">
        <f t="shared" si="62"/>
        <v>Electronics</v>
      </c>
      <c r="M295">
        <f t="shared" si="63"/>
        <v>14</v>
      </c>
      <c r="N295">
        <f t="shared" si="64"/>
        <v>12</v>
      </c>
      <c r="O295" s="6">
        <f t="shared" si="65"/>
        <v>799</v>
      </c>
      <c r="P295" t="str">
        <f t="shared" si="66"/>
        <v>Electronics</v>
      </c>
      <c r="Q295">
        <f t="shared" si="67"/>
        <v>799</v>
      </c>
      <c r="R295" t="str">
        <f t="shared" si="68"/>
        <v>Google Pixel|Electronics|799|Samsung</v>
      </c>
      <c r="S295" t="b">
        <f t="shared" si="69"/>
        <v>1</v>
      </c>
    </row>
    <row r="296" spans="1:19" x14ac:dyDescent="0.45">
      <c r="A296" t="s">
        <v>382</v>
      </c>
      <c r="B296" t="s">
        <v>78</v>
      </c>
      <c r="C296" t="s">
        <v>61</v>
      </c>
      <c r="D296" t="s">
        <v>69</v>
      </c>
      <c r="E296" t="s">
        <v>79</v>
      </c>
      <c r="F296" t="str">
        <f t="shared" si="56"/>
        <v>samsung Galaxy|Electrnics|799|Samsung</v>
      </c>
      <c r="G296" t="b">
        <f t="shared" si="57"/>
        <v>1</v>
      </c>
      <c r="H296" t="str">
        <f t="shared" si="58"/>
        <v>samsung Galaxy</v>
      </c>
      <c r="I296" t="str">
        <f t="shared" si="59"/>
        <v>Samsung Galaxy</v>
      </c>
      <c r="J296" t="str">
        <f t="shared" si="60"/>
        <v>Samsung</v>
      </c>
      <c r="K296" t="str">
        <f t="shared" si="61"/>
        <v>Samsung</v>
      </c>
      <c r="L296" t="str">
        <f t="shared" si="62"/>
        <v>Electronics</v>
      </c>
      <c r="M296">
        <f t="shared" si="63"/>
        <v>15</v>
      </c>
      <c r="N296">
        <f t="shared" si="64"/>
        <v>14</v>
      </c>
      <c r="O296" s="6">
        <f t="shared" si="65"/>
        <v>799</v>
      </c>
      <c r="P296" t="str">
        <f t="shared" si="66"/>
        <v>Electronics</v>
      </c>
      <c r="Q296">
        <f t="shared" si="67"/>
        <v>799</v>
      </c>
      <c r="R296" t="str">
        <f t="shared" si="68"/>
        <v>Samsung Galaxy|Electronics|799|Samsung</v>
      </c>
      <c r="S296" t="b">
        <f t="shared" si="69"/>
        <v>1</v>
      </c>
    </row>
    <row r="297" spans="1:19" x14ac:dyDescent="0.45">
      <c r="A297" t="s">
        <v>383</v>
      </c>
      <c r="B297" t="s">
        <v>102</v>
      </c>
      <c r="C297" t="s">
        <v>73</v>
      </c>
      <c r="D297" t="s">
        <v>74</v>
      </c>
      <c r="E297" t="s">
        <v>67</v>
      </c>
      <c r="F297" t="str">
        <f t="shared" si="56"/>
        <v>GOOGLE PIXEL|Electro|799|apple</v>
      </c>
      <c r="G297" t="b">
        <f t="shared" si="57"/>
        <v>1</v>
      </c>
      <c r="H297" t="str">
        <f t="shared" si="58"/>
        <v>GOOGLE PIXEL</v>
      </c>
      <c r="I297" t="str">
        <f t="shared" si="59"/>
        <v>Google Pixel</v>
      </c>
      <c r="J297" t="str">
        <f t="shared" si="60"/>
        <v>apple</v>
      </c>
      <c r="K297" t="str">
        <f t="shared" si="61"/>
        <v>Apple</v>
      </c>
      <c r="L297" t="str">
        <f t="shared" si="62"/>
        <v>Electronics</v>
      </c>
      <c r="M297">
        <f t="shared" si="63"/>
        <v>13</v>
      </c>
      <c r="N297">
        <f t="shared" si="64"/>
        <v>12</v>
      </c>
      <c r="O297" s="6">
        <f t="shared" si="65"/>
        <v>799</v>
      </c>
      <c r="P297" t="str">
        <f t="shared" si="66"/>
        <v>Electronics</v>
      </c>
      <c r="Q297">
        <f t="shared" si="67"/>
        <v>799</v>
      </c>
      <c r="R297" t="str">
        <f t="shared" si="68"/>
        <v>Google Pixel|Electronics|799|Apple</v>
      </c>
      <c r="S297" t="b">
        <f t="shared" si="69"/>
        <v>1</v>
      </c>
    </row>
    <row r="298" spans="1:19" x14ac:dyDescent="0.45">
      <c r="A298" t="s">
        <v>384</v>
      </c>
      <c r="B298" t="s">
        <v>72</v>
      </c>
      <c r="C298" t="s">
        <v>85</v>
      </c>
      <c r="D298" t="s">
        <v>66</v>
      </c>
      <c r="E298" t="s">
        <v>91</v>
      </c>
      <c r="F298" t="str">
        <f t="shared" si="56"/>
        <v>google pixel|electronics|799.00|Apple</v>
      </c>
      <c r="G298" t="b">
        <f t="shared" si="57"/>
        <v>1</v>
      </c>
      <c r="H298" t="str">
        <f t="shared" si="58"/>
        <v>google pixel</v>
      </c>
      <c r="I298" t="str">
        <f t="shared" si="59"/>
        <v>Google Pixel</v>
      </c>
      <c r="J298" t="str">
        <f t="shared" si="60"/>
        <v>Apple</v>
      </c>
      <c r="K298" t="str">
        <f t="shared" si="61"/>
        <v>Apple</v>
      </c>
      <c r="L298" t="str">
        <f t="shared" si="62"/>
        <v>Electronics</v>
      </c>
      <c r="M298">
        <f t="shared" si="63"/>
        <v>14</v>
      </c>
      <c r="N298">
        <f t="shared" si="64"/>
        <v>12</v>
      </c>
      <c r="O298" s="6">
        <f t="shared" si="65"/>
        <v>799</v>
      </c>
      <c r="P298" t="str">
        <f t="shared" si="66"/>
        <v>Electronics</v>
      </c>
      <c r="Q298">
        <f t="shared" si="67"/>
        <v>799</v>
      </c>
      <c r="R298" t="str">
        <f t="shared" si="68"/>
        <v>Google Pixel|Electronics|799|Apple</v>
      </c>
      <c r="S298" t="b">
        <f t="shared" si="69"/>
        <v>1</v>
      </c>
    </row>
    <row r="299" spans="1:19" x14ac:dyDescent="0.45">
      <c r="A299" t="s">
        <v>385</v>
      </c>
      <c r="B299" t="s">
        <v>138</v>
      </c>
      <c r="C299" t="s">
        <v>61</v>
      </c>
      <c r="D299" t="s">
        <v>69</v>
      </c>
      <c r="E299" t="s">
        <v>91</v>
      </c>
      <c r="F299" t="str">
        <f t="shared" si="56"/>
        <v>APPLE IPHONE 14|Electrnics|799|Apple</v>
      </c>
      <c r="G299" t="b">
        <f t="shared" si="57"/>
        <v>1</v>
      </c>
      <c r="H299" t="str">
        <f t="shared" si="58"/>
        <v>APPLE IPHONE 14</v>
      </c>
      <c r="I299" t="str">
        <f t="shared" si="59"/>
        <v>Apple Iphone 14</v>
      </c>
      <c r="J299" t="str">
        <f t="shared" si="60"/>
        <v>Apple</v>
      </c>
      <c r="K299" t="str">
        <f t="shared" si="61"/>
        <v>Apple</v>
      </c>
      <c r="L299" t="str">
        <f t="shared" si="62"/>
        <v>Electronics</v>
      </c>
      <c r="M299">
        <f t="shared" si="63"/>
        <v>15</v>
      </c>
      <c r="N299">
        <f t="shared" si="64"/>
        <v>15</v>
      </c>
      <c r="O299" s="6">
        <f t="shared" si="65"/>
        <v>799</v>
      </c>
      <c r="P299" t="str">
        <f t="shared" si="66"/>
        <v>Electronics</v>
      </c>
      <c r="Q299">
        <f t="shared" si="67"/>
        <v>799</v>
      </c>
      <c r="R299" t="str">
        <f t="shared" si="68"/>
        <v>Apple Iphone 14|Electronics|799|Apple</v>
      </c>
      <c r="S299" t="b">
        <f t="shared" si="69"/>
        <v>1</v>
      </c>
    </row>
    <row r="300" spans="1:19" x14ac:dyDescent="0.45">
      <c r="A300" t="s">
        <v>386</v>
      </c>
      <c r="B300" t="s">
        <v>54</v>
      </c>
      <c r="D300" t="s">
        <v>74</v>
      </c>
      <c r="E300" t="s">
        <v>91</v>
      </c>
      <c r="F300" t="str">
        <f t="shared" si="56"/>
        <v>Samsung galaxy||799|Apple</v>
      </c>
      <c r="G300" t="b">
        <f t="shared" si="57"/>
        <v>1</v>
      </c>
      <c r="H300" t="str">
        <f t="shared" si="58"/>
        <v>Samsung galaxy</v>
      </c>
      <c r="I300" t="str">
        <f t="shared" si="59"/>
        <v>Samsung Galaxy</v>
      </c>
      <c r="J300" t="str">
        <f t="shared" si="60"/>
        <v>Apple</v>
      </c>
      <c r="K300" t="str">
        <f t="shared" si="61"/>
        <v>Apple</v>
      </c>
      <c r="L300" t="str">
        <f t="shared" si="62"/>
        <v/>
      </c>
      <c r="M300">
        <f t="shared" si="63"/>
        <v>15</v>
      </c>
      <c r="N300">
        <f t="shared" si="64"/>
        <v>14</v>
      </c>
      <c r="O300" s="6">
        <f t="shared" si="65"/>
        <v>799</v>
      </c>
      <c r="P300" t="str">
        <f t="shared" si="66"/>
        <v>Not Available</v>
      </c>
      <c r="Q300">
        <f t="shared" si="67"/>
        <v>799</v>
      </c>
      <c r="R300" t="str">
        <f t="shared" si="68"/>
        <v>Samsung Galaxy|Not Available|799|Apple</v>
      </c>
      <c r="S300" t="b">
        <f t="shared" si="69"/>
        <v>1</v>
      </c>
    </row>
    <row r="301" spans="1:19" x14ac:dyDescent="0.45">
      <c r="A301" t="s">
        <v>387</v>
      </c>
      <c r="B301" t="s">
        <v>72</v>
      </c>
      <c r="C301" t="s">
        <v>85</v>
      </c>
      <c r="E301" t="s">
        <v>82</v>
      </c>
      <c r="F301" t="str">
        <f t="shared" si="56"/>
        <v>google pixel|electronics||APPLE</v>
      </c>
      <c r="G301" t="b">
        <f t="shared" si="57"/>
        <v>1</v>
      </c>
      <c r="H301" t="str">
        <f t="shared" si="58"/>
        <v>google pixel</v>
      </c>
      <c r="I301" t="str">
        <f t="shared" si="59"/>
        <v>Google Pixel</v>
      </c>
      <c r="J301" t="str">
        <f t="shared" si="60"/>
        <v>APPLE</v>
      </c>
      <c r="K301" t="str">
        <f t="shared" si="61"/>
        <v>Apple</v>
      </c>
      <c r="L301" t="str">
        <f t="shared" si="62"/>
        <v>Electronics</v>
      </c>
      <c r="M301">
        <f t="shared" si="63"/>
        <v>14</v>
      </c>
      <c r="N301">
        <f t="shared" si="64"/>
        <v>12</v>
      </c>
      <c r="O301" s="6" t="str">
        <f t="shared" si="65"/>
        <v/>
      </c>
      <c r="P301" t="str">
        <f t="shared" si="66"/>
        <v>Electronics</v>
      </c>
      <c r="Q301" t="str">
        <f t="shared" si="67"/>
        <v>Not Available</v>
      </c>
      <c r="R301" t="str">
        <f t="shared" si="68"/>
        <v>Google Pixel|Electronics|Not Available|Apple</v>
      </c>
      <c r="S301" t="b">
        <f t="shared" si="69"/>
        <v>1</v>
      </c>
    </row>
    <row r="302" spans="1:19" x14ac:dyDescent="0.45">
      <c r="A302" t="s">
        <v>388</v>
      </c>
      <c r="B302" t="s">
        <v>87</v>
      </c>
      <c r="D302" t="s">
        <v>62</v>
      </c>
      <c r="E302" t="s">
        <v>63</v>
      </c>
      <c r="F302" t="str">
        <f t="shared" si="56"/>
        <v>Google Pixel||799.0|Google</v>
      </c>
      <c r="G302" t="b">
        <f t="shared" si="57"/>
        <v>1</v>
      </c>
      <c r="H302" t="str">
        <f t="shared" si="58"/>
        <v>Google Pixel</v>
      </c>
      <c r="I302" t="str">
        <f t="shared" si="59"/>
        <v>Google Pixel</v>
      </c>
      <c r="J302" t="str">
        <f t="shared" si="60"/>
        <v>Google</v>
      </c>
      <c r="K302" t="str">
        <f t="shared" si="61"/>
        <v>Google</v>
      </c>
      <c r="L302" t="str">
        <f t="shared" si="62"/>
        <v/>
      </c>
      <c r="M302">
        <f t="shared" si="63"/>
        <v>12</v>
      </c>
      <c r="N302">
        <f t="shared" si="64"/>
        <v>12</v>
      </c>
      <c r="O302" s="6">
        <f t="shared" si="65"/>
        <v>799</v>
      </c>
      <c r="P302" t="str">
        <f t="shared" si="66"/>
        <v>Not Available</v>
      </c>
      <c r="Q302">
        <f t="shared" si="67"/>
        <v>799</v>
      </c>
      <c r="R302" t="str">
        <f t="shared" si="68"/>
        <v>Google Pixel|Not Available|799|Google</v>
      </c>
      <c r="S302" t="b">
        <f t="shared" si="69"/>
        <v>1</v>
      </c>
    </row>
    <row r="303" spans="1:19" x14ac:dyDescent="0.45">
      <c r="A303" t="s">
        <v>389</v>
      </c>
      <c r="B303" t="s">
        <v>138</v>
      </c>
      <c r="C303" t="s">
        <v>123</v>
      </c>
      <c r="D303" t="s">
        <v>66</v>
      </c>
      <c r="E303" t="s">
        <v>75</v>
      </c>
      <c r="F303" t="str">
        <f t="shared" si="56"/>
        <v>APPLE IPHONE 14|Electronics|799.00|google</v>
      </c>
      <c r="G303" t="b">
        <f t="shared" si="57"/>
        <v>1</v>
      </c>
      <c r="H303" t="str">
        <f t="shared" si="58"/>
        <v>APPLE IPHONE 14</v>
      </c>
      <c r="I303" t="str">
        <f t="shared" si="59"/>
        <v>Apple Iphone 14</v>
      </c>
      <c r="J303" t="str">
        <f t="shared" si="60"/>
        <v>google</v>
      </c>
      <c r="K303" t="str">
        <f t="shared" si="61"/>
        <v>Google</v>
      </c>
      <c r="L303" t="str">
        <f t="shared" si="62"/>
        <v>Electronics</v>
      </c>
      <c r="M303">
        <f t="shared" si="63"/>
        <v>15</v>
      </c>
      <c r="N303">
        <f t="shared" si="64"/>
        <v>15</v>
      </c>
      <c r="O303" s="6">
        <f t="shared" si="65"/>
        <v>799</v>
      </c>
      <c r="P303" t="str">
        <f t="shared" si="66"/>
        <v>Electronics</v>
      </c>
      <c r="Q303">
        <f t="shared" si="67"/>
        <v>799</v>
      </c>
      <c r="R303" t="str">
        <f t="shared" si="68"/>
        <v>Apple Iphone 14|Electronics|799|Google</v>
      </c>
      <c r="S303" t="b">
        <f t="shared" si="69"/>
        <v>1</v>
      </c>
    </row>
    <row r="304" spans="1:19" x14ac:dyDescent="0.45">
      <c r="A304" t="s">
        <v>390</v>
      </c>
      <c r="B304" t="s">
        <v>54</v>
      </c>
      <c r="C304" t="s">
        <v>96</v>
      </c>
      <c r="D304" t="s">
        <v>69</v>
      </c>
      <c r="E304" t="s">
        <v>63</v>
      </c>
      <c r="F304" t="str">
        <f t="shared" si="56"/>
        <v>Samsung galaxy|Gadgets|799|Google</v>
      </c>
      <c r="G304" t="b">
        <f t="shared" si="57"/>
        <v>1</v>
      </c>
      <c r="H304" t="str">
        <f t="shared" si="58"/>
        <v>Samsung galaxy</v>
      </c>
      <c r="I304" t="str">
        <f t="shared" si="59"/>
        <v>Samsung Galaxy</v>
      </c>
      <c r="J304" t="str">
        <f t="shared" si="60"/>
        <v>Google</v>
      </c>
      <c r="K304" t="str">
        <f t="shared" si="61"/>
        <v>Google</v>
      </c>
      <c r="L304" t="str">
        <f t="shared" si="62"/>
        <v>Gadgets</v>
      </c>
      <c r="M304">
        <f t="shared" si="63"/>
        <v>15</v>
      </c>
      <c r="N304">
        <f t="shared" si="64"/>
        <v>14</v>
      </c>
      <c r="O304" s="6">
        <f t="shared" si="65"/>
        <v>799</v>
      </c>
      <c r="P304" t="str">
        <f t="shared" si="66"/>
        <v>Gadgets</v>
      </c>
      <c r="Q304">
        <f t="shared" si="67"/>
        <v>799</v>
      </c>
      <c r="R304" t="str">
        <f t="shared" si="68"/>
        <v>Samsung Galaxy|Gadgets|799|Google</v>
      </c>
      <c r="S304" t="b">
        <f t="shared" si="69"/>
        <v>1</v>
      </c>
    </row>
    <row r="305" spans="1:19" x14ac:dyDescent="0.45">
      <c r="A305" t="s">
        <v>391</v>
      </c>
      <c r="B305" t="s">
        <v>65</v>
      </c>
      <c r="C305" t="s">
        <v>123</v>
      </c>
      <c r="D305" t="s">
        <v>62</v>
      </c>
      <c r="E305" t="s">
        <v>63</v>
      </c>
      <c r="F305" t="str">
        <f t="shared" si="56"/>
        <v>apple iphone 14|Electronics|799.0|Google</v>
      </c>
      <c r="G305" t="b">
        <f t="shared" si="57"/>
        <v>1</v>
      </c>
      <c r="H305" t="str">
        <f t="shared" si="58"/>
        <v>apple iphone 14</v>
      </c>
      <c r="I305" t="str">
        <f t="shared" si="59"/>
        <v>Apple Iphone 14</v>
      </c>
      <c r="J305" t="str">
        <f t="shared" si="60"/>
        <v>Google</v>
      </c>
      <c r="K305" t="str">
        <f t="shared" si="61"/>
        <v>Google</v>
      </c>
      <c r="L305" t="str">
        <f t="shared" si="62"/>
        <v>Electronics</v>
      </c>
      <c r="M305">
        <f t="shared" si="63"/>
        <v>17</v>
      </c>
      <c r="N305">
        <f t="shared" si="64"/>
        <v>15</v>
      </c>
      <c r="O305" s="6">
        <f t="shared" si="65"/>
        <v>799</v>
      </c>
      <c r="P305" t="str">
        <f t="shared" si="66"/>
        <v>Electronics</v>
      </c>
      <c r="Q305">
        <f t="shared" si="67"/>
        <v>799</v>
      </c>
      <c r="R305" t="str">
        <f t="shared" si="68"/>
        <v>Apple Iphone 14|Electronics|799|Google</v>
      </c>
      <c r="S305" t="b">
        <f t="shared" si="69"/>
        <v>1</v>
      </c>
    </row>
    <row r="306" spans="1:19" x14ac:dyDescent="0.45">
      <c r="A306" t="s">
        <v>392</v>
      </c>
      <c r="B306" t="s">
        <v>109</v>
      </c>
      <c r="C306" t="s">
        <v>96</v>
      </c>
      <c r="D306" t="s">
        <v>55</v>
      </c>
      <c r="E306" t="s">
        <v>82</v>
      </c>
      <c r="F306" t="str">
        <f t="shared" si="56"/>
        <v>Apple iPhone14|Gadgets|799|APPLE</v>
      </c>
      <c r="G306" t="b">
        <f t="shared" si="57"/>
        <v>0</v>
      </c>
      <c r="H306" t="str">
        <f t="shared" si="58"/>
        <v>Apple iPhone14</v>
      </c>
      <c r="I306" t="str">
        <f t="shared" si="59"/>
        <v>Apple Iphone14</v>
      </c>
      <c r="J306" t="str">
        <f t="shared" si="60"/>
        <v>APPLE</v>
      </c>
      <c r="K306" t="str">
        <f t="shared" si="61"/>
        <v>Apple</v>
      </c>
      <c r="L306" t="str">
        <f t="shared" si="62"/>
        <v>Gadgets</v>
      </c>
      <c r="M306">
        <f t="shared" si="63"/>
        <v>15</v>
      </c>
      <c r="N306">
        <f t="shared" si="64"/>
        <v>14</v>
      </c>
      <c r="O306" s="6">
        <f t="shared" si="65"/>
        <v>799</v>
      </c>
      <c r="P306" t="str">
        <f t="shared" si="66"/>
        <v>Gadgets</v>
      </c>
      <c r="Q306">
        <f t="shared" si="67"/>
        <v>799</v>
      </c>
      <c r="R306" t="str">
        <f t="shared" si="68"/>
        <v>Apple Iphone14|Gadgets|799|Apple</v>
      </c>
      <c r="S306" t="b">
        <f t="shared" si="69"/>
        <v>1</v>
      </c>
    </row>
    <row r="307" spans="1:19" x14ac:dyDescent="0.45">
      <c r="A307" t="s">
        <v>393</v>
      </c>
      <c r="B307" t="s">
        <v>58</v>
      </c>
      <c r="C307" t="s">
        <v>85</v>
      </c>
      <c r="E307" t="s">
        <v>82</v>
      </c>
      <c r="F307" t="str">
        <f t="shared" si="56"/>
        <v>Google pixel|electronics||APPLE</v>
      </c>
      <c r="G307" t="b">
        <f t="shared" si="57"/>
        <v>1</v>
      </c>
      <c r="H307" t="str">
        <f t="shared" si="58"/>
        <v>Google pixel</v>
      </c>
      <c r="I307" t="str">
        <f t="shared" si="59"/>
        <v>Google Pixel</v>
      </c>
      <c r="J307" t="str">
        <f t="shared" si="60"/>
        <v>APPLE</v>
      </c>
      <c r="K307" t="str">
        <f t="shared" si="61"/>
        <v>Apple</v>
      </c>
      <c r="L307" t="str">
        <f t="shared" si="62"/>
        <v>Electronics</v>
      </c>
      <c r="M307">
        <f t="shared" si="63"/>
        <v>12</v>
      </c>
      <c r="N307">
        <f t="shared" si="64"/>
        <v>12</v>
      </c>
      <c r="O307" s="6" t="str">
        <f t="shared" si="65"/>
        <v/>
      </c>
      <c r="P307" t="str">
        <f t="shared" si="66"/>
        <v>Electronics</v>
      </c>
      <c r="Q307" t="str">
        <f t="shared" si="67"/>
        <v>Not Available</v>
      </c>
      <c r="R307" t="str">
        <f t="shared" si="68"/>
        <v>Google Pixel|Electronics|Not Available|Apple</v>
      </c>
      <c r="S307" t="b">
        <f t="shared" si="69"/>
        <v>1</v>
      </c>
    </row>
    <row r="308" spans="1:19" x14ac:dyDescent="0.45">
      <c r="A308" t="s">
        <v>394</v>
      </c>
      <c r="B308" t="s">
        <v>138</v>
      </c>
      <c r="C308" t="s">
        <v>73</v>
      </c>
      <c r="D308" t="s">
        <v>81</v>
      </c>
      <c r="E308" t="s">
        <v>91</v>
      </c>
      <c r="F308" t="str">
        <f t="shared" si="56"/>
        <v>APPLE IPHONE 14|Electro|$799|Apple</v>
      </c>
      <c r="G308" t="b">
        <f t="shared" si="57"/>
        <v>1</v>
      </c>
      <c r="H308" t="str">
        <f t="shared" si="58"/>
        <v>APPLE IPHONE 14</v>
      </c>
      <c r="I308" t="str">
        <f t="shared" si="59"/>
        <v>Apple Iphone 14</v>
      </c>
      <c r="J308" t="str">
        <f t="shared" si="60"/>
        <v>Apple</v>
      </c>
      <c r="K308" t="str">
        <f t="shared" si="61"/>
        <v>Apple</v>
      </c>
      <c r="L308" t="str">
        <f t="shared" si="62"/>
        <v>Electronics</v>
      </c>
      <c r="M308">
        <f t="shared" si="63"/>
        <v>15</v>
      </c>
      <c r="N308">
        <f t="shared" si="64"/>
        <v>15</v>
      </c>
      <c r="O308" s="6">
        <f t="shared" si="65"/>
        <v>799</v>
      </c>
      <c r="P308" t="str">
        <f t="shared" si="66"/>
        <v>Electronics</v>
      </c>
      <c r="Q308">
        <f t="shared" si="67"/>
        <v>799</v>
      </c>
      <c r="R308" t="str">
        <f t="shared" si="68"/>
        <v>Apple Iphone 14|Electronics|799|Apple</v>
      </c>
      <c r="S308" t="b">
        <f t="shared" si="69"/>
        <v>1</v>
      </c>
    </row>
    <row r="309" spans="1:19" x14ac:dyDescent="0.45">
      <c r="A309" t="s">
        <v>395</v>
      </c>
      <c r="B309" t="s">
        <v>72</v>
      </c>
      <c r="C309" t="s">
        <v>85</v>
      </c>
      <c r="D309" t="s">
        <v>66</v>
      </c>
      <c r="E309" t="s">
        <v>79</v>
      </c>
      <c r="F309" t="str">
        <f t="shared" si="56"/>
        <v>google pixel|electronics|799.00|Samsung</v>
      </c>
      <c r="G309" t="b">
        <f t="shared" si="57"/>
        <v>1</v>
      </c>
      <c r="H309" t="str">
        <f t="shared" si="58"/>
        <v>google pixel</v>
      </c>
      <c r="I309" t="str">
        <f t="shared" si="59"/>
        <v>Google Pixel</v>
      </c>
      <c r="J309" t="str">
        <f t="shared" si="60"/>
        <v>Samsung</v>
      </c>
      <c r="K309" t="str">
        <f t="shared" si="61"/>
        <v>Samsung</v>
      </c>
      <c r="L309" t="str">
        <f t="shared" si="62"/>
        <v>Electronics</v>
      </c>
      <c r="M309">
        <f t="shared" si="63"/>
        <v>14</v>
      </c>
      <c r="N309">
        <f t="shared" si="64"/>
        <v>12</v>
      </c>
      <c r="O309" s="6">
        <f t="shared" si="65"/>
        <v>799</v>
      </c>
      <c r="P309" t="str">
        <f t="shared" si="66"/>
        <v>Electronics</v>
      </c>
      <c r="Q309">
        <f t="shared" si="67"/>
        <v>799</v>
      </c>
      <c r="R309" t="str">
        <f t="shared" si="68"/>
        <v>Google Pixel|Electronics|799|Samsung</v>
      </c>
      <c r="S309" t="b">
        <f t="shared" si="69"/>
        <v>1</v>
      </c>
    </row>
    <row r="310" spans="1:19" x14ac:dyDescent="0.45">
      <c r="A310" t="s">
        <v>396</v>
      </c>
      <c r="B310" t="s">
        <v>87</v>
      </c>
      <c r="C310" t="s">
        <v>73</v>
      </c>
      <c r="D310" t="s">
        <v>69</v>
      </c>
      <c r="E310" t="s">
        <v>75</v>
      </c>
      <c r="F310" t="str">
        <f t="shared" si="56"/>
        <v>Google Pixel|Electro|799|google</v>
      </c>
      <c r="G310" t="b">
        <f t="shared" si="57"/>
        <v>1</v>
      </c>
      <c r="H310" t="str">
        <f t="shared" si="58"/>
        <v>Google Pixel</v>
      </c>
      <c r="I310" t="str">
        <f t="shared" si="59"/>
        <v>Google Pixel</v>
      </c>
      <c r="J310" t="str">
        <f t="shared" si="60"/>
        <v>google</v>
      </c>
      <c r="K310" t="str">
        <f t="shared" si="61"/>
        <v>Google</v>
      </c>
      <c r="L310" t="str">
        <f t="shared" si="62"/>
        <v>Electronics</v>
      </c>
      <c r="M310">
        <f t="shared" si="63"/>
        <v>12</v>
      </c>
      <c r="N310">
        <f t="shared" si="64"/>
        <v>12</v>
      </c>
      <c r="O310" s="6">
        <f t="shared" si="65"/>
        <v>799</v>
      </c>
      <c r="P310" t="str">
        <f t="shared" si="66"/>
        <v>Electronics</v>
      </c>
      <c r="Q310">
        <f t="shared" si="67"/>
        <v>799</v>
      </c>
      <c r="R310" t="str">
        <f t="shared" si="68"/>
        <v>Google Pixel|Electronics|799|Google</v>
      </c>
      <c r="S310" t="b">
        <f t="shared" si="69"/>
        <v>1</v>
      </c>
    </row>
    <row r="311" spans="1:19" x14ac:dyDescent="0.45">
      <c r="A311" t="s">
        <v>397</v>
      </c>
      <c r="B311" t="s">
        <v>60</v>
      </c>
      <c r="D311" t="s">
        <v>62</v>
      </c>
      <c r="E311" t="s">
        <v>75</v>
      </c>
      <c r="F311" t="str">
        <f t="shared" si="56"/>
        <v>apple iPhone 14||799.0|google</v>
      </c>
      <c r="G311" t="b">
        <f t="shared" si="57"/>
        <v>1</v>
      </c>
      <c r="H311" t="str">
        <f t="shared" si="58"/>
        <v>apple iPhone 14</v>
      </c>
      <c r="I311" t="str">
        <f t="shared" si="59"/>
        <v>Apple Iphone 14</v>
      </c>
      <c r="J311" t="str">
        <f t="shared" si="60"/>
        <v>google</v>
      </c>
      <c r="K311" t="str">
        <f t="shared" si="61"/>
        <v>Google</v>
      </c>
      <c r="L311" t="str">
        <f t="shared" si="62"/>
        <v/>
      </c>
      <c r="M311">
        <f t="shared" si="63"/>
        <v>15</v>
      </c>
      <c r="N311">
        <f t="shared" si="64"/>
        <v>15</v>
      </c>
      <c r="O311" s="6">
        <f t="shared" si="65"/>
        <v>799</v>
      </c>
      <c r="P311" t="str">
        <f t="shared" si="66"/>
        <v>Not Available</v>
      </c>
      <c r="Q311">
        <f t="shared" si="67"/>
        <v>799</v>
      </c>
      <c r="R311" t="str">
        <f t="shared" si="68"/>
        <v>Apple Iphone 14|Not Available|799|Google</v>
      </c>
      <c r="S311" t="b">
        <f t="shared" si="69"/>
        <v>1</v>
      </c>
    </row>
    <row r="312" spans="1:19" x14ac:dyDescent="0.45">
      <c r="A312" t="s">
        <v>398</v>
      </c>
      <c r="B312" t="s">
        <v>60</v>
      </c>
      <c r="C312" t="s">
        <v>96</v>
      </c>
      <c r="D312" t="s">
        <v>69</v>
      </c>
      <c r="E312" t="s">
        <v>70</v>
      </c>
      <c r="F312" t="str">
        <f t="shared" si="56"/>
        <v>apple iPhone 14|Gadgets|799|Samsung</v>
      </c>
      <c r="G312" t="b">
        <f t="shared" si="57"/>
        <v>1</v>
      </c>
      <c r="H312" t="str">
        <f t="shared" si="58"/>
        <v>apple iPhone 14</v>
      </c>
      <c r="I312" t="str">
        <f t="shared" si="59"/>
        <v>Apple Iphone 14</v>
      </c>
      <c r="J312" t="str">
        <f t="shared" si="60"/>
        <v>Samsung</v>
      </c>
      <c r="K312" t="str">
        <f t="shared" si="61"/>
        <v>Samsung</v>
      </c>
      <c r="L312" t="str">
        <f t="shared" si="62"/>
        <v>Gadgets</v>
      </c>
      <c r="M312">
        <f t="shared" si="63"/>
        <v>15</v>
      </c>
      <c r="N312">
        <f t="shared" si="64"/>
        <v>15</v>
      </c>
      <c r="O312" s="6">
        <f t="shared" si="65"/>
        <v>799</v>
      </c>
      <c r="P312" t="str">
        <f t="shared" si="66"/>
        <v>Gadgets</v>
      </c>
      <c r="Q312">
        <f t="shared" si="67"/>
        <v>799</v>
      </c>
      <c r="R312" t="str">
        <f t="shared" si="68"/>
        <v>Apple Iphone 14|Gadgets|799|Samsung</v>
      </c>
      <c r="S312" t="b">
        <f t="shared" si="69"/>
        <v>1</v>
      </c>
    </row>
    <row r="313" spans="1:19" x14ac:dyDescent="0.45">
      <c r="A313" t="s">
        <v>399</v>
      </c>
      <c r="B313" t="s">
        <v>102</v>
      </c>
      <c r="C313" t="s">
        <v>94</v>
      </c>
      <c r="E313" t="s">
        <v>89</v>
      </c>
      <c r="F313" t="str">
        <f t="shared" si="56"/>
        <v>GOOGLE PIXEL|gadgets||Apple</v>
      </c>
      <c r="G313" t="b">
        <f t="shared" si="57"/>
        <v>1</v>
      </c>
      <c r="H313" t="str">
        <f t="shared" si="58"/>
        <v>GOOGLE PIXEL</v>
      </c>
      <c r="I313" t="str">
        <f t="shared" si="59"/>
        <v>Google Pixel</v>
      </c>
      <c r="J313" t="str">
        <f t="shared" si="60"/>
        <v>Apple</v>
      </c>
      <c r="K313" t="str">
        <f t="shared" si="61"/>
        <v>Apple</v>
      </c>
      <c r="L313" t="str">
        <f t="shared" si="62"/>
        <v>Gadgets</v>
      </c>
      <c r="M313">
        <f t="shared" si="63"/>
        <v>13</v>
      </c>
      <c r="N313">
        <f t="shared" si="64"/>
        <v>12</v>
      </c>
      <c r="O313" s="6" t="str">
        <f t="shared" si="65"/>
        <v/>
      </c>
      <c r="P313" t="str">
        <f t="shared" si="66"/>
        <v>Gadgets</v>
      </c>
      <c r="Q313" t="str">
        <f t="shared" si="67"/>
        <v>Not Available</v>
      </c>
      <c r="R313" t="str">
        <f t="shared" si="68"/>
        <v>Google Pixel|Gadgets|Not Available|Apple</v>
      </c>
      <c r="S313" t="b">
        <f t="shared" si="69"/>
        <v>1</v>
      </c>
    </row>
    <row r="314" spans="1:19" x14ac:dyDescent="0.45">
      <c r="A314" t="s">
        <v>400</v>
      </c>
      <c r="B314" t="s">
        <v>102</v>
      </c>
      <c r="C314" t="s">
        <v>94</v>
      </c>
      <c r="D314" t="s">
        <v>69</v>
      </c>
      <c r="E314" t="s">
        <v>89</v>
      </c>
      <c r="F314" t="str">
        <f t="shared" si="56"/>
        <v>GOOGLE PIXEL|gadgets|799|Apple</v>
      </c>
      <c r="G314" t="b">
        <f t="shared" si="57"/>
        <v>1</v>
      </c>
      <c r="H314" t="str">
        <f t="shared" si="58"/>
        <v>GOOGLE PIXEL</v>
      </c>
      <c r="I314" t="str">
        <f t="shared" si="59"/>
        <v>Google Pixel</v>
      </c>
      <c r="J314" t="str">
        <f t="shared" si="60"/>
        <v>Apple</v>
      </c>
      <c r="K314" t="str">
        <f t="shared" si="61"/>
        <v>Apple</v>
      </c>
      <c r="L314" t="str">
        <f t="shared" si="62"/>
        <v>Gadgets</v>
      </c>
      <c r="M314">
        <f t="shared" si="63"/>
        <v>13</v>
      </c>
      <c r="N314">
        <f t="shared" si="64"/>
        <v>12</v>
      </c>
      <c r="O314" s="6">
        <f t="shared" si="65"/>
        <v>799</v>
      </c>
      <c r="P314" t="str">
        <f t="shared" si="66"/>
        <v>Gadgets</v>
      </c>
      <c r="Q314">
        <f t="shared" si="67"/>
        <v>799</v>
      </c>
      <c r="R314" t="str">
        <f t="shared" si="68"/>
        <v>Google Pixel|Gadgets|799|Apple</v>
      </c>
      <c r="S314" t="b">
        <f t="shared" si="69"/>
        <v>1</v>
      </c>
    </row>
    <row r="315" spans="1:19" x14ac:dyDescent="0.45">
      <c r="A315" t="s">
        <v>401</v>
      </c>
      <c r="B315" t="s">
        <v>93</v>
      </c>
      <c r="C315" t="s">
        <v>123</v>
      </c>
      <c r="D315" t="s">
        <v>62</v>
      </c>
      <c r="E315" t="s">
        <v>112</v>
      </c>
      <c r="F315" t="str">
        <f t="shared" si="56"/>
        <v>SAMSUNG GALAXY|Electronics|799.0|SAMSUNG</v>
      </c>
      <c r="G315" t="b">
        <f t="shared" si="57"/>
        <v>0</v>
      </c>
      <c r="H315" t="str">
        <f t="shared" si="58"/>
        <v>SAMSUNG GALAXY</v>
      </c>
      <c r="I315" t="str">
        <f t="shared" si="59"/>
        <v>Samsung Galaxy</v>
      </c>
      <c r="J315" t="str">
        <f t="shared" si="60"/>
        <v>SAMSUNG</v>
      </c>
      <c r="K315" t="str">
        <f t="shared" si="61"/>
        <v>Samsung</v>
      </c>
      <c r="L315" t="str">
        <f t="shared" si="62"/>
        <v>Electronics</v>
      </c>
      <c r="M315">
        <f t="shared" si="63"/>
        <v>14</v>
      </c>
      <c r="N315">
        <f t="shared" si="64"/>
        <v>14</v>
      </c>
      <c r="O315" s="6">
        <f t="shared" si="65"/>
        <v>799</v>
      </c>
      <c r="P315" t="str">
        <f t="shared" si="66"/>
        <v>Electronics</v>
      </c>
      <c r="Q315">
        <f t="shared" si="67"/>
        <v>799</v>
      </c>
      <c r="R315" t="str">
        <f t="shared" si="68"/>
        <v>Samsung Galaxy|Electronics|799|Samsung</v>
      </c>
      <c r="S315" t="b">
        <f t="shared" si="69"/>
        <v>1</v>
      </c>
    </row>
    <row r="316" spans="1:19" x14ac:dyDescent="0.45">
      <c r="A316" t="s">
        <v>402</v>
      </c>
      <c r="B316" t="s">
        <v>109</v>
      </c>
      <c r="C316" t="s">
        <v>73</v>
      </c>
      <c r="D316" t="s">
        <v>88</v>
      </c>
      <c r="E316" t="s">
        <v>56</v>
      </c>
      <c r="F316" t="str">
        <f t="shared" si="56"/>
        <v>Apple iPhone14|Electro|USD 799|GOOGLE</v>
      </c>
      <c r="G316" t="b">
        <f t="shared" si="57"/>
        <v>0</v>
      </c>
      <c r="H316" t="str">
        <f t="shared" si="58"/>
        <v>Apple iPhone14</v>
      </c>
      <c r="I316" t="str">
        <f t="shared" si="59"/>
        <v>Apple Iphone14</v>
      </c>
      <c r="J316" t="str">
        <f t="shared" si="60"/>
        <v>GOOGLE</v>
      </c>
      <c r="K316" t="str">
        <f t="shared" si="61"/>
        <v>Google</v>
      </c>
      <c r="L316" t="str">
        <f t="shared" si="62"/>
        <v>Electronics</v>
      </c>
      <c r="M316">
        <f t="shared" si="63"/>
        <v>15</v>
      </c>
      <c r="N316">
        <f t="shared" si="64"/>
        <v>14</v>
      </c>
      <c r="O316" s="6">
        <f t="shared" si="65"/>
        <v>799</v>
      </c>
      <c r="P316" t="str">
        <f t="shared" si="66"/>
        <v>Electronics</v>
      </c>
      <c r="Q316">
        <f t="shared" si="67"/>
        <v>799</v>
      </c>
      <c r="R316" t="str">
        <f t="shared" si="68"/>
        <v>Apple Iphone14|Electronics|799|Google</v>
      </c>
      <c r="S316" t="b">
        <f t="shared" si="69"/>
        <v>1</v>
      </c>
    </row>
    <row r="317" spans="1:19" x14ac:dyDescent="0.45">
      <c r="A317" t="s">
        <v>403</v>
      </c>
      <c r="B317" t="s">
        <v>138</v>
      </c>
      <c r="C317" t="s">
        <v>123</v>
      </c>
      <c r="D317" t="s">
        <v>62</v>
      </c>
      <c r="E317" t="s">
        <v>75</v>
      </c>
      <c r="F317" t="str">
        <f t="shared" si="56"/>
        <v>APPLE IPHONE 14|Electronics|799.0|google</v>
      </c>
      <c r="G317" t="b">
        <f t="shared" si="57"/>
        <v>1</v>
      </c>
      <c r="H317" t="str">
        <f t="shared" si="58"/>
        <v>APPLE IPHONE 14</v>
      </c>
      <c r="I317" t="str">
        <f t="shared" si="59"/>
        <v>Apple Iphone 14</v>
      </c>
      <c r="J317" t="str">
        <f t="shared" si="60"/>
        <v>google</v>
      </c>
      <c r="K317" t="str">
        <f t="shared" si="61"/>
        <v>Google</v>
      </c>
      <c r="L317" t="str">
        <f t="shared" si="62"/>
        <v>Electronics</v>
      </c>
      <c r="M317">
        <f t="shared" si="63"/>
        <v>15</v>
      </c>
      <c r="N317">
        <f t="shared" si="64"/>
        <v>15</v>
      </c>
      <c r="O317" s="6">
        <f t="shared" si="65"/>
        <v>799</v>
      </c>
      <c r="P317" t="str">
        <f t="shared" si="66"/>
        <v>Electronics</v>
      </c>
      <c r="Q317">
        <f t="shared" si="67"/>
        <v>799</v>
      </c>
      <c r="R317" t="str">
        <f t="shared" si="68"/>
        <v>Apple Iphone 14|Electronics|799|Google</v>
      </c>
      <c r="S317" t="b">
        <f t="shared" si="69"/>
        <v>1</v>
      </c>
    </row>
    <row r="318" spans="1:19" x14ac:dyDescent="0.45">
      <c r="A318" t="s">
        <v>404</v>
      </c>
      <c r="B318" t="s">
        <v>109</v>
      </c>
      <c r="C318" t="s">
        <v>73</v>
      </c>
      <c r="D318" t="s">
        <v>88</v>
      </c>
      <c r="E318" t="s">
        <v>89</v>
      </c>
      <c r="F318" t="str">
        <f t="shared" si="56"/>
        <v>Apple iPhone14|Electro|USD 799|Apple</v>
      </c>
      <c r="G318" t="b">
        <f t="shared" si="57"/>
        <v>1</v>
      </c>
      <c r="H318" t="str">
        <f t="shared" si="58"/>
        <v>Apple iPhone14</v>
      </c>
      <c r="I318" t="str">
        <f t="shared" si="59"/>
        <v>Apple Iphone14</v>
      </c>
      <c r="J318" t="str">
        <f t="shared" si="60"/>
        <v>Apple</v>
      </c>
      <c r="K318" t="str">
        <f t="shared" si="61"/>
        <v>Apple</v>
      </c>
      <c r="L318" t="str">
        <f t="shared" si="62"/>
        <v>Electronics</v>
      </c>
      <c r="M318">
        <f t="shared" si="63"/>
        <v>15</v>
      </c>
      <c r="N318">
        <f t="shared" si="64"/>
        <v>14</v>
      </c>
      <c r="O318" s="6">
        <f t="shared" si="65"/>
        <v>799</v>
      </c>
      <c r="P318" t="str">
        <f t="shared" si="66"/>
        <v>Electronics</v>
      </c>
      <c r="Q318">
        <f t="shared" si="67"/>
        <v>799</v>
      </c>
      <c r="R318" t="str">
        <f t="shared" si="68"/>
        <v>Apple Iphone14|Electronics|799|Apple</v>
      </c>
      <c r="S318" t="b">
        <f t="shared" si="69"/>
        <v>1</v>
      </c>
    </row>
    <row r="319" spans="1:19" x14ac:dyDescent="0.45">
      <c r="A319" t="s">
        <v>405</v>
      </c>
      <c r="B319" t="s">
        <v>58</v>
      </c>
      <c r="C319" t="s">
        <v>85</v>
      </c>
      <c r="E319" t="s">
        <v>63</v>
      </c>
      <c r="F319" t="str">
        <f t="shared" si="56"/>
        <v>Google pixel|electronics||Google</v>
      </c>
      <c r="G319" t="b">
        <f t="shared" si="57"/>
        <v>1</v>
      </c>
      <c r="H319" t="str">
        <f t="shared" si="58"/>
        <v>Google pixel</v>
      </c>
      <c r="I319" t="str">
        <f t="shared" si="59"/>
        <v>Google Pixel</v>
      </c>
      <c r="J319" t="str">
        <f t="shared" si="60"/>
        <v>Google</v>
      </c>
      <c r="K319" t="str">
        <f t="shared" si="61"/>
        <v>Google</v>
      </c>
      <c r="L319" t="str">
        <f t="shared" si="62"/>
        <v>Electronics</v>
      </c>
      <c r="M319">
        <f t="shared" si="63"/>
        <v>12</v>
      </c>
      <c r="N319">
        <f t="shared" si="64"/>
        <v>12</v>
      </c>
      <c r="O319" s="6" t="str">
        <f t="shared" si="65"/>
        <v/>
      </c>
      <c r="P319" t="str">
        <f t="shared" si="66"/>
        <v>Electronics</v>
      </c>
      <c r="Q319" t="str">
        <f t="shared" si="67"/>
        <v>Not Available</v>
      </c>
      <c r="R319" t="str">
        <f t="shared" si="68"/>
        <v>Google Pixel|Electronics|Not Available|Google</v>
      </c>
      <c r="S319" t="b">
        <f t="shared" si="69"/>
        <v>1</v>
      </c>
    </row>
    <row r="320" spans="1:19" x14ac:dyDescent="0.45">
      <c r="A320" t="s">
        <v>406</v>
      </c>
      <c r="B320" t="s">
        <v>72</v>
      </c>
      <c r="C320" t="s">
        <v>85</v>
      </c>
      <c r="D320" t="s">
        <v>62</v>
      </c>
      <c r="E320" t="s">
        <v>70</v>
      </c>
      <c r="F320" t="str">
        <f t="shared" si="56"/>
        <v>google pixel|electronics|799.0|Samsung</v>
      </c>
      <c r="G320" t="b">
        <f t="shared" si="57"/>
        <v>1</v>
      </c>
      <c r="H320" t="str">
        <f t="shared" si="58"/>
        <v>google pixel</v>
      </c>
      <c r="I320" t="str">
        <f t="shared" si="59"/>
        <v>Google Pixel</v>
      </c>
      <c r="J320" t="str">
        <f t="shared" si="60"/>
        <v>Samsung</v>
      </c>
      <c r="K320" t="str">
        <f t="shared" si="61"/>
        <v>Samsung</v>
      </c>
      <c r="L320" t="str">
        <f t="shared" si="62"/>
        <v>Electronics</v>
      </c>
      <c r="M320">
        <f t="shared" si="63"/>
        <v>14</v>
      </c>
      <c r="N320">
        <f t="shared" si="64"/>
        <v>12</v>
      </c>
      <c r="O320" s="6">
        <f t="shared" si="65"/>
        <v>799</v>
      </c>
      <c r="P320" t="str">
        <f t="shared" si="66"/>
        <v>Electronics</v>
      </c>
      <c r="Q320">
        <f t="shared" si="67"/>
        <v>799</v>
      </c>
      <c r="R320" t="str">
        <f t="shared" si="68"/>
        <v>Google Pixel|Electronics|799|Samsung</v>
      </c>
      <c r="S320" t="b">
        <f t="shared" si="69"/>
        <v>1</v>
      </c>
    </row>
    <row r="321" spans="1:19" x14ac:dyDescent="0.45">
      <c r="A321" t="s">
        <v>407</v>
      </c>
      <c r="B321" t="s">
        <v>87</v>
      </c>
      <c r="C321" t="s">
        <v>94</v>
      </c>
      <c r="D321" t="s">
        <v>62</v>
      </c>
      <c r="E321" t="s">
        <v>89</v>
      </c>
      <c r="F321" t="str">
        <f t="shared" si="56"/>
        <v>Google Pixel|gadgets|799.0|Apple</v>
      </c>
      <c r="G321" t="b">
        <f t="shared" si="57"/>
        <v>1</v>
      </c>
      <c r="H321" t="str">
        <f t="shared" si="58"/>
        <v>Google Pixel</v>
      </c>
      <c r="I321" t="str">
        <f t="shared" si="59"/>
        <v>Google Pixel</v>
      </c>
      <c r="J321" t="str">
        <f t="shared" si="60"/>
        <v>Apple</v>
      </c>
      <c r="K321" t="str">
        <f t="shared" si="61"/>
        <v>Apple</v>
      </c>
      <c r="L321" t="str">
        <f t="shared" si="62"/>
        <v>Gadgets</v>
      </c>
      <c r="M321">
        <f t="shared" si="63"/>
        <v>12</v>
      </c>
      <c r="N321">
        <f t="shared" si="64"/>
        <v>12</v>
      </c>
      <c r="O321" s="6">
        <f t="shared" si="65"/>
        <v>799</v>
      </c>
      <c r="P321" t="str">
        <f t="shared" si="66"/>
        <v>Gadgets</v>
      </c>
      <c r="Q321">
        <f t="shared" si="67"/>
        <v>799</v>
      </c>
      <c r="R321" t="str">
        <f t="shared" si="68"/>
        <v>Google Pixel|Gadgets|799|Apple</v>
      </c>
      <c r="S321" t="b">
        <f t="shared" si="69"/>
        <v>1</v>
      </c>
    </row>
    <row r="322" spans="1:19" x14ac:dyDescent="0.45">
      <c r="A322" t="s">
        <v>408</v>
      </c>
      <c r="B322" t="s">
        <v>87</v>
      </c>
      <c r="C322" t="s">
        <v>61</v>
      </c>
      <c r="E322" t="s">
        <v>75</v>
      </c>
      <c r="F322" t="str">
        <f t="shared" ref="F322:F385" si="70">TRIM(B322)&amp;"|"&amp;TRIM(C322)&amp;"|"&amp;TRIM(D322)&amp;"|"&amp;TRIM(E322)</f>
        <v>Google Pixel|Electrnics||google</v>
      </c>
      <c r="G322" t="b">
        <f t="shared" ref="G322:G385" si="71">COUNTIF($F$2:$F$565,F322)&gt;1</f>
        <v>0</v>
      </c>
      <c r="H322" t="str">
        <f t="shared" ref="H322:H385" si="72">TRIM(B322)</f>
        <v>Google Pixel</v>
      </c>
      <c r="I322" t="str">
        <f t="shared" ref="I322:I385" si="73">PROPER(H322)</f>
        <v>Google Pixel</v>
      </c>
      <c r="J322" t="str">
        <f t="shared" ref="J322:J385" si="74">TRIM(E322)</f>
        <v>google</v>
      </c>
      <c r="K322" t="str">
        <f t="shared" ref="K322:K385" si="75">PROPER(J322)</f>
        <v>Google</v>
      </c>
      <c r="L322" t="str">
        <f t="shared" ref="L322:L385" si="76">IF(TRIM(C322)="","",IF(ISNUMBER(SEARCH("gadget",C322)),"Gadgets","Electronics"))</f>
        <v>Electronics</v>
      </c>
      <c r="M322">
        <f t="shared" ref="M322:M385" si="77">LEN(B322)</f>
        <v>12</v>
      </c>
      <c r="N322">
        <f t="shared" ref="N322:N385" si="78">LEN(H322)</f>
        <v>12</v>
      </c>
      <c r="O322" s="6" t="str">
        <f t="shared" ref="O322:O385" si="79">IF(TRIM(D322)="","",VALUE(TRIM(SUBSTITUTE(SUBSTITUTE(D322,"USD",""),"$",""))))</f>
        <v/>
      </c>
      <c r="P322" t="str">
        <f t="shared" ref="P322:P385" si="80">IF(L322="","Not Available",L322)</f>
        <v>Electronics</v>
      </c>
      <c r="Q322" t="str">
        <f t="shared" ref="Q322:Q385" si="81">IF(O322="","Not Available",O322)</f>
        <v>Not Available</v>
      </c>
      <c r="R322" t="str">
        <f t="shared" ref="R322:R385" si="82">I322&amp;"|"&amp;P322&amp;"|"&amp;Q322&amp;"|"&amp;K322</f>
        <v>Google Pixel|Electronics|Not Available|Google</v>
      </c>
      <c r="S322" t="b">
        <f t="shared" ref="S322:S385" si="83">COUNTIF($R$2:$R$565,R322)&gt;1</f>
        <v>1</v>
      </c>
    </row>
    <row r="323" spans="1:19" x14ac:dyDescent="0.45">
      <c r="A323" t="s">
        <v>409</v>
      </c>
      <c r="B323" t="s">
        <v>78</v>
      </c>
      <c r="C323" t="s">
        <v>123</v>
      </c>
      <c r="E323" t="s">
        <v>79</v>
      </c>
      <c r="F323" t="str">
        <f t="shared" si="70"/>
        <v>samsung Galaxy|Electronics||Samsung</v>
      </c>
      <c r="G323" t="b">
        <f t="shared" si="71"/>
        <v>1</v>
      </c>
      <c r="H323" t="str">
        <f t="shared" si="72"/>
        <v>samsung Galaxy</v>
      </c>
      <c r="I323" t="str">
        <f t="shared" si="73"/>
        <v>Samsung Galaxy</v>
      </c>
      <c r="J323" t="str">
        <f t="shared" si="74"/>
        <v>Samsung</v>
      </c>
      <c r="K323" t="str">
        <f t="shared" si="75"/>
        <v>Samsung</v>
      </c>
      <c r="L323" t="str">
        <f t="shared" si="76"/>
        <v>Electronics</v>
      </c>
      <c r="M323">
        <f t="shared" si="77"/>
        <v>15</v>
      </c>
      <c r="N323">
        <f t="shared" si="78"/>
        <v>14</v>
      </c>
      <c r="O323" s="6" t="str">
        <f t="shared" si="79"/>
        <v/>
      </c>
      <c r="P323" t="str">
        <f t="shared" si="80"/>
        <v>Electronics</v>
      </c>
      <c r="Q323" t="str">
        <f t="shared" si="81"/>
        <v>Not Available</v>
      </c>
      <c r="R323" t="str">
        <f t="shared" si="82"/>
        <v>Samsung Galaxy|Electronics|Not Available|Samsung</v>
      </c>
      <c r="S323" t="b">
        <f t="shared" si="83"/>
        <v>1</v>
      </c>
    </row>
    <row r="324" spans="1:19" x14ac:dyDescent="0.45">
      <c r="A324" t="s">
        <v>410</v>
      </c>
      <c r="B324" t="s">
        <v>102</v>
      </c>
      <c r="C324" t="s">
        <v>123</v>
      </c>
      <c r="D324" t="s">
        <v>74</v>
      </c>
      <c r="E324" t="s">
        <v>63</v>
      </c>
      <c r="F324" t="str">
        <f t="shared" si="70"/>
        <v>GOOGLE PIXEL|Electronics|799|Google</v>
      </c>
      <c r="G324" t="b">
        <f t="shared" si="71"/>
        <v>1</v>
      </c>
      <c r="H324" t="str">
        <f t="shared" si="72"/>
        <v>GOOGLE PIXEL</v>
      </c>
      <c r="I324" t="str">
        <f t="shared" si="73"/>
        <v>Google Pixel</v>
      </c>
      <c r="J324" t="str">
        <f t="shared" si="74"/>
        <v>Google</v>
      </c>
      <c r="K324" t="str">
        <f t="shared" si="75"/>
        <v>Google</v>
      </c>
      <c r="L324" t="str">
        <f t="shared" si="76"/>
        <v>Electronics</v>
      </c>
      <c r="M324">
        <f t="shared" si="77"/>
        <v>13</v>
      </c>
      <c r="N324">
        <f t="shared" si="78"/>
        <v>12</v>
      </c>
      <c r="O324" s="6">
        <f t="shared" si="79"/>
        <v>799</v>
      </c>
      <c r="P324" t="str">
        <f t="shared" si="80"/>
        <v>Electronics</v>
      </c>
      <c r="Q324">
        <f t="shared" si="81"/>
        <v>799</v>
      </c>
      <c r="R324" t="str">
        <f t="shared" si="82"/>
        <v>Google Pixel|Electronics|799|Google</v>
      </c>
      <c r="S324" t="b">
        <f t="shared" si="83"/>
        <v>1</v>
      </c>
    </row>
    <row r="325" spans="1:19" x14ac:dyDescent="0.45">
      <c r="A325" t="s">
        <v>411</v>
      </c>
      <c r="B325" t="s">
        <v>78</v>
      </c>
      <c r="C325" t="s">
        <v>73</v>
      </c>
      <c r="E325" t="s">
        <v>89</v>
      </c>
      <c r="F325" t="str">
        <f t="shared" si="70"/>
        <v>samsung Galaxy|Electro||Apple</v>
      </c>
      <c r="G325" t="b">
        <f t="shared" si="71"/>
        <v>1</v>
      </c>
      <c r="H325" t="str">
        <f t="shared" si="72"/>
        <v>samsung Galaxy</v>
      </c>
      <c r="I325" t="str">
        <f t="shared" si="73"/>
        <v>Samsung Galaxy</v>
      </c>
      <c r="J325" t="str">
        <f t="shared" si="74"/>
        <v>Apple</v>
      </c>
      <c r="K325" t="str">
        <f t="shared" si="75"/>
        <v>Apple</v>
      </c>
      <c r="L325" t="str">
        <f t="shared" si="76"/>
        <v>Electronics</v>
      </c>
      <c r="M325">
        <f t="shared" si="77"/>
        <v>15</v>
      </c>
      <c r="N325">
        <f t="shared" si="78"/>
        <v>14</v>
      </c>
      <c r="O325" s="6" t="str">
        <f t="shared" si="79"/>
        <v/>
      </c>
      <c r="P325" t="str">
        <f t="shared" si="80"/>
        <v>Electronics</v>
      </c>
      <c r="Q325" t="str">
        <f t="shared" si="81"/>
        <v>Not Available</v>
      </c>
      <c r="R325" t="str">
        <f t="shared" si="82"/>
        <v>Samsung Galaxy|Electronics|Not Available|Apple</v>
      </c>
      <c r="S325" t="b">
        <f t="shared" si="83"/>
        <v>1</v>
      </c>
    </row>
    <row r="326" spans="1:19" x14ac:dyDescent="0.45">
      <c r="A326" t="s">
        <v>412</v>
      </c>
      <c r="B326" t="s">
        <v>58</v>
      </c>
      <c r="C326" t="s">
        <v>73</v>
      </c>
      <c r="D326" t="s">
        <v>74</v>
      </c>
      <c r="E326" t="s">
        <v>89</v>
      </c>
      <c r="F326" t="str">
        <f t="shared" si="70"/>
        <v>Google pixel|Electro|799|Apple</v>
      </c>
      <c r="G326" t="b">
        <f t="shared" si="71"/>
        <v>1</v>
      </c>
      <c r="H326" t="str">
        <f t="shared" si="72"/>
        <v>Google pixel</v>
      </c>
      <c r="I326" t="str">
        <f t="shared" si="73"/>
        <v>Google Pixel</v>
      </c>
      <c r="J326" t="str">
        <f t="shared" si="74"/>
        <v>Apple</v>
      </c>
      <c r="K326" t="str">
        <f t="shared" si="75"/>
        <v>Apple</v>
      </c>
      <c r="L326" t="str">
        <f t="shared" si="76"/>
        <v>Electronics</v>
      </c>
      <c r="M326">
        <f t="shared" si="77"/>
        <v>12</v>
      </c>
      <c r="N326">
        <f t="shared" si="78"/>
        <v>12</v>
      </c>
      <c r="O326" s="6">
        <f t="shared" si="79"/>
        <v>799</v>
      </c>
      <c r="P326" t="str">
        <f t="shared" si="80"/>
        <v>Electronics</v>
      </c>
      <c r="Q326">
        <f t="shared" si="81"/>
        <v>799</v>
      </c>
      <c r="R326" t="str">
        <f t="shared" si="82"/>
        <v>Google Pixel|Electronics|799|Apple</v>
      </c>
      <c r="S326" t="b">
        <f t="shared" si="83"/>
        <v>1</v>
      </c>
    </row>
    <row r="327" spans="1:19" x14ac:dyDescent="0.45">
      <c r="A327" t="s">
        <v>413</v>
      </c>
      <c r="B327" t="s">
        <v>60</v>
      </c>
      <c r="D327" t="s">
        <v>69</v>
      </c>
      <c r="E327" t="s">
        <v>56</v>
      </c>
      <c r="F327" t="str">
        <f t="shared" si="70"/>
        <v>apple iPhone 14||799|GOOGLE</v>
      </c>
      <c r="G327" t="b">
        <f t="shared" si="71"/>
        <v>0</v>
      </c>
      <c r="H327" t="str">
        <f t="shared" si="72"/>
        <v>apple iPhone 14</v>
      </c>
      <c r="I327" t="str">
        <f t="shared" si="73"/>
        <v>Apple Iphone 14</v>
      </c>
      <c r="J327" t="str">
        <f t="shared" si="74"/>
        <v>GOOGLE</v>
      </c>
      <c r="K327" t="str">
        <f t="shared" si="75"/>
        <v>Google</v>
      </c>
      <c r="L327" t="str">
        <f t="shared" si="76"/>
        <v/>
      </c>
      <c r="M327">
        <f t="shared" si="77"/>
        <v>15</v>
      </c>
      <c r="N327">
        <f t="shared" si="78"/>
        <v>15</v>
      </c>
      <c r="O327" s="6">
        <f t="shared" si="79"/>
        <v>799</v>
      </c>
      <c r="P327" t="str">
        <f t="shared" si="80"/>
        <v>Not Available</v>
      </c>
      <c r="Q327">
        <f t="shared" si="81"/>
        <v>799</v>
      </c>
      <c r="R327" t="str">
        <f t="shared" si="82"/>
        <v>Apple Iphone 14|Not Available|799|Google</v>
      </c>
      <c r="S327" t="b">
        <f t="shared" si="83"/>
        <v>1</v>
      </c>
    </row>
    <row r="328" spans="1:19" x14ac:dyDescent="0.45">
      <c r="A328" t="s">
        <v>414</v>
      </c>
      <c r="B328" t="s">
        <v>106</v>
      </c>
      <c r="C328" t="s">
        <v>123</v>
      </c>
      <c r="D328" t="s">
        <v>69</v>
      </c>
      <c r="E328" t="s">
        <v>112</v>
      </c>
      <c r="F328" t="str">
        <f t="shared" si="70"/>
        <v>Samsung Galaxy|Electronics|799|SAMSUNG</v>
      </c>
      <c r="G328" t="b">
        <f t="shared" si="71"/>
        <v>1</v>
      </c>
      <c r="H328" t="str">
        <f t="shared" si="72"/>
        <v>Samsung Galaxy</v>
      </c>
      <c r="I328" t="str">
        <f t="shared" si="73"/>
        <v>Samsung Galaxy</v>
      </c>
      <c r="J328" t="str">
        <f t="shared" si="74"/>
        <v>SAMSUNG</v>
      </c>
      <c r="K328" t="str">
        <f t="shared" si="75"/>
        <v>Samsung</v>
      </c>
      <c r="L328" t="str">
        <f t="shared" si="76"/>
        <v>Electronics</v>
      </c>
      <c r="M328">
        <f t="shared" si="77"/>
        <v>14</v>
      </c>
      <c r="N328">
        <f t="shared" si="78"/>
        <v>14</v>
      </c>
      <c r="O328" s="6">
        <f t="shared" si="79"/>
        <v>799</v>
      </c>
      <c r="P328" t="str">
        <f t="shared" si="80"/>
        <v>Electronics</v>
      </c>
      <c r="Q328">
        <f t="shared" si="81"/>
        <v>799</v>
      </c>
      <c r="R328" t="str">
        <f t="shared" si="82"/>
        <v>Samsung Galaxy|Electronics|799|Samsung</v>
      </c>
      <c r="S328" t="b">
        <f t="shared" si="83"/>
        <v>1</v>
      </c>
    </row>
    <row r="329" spans="1:19" x14ac:dyDescent="0.45">
      <c r="A329" t="s">
        <v>415</v>
      </c>
      <c r="B329" t="s">
        <v>60</v>
      </c>
      <c r="C329" t="s">
        <v>94</v>
      </c>
      <c r="D329" t="s">
        <v>66</v>
      </c>
      <c r="E329" t="s">
        <v>75</v>
      </c>
      <c r="F329" t="str">
        <f t="shared" si="70"/>
        <v>apple iPhone 14|gadgets|799.00|google</v>
      </c>
      <c r="G329" t="b">
        <f t="shared" si="71"/>
        <v>1</v>
      </c>
      <c r="H329" t="str">
        <f t="shared" si="72"/>
        <v>apple iPhone 14</v>
      </c>
      <c r="I329" t="str">
        <f t="shared" si="73"/>
        <v>Apple Iphone 14</v>
      </c>
      <c r="J329" t="str">
        <f t="shared" si="74"/>
        <v>google</v>
      </c>
      <c r="K329" t="str">
        <f t="shared" si="75"/>
        <v>Google</v>
      </c>
      <c r="L329" t="str">
        <f t="shared" si="76"/>
        <v>Gadgets</v>
      </c>
      <c r="M329">
        <f t="shared" si="77"/>
        <v>15</v>
      </c>
      <c r="N329">
        <f t="shared" si="78"/>
        <v>15</v>
      </c>
      <c r="O329" s="6">
        <f t="shared" si="79"/>
        <v>799</v>
      </c>
      <c r="P329" t="str">
        <f t="shared" si="80"/>
        <v>Gadgets</v>
      </c>
      <c r="Q329">
        <f t="shared" si="81"/>
        <v>799</v>
      </c>
      <c r="R329" t="str">
        <f t="shared" si="82"/>
        <v>Apple Iphone 14|Gadgets|799|Google</v>
      </c>
      <c r="S329" t="b">
        <f t="shared" si="83"/>
        <v>1</v>
      </c>
    </row>
    <row r="330" spans="1:19" x14ac:dyDescent="0.45">
      <c r="A330" t="s">
        <v>416</v>
      </c>
      <c r="B330" t="s">
        <v>58</v>
      </c>
      <c r="C330" t="s">
        <v>123</v>
      </c>
      <c r="E330" t="s">
        <v>63</v>
      </c>
      <c r="F330" t="str">
        <f t="shared" si="70"/>
        <v>Google pixel|Electronics||Google</v>
      </c>
      <c r="G330" t="b">
        <f t="shared" si="71"/>
        <v>1</v>
      </c>
      <c r="H330" t="str">
        <f t="shared" si="72"/>
        <v>Google pixel</v>
      </c>
      <c r="I330" t="str">
        <f t="shared" si="73"/>
        <v>Google Pixel</v>
      </c>
      <c r="J330" t="str">
        <f t="shared" si="74"/>
        <v>Google</v>
      </c>
      <c r="K330" t="str">
        <f t="shared" si="75"/>
        <v>Google</v>
      </c>
      <c r="L330" t="str">
        <f t="shared" si="76"/>
        <v>Electronics</v>
      </c>
      <c r="M330">
        <f t="shared" si="77"/>
        <v>12</v>
      </c>
      <c r="N330">
        <f t="shared" si="78"/>
        <v>12</v>
      </c>
      <c r="O330" s="6" t="str">
        <f t="shared" si="79"/>
        <v/>
      </c>
      <c r="P330" t="str">
        <f t="shared" si="80"/>
        <v>Electronics</v>
      </c>
      <c r="Q330" t="str">
        <f t="shared" si="81"/>
        <v>Not Available</v>
      </c>
      <c r="R330" t="str">
        <f t="shared" si="82"/>
        <v>Google Pixel|Electronics|Not Available|Google</v>
      </c>
      <c r="S330" t="b">
        <f t="shared" si="83"/>
        <v>1</v>
      </c>
    </row>
    <row r="331" spans="1:19" x14ac:dyDescent="0.45">
      <c r="A331" t="s">
        <v>417</v>
      </c>
      <c r="B331" t="s">
        <v>65</v>
      </c>
      <c r="C331" t="s">
        <v>94</v>
      </c>
      <c r="D331" t="s">
        <v>81</v>
      </c>
      <c r="E331" t="s">
        <v>70</v>
      </c>
      <c r="F331" t="str">
        <f t="shared" si="70"/>
        <v>apple iphone 14|gadgets|$799|Samsung</v>
      </c>
      <c r="G331" t="b">
        <f t="shared" si="71"/>
        <v>1</v>
      </c>
      <c r="H331" t="str">
        <f t="shared" si="72"/>
        <v>apple iphone 14</v>
      </c>
      <c r="I331" t="str">
        <f t="shared" si="73"/>
        <v>Apple Iphone 14</v>
      </c>
      <c r="J331" t="str">
        <f t="shared" si="74"/>
        <v>Samsung</v>
      </c>
      <c r="K331" t="str">
        <f t="shared" si="75"/>
        <v>Samsung</v>
      </c>
      <c r="L331" t="str">
        <f t="shared" si="76"/>
        <v>Gadgets</v>
      </c>
      <c r="M331">
        <f t="shared" si="77"/>
        <v>17</v>
      </c>
      <c r="N331">
        <f t="shared" si="78"/>
        <v>15</v>
      </c>
      <c r="O331" s="6">
        <f t="shared" si="79"/>
        <v>799</v>
      </c>
      <c r="P331" t="str">
        <f t="shared" si="80"/>
        <v>Gadgets</v>
      </c>
      <c r="Q331">
        <f t="shared" si="81"/>
        <v>799</v>
      </c>
      <c r="R331" t="str">
        <f t="shared" si="82"/>
        <v>Apple Iphone 14|Gadgets|799|Samsung</v>
      </c>
      <c r="S331" t="b">
        <f t="shared" si="83"/>
        <v>1</v>
      </c>
    </row>
    <row r="332" spans="1:19" x14ac:dyDescent="0.45">
      <c r="A332" t="s">
        <v>418</v>
      </c>
      <c r="B332" t="s">
        <v>78</v>
      </c>
      <c r="E332" t="s">
        <v>75</v>
      </c>
      <c r="F332" t="str">
        <f t="shared" si="70"/>
        <v>samsung Galaxy|||google</v>
      </c>
      <c r="G332" t="b">
        <f t="shared" si="71"/>
        <v>1</v>
      </c>
      <c r="H332" t="str">
        <f t="shared" si="72"/>
        <v>samsung Galaxy</v>
      </c>
      <c r="I332" t="str">
        <f t="shared" si="73"/>
        <v>Samsung Galaxy</v>
      </c>
      <c r="J332" t="str">
        <f t="shared" si="74"/>
        <v>google</v>
      </c>
      <c r="K332" t="str">
        <f t="shared" si="75"/>
        <v>Google</v>
      </c>
      <c r="L332" t="str">
        <f t="shared" si="76"/>
        <v/>
      </c>
      <c r="M332">
        <f t="shared" si="77"/>
        <v>15</v>
      </c>
      <c r="N332">
        <f t="shared" si="78"/>
        <v>14</v>
      </c>
      <c r="O332" s="6" t="str">
        <f t="shared" si="79"/>
        <v/>
      </c>
      <c r="P332" t="str">
        <f t="shared" si="80"/>
        <v>Not Available</v>
      </c>
      <c r="Q332" t="str">
        <f t="shared" si="81"/>
        <v>Not Available</v>
      </c>
      <c r="R332" t="str">
        <f t="shared" si="82"/>
        <v>Samsung Galaxy|Not Available|Not Available|Google</v>
      </c>
      <c r="S332" t="b">
        <f t="shared" si="83"/>
        <v>1</v>
      </c>
    </row>
    <row r="333" spans="1:19" x14ac:dyDescent="0.45">
      <c r="A333" t="s">
        <v>419</v>
      </c>
      <c r="B333" t="s">
        <v>109</v>
      </c>
      <c r="C333" t="s">
        <v>96</v>
      </c>
      <c r="D333" t="s">
        <v>62</v>
      </c>
      <c r="E333" t="s">
        <v>70</v>
      </c>
      <c r="F333" t="str">
        <f t="shared" si="70"/>
        <v>Apple iPhone14|Gadgets|799.0|Samsung</v>
      </c>
      <c r="G333" t="b">
        <f t="shared" si="71"/>
        <v>0</v>
      </c>
      <c r="H333" t="str">
        <f t="shared" si="72"/>
        <v>Apple iPhone14</v>
      </c>
      <c r="I333" t="str">
        <f t="shared" si="73"/>
        <v>Apple Iphone14</v>
      </c>
      <c r="J333" t="str">
        <f t="shared" si="74"/>
        <v>Samsung</v>
      </c>
      <c r="K333" t="str">
        <f t="shared" si="75"/>
        <v>Samsung</v>
      </c>
      <c r="L333" t="str">
        <f t="shared" si="76"/>
        <v>Gadgets</v>
      </c>
      <c r="M333">
        <f t="shared" si="77"/>
        <v>15</v>
      </c>
      <c r="N333">
        <f t="shared" si="78"/>
        <v>14</v>
      </c>
      <c r="O333" s="6">
        <f t="shared" si="79"/>
        <v>799</v>
      </c>
      <c r="P333" t="str">
        <f t="shared" si="80"/>
        <v>Gadgets</v>
      </c>
      <c r="Q333">
        <f t="shared" si="81"/>
        <v>799</v>
      </c>
      <c r="R333" t="str">
        <f t="shared" si="82"/>
        <v>Apple Iphone14|Gadgets|799|Samsung</v>
      </c>
      <c r="S333" t="b">
        <f t="shared" si="83"/>
        <v>1</v>
      </c>
    </row>
    <row r="334" spans="1:19" x14ac:dyDescent="0.45">
      <c r="A334" t="s">
        <v>420</v>
      </c>
      <c r="B334" t="s">
        <v>138</v>
      </c>
      <c r="C334" t="s">
        <v>85</v>
      </c>
      <c r="D334" t="s">
        <v>88</v>
      </c>
      <c r="E334" t="s">
        <v>75</v>
      </c>
      <c r="F334" t="str">
        <f t="shared" si="70"/>
        <v>APPLE IPHONE 14|electronics|USD 799|google</v>
      </c>
      <c r="G334" t="b">
        <f t="shared" si="71"/>
        <v>1</v>
      </c>
      <c r="H334" t="str">
        <f t="shared" si="72"/>
        <v>APPLE IPHONE 14</v>
      </c>
      <c r="I334" t="str">
        <f t="shared" si="73"/>
        <v>Apple Iphone 14</v>
      </c>
      <c r="J334" t="str">
        <f t="shared" si="74"/>
        <v>google</v>
      </c>
      <c r="K334" t="str">
        <f t="shared" si="75"/>
        <v>Google</v>
      </c>
      <c r="L334" t="str">
        <f t="shared" si="76"/>
        <v>Electronics</v>
      </c>
      <c r="M334">
        <f t="shared" si="77"/>
        <v>15</v>
      </c>
      <c r="N334">
        <f t="shared" si="78"/>
        <v>15</v>
      </c>
      <c r="O334" s="6">
        <f t="shared" si="79"/>
        <v>799</v>
      </c>
      <c r="P334" t="str">
        <f t="shared" si="80"/>
        <v>Electronics</v>
      </c>
      <c r="Q334">
        <f t="shared" si="81"/>
        <v>799</v>
      </c>
      <c r="R334" t="str">
        <f t="shared" si="82"/>
        <v>Apple Iphone 14|Electronics|799|Google</v>
      </c>
      <c r="S334" t="b">
        <f t="shared" si="83"/>
        <v>1</v>
      </c>
    </row>
    <row r="335" spans="1:19" x14ac:dyDescent="0.45">
      <c r="A335" t="s">
        <v>421</v>
      </c>
      <c r="B335" t="s">
        <v>102</v>
      </c>
      <c r="C335" t="s">
        <v>123</v>
      </c>
      <c r="D335" t="s">
        <v>62</v>
      </c>
      <c r="E335" t="s">
        <v>63</v>
      </c>
      <c r="F335" t="str">
        <f t="shared" si="70"/>
        <v>GOOGLE PIXEL|Electronics|799.0|Google</v>
      </c>
      <c r="G335" t="b">
        <f t="shared" si="71"/>
        <v>1</v>
      </c>
      <c r="H335" t="str">
        <f t="shared" si="72"/>
        <v>GOOGLE PIXEL</v>
      </c>
      <c r="I335" t="str">
        <f t="shared" si="73"/>
        <v>Google Pixel</v>
      </c>
      <c r="J335" t="str">
        <f t="shared" si="74"/>
        <v>Google</v>
      </c>
      <c r="K335" t="str">
        <f t="shared" si="75"/>
        <v>Google</v>
      </c>
      <c r="L335" t="str">
        <f t="shared" si="76"/>
        <v>Electronics</v>
      </c>
      <c r="M335">
        <f t="shared" si="77"/>
        <v>13</v>
      </c>
      <c r="N335">
        <f t="shared" si="78"/>
        <v>12</v>
      </c>
      <c r="O335" s="6">
        <f t="shared" si="79"/>
        <v>799</v>
      </c>
      <c r="P335" t="str">
        <f t="shared" si="80"/>
        <v>Electronics</v>
      </c>
      <c r="Q335">
        <f t="shared" si="81"/>
        <v>799</v>
      </c>
      <c r="R335" t="str">
        <f t="shared" si="82"/>
        <v>Google Pixel|Electronics|799|Google</v>
      </c>
      <c r="S335" t="b">
        <f t="shared" si="83"/>
        <v>1</v>
      </c>
    </row>
    <row r="336" spans="1:19" x14ac:dyDescent="0.45">
      <c r="A336" t="s">
        <v>422</v>
      </c>
      <c r="B336" t="s">
        <v>93</v>
      </c>
      <c r="C336" t="s">
        <v>94</v>
      </c>
      <c r="D336" t="s">
        <v>69</v>
      </c>
      <c r="E336" t="s">
        <v>91</v>
      </c>
      <c r="F336" t="str">
        <f t="shared" si="70"/>
        <v>SAMSUNG GALAXY|gadgets|799|Apple</v>
      </c>
      <c r="G336" t="b">
        <f t="shared" si="71"/>
        <v>1</v>
      </c>
      <c r="H336" t="str">
        <f t="shared" si="72"/>
        <v>SAMSUNG GALAXY</v>
      </c>
      <c r="I336" t="str">
        <f t="shared" si="73"/>
        <v>Samsung Galaxy</v>
      </c>
      <c r="J336" t="str">
        <f t="shared" si="74"/>
        <v>Apple</v>
      </c>
      <c r="K336" t="str">
        <f t="shared" si="75"/>
        <v>Apple</v>
      </c>
      <c r="L336" t="str">
        <f t="shared" si="76"/>
        <v>Gadgets</v>
      </c>
      <c r="M336">
        <f t="shared" si="77"/>
        <v>14</v>
      </c>
      <c r="N336">
        <f t="shared" si="78"/>
        <v>14</v>
      </c>
      <c r="O336" s="6">
        <f t="shared" si="79"/>
        <v>799</v>
      </c>
      <c r="P336" t="str">
        <f t="shared" si="80"/>
        <v>Gadgets</v>
      </c>
      <c r="Q336">
        <f t="shared" si="81"/>
        <v>799</v>
      </c>
      <c r="R336" t="str">
        <f t="shared" si="82"/>
        <v>Samsung Galaxy|Gadgets|799|Apple</v>
      </c>
      <c r="S336" t="b">
        <f t="shared" si="83"/>
        <v>1</v>
      </c>
    </row>
    <row r="337" spans="1:19" x14ac:dyDescent="0.45">
      <c r="A337" t="s">
        <v>423</v>
      </c>
      <c r="B337" t="s">
        <v>102</v>
      </c>
      <c r="C337" t="s">
        <v>96</v>
      </c>
      <c r="D337" t="s">
        <v>62</v>
      </c>
      <c r="E337" t="s">
        <v>91</v>
      </c>
      <c r="F337" t="str">
        <f t="shared" si="70"/>
        <v>GOOGLE PIXEL|Gadgets|799.0|Apple</v>
      </c>
      <c r="G337" t="b">
        <f t="shared" si="71"/>
        <v>1</v>
      </c>
      <c r="H337" t="str">
        <f t="shared" si="72"/>
        <v>GOOGLE PIXEL</v>
      </c>
      <c r="I337" t="str">
        <f t="shared" si="73"/>
        <v>Google Pixel</v>
      </c>
      <c r="J337" t="str">
        <f t="shared" si="74"/>
        <v>Apple</v>
      </c>
      <c r="K337" t="str">
        <f t="shared" si="75"/>
        <v>Apple</v>
      </c>
      <c r="L337" t="str">
        <f t="shared" si="76"/>
        <v>Gadgets</v>
      </c>
      <c r="M337">
        <f t="shared" si="77"/>
        <v>13</v>
      </c>
      <c r="N337">
        <f t="shared" si="78"/>
        <v>12</v>
      </c>
      <c r="O337" s="6">
        <f t="shared" si="79"/>
        <v>799</v>
      </c>
      <c r="P337" t="str">
        <f t="shared" si="80"/>
        <v>Gadgets</v>
      </c>
      <c r="Q337">
        <f t="shared" si="81"/>
        <v>799</v>
      </c>
      <c r="R337" t="str">
        <f t="shared" si="82"/>
        <v>Google Pixel|Gadgets|799|Apple</v>
      </c>
      <c r="S337" t="b">
        <f t="shared" si="83"/>
        <v>1</v>
      </c>
    </row>
    <row r="338" spans="1:19" x14ac:dyDescent="0.45">
      <c r="A338" t="s">
        <v>424</v>
      </c>
      <c r="B338" t="s">
        <v>58</v>
      </c>
      <c r="C338" t="s">
        <v>96</v>
      </c>
      <c r="D338" t="s">
        <v>62</v>
      </c>
      <c r="E338" t="s">
        <v>75</v>
      </c>
      <c r="F338" t="str">
        <f t="shared" si="70"/>
        <v>Google pixel|Gadgets|799.0|google</v>
      </c>
      <c r="G338" t="b">
        <f t="shared" si="71"/>
        <v>1</v>
      </c>
      <c r="H338" t="str">
        <f t="shared" si="72"/>
        <v>Google pixel</v>
      </c>
      <c r="I338" t="str">
        <f t="shared" si="73"/>
        <v>Google Pixel</v>
      </c>
      <c r="J338" t="str">
        <f t="shared" si="74"/>
        <v>google</v>
      </c>
      <c r="K338" t="str">
        <f t="shared" si="75"/>
        <v>Google</v>
      </c>
      <c r="L338" t="str">
        <f t="shared" si="76"/>
        <v>Gadgets</v>
      </c>
      <c r="M338">
        <f t="shared" si="77"/>
        <v>12</v>
      </c>
      <c r="N338">
        <f t="shared" si="78"/>
        <v>12</v>
      </c>
      <c r="O338" s="6">
        <f t="shared" si="79"/>
        <v>799</v>
      </c>
      <c r="P338" t="str">
        <f t="shared" si="80"/>
        <v>Gadgets</v>
      </c>
      <c r="Q338">
        <f t="shared" si="81"/>
        <v>799</v>
      </c>
      <c r="R338" t="str">
        <f t="shared" si="82"/>
        <v>Google Pixel|Gadgets|799|Google</v>
      </c>
      <c r="S338" t="b">
        <f t="shared" si="83"/>
        <v>1</v>
      </c>
    </row>
    <row r="339" spans="1:19" x14ac:dyDescent="0.45">
      <c r="A339" t="s">
        <v>425</v>
      </c>
      <c r="B339" t="s">
        <v>65</v>
      </c>
      <c r="C339" t="s">
        <v>85</v>
      </c>
      <c r="D339" t="s">
        <v>62</v>
      </c>
      <c r="E339" t="s">
        <v>91</v>
      </c>
      <c r="F339" t="str">
        <f t="shared" si="70"/>
        <v>apple iphone 14|electronics|799.0|Apple</v>
      </c>
      <c r="G339" t="b">
        <f t="shared" si="71"/>
        <v>1</v>
      </c>
      <c r="H339" t="str">
        <f t="shared" si="72"/>
        <v>apple iphone 14</v>
      </c>
      <c r="I339" t="str">
        <f t="shared" si="73"/>
        <v>Apple Iphone 14</v>
      </c>
      <c r="J339" t="str">
        <f t="shared" si="74"/>
        <v>Apple</v>
      </c>
      <c r="K339" t="str">
        <f t="shared" si="75"/>
        <v>Apple</v>
      </c>
      <c r="L339" t="str">
        <f t="shared" si="76"/>
        <v>Electronics</v>
      </c>
      <c r="M339">
        <f t="shared" si="77"/>
        <v>17</v>
      </c>
      <c r="N339">
        <f t="shared" si="78"/>
        <v>15</v>
      </c>
      <c r="O339" s="6">
        <f t="shared" si="79"/>
        <v>799</v>
      </c>
      <c r="P339" t="str">
        <f t="shared" si="80"/>
        <v>Electronics</v>
      </c>
      <c r="Q339">
        <f t="shared" si="81"/>
        <v>799</v>
      </c>
      <c r="R339" t="str">
        <f t="shared" si="82"/>
        <v>Apple Iphone 14|Electronics|799|Apple</v>
      </c>
      <c r="S339" t="b">
        <f t="shared" si="83"/>
        <v>1</v>
      </c>
    </row>
    <row r="340" spans="1:19" x14ac:dyDescent="0.45">
      <c r="A340" t="s">
        <v>426</v>
      </c>
      <c r="B340" t="s">
        <v>93</v>
      </c>
      <c r="C340" t="s">
        <v>85</v>
      </c>
      <c r="D340" t="s">
        <v>81</v>
      </c>
      <c r="E340" t="s">
        <v>67</v>
      </c>
      <c r="F340" t="str">
        <f t="shared" si="70"/>
        <v>SAMSUNG GALAXY|electronics|$799|apple</v>
      </c>
      <c r="G340" t="b">
        <f t="shared" si="71"/>
        <v>1</v>
      </c>
      <c r="H340" t="str">
        <f t="shared" si="72"/>
        <v>SAMSUNG GALAXY</v>
      </c>
      <c r="I340" t="str">
        <f t="shared" si="73"/>
        <v>Samsung Galaxy</v>
      </c>
      <c r="J340" t="str">
        <f t="shared" si="74"/>
        <v>apple</v>
      </c>
      <c r="K340" t="str">
        <f t="shared" si="75"/>
        <v>Apple</v>
      </c>
      <c r="L340" t="str">
        <f t="shared" si="76"/>
        <v>Electronics</v>
      </c>
      <c r="M340">
        <f t="shared" si="77"/>
        <v>14</v>
      </c>
      <c r="N340">
        <f t="shared" si="78"/>
        <v>14</v>
      </c>
      <c r="O340" s="6">
        <f t="shared" si="79"/>
        <v>799</v>
      </c>
      <c r="P340" t="str">
        <f t="shared" si="80"/>
        <v>Electronics</v>
      </c>
      <c r="Q340">
        <f t="shared" si="81"/>
        <v>799</v>
      </c>
      <c r="R340" t="str">
        <f t="shared" si="82"/>
        <v>Samsung Galaxy|Electronics|799|Apple</v>
      </c>
      <c r="S340" t="b">
        <f t="shared" si="83"/>
        <v>1</v>
      </c>
    </row>
    <row r="341" spans="1:19" x14ac:dyDescent="0.45">
      <c r="A341" t="s">
        <v>427</v>
      </c>
      <c r="B341" t="s">
        <v>109</v>
      </c>
      <c r="C341" t="s">
        <v>85</v>
      </c>
      <c r="D341" t="s">
        <v>88</v>
      </c>
      <c r="E341" t="s">
        <v>70</v>
      </c>
      <c r="F341" t="str">
        <f t="shared" si="70"/>
        <v>Apple iPhone14|electronics|USD 799|Samsung</v>
      </c>
      <c r="G341" t="b">
        <f t="shared" si="71"/>
        <v>0</v>
      </c>
      <c r="H341" t="str">
        <f t="shared" si="72"/>
        <v>Apple iPhone14</v>
      </c>
      <c r="I341" t="str">
        <f t="shared" si="73"/>
        <v>Apple Iphone14</v>
      </c>
      <c r="J341" t="str">
        <f t="shared" si="74"/>
        <v>Samsung</v>
      </c>
      <c r="K341" t="str">
        <f t="shared" si="75"/>
        <v>Samsung</v>
      </c>
      <c r="L341" t="str">
        <f t="shared" si="76"/>
        <v>Electronics</v>
      </c>
      <c r="M341">
        <f t="shared" si="77"/>
        <v>15</v>
      </c>
      <c r="N341">
        <f t="shared" si="78"/>
        <v>14</v>
      </c>
      <c r="O341" s="6">
        <f t="shared" si="79"/>
        <v>799</v>
      </c>
      <c r="P341" t="str">
        <f t="shared" si="80"/>
        <v>Electronics</v>
      </c>
      <c r="Q341">
        <f t="shared" si="81"/>
        <v>799</v>
      </c>
      <c r="R341" t="str">
        <f t="shared" si="82"/>
        <v>Apple Iphone14|Electronics|799|Samsung</v>
      </c>
      <c r="S341" t="b">
        <f t="shared" si="83"/>
        <v>1</v>
      </c>
    </row>
    <row r="342" spans="1:19" x14ac:dyDescent="0.45">
      <c r="A342" t="s">
        <v>428</v>
      </c>
      <c r="B342" t="s">
        <v>138</v>
      </c>
      <c r="C342" t="s">
        <v>96</v>
      </c>
      <c r="D342" t="s">
        <v>62</v>
      </c>
      <c r="E342" t="s">
        <v>112</v>
      </c>
      <c r="F342" t="str">
        <f t="shared" si="70"/>
        <v>APPLE IPHONE 14|Gadgets|799.0|SAMSUNG</v>
      </c>
      <c r="G342" t="b">
        <f t="shared" si="71"/>
        <v>1</v>
      </c>
      <c r="H342" t="str">
        <f t="shared" si="72"/>
        <v>APPLE IPHONE 14</v>
      </c>
      <c r="I342" t="str">
        <f t="shared" si="73"/>
        <v>Apple Iphone 14</v>
      </c>
      <c r="J342" t="str">
        <f t="shared" si="74"/>
        <v>SAMSUNG</v>
      </c>
      <c r="K342" t="str">
        <f t="shared" si="75"/>
        <v>Samsung</v>
      </c>
      <c r="L342" t="str">
        <f t="shared" si="76"/>
        <v>Gadgets</v>
      </c>
      <c r="M342">
        <f t="shared" si="77"/>
        <v>15</v>
      </c>
      <c r="N342">
        <f t="shared" si="78"/>
        <v>15</v>
      </c>
      <c r="O342" s="6">
        <f t="shared" si="79"/>
        <v>799</v>
      </c>
      <c r="P342" t="str">
        <f t="shared" si="80"/>
        <v>Gadgets</v>
      </c>
      <c r="Q342">
        <f t="shared" si="81"/>
        <v>799</v>
      </c>
      <c r="R342" t="str">
        <f t="shared" si="82"/>
        <v>Apple Iphone 14|Gadgets|799|Samsung</v>
      </c>
      <c r="S342" t="b">
        <f t="shared" si="83"/>
        <v>1</v>
      </c>
    </row>
    <row r="343" spans="1:19" x14ac:dyDescent="0.45">
      <c r="A343" t="s">
        <v>429</v>
      </c>
      <c r="B343" t="s">
        <v>109</v>
      </c>
      <c r="C343" t="s">
        <v>123</v>
      </c>
      <c r="D343" t="s">
        <v>74</v>
      </c>
      <c r="E343" t="s">
        <v>89</v>
      </c>
      <c r="F343" t="str">
        <f t="shared" si="70"/>
        <v>Apple iPhone14|Electronics|799|Apple</v>
      </c>
      <c r="G343" t="b">
        <f t="shared" si="71"/>
        <v>1</v>
      </c>
      <c r="H343" t="str">
        <f t="shared" si="72"/>
        <v>Apple iPhone14</v>
      </c>
      <c r="I343" t="str">
        <f t="shared" si="73"/>
        <v>Apple Iphone14</v>
      </c>
      <c r="J343" t="str">
        <f t="shared" si="74"/>
        <v>Apple</v>
      </c>
      <c r="K343" t="str">
        <f t="shared" si="75"/>
        <v>Apple</v>
      </c>
      <c r="L343" t="str">
        <f t="shared" si="76"/>
        <v>Electronics</v>
      </c>
      <c r="M343">
        <f t="shared" si="77"/>
        <v>15</v>
      </c>
      <c r="N343">
        <f t="shared" si="78"/>
        <v>14</v>
      </c>
      <c r="O343" s="6">
        <f t="shared" si="79"/>
        <v>799</v>
      </c>
      <c r="P343" t="str">
        <f t="shared" si="80"/>
        <v>Electronics</v>
      </c>
      <c r="Q343">
        <f t="shared" si="81"/>
        <v>799</v>
      </c>
      <c r="R343" t="str">
        <f t="shared" si="82"/>
        <v>Apple Iphone14|Electronics|799|Apple</v>
      </c>
      <c r="S343" t="b">
        <f t="shared" si="83"/>
        <v>1</v>
      </c>
    </row>
    <row r="344" spans="1:19" x14ac:dyDescent="0.45">
      <c r="A344" t="s">
        <v>430</v>
      </c>
      <c r="B344" t="s">
        <v>58</v>
      </c>
      <c r="C344" t="s">
        <v>94</v>
      </c>
      <c r="D344" t="s">
        <v>62</v>
      </c>
      <c r="E344" t="s">
        <v>82</v>
      </c>
      <c r="F344" t="str">
        <f t="shared" si="70"/>
        <v>Google pixel|gadgets|799.0|APPLE</v>
      </c>
      <c r="G344" t="b">
        <f t="shared" si="71"/>
        <v>1</v>
      </c>
      <c r="H344" t="str">
        <f t="shared" si="72"/>
        <v>Google pixel</v>
      </c>
      <c r="I344" t="str">
        <f t="shared" si="73"/>
        <v>Google Pixel</v>
      </c>
      <c r="J344" t="str">
        <f t="shared" si="74"/>
        <v>APPLE</v>
      </c>
      <c r="K344" t="str">
        <f t="shared" si="75"/>
        <v>Apple</v>
      </c>
      <c r="L344" t="str">
        <f t="shared" si="76"/>
        <v>Gadgets</v>
      </c>
      <c r="M344">
        <f t="shared" si="77"/>
        <v>12</v>
      </c>
      <c r="N344">
        <f t="shared" si="78"/>
        <v>12</v>
      </c>
      <c r="O344" s="6">
        <f t="shared" si="79"/>
        <v>799</v>
      </c>
      <c r="P344" t="str">
        <f t="shared" si="80"/>
        <v>Gadgets</v>
      </c>
      <c r="Q344">
        <f t="shared" si="81"/>
        <v>799</v>
      </c>
      <c r="R344" t="str">
        <f t="shared" si="82"/>
        <v>Google Pixel|Gadgets|799|Apple</v>
      </c>
      <c r="S344" t="b">
        <f t="shared" si="83"/>
        <v>1</v>
      </c>
    </row>
    <row r="345" spans="1:19" x14ac:dyDescent="0.45">
      <c r="A345" t="s">
        <v>431</v>
      </c>
      <c r="B345" t="s">
        <v>138</v>
      </c>
      <c r="C345" t="s">
        <v>61</v>
      </c>
      <c r="D345" t="s">
        <v>69</v>
      </c>
      <c r="E345" t="s">
        <v>75</v>
      </c>
      <c r="F345" t="str">
        <f t="shared" si="70"/>
        <v>APPLE IPHONE 14|Electrnics|799|google</v>
      </c>
      <c r="G345" t="b">
        <f t="shared" si="71"/>
        <v>1</v>
      </c>
      <c r="H345" t="str">
        <f t="shared" si="72"/>
        <v>APPLE IPHONE 14</v>
      </c>
      <c r="I345" t="str">
        <f t="shared" si="73"/>
        <v>Apple Iphone 14</v>
      </c>
      <c r="J345" t="str">
        <f t="shared" si="74"/>
        <v>google</v>
      </c>
      <c r="K345" t="str">
        <f t="shared" si="75"/>
        <v>Google</v>
      </c>
      <c r="L345" t="str">
        <f t="shared" si="76"/>
        <v>Electronics</v>
      </c>
      <c r="M345">
        <f t="shared" si="77"/>
        <v>15</v>
      </c>
      <c r="N345">
        <f t="shared" si="78"/>
        <v>15</v>
      </c>
      <c r="O345" s="6">
        <f t="shared" si="79"/>
        <v>799</v>
      </c>
      <c r="P345" t="str">
        <f t="shared" si="80"/>
        <v>Electronics</v>
      </c>
      <c r="Q345">
        <f t="shared" si="81"/>
        <v>799</v>
      </c>
      <c r="R345" t="str">
        <f t="shared" si="82"/>
        <v>Apple Iphone 14|Electronics|799|Google</v>
      </c>
      <c r="S345" t="b">
        <f t="shared" si="83"/>
        <v>1</v>
      </c>
    </row>
    <row r="346" spans="1:19" x14ac:dyDescent="0.45">
      <c r="A346" t="s">
        <v>432</v>
      </c>
      <c r="B346" t="s">
        <v>102</v>
      </c>
      <c r="D346" t="s">
        <v>66</v>
      </c>
      <c r="E346" t="s">
        <v>67</v>
      </c>
      <c r="F346" t="str">
        <f t="shared" si="70"/>
        <v>GOOGLE PIXEL||799.00|apple</v>
      </c>
      <c r="G346" t="b">
        <f t="shared" si="71"/>
        <v>1</v>
      </c>
      <c r="H346" t="str">
        <f t="shared" si="72"/>
        <v>GOOGLE PIXEL</v>
      </c>
      <c r="I346" t="str">
        <f t="shared" si="73"/>
        <v>Google Pixel</v>
      </c>
      <c r="J346" t="str">
        <f t="shared" si="74"/>
        <v>apple</v>
      </c>
      <c r="K346" t="str">
        <f t="shared" si="75"/>
        <v>Apple</v>
      </c>
      <c r="L346" t="str">
        <f t="shared" si="76"/>
        <v/>
      </c>
      <c r="M346">
        <f t="shared" si="77"/>
        <v>13</v>
      </c>
      <c r="N346">
        <f t="shared" si="78"/>
        <v>12</v>
      </c>
      <c r="O346" s="6">
        <f t="shared" si="79"/>
        <v>799</v>
      </c>
      <c r="P346" t="str">
        <f t="shared" si="80"/>
        <v>Not Available</v>
      </c>
      <c r="Q346">
        <f t="shared" si="81"/>
        <v>799</v>
      </c>
      <c r="R346" t="str">
        <f t="shared" si="82"/>
        <v>Google Pixel|Not Available|799|Apple</v>
      </c>
      <c r="S346" t="b">
        <f t="shared" si="83"/>
        <v>1</v>
      </c>
    </row>
    <row r="347" spans="1:19" x14ac:dyDescent="0.45">
      <c r="A347" t="s">
        <v>433</v>
      </c>
      <c r="B347" t="s">
        <v>54</v>
      </c>
      <c r="D347" t="s">
        <v>66</v>
      </c>
      <c r="E347" t="s">
        <v>70</v>
      </c>
      <c r="F347" t="str">
        <f t="shared" si="70"/>
        <v>Samsung galaxy||799.00|Samsung</v>
      </c>
      <c r="G347" t="b">
        <f t="shared" si="71"/>
        <v>0</v>
      </c>
      <c r="H347" t="str">
        <f t="shared" si="72"/>
        <v>Samsung galaxy</v>
      </c>
      <c r="I347" t="str">
        <f t="shared" si="73"/>
        <v>Samsung Galaxy</v>
      </c>
      <c r="J347" t="str">
        <f t="shared" si="74"/>
        <v>Samsung</v>
      </c>
      <c r="K347" t="str">
        <f t="shared" si="75"/>
        <v>Samsung</v>
      </c>
      <c r="L347" t="str">
        <f t="shared" si="76"/>
        <v/>
      </c>
      <c r="M347">
        <f t="shared" si="77"/>
        <v>15</v>
      </c>
      <c r="N347">
        <f t="shared" si="78"/>
        <v>14</v>
      </c>
      <c r="O347" s="6">
        <f t="shared" si="79"/>
        <v>799</v>
      </c>
      <c r="P347" t="str">
        <f t="shared" si="80"/>
        <v>Not Available</v>
      </c>
      <c r="Q347">
        <f t="shared" si="81"/>
        <v>799</v>
      </c>
      <c r="R347" t="str">
        <f t="shared" si="82"/>
        <v>Samsung Galaxy|Not Available|799|Samsung</v>
      </c>
      <c r="S347" t="b">
        <f t="shared" si="83"/>
        <v>1</v>
      </c>
    </row>
    <row r="348" spans="1:19" x14ac:dyDescent="0.45">
      <c r="A348" t="s">
        <v>434</v>
      </c>
      <c r="B348" t="s">
        <v>60</v>
      </c>
      <c r="C348" t="s">
        <v>85</v>
      </c>
      <c r="D348" t="s">
        <v>81</v>
      </c>
      <c r="E348" t="s">
        <v>75</v>
      </c>
      <c r="F348" t="str">
        <f t="shared" si="70"/>
        <v>apple iPhone 14|electronics|$799|google</v>
      </c>
      <c r="G348" t="b">
        <f t="shared" si="71"/>
        <v>1</v>
      </c>
      <c r="H348" t="str">
        <f t="shared" si="72"/>
        <v>apple iPhone 14</v>
      </c>
      <c r="I348" t="str">
        <f t="shared" si="73"/>
        <v>Apple Iphone 14</v>
      </c>
      <c r="J348" t="str">
        <f t="shared" si="74"/>
        <v>google</v>
      </c>
      <c r="K348" t="str">
        <f t="shared" si="75"/>
        <v>Google</v>
      </c>
      <c r="L348" t="str">
        <f t="shared" si="76"/>
        <v>Electronics</v>
      </c>
      <c r="M348">
        <f t="shared" si="77"/>
        <v>15</v>
      </c>
      <c r="N348">
        <f t="shared" si="78"/>
        <v>15</v>
      </c>
      <c r="O348" s="6">
        <f t="shared" si="79"/>
        <v>799</v>
      </c>
      <c r="P348" t="str">
        <f t="shared" si="80"/>
        <v>Electronics</v>
      </c>
      <c r="Q348">
        <f t="shared" si="81"/>
        <v>799</v>
      </c>
      <c r="R348" t="str">
        <f t="shared" si="82"/>
        <v>Apple Iphone 14|Electronics|799|Google</v>
      </c>
      <c r="S348" t="b">
        <f t="shared" si="83"/>
        <v>1</v>
      </c>
    </row>
    <row r="349" spans="1:19" x14ac:dyDescent="0.45">
      <c r="A349" t="s">
        <v>435</v>
      </c>
      <c r="B349" t="s">
        <v>138</v>
      </c>
      <c r="C349" t="s">
        <v>61</v>
      </c>
      <c r="D349" t="s">
        <v>62</v>
      </c>
      <c r="E349" t="s">
        <v>91</v>
      </c>
      <c r="F349" t="str">
        <f t="shared" si="70"/>
        <v>APPLE IPHONE 14|Electrnics|799.0|Apple</v>
      </c>
      <c r="G349" t="b">
        <f t="shared" si="71"/>
        <v>0</v>
      </c>
      <c r="H349" t="str">
        <f t="shared" si="72"/>
        <v>APPLE IPHONE 14</v>
      </c>
      <c r="I349" t="str">
        <f t="shared" si="73"/>
        <v>Apple Iphone 14</v>
      </c>
      <c r="J349" t="str">
        <f t="shared" si="74"/>
        <v>Apple</v>
      </c>
      <c r="K349" t="str">
        <f t="shared" si="75"/>
        <v>Apple</v>
      </c>
      <c r="L349" t="str">
        <f t="shared" si="76"/>
        <v>Electronics</v>
      </c>
      <c r="M349">
        <f t="shared" si="77"/>
        <v>15</v>
      </c>
      <c r="N349">
        <f t="shared" si="78"/>
        <v>15</v>
      </c>
      <c r="O349" s="6">
        <f t="shared" si="79"/>
        <v>799</v>
      </c>
      <c r="P349" t="str">
        <f t="shared" si="80"/>
        <v>Electronics</v>
      </c>
      <c r="Q349">
        <f t="shared" si="81"/>
        <v>799</v>
      </c>
      <c r="R349" t="str">
        <f t="shared" si="82"/>
        <v>Apple Iphone 14|Electronics|799|Apple</v>
      </c>
      <c r="S349" t="b">
        <f t="shared" si="83"/>
        <v>1</v>
      </c>
    </row>
    <row r="350" spans="1:19" x14ac:dyDescent="0.45">
      <c r="A350" t="s">
        <v>436</v>
      </c>
      <c r="B350" t="s">
        <v>138</v>
      </c>
      <c r="C350" t="s">
        <v>73</v>
      </c>
      <c r="D350" t="s">
        <v>74</v>
      </c>
      <c r="E350" t="s">
        <v>89</v>
      </c>
      <c r="F350" t="str">
        <f t="shared" si="70"/>
        <v>APPLE IPHONE 14|Electro|799|Apple</v>
      </c>
      <c r="G350" t="b">
        <f t="shared" si="71"/>
        <v>1</v>
      </c>
      <c r="H350" t="str">
        <f t="shared" si="72"/>
        <v>APPLE IPHONE 14</v>
      </c>
      <c r="I350" t="str">
        <f t="shared" si="73"/>
        <v>Apple Iphone 14</v>
      </c>
      <c r="J350" t="str">
        <f t="shared" si="74"/>
        <v>Apple</v>
      </c>
      <c r="K350" t="str">
        <f t="shared" si="75"/>
        <v>Apple</v>
      </c>
      <c r="L350" t="str">
        <f t="shared" si="76"/>
        <v>Electronics</v>
      </c>
      <c r="M350">
        <f t="shared" si="77"/>
        <v>15</v>
      </c>
      <c r="N350">
        <f t="shared" si="78"/>
        <v>15</v>
      </c>
      <c r="O350" s="6">
        <f t="shared" si="79"/>
        <v>799</v>
      </c>
      <c r="P350" t="str">
        <f t="shared" si="80"/>
        <v>Electronics</v>
      </c>
      <c r="Q350">
        <f t="shared" si="81"/>
        <v>799</v>
      </c>
      <c r="R350" t="str">
        <f t="shared" si="82"/>
        <v>Apple Iphone 14|Electronics|799|Apple</v>
      </c>
      <c r="S350" t="b">
        <f t="shared" si="83"/>
        <v>1</v>
      </c>
    </row>
    <row r="351" spans="1:19" x14ac:dyDescent="0.45">
      <c r="A351" t="s">
        <v>437</v>
      </c>
      <c r="B351" t="s">
        <v>72</v>
      </c>
      <c r="D351" t="s">
        <v>55</v>
      </c>
      <c r="E351" t="s">
        <v>82</v>
      </c>
      <c r="F351" t="str">
        <f t="shared" si="70"/>
        <v>google pixel||799|APPLE</v>
      </c>
      <c r="G351" t="b">
        <f t="shared" si="71"/>
        <v>1</v>
      </c>
      <c r="H351" t="str">
        <f t="shared" si="72"/>
        <v>google pixel</v>
      </c>
      <c r="I351" t="str">
        <f t="shared" si="73"/>
        <v>Google Pixel</v>
      </c>
      <c r="J351" t="str">
        <f t="shared" si="74"/>
        <v>APPLE</v>
      </c>
      <c r="K351" t="str">
        <f t="shared" si="75"/>
        <v>Apple</v>
      </c>
      <c r="L351" t="str">
        <f t="shared" si="76"/>
        <v/>
      </c>
      <c r="M351">
        <f t="shared" si="77"/>
        <v>14</v>
      </c>
      <c r="N351">
        <f t="shared" si="78"/>
        <v>12</v>
      </c>
      <c r="O351" s="6">
        <f t="shared" si="79"/>
        <v>799</v>
      </c>
      <c r="P351" t="str">
        <f t="shared" si="80"/>
        <v>Not Available</v>
      </c>
      <c r="Q351">
        <f t="shared" si="81"/>
        <v>799</v>
      </c>
      <c r="R351" t="str">
        <f t="shared" si="82"/>
        <v>Google Pixel|Not Available|799|Apple</v>
      </c>
      <c r="S351" t="b">
        <f t="shared" si="83"/>
        <v>1</v>
      </c>
    </row>
    <row r="352" spans="1:19" x14ac:dyDescent="0.45">
      <c r="A352" t="s">
        <v>438</v>
      </c>
      <c r="B352" t="s">
        <v>106</v>
      </c>
      <c r="C352" t="s">
        <v>123</v>
      </c>
      <c r="D352" t="s">
        <v>62</v>
      </c>
      <c r="E352" t="s">
        <v>82</v>
      </c>
      <c r="F352" t="str">
        <f t="shared" si="70"/>
        <v>Samsung Galaxy|Electronics|799.0|APPLE</v>
      </c>
      <c r="G352" t="b">
        <f t="shared" si="71"/>
        <v>1</v>
      </c>
      <c r="H352" t="str">
        <f t="shared" si="72"/>
        <v>Samsung Galaxy</v>
      </c>
      <c r="I352" t="str">
        <f t="shared" si="73"/>
        <v>Samsung Galaxy</v>
      </c>
      <c r="J352" t="str">
        <f t="shared" si="74"/>
        <v>APPLE</v>
      </c>
      <c r="K352" t="str">
        <f t="shared" si="75"/>
        <v>Apple</v>
      </c>
      <c r="L352" t="str">
        <f t="shared" si="76"/>
        <v>Electronics</v>
      </c>
      <c r="M352">
        <f t="shared" si="77"/>
        <v>14</v>
      </c>
      <c r="N352">
        <f t="shared" si="78"/>
        <v>14</v>
      </c>
      <c r="O352" s="6">
        <f t="shared" si="79"/>
        <v>799</v>
      </c>
      <c r="P352" t="str">
        <f t="shared" si="80"/>
        <v>Electronics</v>
      </c>
      <c r="Q352">
        <f t="shared" si="81"/>
        <v>799</v>
      </c>
      <c r="R352" t="str">
        <f t="shared" si="82"/>
        <v>Samsung Galaxy|Electronics|799|Apple</v>
      </c>
      <c r="S352" t="b">
        <f t="shared" si="83"/>
        <v>1</v>
      </c>
    </row>
    <row r="353" spans="1:19" x14ac:dyDescent="0.45">
      <c r="A353" t="s">
        <v>439</v>
      </c>
      <c r="B353" t="s">
        <v>54</v>
      </c>
      <c r="C353" t="s">
        <v>123</v>
      </c>
      <c r="D353" t="s">
        <v>55</v>
      </c>
      <c r="E353" t="s">
        <v>89</v>
      </c>
      <c r="F353" t="str">
        <f t="shared" si="70"/>
        <v>Samsung galaxy|Electronics|799|Apple</v>
      </c>
      <c r="G353" t="b">
        <f t="shared" si="71"/>
        <v>1</v>
      </c>
      <c r="H353" t="str">
        <f t="shared" si="72"/>
        <v>Samsung galaxy</v>
      </c>
      <c r="I353" t="str">
        <f t="shared" si="73"/>
        <v>Samsung Galaxy</v>
      </c>
      <c r="J353" t="str">
        <f t="shared" si="74"/>
        <v>Apple</v>
      </c>
      <c r="K353" t="str">
        <f t="shared" si="75"/>
        <v>Apple</v>
      </c>
      <c r="L353" t="str">
        <f t="shared" si="76"/>
        <v>Electronics</v>
      </c>
      <c r="M353">
        <f t="shared" si="77"/>
        <v>15</v>
      </c>
      <c r="N353">
        <f t="shared" si="78"/>
        <v>14</v>
      </c>
      <c r="O353" s="6">
        <f t="shared" si="79"/>
        <v>799</v>
      </c>
      <c r="P353" t="str">
        <f t="shared" si="80"/>
        <v>Electronics</v>
      </c>
      <c r="Q353">
        <f t="shared" si="81"/>
        <v>799</v>
      </c>
      <c r="R353" t="str">
        <f t="shared" si="82"/>
        <v>Samsung Galaxy|Electronics|799|Apple</v>
      </c>
      <c r="S353" t="b">
        <f t="shared" si="83"/>
        <v>1</v>
      </c>
    </row>
    <row r="354" spans="1:19" x14ac:dyDescent="0.45">
      <c r="A354" t="s">
        <v>440</v>
      </c>
      <c r="B354" t="s">
        <v>72</v>
      </c>
      <c r="C354" t="s">
        <v>85</v>
      </c>
      <c r="D354" t="s">
        <v>62</v>
      </c>
      <c r="E354" t="s">
        <v>79</v>
      </c>
      <c r="F354" t="str">
        <f t="shared" si="70"/>
        <v>google pixel|electronics|799.0|Samsung</v>
      </c>
      <c r="G354" t="b">
        <f t="shared" si="71"/>
        <v>1</v>
      </c>
      <c r="H354" t="str">
        <f t="shared" si="72"/>
        <v>google pixel</v>
      </c>
      <c r="I354" t="str">
        <f t="shared" si="73"/>
        <v>Google Pixel</v>
      </c>
      <c r="J354" t="str">
        <f t="shared" si="74"/>
        <v>Samsung</v>
      </c>
      <c r="K354" t="str">
        <f t="shared" si="75"/>
        <v>Samsung</v>
      </c>
      <c r="L354" t="str">
        <f t="shared" si="76"/>
        <v>Electronics</v>
      </c>
      <c r="M354">
        <f t="shared" si="77"/>
        <v>14</v>
      </c>
      <c r="N354">
        <f t="shared" si="78"/>
        <v>12</v>
      </c>
      <c r="O354" s="6">
        <f t="shared" si="79"/>
        <v>799</v>
      </c>
      <c r="P354" t="str">
        <f t="shared" si="80"/>
        <v>Electronics</v>
      </c>
      <c r="Q354">
        <f t="shared" si="81"/>
        <v>799</v>
      </c>
      <c r="R354" t="str">
        <f t="shared" si="82"/>
        <v>Google Pixel|Electronics|799|Samsung</v>
      </c>
      <c r="S354" t="b">
        <f t="shared" si="83"/>
        <v>1</v>
      </c>
    </row>
    <row r="355" spans="1:19" x14ac:dyDescent="0.45">
      <c r="A355" t="s">
        <v>441</v>
      </c>
      <c r="B355" t="s">
        <v>87</v>
      </c>
      <c r="C355" t="s">
        <v>73</v>
      </c>
      <c r="D355" t="s">
        <v>55</v>
      </c>
      <c r="E355" t="s">
        <v>79</v>
      </c>
      <c r="F355" t="str">
        <f t="shared" si="70"/>
        <v>Google Pixel|Electro|799|Samsung</v>
      </c>
      <c r="G355" t="b">
        <f t="shared" si="71"/>
        <v>1</v>
      </c>
      <c r="H355" t="str">
        <f t="shared" si="72"/>
        <v>Google Pixel</v>
      </c>
      <c r="I355" t="str">
        <f t="shared" si="73"/>
        <v>Google Pixel</v>
      </c>
      <c r="J355" t="str">
        <f t="shared" si="74"/>
        <v>Samsung</v>
      </c>
      <c r="K355" t="str">
        <f t="shared" si="75"/>
        <v>Samsung</v>
      </c>
      <c r="L355" t="str">
        <f t="shared" si="76"/>
        <v>Electronics</v>
      </c>
      <c r="M355">
        <f t="shared" si="77"/>
        <v>12</v>
      </c>
      <c r="N355">
        <f t="shared" si="78"/>
        <v>12</v>
      </c>
      <c r="O355" s="6">
        <f t="shared" si="79"/>
        <v>799</v>
      </c>
      <c r="P355" t="str">
        <f t="shared" si="80"/>
        <v>Electronics</v>
      </c>
      <c r="Q355">
        <f t="shared" si="81"/>
        <v>799</v>
      </c>
      <c r="R355" t="str">
        <f t="shared" si="82"/>
        <v>Google Pixel|Electronics|799|Samsung</v>
      </c>
      <c r="S355" t="b">
        <f t="shared" si="83"/>
        <v>1</v>
      </c>
    </row>
    <row r="356" spans="1:19" x14ac:dyDescent="0.45">
      <c r="A356" t="s">
        <v>442</v>
      </c>
      <c r="B356" t="s">
        <v>138</v>
      </c>
      <c r="C356" t="s">
        <v>73</v>
      </c>
      <c r="D356" t="s">
        <v>74</v>
      </c>
      <c r="E356" t="s">
        <v>70</v>
      </c>
      <c r="F356" t="str">
        <f t="shared" si="70"/>
        <v>APPLE IPHONE 14|Electro|799|Samsung</v>
      </c>
      <c r="G356" t="b">
        <f t="shared" si="71"/>
        <v>0</v>
      </c>
      <c r="H356" t="str">
        <f t="shared" si="72"/>
        <v>APPLE IPHONE 14</v>
      </c>
      <c r="I356" t="str">
        <f t="shared" si="73"/>
        <v>Apple Iphone 14</v>
      </c>
      <c r="J356" t="str">
        <f t="shared" si="74"/>
        <v>Samsung</v>
      </c>
      <c r="K356" t="str">
        <f t="shared" si="75"/>
        <v>Samsung</v>
      </c>
      <c r="L356" t="str">
        <f t="shared" si="76"/>
        <v>Electronics</v>
      </c>
      <c r="M356">
        <f t="shared" si="77"/>
        <v>15</v>
      </c>
      <c r="N356">
        <f t="shared" si="78"/>
        <v>15</v>
      </c>
      <c r="O356" s="6">
        <f t="shared" si="79"/>
        <v>799</v>
      </c>
      <c r="P356" t="str">
        <f t="shared" si="80"/>
        <v>Electronics</v>
      </c>
      <c r="Q356">
        <f t="shared" si="81"/>
        <v>799</v>
      </c>
      <c r="R356" t="str">
        <f t="shared" si="82"/>
        <v>Apple Iphone 14|Electronics|799|Samsung</v>
      </c>
      <c r="S356" t="b">
        <f t="shared" si="83"/>
        <v>1</v>
      </c>
    </row>
    <row r="357" spans="1:19" x14ac:dyDescent="0.45">
      <c r="A357" t="s">
        <v>443</v>
      </c>
      <c r="B357" t="s">
        <v>102</v>
      </c>
      <c r="C357" t="s">
        <v>85</v>
      </c>
      <c r="D357" t="s">
        <v>55</v>
      </c>
      <c r="E357" t="s">
        <v>91</v>
      </c>
      <c r="F357" t="str">
        <f t="shared" si="70"/>
        <v>GOOGLE PIXEL|electronics|799|Apple</v>
      </c>
      <c r="G357" t="b">
        <f t="shared" si="71"/>
        <v>1</v>
      </c>
      <c r="H357" t="str">
        <f t="shared" si="72"/>
        <v>GOOGLE PIXEL</v>
      </c>
      <c r="I357" t="str">
        <f t="shared" si="73"/>
        <v>Google Pixel</v>
      </c>
      <c r="J357" t="str">
        <f t="shared" si="74"/>
        <v>Apple</v>
      </c>
      <c r="K357" t="str">
        <f t="shared" si="75"/>
        <v>Apple</v>
      </c>
      <c r="L357" t="str">
        <f t="shared" si="76"/>
        <v>Electronics</v>
      </c>
      <c r="M357">
        <f t="shared" si="77"/>
        <v>13</v>
      </c>
      <c r="N357">
        <f t="shared" si="78"/>
        <v>12</v>
      </c>
      <c r="O357" s="6">
        <f t="shared" si="79"/>
        <v>799</v>
      </c>
      <c r="P357" t="str">
        <f t="shared" si="80"/>
        <v>Electronics</v>
      </c>
      <c r="Q357">
        <f t="shared" si="81"/>
        <v>799</v>
      </c>
      <c r="R357" t="str">
        <f t="shared" si="82"/>
        <v>Google Pixel|Electronics|799|Apple</v>
      </c>
      <c r="S357" t="b">
        <f t="shared" si="83"/>
        <v>1</v>
      </c>
    </row>
    <row r="358" spans="1:19" x14ac:dyDescent="0.45">
      <c r="A358" t="s">
        <v>444</v>
      </c>
      <c r="B358" t="s">
        <v>58</v>
      </c>
      <c r="C358" t="s">
        <v>85</v>
      </c>
      <c r="D358" t="s">
        <v>88</v>
      </c>
      <c r="E358" t="s">
        <v>67</v>
      </c>
      <c r="F358" t="str">
        <f t="shared" si="70"/>
        <v>Google pixel|electronics|USD 799|apple</v>
      </c>
      <c r="G358" t="b">
        <f t="shared" si="71"/>
        <v>1</v>
      </c>
      <c r="H358" t="str">
        <f t="shared" si="72"/>
        <v>Google pixel</v>
      </c>
      <c r="I358" t="str">
        <f t="shared" si="73"/>
        <v>Google Pixel</v>
      </c>
      <c r="J358" t="str">
        <f t="shared" si="74"/>
        <v>apple</v>
      </c>
      <c r="K358" t="str">
        <f t="shared" si="75"/>
        <v>Apple</v>
      </c>
      <c r="L358" t="str">
        <f t="shared" si="76"/>
        <v>Electronics</v>
      </c>
      <c r="M358">
        <f t="shared" si="77"/>
        <v>12</v>
      </c>
      <c r="N358">
        <f t="shared" si="78"/>
        <v>12</v>
      </c>
      <c r="O358" s="6">
        <f t="shared" si="79"/>
        <v>799</v>
      </c>
      <c r="P358" t="str">
        <f t="shared" si="80"/>
        <v>Electronics</v>
      </c>
      <c r="Q358">
        <f t="shared" si="81"/>
        <v>799</v>
      </c>
      <c r="R358" t="str">
        <f t="shared" si="82"/>
        <v>Google Pixel|Electronics|799|Apple</v>
      </c>
      <c r="S358" t="b">
        <f t="shared" si="83"/>
        <v>1</v>
      </c>
    </row>
    <row r="359" spans="1:19" x14ac:dyDescent="0.45">
      <c r="A359" t="s">
        <v>445</v>
      </c>
      <c r="B359" t="s">
        <v>106</v>
      </c>
      <c r="C359" t="s">
        <v>61</v>
      </c>
      <c r="D359" t="s">
        <v>66</v>
      </c>
      <c r="E359" t="s">
        <v>63</v>
      </c>
      <c r="F359" t="str">
        <f t="shared" si="70"/>
        <v>Samsung Galaxy|Electrnics|799.00|Google</v>
      </c>
      <c r="G359" t="b">
        <f t="shared" si="71"/>
        <v>1</v>
      </c>
      <c r="H359" t="str">
        <f t="shared" si="72"/>
        <v>Samsung Galaxy</v>
      </c>
      <c r="I359" t="str">
        <f t="shared" si="73"/>
        <v>Samsung Galaxy</v>
      </c>
      <c r="J359" t="str">
        <f t="shared" si="74"/>
        <v>Google</v>
      </c>
      <c r="K359" t="str">
        <f t="shared" si="75"/>
        <v>Google</v>
      </c>
      <c r="L359" t="str">
        <f t="shared" si="76"/>
        <v>Electronics</v>
      </c>
      <c r="M359">
        <f t="shared" si="77"/>
        <v>14</v>
      </c>
      <c r="N359">
        <f t="shared" si="78"/>
        <v>14</v>
      </c>
      <c r="O359" s="6">
        <f t="shared" si="79"/>
        <v>799</v>
      </c>
      <c r="P359" t="str">
        <f t="shared" si="80"/>
        <v>Electronics</v>
      </c>
      <c r="Q359">
        <f t="shared" si="81"/>
        <v>799</v>
      </c>
      <c r="R359" t="str">
        <f t="shared" si="82"/>
        <v>Samsung Galaxy|Electronics|799|Google</v>
      </c>
      <c r="S359" t="b">
        <f t="shared" si="83"/>
        <v>1</v>
      </c>
    </row>
    <row r="360" spans="1:19" x14ac:dyDescent="0.45">
      <c r="A360" t="s">
        <v>446</v>
      </c>
      <c r="B360" t="s">
        <v>65</v>
      </c>
      <c r="C360" t="s">
        <v>96</v>
      </c>
      <c r="D360" t="s">
        <v>69</v>
      </c>
      <c r="E360" t="s">
        <v>63</v>
      </c>
      <c r="F360" t="str">
        <f t="shared" si="70"/>
        <v>apple iphone 14|Gadgets|799|Google</v>
      </c>
      <c r="G360" t="b">
        <f t="shared" si="71"/>
        <v>1</v>
      </c>
      <c r="H360" t="str">
        <f t="shared" si="72"/>
        <v>apple iphone 14</v>
      </c>
      <c r="I360" t="str">
        <f t="shared" si="73"/>
        <v>Apple Iphone 14</v>
      </c>
      <c r="J360" t="str">
        <f t="shared" si="74"/>
        <v>Google</v>
      </c>
      <c r="K360" t="str">
        <f t="shared" si="75"/>
        <v>Google</v>
      </c>
      <c r="L360" t="str">
        <f t="shared" si="76"/>
        <v>Gadgets</v>
      </c>
      <c r="M360">
        <f t="shared" si="77"/>
        <v>17</v>
      </c>
      <c r="N360">
        <f t="shared" si="78"/>
        <v>15</v>
      </c>
      <c r="O360" s="6">
        <f t="shared" si="79"/>
        <v>799</v>
      </c>
      <c r="P360" t="str">
        <f t="shared" si="80"/>
        <v>Gadgets</v>
      </c>
      <c r="Q360">
        <f t="shared" si="81"/>
        <v>799</v>
      </c>
      <c r="R360" t="str">
        <f t="shared" si="82"/>
        <v>Apple Iphone 14|Gadgets|799|Google</v>
      </c>
      <c r="S360" t="b">
        <f t="shared" si="83"/>
        <v>1</v>
      </c>
    </row>
    <row r="361" spans="1:19" x14ac:dyDescent="0.45">
      <c r="A361" t="s">
        <v>447</v>
      </c>
      <c r="B361" t="s">
        <v>109</v>
      </c>
      <c r="C361" t="s">
        <v>85</v>
      </c>
      <c r="D361" t="s">
        <v>69</v>
      </c>
      <c r="E361" t="s">
        <v>82</v>
      </c>
      <c r="F361" t="str">
        <f t="shared" si="70"/>
        <v>Apple iPhone14|electronics|799|APPLE</v>
      </c>
      <c r="G361" t="b">
        <f t="shared" si="71"/>
        <v>1</v>
      </c>
      <c r="H361" t="str">
        <f t="shared" si="72"/>
        <v>Apple iPhone14</v>
      </c>
      <c r="I361" t="str">
        <f t="shared" si="73"/>
        <v>Apple Iphone14</v>
      </c>
      <c r="J361" t="str">
        <f t="shared" si="74"/>
        <v>APPLE</v>
      </c>
      <c r="K361" t="str">
        <f t="shared" si="75"/>
        <v>Apple</v>
      </c>
      <c r="L361" t="str">
        <f t="shared" si="76"/>
        <v>Electronics</v>
      </c>
      <c r="M361">
        <f t="shared" si="77"/>
        <v>15</v>
      </c>
      <c r="N361">
        <f t="shared" si="78"/>
        <v>14</v>
      </c>
      <c r="O361" s="6">
        <f t="shared" si="79"/>
        <v>799</v>
      </c>
      <c r="P361" t="str">
        <f t="shared" si="80"/>
        <v>Electronics</v>
      </c>
      <c r="Q361">
        <f t="shared" si="81"/>
        <v>799</v>
      </c>
      <c r="R361" t="str">
        <f t="shared" si="82"/>
        <v>Apple Iphone14|Electronics|799|Apple</v>
      </c>
      <c r="S361" t="b">
        <f t="shared" si="83"/>
        <v>1</v>
      </c>
    </row>
    <row r="362" spans="1:19" x14ac:dyDescent="0.45">
      <c r="A362" t="s">
        <v>448</v>
      </c>
      <c r="B362" t="s">
        <v>65</v>
      </c>
      <c r="C362" t="s">
        <v>123</v>
      </c>
      <c r="E362" t="s">
        <v>70</v>
      </c>
      <c r="F362" t="str">
        <f t="shared" si="70"/>
        <v>apple iphone 14|Electronics||Samsung</v>
      </c>
      <c r="G362" t="b">
        <f t="shared" si="71"/>
        <v>1</v>
      </c>
      <c r="H362" t="str">
        <f t="shared" si="72"/>
        <v>apple iphone 14</v>
      </c>
      <c r="I362" t="str">
        <f t="shared" si="73"/>
        <v>Apple Iphone 14</v>
      </c>
      <c r="J362" t="str">
        <f t="shared" si="74"/>
        <v>Samsung</v>
      </c>
      <c r="K362" t="str">
        <f t="shared" si="75"/>
        <v>Samsung</v>
      </c>
      <c r="L362" t="str">
        <f t="shared" si="76"/>
        <v>Electronics</v>
      </c>
      <c r="M362">
        <f t="shared" si="77"/>
        <v>17</v>
      </c>
      <c r="N362">
        <f t="shared" si="78"/>
        <v>15</v>
      </c>
      <c r="O362" s="6" t="str">
        <f t="shared" si="79"/>
        <v/>
      </c>
      <c r="P362" t="str">
        <f t="shared" si="80"/>
        <v>Electronics</v>
      </c>
      <c r="Q362" t="str">
        <f t="shared" si="81"/>
        <v>Not Available</v>
      </c>
      <c r="R362" t="str">
        <f t="shared" si="82"/>
        <v>Apple Iphone 14|Electronics|Not Available|Samsung</v>
      </c>
      <c r="S362" t="b">
        <f t="shared" si="83"/>
        <v>1</v>
      </c>
    </row>
    <row r="363" spans="1:19" x14ac:dyDescent="0.45">
      <c r="A363" t="s">
        <v>449</v>
      </c>
      <c r="B363" t="s">
        <v>93</v>
      </c>
      <c r="C363" t="s">
        <v>73</v>
      </c>
      <c r="D363" t="s">
        <v>69</v>
      </c>
      <c r="E363" t="s">
        <v>79</v>
      </c>
      <c r="F363" t="str">
        <f t="shared" si="70"/>
        <v>SAMSUNG GALAXY|Electro|799|Samsung</v>
      </c>
      <c r="G363" t="b">
        <f t="shared" si="71"/>
        <v>0</v>
      </c>
      <c r="H363" t="str">
        <f t="shared" si="72"/>
        <v>SAMSUNG GALAXY</v>
      </c>
      <c r="I363" t="str">
        <f t="shared" si="73"/>
        <v>Samsung Galaxy</v>
      </c>
      <c r="J363" t="str">
        <f t="shared" si="74"/>
        <v>Samsung</v>
      </c>
      <c r="K363" t="str">
        <f t="shared" si="75"/>
        <v>Samsung</v>
      </c>
      <c r="L363" t="str">
        <f t="shared" si="76"/>
        <v>Electronics</v>
      </c>
      <c r="M363">
        <f t="shared" si="77"/>
        <v>14</v>
      </c>
      <c r="N363">
        <f t="shared" si="78"/>
        <v>14</v>
      </c>
      <c r="O363" s="6">
        <f t="shared" si="79"/>
        <v>799</v>
      </c>
      <c r="P363" t="str">
        <f t="shared" si="80"/>
        <v>Electronics</v>
      </c>
      <c r="Q363">
        <f t="shared" si="81"/>
        <v>799</v>
      </c>
      <c r="R363" t="str">
        <f t="shared" si="82"/>
        <v>Samsung Galaxy|Electronics|799|Samsung</v>
      </c>
      <c r="S363" t="b">
        <f t="shared" si="83"/>
        <v>1</v>
      </c>
    </row>
    <row r="364" spans="1:19" x14ac:dyDescent="0.45">
      <c r="A364" t="s">
        <v>450</v>
      </c>
      <c r="B364" t="s">
        <v>58</v>
      </c>
      <c r="C364" t="s">
        <v>123</v>
      </c>
      <c r="D364" t="s">
        <v>55</v>
      </c>
      <c r="E364" t="s">
        <v>63</v>
      </c>
      <c r="F364" t="str">
        <f t="shared" si="70"/>
        <v>Google pixel|Electronics|799|Google</v>
      </c>
      <c r="G364" t="b">
        <f t="shared" si="71"/>
        <v>1</v>
      </c>
      <c r="H364" t="str">
        <f t="shared" si="72"/>
        <v>Google pixel</v>
      </c>
      <c r="I364" t="str">
        <f t="shared" si="73"/>
        <v>Google Pixel</v>
      </c>
      <c r="J364" t="str">
        <f t="shared" si="74"/>
        <v>Google</v>
      </c>
      <c r="K364" t="str">
        <f t="shared" si="75"/>
        <v>Google</v>
      </c>
      <c r="L364" t="str">
        <f t="shared" si="76"/>
        <v>Electronics</v>
      </c>
      <c r="M364">
        <f t="shared" si="77"/>
        <v>12</v>
      </c>
      <c r="N364">
        <f t="shared" si="78"/>
        <v>12</v>
      </c>
      <c r="O364" s="6">
        <f t="shared" si="79"/>
        <v>799</v>
      </c>
      <c r="P364" t="str">
        <f t="shared" si="80"/>
        <v>Electronics</v>
      </c>
      <c r="Q364">
        <f t="shared" si="81"/>
        <v>799</v>
      </c>
      <c r="R364" t="str">
        <f t="shared" si="82"/>
        <v>Google Pixel|Electronics|799|Google</v>
      </c>
      <c r="S364" t="b">
        <f t="shared" si="83"/>
        <v>1</v>
      </c>
    </row>
    <row r="365" spans="1:19" x14ac:dyDescent="0.45">
      <c r="A365" t="s">
        <v>451</v>
      </c>
      <c r="B365" t="s">
        <v>109</v>
      </c>
      <c r="C365" t="s">
        <v>123</v>
      </c>
      <c r="D365" t="s">
        <v>69</v>
      </c>
      <c r="E365" t="s">
        <v>67</v>
      </c>
      <c r="F365" t="str">
        <f t="shared" si="70"/>
        <v>Apple iPhone14|Electronics|799|apple</v>
      </c>
      <c r="G365" t="b">
        <f t="shared" si="71"/>
        <v>1</v>
      </c>
      <c r="H365" t="str">
        <f t="shared" si="72"/>
        <v>Apple iPhone14</v>
      </c>
      <c r="I365" t="str">
        <f t="shared" si="73"/>
        <v>Apple Iphone14</v>
      </c>
      <c r="J365" t="str">
        <f t="shared" si="74"/>
        <v>apple</v>
      </c>
      <c r="K365" t="str">
        <f t="shared" si="75"/>
        <v>Apple</v>
      </c>
      <c r="L365" t="str">
        <f t="shared" si="76"/>
        <v>Electronics</v>
      </c>
      <c r="M365">
        <f t="shared" si="77"/>
        <v>15</v>
      </c>
      <c r="N365">
        <f t="shared" si="78"/>
        <v>14</v>
      </c>
      <c r="O365" s="6">
        <f t="shared" si="79"/>
        <v>799</v>
      </c>
      <c r="P365" t="str">
        <f t="shared" si="80"/>
        <v>Electronics</v>
      </c>
      <c r="Q365">
        <f t="shared" si="81"/>
        <v>799</v>
      </c>
      <c r="R365" t="str">
        <f t="shared" si="82"/>
        <v>Apple Iphone14|Electronics|799|Apple</v>
      </c>
      <c r="S365" t="b">
        <f t="shared" si="83"/>
        <v>1</v>
      </c>
    </row>
    <row r="366" spans="1:19" x14ac:dyDescent="0.45">
      <c r="A366" t="s">
        <v>452</v>
      </c>
      <c r="B366" t="s">
        <v>106</v>
      </c>
      <c r="C366" t="s">
        <v>94</v>
      </c>
      <c r="E366" t="s">
        <v>82</v>
      </c>
      <c r="F366" t="str">
        <f t="shared" si="70"/>
        <v>Samsung Galaxy|gadgets||APPLE</v>
      </c>
      <c r="G366" t="b">
        <f t="shared" si="71"/>
        <v>1</v>
      </c>
      <c r="H366" t="str">
        <f t="shared" si="72"/>
        <v>Samsung Galaxy</v>
      </c>
      <c r="I366" t="str">
        <f t="shared" si="73"/>
        <v>Samsung Galaxy</v>
      </c>
      <c r="J366" t="str">
        <f t="shared" si="74"/>
        <v>APPLE</v>
      </c>
      <c r="K366" t="str">
        <f t="shared" si="75"/>
        <v>Apple</v>
      </c>
      <c r="L366" t="str">
        <f t="shared" si="76"/>
        <v>Gadgets</v>
      </c>
      <c r="M366">
        <f t="shared" si="77"/>
        <v>14</v>
      </c>
      <c r="N366">
        <f t="shared" si="78"/>
        <v>14</v>
      </c>
      <c r="O366" s="6" t="str">
        <f t="shared" si="79"/>
        <v/>
      </c>
      <c r="P366" t="str">
        <f t="shared" si="80"/>
        <v>Gadgets</v>
      </c>
      <c r="Q366" t="str">
        <f t="shared" si="81"/>
        <v>Not Available</v>
      </c>
      <c r="R366" t="str">
        <f t="shared" si="82"/>
        <v>Samsung Galaxy|Gadgets|Not Available|Apple</v>
      </c>
      <c r="S366" t="b">
        <f t="shared" si="83"/>
        <v>1</v>
      </c>
    </row>
    <row r="367" spans="1:19" x14ac:dyDescent="0.45">
      <c r="A367" t="s">
        <v>453</v>
      </c>
      <c r="B367" t="s">
        <v>65</v>
      </c>
      <c r="C367" t="s">
        <v>85</v>
      </c>
      <c r="D367" t="s">
        <v>66</v>
      </c>
      <c r="E367" t="s">
        <v>56</v>
      </c>
      <c r="F367" t="str">
        <f t="shared" si="70"/>
        <v>apple iphone 14|electronics|799.00|GOOGLE</v>
      </c>
      <c r="G367" t="b">
        <f t="shared" si="71"/>
        <v>1</v>
      </c>
      <c r="H367" t="str">
        <f t="shared" si="72"/>
        <v>apple iphone 14</v>
      </c>
      <c r="I367" t="str">
        <f t="shared" si="73"/>
        <v>Apple Iphone 14</v>
      </c>
      <c r="J367" t="str">
        <f t="shared" si="74"/>
        <v>GOOGLE</v>
      </c>
      <c r="K367" t="str">
        <f t="shared" si="75"/>
        <v>Google</v>
      </c>
      <c r="L367" t="str">
        <f t="shared" si="76"/>
        <v>Electronics</v>
      </c>
      <c r="M367">
        <f t="shared" si="77"/>
        <v>17</v>
      </c>
      <c r="N367">
        <f t="shared" si="78"/>
        <v>15</v>
      </c>
      <c r="O367" s="6">
        <f t="shared" si="79"/>
        <v>799</v>
      </c>
      <c r="P367" t="str">
        <f t="shared" si="80"/>
        <v>Electronics</v>
      </c>
      <c r="Q367">
        <f t="shared" si="81"/>
        <v>799</v>
      </c>
      <c r="R367" t="str">
        <f t="shared" si="82"/>
        <v>Apple Iphone 14|Electronics|799|Google</v>
      </c>
      <c r="S367" t="b">
        <f t="shared" si="83"/>
        <v>1</v>
      </c>
    </row>
    <row r="368" spans="1:19" x14ac:dyDescent="0.45">
      <c r="A368" t="s">
        <v>454</v>
      </c>
      <c r="B368" t="s">
        <v>109</v>
      </c>
      <c r="C368" t="s">
        <v>96</v>
      </c>
      <c r="D368" t="s">
        <v>66</v>
      </c>
      <c r="E368" t="s">
        <v>56</v>
      </c>
      <c r="F368" t="str">
        <f t="shared" si="70"/>
        <v>Apple iPhone14|Gadgets|799.00|GOOGLE</v>
      </c>
      <c r="G368" t="b">
        <f t="shared" si="71"/>
        <v>0</v>
      </c>
      <c r="H368" t="str">
        <f t="shared" si="72"/>
        <v>Apple iPhone14</v>
      </c>
      <c r="I368" t="str">
        <f t="shared" si="73"/>
        <v>Apple Iphone14</v>
      </c>
      <c r="J368" t="str">
        <f t="shared" si="74"/>
        <v>GOOGLE</v>
      </c>
      <c r="K368" t="str">
        <f t="shared" si="75"/>
        <v>Google</v>
      </c>
      <c r="L368" t="str">
        <f t="shared" si="76"/>
        <v>Gadgets</v>
      </c>
      <c r="M368">
        <f t="shared" si="77"/>
        <v>15</v>
      </c>
      <c r="N368">
        <f t="shared" si="78"/>
        <v>14</v>
      </c>
      <c r="O368" s="6">
        <f t="shared" si="79"/>
        <v>799</v>
      </c>
      <c r="P368" t="str">
        <f t="shared" si="80"/>
        <v>Gadgets</v>
      </c>
      <c r="Q368">
        <f t="shared" si="81"/>
        <v>799</v>
      </c>
      <c r="R368" t="str">
        <f t="shared" si="82"/>
        <v>Apple Iphone14|Gadgets|799|Google</v>
      </c>
      <c r="S368" t="b">
        <f t="shared" si="83"/>
        <v>1</v>
      </c>
    </row>
    <row r="369" spans="1:19" x14ac:dyDescent="0.45">
      <c r="A369" t="s">
        <v>455</v>
      </c>
      <c r="B369" t="s">
        <v>72</v>
      </c>
      <c r="C369" t="s">
        <v>94</v>
      </c>
      <c r="D369" t="s">
        <v>62</v>
      </c>
      <c r="E369" t="s">
        <v>112</v>
      </c>
      <c r="F369" t="str">
        <f t="shared" si="70"/>
        <v>google pixel|gadgets|799.0|SAMSUNG</v>
      </c>
      <c r="G369" t="b">
        <f t="shared" si="71"/>
        <v>1</v>
      </c>
      <c r="H369" t="str">
        <f t="shared" si="72"/>
        <v>google pixel</v>
      </c>
      <c r="I369" t="str">
        <f t="shared" si="73"/>
        <v>Google Pixel</v>
      </c>
      <c r="J369" t="str">
        <f t="shared" si="74"/>
        <v>SAMSUNG</v>
      </c>
      <c r="K369" t="str">
        <f t="shared" si="75"/>
        <v>Samsung</v>
      </c>
      <c r="L369" t="str">
        <f t="shared" si="76"/>
        <v>Gadgets</v>
      </c>
      <c r="M369">
        <f t="shared" si="77"/>
        <v>14</v>
      </c>
      <c r="N369">
        <f t="shared" si="78"/>
        <v>12</v>
      </c>
      <c r="O369" s="6">
        <f t="shared" si="79"/>
        <v>799</v>
      </c>
      <c r="P369" t="str">
        <f t="shared" si="80"/>
        <v>Gadgets</v>
      </c>
      <c r="Q369">
        <f t="shared" si="81"/>
        <v>799</v>
      </c>
      <c r="R369" t="str">
        <f t="shared" si="82"/>
        <v>Google Pixel|Gadgets|799|Samsung</v>
      </c>
      <c r="S369" t="b">
        <f t="shared" si="83"/>
        <v>1</v>
      </c>
    </row>
    <row r="370" spans="1:19" x14ac:dyDescent="0.45">
      <c r="A370" t="s">
        <v>456</v>
      </c>
      <c r="B370" t="s">
        <v>72</v>
      </c>
      <c r="C370" t="s">
        <v>61</v>
      </c>
      <c r="D370" t="s">
        <v>74</v>
      </c>
      <c r="E370" t="s">
        <v>91</v>
      </c>
      <c r="F370" t="str">
        <f t="shared" si="70"/>
        <v>google pixel|Electrnics|799|Apple</v>
      </c>
      <c r="G370" t="b">
        <f t="shared" si="71"/>
        <v>1</v>
      </c>
      <c r="H370" t="str">
        <f t="shared" si="72"/>
        <v>google pixel</v>
      </c>
      <c r="I370" t="str">
        <f t="shared" si="73"/>
        <v>Google Pixel</v>
      </c>
      <c r="J370" t="str">
        <f t="shared" si="74"/>
        <v>Apple</v>
      </c>
      <c r="K370" t="str">
        <f t="shared" si="75"/>
        <v>Apple</v>
      </c>
      <c r="L370" t="str">
        <f t="shared" si="76"/>
        <v>Electronics</v>
      </c>
      <c r="M370">
        <f t="shared" si="77"/>
        <v>14</v>
      </c>
      <c r="N370">
        <f t="shared" si="78"/>
        <v>12</v>
      </c>
      <c r="O370" s="6">
        <f t="shared" si="79"/>
        <v>799</v>
      </c>
      <c r="P370" t="str">
        <f t="shared" si="80"/>
        <v>Electronics</v>
      </c>
      <c r="Q370">
        <f t="shared" si="81"/>
        <v>799</v>
      </c>
      <c r="R370" t="str">
        <f t="shared" si="82"/>
        <v>Google Pixel|Electronics|799|Apple</v>
      </c>
      <c r="S370" t="b">
        <f t="shared" si="83"/>
        <v>1</v>
      </c>
    </row>
    <row r="371" spans="1:19" x14ac:dyDescent="0.45">
      <c r="A371" t="s">
        <v>457</v>
      </c>
      <c r="B371" t="s">
        <v>58</v>
      </c>
      <c r="C371" t="s">
        <v>96</v>
      </c>
      <c r="D371" t="s">
        <v>81</v>
      </c>
      <c r="E371" t="s">
        <v>89</v>
      </c>
      <c r="F371" t="str">
        <f t="shared" si="70"/>
        <v>Google pixel|Gadgets|$799|Apple</v>
      </c>
      <c r="G371" t="b">
        <f t="shared" si="71"/>
        <v>1</v>
      </c>
      <c r="H371" t="str">
        <f t="shared" si="72"/>
        <v>Google pixel</v>
      </c>
      <c r="I371" t="str">
        <f t="shared" si="73"/>
        <v>Google Pixel</v>
      </c>
      <c r="J371" t="str">
        <f t="shared" si="74"/>
        <v>Apple</v>
      </c>
      <c r="K371" t="str">
        <f t="shared" si="75"/>
        <v>Apple</v>
      </c>
      <c r="L371" t="str">
        <f t="shared" si="76"/>
        <v>Gadgets</v>
      </c>
      <c r="M371">
        <f t="shared" si="77"/>
        <v>12</v>
      </c>
      <c r="N371">
        <f t="shared" si="78"/>
        <v>12</v>
      </c>
      <c r="O371" s="6">
        <f t="shared" si="79"/>
        <v>799</v>
      </c>
      <c r="P371" t="str">
        <f t="shared" si="80"/>
        <v>Gadgets</v>
      </c>
      <c r="Q371">
        <f t="shared" si="81"/>
        <v>799</v>
      </c>
      <c r="R371" t="str">
        <f t="shared" si="82"/>
        <v>Google Pixel|Gadgets|799|Apple</v>
      </c>
      <c r="S371" t="b">
        <f t="shared" si="83"/>
        <v>1</v>
      </c>
    </row>
    <row r="372" spans="1:19" x14ac:dyDescent="0.45">
      <c r="A372" t="s">
        <v>458</v>
      </c>
      <c r="B372" t="s">
        <v>106</v>
      </c>
      <c r="C372" t="s">
        <v>73</v>
      </c>
      <c r="E372" t="s">
        <v>56</v>
      </c>
      <c r="F372" t="str">
        <f t="shared" si="70"/>
        <v>Samsung Galaxy|Electro||GOOGLE</v>
      </c>
      <c r="G372" t="b">
        <f t="shared" si="71"/>
        <v>1</v>
      </c>
      <c r="H372" t="str">
        <f t="shared" si="72"/>
        <v>Samsung Galaxy</v>
      </c>
      <c r="I372" t="str">
        <f t="shared" si="73"/>
        <v>Samsung Galaxy</v>
      </c>
      <c r="J372" t="str">
        <f t="shared" si="74"/>
        <v>GOOGLE</v>
      </c>
      <c r="K372" t="str">
        <f t="shared" si="75"/>
        <v>Google</v>
      </c>
      <c r="L372" t="str">
        <f t="shared" si="76"/>
        <v>Electronics</v>
      </c>
      <c r="M372">
        <f t="shared" si="77"/>
        <v>14</v>
      </c>
      <c r="N372">
        <f t="shared" si="78"/>
        <v>14</v>
      </c>
      <c r="O372" s="6" t="str">
        <f t="shared" si="79"/>
        <v/>
      </c>
      <c r="P372" t="str">
        <f t="shared" si="80"/>
        <v>Electronics</v>
      </c>
      <c r="Q372" t="str">
        <f t="shared" si="81"/>
        <v>Not Available</v>
      </c>
      <c r="R372" t="str">
        <f t="shared" si="82"/>
        <v>Samsung Galaxy|Electronics|Not Available|Google</v>
      </c>
      <c r="S372" t="b">
        <f t="shared" si="83"/>
        <v>1</v>
      </c>
    </row>
    <row r="373" spans="1:19" x14ac:dyDescent="0.45">
      <c r="A373" t="s">
        <v>459</v>
      </c>
      <c r="B373" t="s">
        <v>109</v>
      </c>
      <c r="D373" t="s">
        <v>55</v>
      </c>
      <c r="E373" t="s">
        <v>70</v>
      </c>
      <c r="F373" t="str">
        <f t="shared" si="70"/>
        <v>Apple iPhone14||799|Samsung</v>
      </c>
      <c r="G373" t="b">
        <f t="shared" si="71"/>
        <v>1</v>
      </c>
      <c r="H373" t="str">
        <f t="shared" si="72"/>
        <v>Apple iPhone14</v>
      </c>
      <c r="I373" t="str">
        <f t="shared" si="73"/>
        <v>Apple Iphone14</v>
      </c>
      <c r="J373" t="str">
        <f t="shared" si="74"/>
        <v>Samsung</v>
      </c>
      <c r="K373" t="str">
        <f t="shared" si="75"/>
        <v>Samsung</v>
      </c>
      <c r="L373" t="str">
        <f t="shared" si="76"/>
        <v/>
      </c>
      <c r="M373">
        <f t="shared" si="77"/>
        <v>15</v>
      </c>
      <c r="N373">
        <f t="shared" si="78"/>
        <v>14</v>
      </c>
      <c r="O373" s="6">
        <f t="shared" si="79"/>
        <v>799</v>
      </c>
      <c r="P373" t="str">
        <f t="shared" si="80"/>
        <v>Not Available</v>
      </c>
      <c r="Q373">
        <f t="shared" si="81"/>
        <v>799</v>
      </c>
      <c r="R373" t="str">
        <f t="shared" si="82"/>
        <v>Apple Iphone14|Not Available|799|Samsung</v>
      </c>
      <c r="S373" t="b">
        <f t="shared" si="83"/>
        <v>1</v>
      </c>
    </row>
    <row r="374" spans="1:19" x14ac:dyDescent="0.45">
      <c r="A374" t="s">
        <v>460</v>
      </c>
      <c r="B374" t="s">
        <v>72</v>
      </c>
      <c r="D374" t="s">
        <v>74</v>
      </c>
      <c r="E374" t="s">
        <v>79</v>
      </c>
      <c r="F374" t="str">
        <f t="shared" si="70"/>
        <v>google pixel||799|Samsung</v>
      </c>
      <c r="G374" t="b">
        <f t="shared" si="71"/>
        <v>1</v>
      </c>
      <c r="H374" t="str">
        <f t="shared" si="72"/>
        <v>google pixel</v>
      </c>
      <c r="I374" t="str">
        <f t="shared" si="73"/>
        <v>Google Pixel</v>
      </c>
      <c r="J374" t="str">
        <f t="shared" si="74"/>
        <v>Samsung</v>
      </c>
      <c r="K374" t="str">
        <f t="shared" si="75"/>
        <v>Samsung</v>
      </c>
      <c r="L374" t="str">
        <f t="shared" si="76"/>
        <v/>
      </c>
      <c r="M374">
        <f t="shared" si="77"/>
        <v>14</v>
      </c>
      <c r="N374">
        <f t="shared" si="78"/>
        <v>12</v>
      </c>
      <c r="O374" s="6">
        <f t="shared" si="79"/>
        <v>799</v>
      </c>
      <c r="P374" t="str">
        <f t="shared" si="80"/>
        <v>Not Available</v>
      </c>
      <c r="Q374">
        <f t="shared" si="81"/>
        <v>799</v>
      </c>
      <c r="R374" t="str">
        <f t="shared" si="82"/>
        <v>Google Pixel|Not Available|799|Samsung</v>
      </c>
      <c r="S374" t="b">
        <f t="shared" si="83"/>
        <v>1</v>
      </c>
    </row>
    <row r="375" spans="1:19" x14ac:dyDescent="0.45">
      <c r="A375" t="s">
        <v>461</v>
      </c>
      <c r="B375" t="s">
        <v>60</v>
      </c>
      <c r="C375" t="s">
        <v>73</v>
      </c>
      <c r="D375" t="s">
        <v>88</v>
      </c>
      <c r="E375" t="s">
        <v>82</v>
      </c>
      <c r="F375" t="str">
        <f t="shared" si="70"/>
        <v>apple iPhone 14|Electro|USD 799|APPLE</v>
      </c>
      <c r="G375" t="b">
        <f t="shared" si="71"/>
        <v>0</v>
      </c>
      <c r="H375" t="str">
        <f t="shared" si="72"/>
        <v>apple iPhone 14</v>
      </c>
      <c r="I375" t="str">
        <f t="shared" si="73"/>
        <v>Apple Iphone 14</v>
      </c>
      <c r="J375" t="str">
        <f t="shared" si="74"/>
        <v>APPLE</v>
      </c>
      <c r="K375" t="str">
        <f t="shared" si="75"/>
        <v>Apple</v>
      </c>
      <c r="L375" t="str">
        <f t="shared" si="76"/>
        <v>Electronics</v>
      </c>
      <c r="M375">
        <f t="shared" si="77"/>
        <v>15</v>
      </c>
      <c r="N375">
        <f t="shared" si="78"/>
        <v>15</v>
      </c>
      <c r="O375" s="6">
        <f t="shared" si="79"/>
        <v>799</v>
      </c>
      <c r="P375" t="str">
        <f t="shared" si="80"/>
        <v>Electronics</v>
      </c>
      <c r="Q375">
        <f t="shared" si="81"/>
        <v>799</v>
      </c>
      <c r="R375" t="str">
        <f t="shared" si="82"/>
        <v>Apple Iphone 14|Electronics|799|Apple</v>
      </c>
      <c r="S375" t="b">
        <f t="shared" si="83"/>
        <v>1</v>
      </c>
    </row>
    <row r="376" spans="1:19" x14ac:dyDescent="0.45">
      <c r="A376" t="s">
        <v>462</v>
      </c>
      <c r="B376" t="s">
        <v>109</v>
      </c>
      <c r="C376" t="s">
        <v>123</v>
      </c>
      <c r="D376" t="s">
        <v>74</v>
      </c>
      <c r="E376" t="s">
        <v>112</v>
      </c>
      <c r="F376" t="str">
        <f t="shared" si="70"/>
        <v>Apple iPhone14|Electronics|799|SAMSUNG</v>
      </c>
      <c r="G376" t="b">
        <f t="shared" si="71"/>
        <v>1</v>
      </c>
      <c r="H376" t="str">
        <f t="shared" si="72"/>
        <v>Apple iPhone14</v>
      </c>
      <c r="I376" t="str">
        <f t="shared" si="73"/>
        <v>Apple Iphone14</v>
      </c>
      <c r="J376" t="str">
        <f t="shared" si="74"/>
        <v>SAMSUNG</v>
      </c>
      <c r="K376" t="str">
        <f t="shared" si="75"/>
        <v>Samsung</v>
      </c>
      <c r="L376" t="str">
        <f t="shared" si="76"/>
        <v>Electronics</v>
      </c>
      <c r="M376">
        <f t="shared" si="77"/>
        <v>15</v>
      </c>
      <c r="N376">
        <f t="shared" si="78"/>
        <v>14</v>
      </c>
      <c r="O376" s="6">
        <f t="shared" si="79"/>
        <v>799</v>
      </c>
      <c r="P376" t="str">
        <f t="shared" si="80"/>
        <v>Electronics</v>
      </c>
      <c r="Q376">
        <f t="shared" si="81"/>
        <v>799</v>
      </c>
      <c r="R376" t="str">
        <f t="shared" si="82"/>
        <v>Apple Iphone14|Electronics|799|Samsung</v>
      </c>
      <c r="S376" t="b">
        <f t="shared" si="83"/>
        <v>1</v>
      </c>
    </row>
    <row r="377" spans="1:19" x14ac:dyDescent="0.45">
      <c r="A377" t="s">
        <v>463</v>
      </c>
      <c r="B377" t="s">
        <v>93</v>
      </c>
      <c r="C377" t="s">
        <v>61</v>
      </c>
      <c r="D377" t="s">
        <v>55</v>
      </c>
      <c r="E377" t="s">
        <v>91</v>
      </c>
      <c r="F377" t="str">
        <f t="shared" si="70"/>
        <v>SAMSUNG GALAXY|Electrnics|799|Apple</v>
      </c>
      <c r="G377" t="b">
        <f t="shared" si="71"/>
        <v>1</v>
      </c>
      <c r="H377" t="str">
        <f t="shared" si="72"/>
        <v>SAMSUNG GALAXY</v>
      </c>
      <c r="I377" t="str">
        <f t="shared" si="73"/>
        <v>Samsung Galaxy</v>
      </c>
      <c r="J377" t="str">
        <f t="shared" si="74"/>
        <v>Apple</v>
      </c>
      <c r="K377" t="str">
        <f t="shared" si="75"/>
        <v>Apple</v>
      </c>
      <c r="L377" t="str">
        <f t="shared" si="76"/>
        <v>Electronics</v>
      </c>
      <c r="M377">
        <f t="shared" si="77"/>
        <v>14</v>
      </c>
      <c r="N377">
        <f t="shared" si="78"/>
        <v>14</v>
      </c>
      <c r="O377" s="6">
        <f t="shared" si="79"/>
        <v>799</v>
      </c>
      <c r="P377" t="str">
        <f t="shared" si="80"/>
        <v>Electronics</v>
      </c>
      <c r="Q377">
        <f t="shared" si="81"/>
        <v>799</v>
      </c>
      <c r="R377" t="str">
        <f t="shared" si="82"/>
        <v>Samsung Galaxy|Electronics|799|Apple</v>
      </c>
      <c r="S377" t="b">
        <f t="shared" si="83"/>
        <v>1</v>
      </c>
    </row>
    <row r="378" spans="1:19" x14ac:dyDescent="0.45">
      <c r="A378" t="s">
        <v>464</v>
      </c>
      <c r="B378" t="s">
        <v>58</v>
      </c>
      <c r="C378" t="s">
        <v>123</v>
      </c>
      <c r="D378" t="s">
        <v>88</v>
      </c>
      <c r="E378" t="s">
        <v>67</v>
      </c>
      <c r="F378" t="str">
        <f t="shared" si="70"/>
        <v>Google pixel|Electronics|USD 799|apple</v>
      </c>
      <c r="G378" t="b">
        <f t="shared" si="71"/>
        <v>1</v>
      </c>
      <c r="H378" t="str">
        <f t="shared" si="72"/>
        <v>Google pixel</v>
      </c>
      <c r="I378" t="str">
        <f t="shared" si="73"/>
        <v>Google Pixel</v>
      </c>
      <c r="J378" t="str">
        <f t="shared" si="74"/>
        <v>apple</v>
      </c>
      <c r="K378" t="str">
        <f t="shared" si="75"/>
        <v>Apple</v>
      </c>
      <c r="L378" t="str">
        <f t="shared" si="76"/>
        <v>Electronics</v>
      </c>
      <c r="M378">
        <f t="shared" si="77"/>
        <v>12</v>
      </c>
      <c r="N378">
        <f t="shared" si="78"/>
        <v>12</v>
      </c>
      <c r="O378" s="6">
        <f t="shared" si="79"/>
        <v>799</v>
      </c>
      <c r="P378" t="str">
        <f t="shared" si="80"/>
        <v>Electronics</v>
      </c>
      <c r="Q378">
        <f t="shared" si="81"/>
        <v>799</v>
      </c>
      <c r="R378" t="str">
        <f t="shared" si="82"/>
        <v>Google Pixel|Electronics|799|Apple</v>
      </c>
      <c r="S378" t="b">
        <f t="shared" si="83"/>
        <v>1</v>
      </c>
    </row>
    <row r="379" spans="1:19" x14ac:dyDescent="0.45">
      <c r="A379" t="s">
        <v>465</v>
      </c>
      <c r="B379" t="s">
        <v>93</v>
      </c>
      <c r="C379" t="s">
        <v>123</v>
      </c>
      <c r="D379" t="s">
        <v>55</v>
      </c>
      <c r="E379" t="s">
        <v>63</v>
      </c>
      <c r="F379" t="str">
        <f t="shared" si="70"/>
        <v>SAMSUNG GALAXY|Electronics|799|Google</v>
      </c>
      <c r="G379" t="b">
        <f t="shared" si="71"/>
        <v>1</v>
      </c>
      <c r="H379" t="str">
        <f t="shared" si="72"/>
        <v>SAMSUNG GALAXY</v>
      </c>
      <c r="I379" t="str">
        <f t="shared" si="73"/>
        <v>Samsung Galaxy</v>
      </c>
      <c r="J379" t="str">
        <f t="shared" si="74"/>
        <v>Google</v>
      </c>
      <c r="K379" t="str">
        <f t="shared" si="75"/>
        <v>Google</v>
      </c>
      <c r="L379" t="str">
        <f t="shared" si="76"/>
        <v>Electronics</v>
      </c>
      <c r="M379">
        <f t="shared" si="77"/>
        <v>14</v>
      </c>
      <c r="N379">
        <f t="shared" si="78"/>
        <v>14</v>
      </c>
      <c r="O379" s="6">
        <f t="shared" si="79"/>
        <v>799</v>
      </c>
      <c r="P379" t="str">
        <f t="shared" si="80"/>
        <v>Electronics</v>
      </c>
      <c r="Q379">
        <f t="shared" si="81"/>
        <v>799</v>
      </c>
      <c r="R379" t="str">
        <f t="shared" si="82"/>
        <v>Samsung Galaxy|Electronics|799|Google</v>
      </c>
      <c r="S379" t="b">
        <f t="shared" si="83"/>
        <v>1</v>
      </c>
    </row>
    <row r="380" spans="1:19" x14ac:dyDescent="0.45">
      <c r="A380" t="s">
        <v>466</v>
      </c>
      <c r="B380" t="s">
        <v>109</v>
      </c>
      <c r="C380" t="s">
        <v>61</v>
      </c>
      <c r="D380" t="s">
        <v>55</v>
      </c>
      <c r="E380" t="s">
        <v>67</v>
      </c>
      <c r="F380" t="str">
        <f t="shared" si="70"/>
        <v>Apple iPhone14|Electrnics|799|apple</v>
      </c>
      <c r="G380" t="b">
        <f t="shared" si="71"/>
        <v>1</v>
      </c>
      <c r="H380" t="str">
        <f t="shared" si="72"/>
        <v>Apple iPhone14</v>
      </c>
      <c r="I380" t="str">
        <f t="shared" si="73"/>
        <v>Apple Iphone14</v>
      </c>
      <c r="J380" t="str">
        <f t="shared" si="74"/>
        <v>apple</v>
      </c>
      <c r="K380" t="str">
        <f t="shared" si="75"/>
        <v>Apple</v>
      </c>
      <c r="L380" t="str">
        <f t="shared" si="76"/>
        <v>Electronics</v>
      </c>
      <c r="M380">
        <f t="shared" si="77"/>
        <v>15</v>
      </c>
      <c r="N380">
        <f t="shared" si="78"/>
        <v>14</v>
      </c>
      <c r="O380" s="6">
        <f t="shared" si="79"/>
        <v>799</v>
      </c>
      <c r="P380" t="str">
        <f t="shared" si="80"/>
        <v>Electronics</v>
      </c>
      <c r="Q380">
        <f t="shared" si="81"/>
        <v>799</v>
      </c>
      <c r="R380" t="str">
        <f t="shared" si="82"/>
        <v>Apple Iphone14|Electronics|799|Apple</v>
      </c>
      <c r="S380" t="b">
        <f t="shared" si="83"/>
        <v>1</v>
      </c>
    </row>
    <row r="381" spans="1:19" x14ac:dyDescent="0.45">
      <c r="A381" t="s">
        <v>467</v>
      </c>
      <c r="B381" t="s">
        <v>138</v>
      </c>
      <c r="C381" t="s">
        <v>96</v>
      </c>
      <c r="D381" t="s">
        <v>55</v>
      </c>
      <c r="E381" t="s">
        <v>79</v>
      </c>
      <c r="F381" t="str">
        <f t="shared" si="70"/>
        <v>APPLE IPHONE 14|Gadgets|799|Samsung</v>
      </c>
      <c r="G381" t="b">
        <f t="shared" si="71"/>
        <v>1</v>
      </c>
      <c r="H381" t="str">
        <f t="shared" si="72"/>
        <v>APPLE IPHONE 14</v>
      </c>
      <c r="I381" t="str">
        <f t="shared" si="73"/>
        <v>Apple Iphone 14</v>
      </c>
      <c r="J381" t="str">
        <f t="shared" si="74"/>
        <v>Samsung</v>
      </c>
      <c r="K381" t="str">
        <f t="shared" si="75"/>
        <v>Samsung</v>
      </c>
      <c r="L381" t="str">
        <f t="shared" si="76"/>
        <v>Gadgets</v>
      </c>
      <c r="M381">
        <f t="shared" si="77"/>
        <v>15</v>
      </c>
      <c r="N381">
        <f t="shared" si="78"/>
        <v>15</v>
      </c>
      <c r="O381" s="6">
        <f t="shared" si="79"/>
        <v>799</v>
      </c>
      <c r="P381" t="str">
        <f t="shared" si="80"/>
        <v>Gadgets</v>
      </c>
      <c r="Q381">
        <f t="shared" si="81"/>
        <v>799</v>
      </c>
      <c r="R381" t="str">
        <f t="shared" si="82"/>
        <v>Apple Iphone 14|Gadgets|799|Samsung</v>
      </c>
      <c r="S381" t="b">
        <f t="shared" si="83"/>
        <v>1</v>
      </c>
    </row>
    <row r="382" spans="1:19" x14ac:dyDescent="0.45">
      <c r="A382" t="s">
        <v>468</v>
      </c>
      <c r="B382" t="s">
        <v>87</v>
      </c>
      <c r="C382" t="s">
        <v>85</v>
      </c>
      <c r="D382" t="s">
        <v>88</v>
      </c>
      <c r="E382" t="s">
        <v>67</v>
      </c>
      <c r="F382" t="str">
        <f t="shared" si="70"/>
        <v>Google Pixel|electronics|USD 799|apple</v>
      </c>
      <c r="G382" t="b">
        <f t="shared" si="71"/>
        <v>1</v>
      </c>
      <c r="H382" t="str">
        <f t="shared" si="72"/>
        <v>Google Pixel</v>
      </c>
      <c r="I382" t="str">
        <f t="shared" si="73"/>
        <v>Google Pixel</v>
      </c>
      <c r="J382" t="str">
        <f t="shared" si="74"/>
        <v>apple</v>
      </c>
      <c r="K382" t="str">
        <f t="shared" si="75"/>
        <v>Apple</v>
      </c>
      <c r="L382" t="str">
        <f t="shared" si="76"/>
        <v>Electronics</v>
      </c>
      <c r="M382">
        <f t="shared" si="77"/>
        <v>12</v>
      </c>
      <c r="N382">
        <f t="shared" si="78"/>
        <v>12</v>
      </c>
      <c r="O382" s="6">
        <f t="shared" si="79"/>
        <v>799</v>
      </c>
      <c r="P382" t="str">
        <f t="shared" si="80"/>
        <v>Electronics</v>
      </c>
      <c r="Q382">
        <f t="shared" si="81"/>
        <v>799</v>
      </c>
      <c r="R382" t="str">
        <f t="shared" si="82"/>
        <v>Google Pixel|Electronics|799|Apple</v>
      </c>
      <c r="S382" t="b">
        <f t="shared" si="83"/>
        <v>1</v>
      </c>
    </row>
    <row r="383" spans="1:19" x14ac:dyDescent="0.45">
      <c r="A383" t="s">
        <v>469</v>
      </c>
      <c r="B383" t="s">
        <v>106</v>
      </c>
      <c r="C383" t="s">
        <v>61</v>
      </c>
      <c r="D383" t="s">
        <v>74</v>
      </c>
      <c r="E383" t="s">
        <v>112</v>
      </c>
      <c r="F383" t="str">
        <f t="shared" si="70"/>
        <v>Samsung Galaxy|Electrnics|799|SAMSUNG</v>
      </c>
      <c r="G383" t="b">
        <f t="shared" si="71"/>
        <v>1</v>
      </c>
      <c r="H383" t="str">
        <f t="shared" si="72"/>
        <v>Samsung Galaxy</v>
      </c>
      <c r="I383" t="str">
        <f t="shared" si="73"/>
        <v>Samsung Galaxy</v>
      </c>
      <c r="J383" t="str">
        <f t="shared" si="74"/>
        <v>SAMSUNG</v>
      </c>
      <c r="K383" t="str">
        <f t="shared" si="75"/>
        <v>Samsung</v>
      </c>
      <c r="L383" t="str">
        <f t="shared" si="76"/>
        <v>Electronics</v>
      </c>
      <c r="M383">
        <f t="shared" si="77"/>
        <v>14</v>
      </c>
      <c r="N383">
        <f t="shared" si="78"/>
        <v>14</v>
      </c>
      <c r="O383" s="6">
        <f t="shared" si="79"/>
        <v>799</v>
      </c>
      <c r="P383" t="str">
        <f t="shared" si="80"/>
        <v>Electronics</v>
      </c>
      <c r="Q383">
        <f t="shared" si="81"/>
        <v>799</v>
      </c>
      <c r="R383" t="str">
        <f t="shared" si="82"/>
        <v>Samsung Galaxy|Electronics|799|Samsung</v>
      </c>
      <c r="S383" t="b">
        <f t="shared" si="83"/>
        <v>1</v>
      </c>
    </row>
    <row r="384" spans="1:19" x14ac:dyDescent="0.45">
      <c r="A384" t="s">
        <v>470</v>
      </c>
      <c r="B384" t="s">
        <v>58</v>
      </c>
      <c r="C384" t="s">
        <v>73</v>
      </c>
      <c r="D384" t="s">
        <v>69</v>
      </c>
      <c r="E384" t="s">
        <v>112</v>
      </c>
      <c r="F384" t="str">
        <f t="shared" si="70"/>
        <v>Google pixel|Electro|799|SAMSUNG</v>
      </c>
      <c r="G384" t="b">
        <f t="shared" si="71"/>
        <v>1</v>
      </c>
      <c r="H384" t="str">
        <f t="shared" si="72"/>
        <v>Google pixel</v>
      </c>
      <c r="I384" t="str">
        <f t="shared" si="73"/>
        <v>Google Pixel</v>
      </c>
      <c r="J384" t="str">
        <f t="shared" si="74"/>
        <v>SAMSUNG</v>
      </c>
      <c r="K384" t="str">
        <f t="shared" si="75"/>
        <v>Samsung</v>
      </c>
      <c r="L384" t="str">
        <f t="shared" si="76"/>
        <v>Electronics</v>
      </c>
      <c r="M384">
        <f t="shared" si="77"/>
        <v>12</v>
      </c>
      <c r="N384">
        <f t="shared" si="78"/>
        <v>12</v>
      </c>
      <c r="O384" s="6">
        <f t="shared" si="79"/>
        <v>799</v>
      </c>
      <c r="P384" t="str">
        <f t="shared" si="80"/>
        <v>Electronics</v>
      </c>
      <c r="Q384">
        <f t="shared" si="81"/>
        <v>799</v>
      </c>
      <c r="R384" t="str">
        <f t="shared" si="82"/>
        <v>Google Pixel|Electronics|799|Samsung</v>
      </c>
      <c r="S384" t="b">
        <f t="shared" si="83"/>
        <v>1</v>
      </c>
    </row>
    <row r="385" spans="1:19" x14ac:dyDescent="0.45">
      <c r="A385" t="s">
        <v>471</v>
      </c>
      <c r="B385" t="s">
        <v>58</v>
      </c>
      <c r="C385" t="s">
        <v>61</v>
      </c>
      <c r="D385" t="s">
        <v>55</v>
      </c>
      <c r="E385" t="s">
        <v>75</v>
      </c>
      <c r="F385" t="str">
        <f t="shared" si="70"/>
        <v>Google pixel|Electrnics|799|google</v>
      </c>
      <c r="G385" t="b">
        <f t="shared" si="71"/>
        <v>1</v>
      </c>
      <c r="H385" t="str">
        <f t="shared" si="72"/>
        <v>Google pixel</v>
      </c>
      <c r="I385" t="str">
        <f t="shared" si="73"/>
        <v>Google Pixel</v>
      </c>
      <c r="J385" t="str">
        <f t="shared" si="74"/>
        <v>google</v>
      </c>
      <c r="K385" t="str">
        <f t="shared" si="75"/>
        <v>Google</v>
      </c>
      <c r="L385" t="str">
        <f t="shared" si="76"/>
        <v>Electronics</v>
      </c>
      <c r="M385">
        <f t="shared" si="77"/>
        <v>12</v>
      </c>
      <c r="N385">
        <f t="shared" si="78"/>
        <v>12</v>
      </c>
      <c r="O385" s="6">
        <f t="shared" si="79"/>
        <v>799</v>
      </c>
      <c r="P385" t="str">
        <f t="shared" si="80"/>
        <v>Electronics</v>
      </c>
      <c r="Q385">
        <f t="shared" si="81"/>
        <v>799</v>
      </c>
      <c r="R385" t="str">
        <f t="shared" si="82"/>
        <v>Google Pixel|Electronics|799|Google</v>
      </c>
      <c r="S385" t="b">
        <f t="shared" si="83"/>
        <v>1</v>
      </c>
    </row>
    <row r="386" spans="1:19" x14ac:dyDescent="0.45">
      <c r="A386" t="s">
        <v>472</v>
      </c>
      <c r="B386" t="s">
        <v>106</v>
      </c>
      <c r="D386" t="s">
        <v>55</v>
      </c>
      <c r="E386" t="s">
        <v>91</v>
      </c>
      <c r="F386" t="str">
        <f t="shared" ref="F386:F449" si="84">TRIM(B386)&amp;"|"&amp;TRIM(C386)&amp;"|"&amp;TRIM(D386)&amp;"|"&amp;TRIM(E386)</f>
        <v>Samsung Galaxy||799|Apple</v>
      </c>
      <c r="G386" t="b">
        <f t="shared" ref="G386:G449" si="85">COUNTIF($F$2:$F$565,F386)&gt;1</f>
        <v>1</v>
      </c>
      <c r="H386" t="str">
        <f t="shared" ref="H386:H449" si="86">TRIM(B386)</f>
        <v>Samsung Galaxy</v>
      </c>
      <c r="I386" t="str">
        <f t="shared" ref="I386:I449" si="87">PROPER(H386)</f>
        <v>Samsung Galaxy</v>
      </c>
      <c r="J386" t="str">
        <f t="shared" ref="J386:J449" si="88">TRIM(E386)</f>
        <v>Apple</v>
      </c>
      <c r="K386" t="str">
        <f t="shared" ref="K386:K449" si="89">PROPER(J386)</f>
        <v>Apple</v>
      </c>
      <c r="L386" t="str">
        <f t="shared" ref="L386:L449" si="90">IF(TRIM(C386)="","",IF(ISNUMBER(SEARCH("gadget",C386)),"Gadgets","Electronics"))</f>
        <v/>
      </c>
      <c r="M386">
        <f t="shared" ref="M386:M449" si="91">LEN(B386)</f>
        <v>14</v>
      </c>
      <c r="N386">
        <f t="shared" ref="N386:N449" si="92">LEN(H386)</f>
        <v>14</v>
      </c>
      <c r="O386" s="6">
        <f t="shared" ref="O386:O449" si="93">IF(TRIM(D386)="","",VALUE(TRIM(SUBSTITUTE(SUBSTITUTE(D386,"USD",""),"$",""))))</f>
        <v>799</v>
      </c>
      <c r="P386" t="str">
        <f t="shared" ref="P386:P449" si="94">IF(L386="","Not Available",L386)</f>
        <v>Not Available</v>
      </c>
      <c r="Q386">
        <f t="shared" ref="Q386:Q449" si="95">IF(O386="","Not Available",O386)</f>
        <v>799</v>
      </c>
      <c r="R386" t="str">
        <f t="shared" ref="R386:R449" si="96">I386&amp;"|"&amp;P386&amp;"|"&amp;Q386&amp;"|"&amp;K386</f>
        <v>Samsung Galaxy|Not Available|799|Apple</v>
      </c>
      <c r="S386" t="b">
        <f t="shared" ref="S386:S449" si="97">COUNTIF($R$2:$R$565,R386)&gt;1</f>
        <v>1</v>
      </c>
    </row>
    <row r="387" spans="1:19" x14ac:dyDescent="0.45">
      <c r="A387" t="s">
        <v>473</v>
      </c>
      <c r="B387" t="s">
        <v>138</v>
      </c>
      <c r="C387" t="s">
        <v>96</v>
      </c>
      <c r="D387" t="s">
        <v>69</v>
      </c>
      <c r="E387" t="s">
        <v>75</v>
      </c>
      <c r="F387" t="str">
        <f t="shared" si="84"/>
        <v>APPLE IPHONE 14|Gadgets|799|google</v>
      </c>
      <c r="G387" t="b">
        <f t="shared" si="85"/>
        <v>1</v>
      </c>
      <c r="H387" t="str">
        <f t="shared" si="86"/>
        <v>APPLE IPHONE 14</v>
      </c>
      <c r="I387" t="str">
        <f t="shared" si="87"/>
        <v>Apple Iphone 14</v>
      </c>
      <c r="J387" t="str">
        <f t="shared" si="88"/>
        <v>google</v>
      </c>
      <c r="K387" t="str">
        <f t="shared" si="89"/>
        <v>Google</v>
      </c>
      <c r="L387" t="str">
        <f t="shared" si="90"/>
        <v>Gadgets</v>
      </c>
      <c r="M387">
        <f t="shared" si="91"/>
        <v>15</v>
      </c>
      <c r="N387">
        <f t="shared" si="92"/>
        <v>15</v>
      </c>
      <c r="O387" s="6">
        <f t="shared" si="93"/>
        <v>799</v>
      </c>
      <c r="P387" t="str">
        <f t="shared" si="94"/>
        <v>Gadgets</v>
      </c>
      <c r="Q387">
        <f t="shared" si="95"/>
        <v>799</v>
      </c>
      <c r="R387" t="str">
        <f t="shared" si="96"/>
        <v>Apple Iphone 14|Gadgets|799|Google</v>
      </c>
      <c r="S387" t="b">
        <f t="shared" si="97"/>
        <v>1</v>
      </c>
    </row>
    <row r="388" spans="1:19" x14ac:dyDescent="0.45">
      <c r="A388" t="s">
        <v>474</v>
      </c>
      <c r="B388" t="s">
        <v>58</v>
      </c>
      <c r="C388" t="s">
        <v>85</v>
      </c>
      <c r="D388" t="s">
        <v>81</v>
      </c>
      <c r="E388" t="s">
        <v>91</v>
      </c>
      <c r="F388" t="str">
        <f t="shared" si="84"/>
        <v>Google pixel|electronics|$799|Apple</v>
      </c>
      <c r="G388" t="b">
        <f t="shared" si="85"/>
        <v>1</v>
      </c>
      <c r="H388" t="str">
        <f t="shared" si="86"/>
        <v>Google pixel</v>
      </c>
      <c r="I388" t="str">
        <f t="shared" si="87"/>
        <v>Google Pixel</v>
      </c>
      <c r="J388" t="str">
        <f t="shared" si="88"/>
        <v>Apple</v>
      </c>
      <c r="K388" t="str">
        <f t="shared" si="89"/>
        <v>Apple</v>
      </c>
      <c r="L388" t="str">
        <f t="shared" si="90"/>
        <v>Electronics</v>
      </c>
      <c r="M388">
        <f t="shared" si="91"/>
        <v>12</v>
      </c>
      <c r="N388">
        <f t="shared" si="92"/>
        <v>12</v>
      </c>
      <c r="O388" s="6">
        <f t="shared" si="93"/>
        <v>799</v>
      </c>
      <c r="P388" t="str">
        <f t="shared" si="94"/>
        <v>Electronics</v>
      </c>
      <c r="Q388">
        <f t="shared" si="95"/>
        <v>799</v>
      </c>
      <c r="R388" t="str">
        <f t="shared" si="96"/>
        <v>Google Pixel|Electronics|799|Apple</v>
      </c>
      <c r="S388" t="b">
        <f t="shared" si="97"/>
        <v>1</v>
      </c>
    </row>
    <row r="389" spans="1:19" x14ac:dyDescent="0.45">
      <c r="A389" t="s">
        <v>475</v>
      </c>
      <c r="B389" t="s">
        <v>106</v>
      </c>
      <c r="C389" t="s">
        <v>61</v>
      </c>
      <c r="D389" t="s">
        <v>69</v>
      </c>
      <c r="E389" t="s">
        <v>70</v>
      </c>
      <c r="F389" t="str">
        <f t="shared" si="84"/>
        <v>Samsung Galaxy|Electrnics|799|Samsung</v>
      </c>
      <c r="G389" t="b">
        <f t="shared" si="85"/>
        <v>1</v>
      </c>
      <c r="H389" t="str">
        <f t="shared" si="86"/>
        <v>Samsung Galaxy</v>
      </c>
      <c r="I389" t="str">
        <f t="shared" si="87"/>
        <v>Samsung Galaxy</v>
      </c>
      <c r="J389" t="str">
        <f t="shared" si="88"/>
        <v>Samsung</v>
      </c>
      <c r="K389" t="str">
        <f t="shared" si="89"/>
        <v>Samsung</v>
      </c>
      <c r="L389" t="str">
        <f t="shared" si="90"/>
        <v>Electronics</v>
      </c>
      <c r="M389">
        <f t="shared" si="91"/>
        <v>14</v>
      </c>
      <c r="N389">
        <f t="shared" si="92"/>
        <v>14</v>
      </c>
      <c r="O389" s="6">
        <f t="shared" si="93"/>
        <v>799</v>
      </c>
      <c r="P389" t="str">
        <f t="shared" si="94"/>
        <v>Electronics</v>
      </c>
      <c r="Q389">
        <f t="shared" si="95"/>
        <v>799</v>
      </c>
      <c r="R389" t="str">
        <f t="shared" si="96"/>
        <v>Samsung Galaxy|Electronics|799|Samsung</v>
      </c>
      <c r="S389" t="b">
        <f t="shared" si="97"/>
        <v>1</v>
      </c>
    </row>
    <row r="390" spans="1:19" x14ac:dyDescent="0.45">
      <c r="A390" t="s">
        <v>476</v>
      </c>
      <c r="B390" t="s">
        <v>93</v>
      </c>
      <c r="C390" t="s">
        <v>61</v>
      </c>
      <c r="D390" t="s">
        <v>69</v>
      </c>
      <c r="E390" t="s">
        <v>112</v>
      </c>
      <c r="F390" t="str">
        <f t="shared" si="84"/>
        <v>SAMSUNG GALAXY|Electrnics|799|SAMSUNG</v>
      </c>
      <c r="G390" t="b">
        <f t="shared" si="85"/>
        <v>1</v>
      </c>
      <c r="H390" t="str">
        <f t="shared" si="86"/>
        <v>SAMSUNG GALAXY</v>
      </c>
      <c r="I390" t="str">
        <f t="shared" si="87"/>
        <v>Samsung Galaxy</v>
      </c>
      <c r="J390" t="str">
        <f t="shared" si="88"/>
        <v>SAMSUNG</v>
      </c>
      <c r="K390" t="str">
        <f t="shared" si="89"/>
        <v>Samsung</v>
      </c>
      <c r="L390" t="str">
        <f t="shared" si="90"/>
        <v>Electronics</v>
      </c>
      <c r="M390">
        <f t="shared" si="91"/>
        <v>14</v>
      </c>
      <c r="N390">
        <f t="shared" si="92"/>
        <v>14</v>
      </c>
      <c r="O390" s="6">
        <f t="shared" si="93"/>
        <v>799</v>
      </c>
      <c r="P390" t="str">
        <f t="shared" si="94"/>
        <v>Electronics</v>
      </c>
      <c r="Q390">
        <f t="shared" si="95"/>
        <v>799</v>
      </c>
      <c r="R390" t="str">
        <f t="shared" si="96"/>
        <v>Samsung Galaxy|Electronics|799|Samsung</v>
      </c>
      <c r="S390" t="b">
        <f t="shared" si="97"/>
        <v>1</v>
      </c>
    </row>
    <row r="391" spans="1:19" x14ac:dyDescent="0.45">
      <c r="A391" t="s">
        <v>477</v>
      </c>
      <c r="B391" t="s">
        <v>78</v>
      </c>
      <c r="C391" t="s">
        <v>123</v>
      </c>
      <c r="D391" t="s">
        <v>81</v>
      </c>
      <c r="E391" t="s">
        <v>82</v>
      </c>
      <c r="F391" t="str">
        <f t="shared" si="84"/>
        <v>samsung Galaxy|Electronics|$799|APPLE</v>
      </c>
      <c r="G391" t="b">
        <f t="shared" si="85"/>
        <v>1</v>
      </c>
      <c r="H391" t="str">
        <f t="shared" si="86"/>
        <v>samsung Galaxy</v>
      </c>
      <c r="I391" t="str">
        <f t="shared" si="87"/>
        <v>Samsung Galaxy</v>
      </c>
      <c r="J391" t="str">
        <f t="shared" si="88"/>
        <v>APPLE</v>
      </c>
      <c r="K391" t="str">
        <f t="shared" si="89"/>
        <v>Apple</v>
      </c>
      <c r="L391" t="str">
        <f t="shared" si="90"/>
        <v>Electronics</v>
      </c>
      <c r="M391">
        <f t="shared" si="91"/>
        <v>15</v>
      </c>
      <c r="N391">
        <f t="shared" si="92"/>
        <v>14</v>
      </c>
      <c r="O391" s="6">
        <f t="shared" si="93"/>
        <v>799</v>
      </c>
      <c r="P391" t="str">
        <f t="shared" si="94"/>
        <v>Electronics</v>
      </c>
      <c r="Q391">
        <f t="shared" si="95"/>
        <v>799</v>
      </c>
      <c r="R391" t="str">
        <f t="shared" si="96"/>
        <v>Samsung Galaxy|Electronics|799|Apple</v>
      </c>
      <c r="S391" t="b">
        <f t="shared" si="97"/>
        <v>1</v>
      </c>
    </row>
    <row r="392" spans="1:19" x14ac:dyDescent="0.45">
      <c r="A392" t="s">
        <v>478</v>
      </c>
      <c r="B392" t="s">
        <v>102</v>
      </c>
      <c r="C392" t="s">
        <v>94</v>
      </c>
      <c r="D392" t="s">
        <v>69</v>
      </c>
      <c r="E392" t="s">
        <v>67</v>
      </c>
      <c r="F392" t="str">
        <f t="shared" si="84"/>
        <v>GOOGLE PIXEL|gadgets|799|apple</v>
      </c>
      <c r="G392" t="b">
        <f t="shared" si="85"/>
        <v>1</v>
      </c>
      <c r="H392" t="str">
        <f t="shared" si="86"/>
        <v>GOOGLE PIXEL</v>
      </c>
      <c r="I392" t="str">
        <f t="shared" si="87"/>
        <v>Google Pixel</v>
      </c>
      <c r="J392" t="str">
        <f t="shared" si="88"/>
        <v>apple</v>
      </c>
      <c r="K392" t="str">
        <f t="shared" si="89"/>
        <v>Apple</v>
      </c>
      <c r="L392" t="str">
        <f t="shared" si="90"/>
        <v>Gadgets</v>
      </c>
      <c r="M392">
        <f t="shared" si="91"/>
        <v>13</v>
      </c>
      <c r="N392">
        <f t="shared" si="92"/>
        <v>12</v>
      </c>
      <c r="O392" s="6">
        <f t="shared" si="93"/>
        <v>799</v>
      </c>
      <c r="P392" t="str">
        <f t="shared" si="94"/>
        <v>Gadgets</v>
      </c>
      <c r="Q392">
        <f t="shared" si="95"/>
        <v>799</v>
      </c>
      <c r="R392" t="str">
        <f t="shared" si="96"/>
        <v>Google Pixel|Gadgets|799|Apple</v>
      </c>
      <c r="S392" t="b">
        <f t="shared" si="97"/>
        <v>1</v>
      </c>
    </row>
    <row r="393" spans="1:19" x14ac:dyDescent="0.45">
      <c r="A393" t="s">
        <v>479</v>
      </c>
      <c r="B393" t="s">
        <v>93</v>
      </c>
      <c r="C393" t="s">
        <v>96</v>
      </c>
      <c r="E393" t="s">
        <v>91</v>
      </c>
      <c r="F393" t="str">
        <f t="shared" si="84"/>
        <v>SAMSUNG GALAXY|Gadgets||Apple</v>
      </c>
      <c r="G393" t="b">
        <f t="shared" si="85"/>
        <v>1</v>
      </c>
      <c r="H393" t="str">
        <f t="shared" si="86"/>
        <v>SAMSUNG GALAXY</v>
      </c>
      <c r="I393" t="str">
        <f t="shared" si="87"/>
        <v>Samsung Galaxy</v>
      </c>
      <c r="J393" t="str">
        <f t="shared" si="88"/>
        <v>Apple</v>
      </c>
      <c r="K393" t="str">
        <f t="shared" si="89"/>
        <v>Apple</v>
      </c>
      <c r="L393" t="str">
        <f t="shared" si="90"/>
        <v>Gadgets</v>
      </c>
      <c r="M393">
        <f t="shared" si="91"/>
        <v>14</v>
      </c>
      <c r="N393">
        <f t="shared" si="92"/>
        <v>14</v>
      </c>
      <c r="O393" s="6" t="str">
        <f t="shared" si="93"/>
        <v/>
      </c>
      <c r="P393" t="str">
        <f t="shared" si="94"/>
        <v>Gadgets</v>
      </c>
      <c r="Q393" t="str">
        <f t="shared" si="95"/>
        <v>Not Available</v>
      </c>
      <c r="R393" t="str">
        <f t="shared" si="96"/>
        <v>Samsung Galaxy|Gadgets|Not Available|Apple</v>
      </c>
      <c r="S393" t="b">
        <f t="shared" si="97"/>
        <v>1</v>
      </c>
    </row>
    <row r="394" spans="1:19" x14ac:dyDescent="0.45">
      <c r="A394" t="s">
        <v>480</v>
      </c>
      <c r="B394" t="s">
        <v>60</v>
      </c>
      <c r="C394" t="s">
        <v>61</v>
      </c>
      <c r="D394" t="s">
        <v>69</v>
      </c>
      <c r="E394" t="s">
        <v>67</v>
      </c>
      <c r="F394" t="str">
        <f t="shared" si="84"/>
        <v>apple iPhone 14|Electrnics|799|apple</v>
      </c>
      <c r="G394" t="b">
        <f t="shared" si="85"/>
        <v>1</v>
      </c>
      <c r="H394" t="str">
        <f t="shared" si="86"/>
        <v>apple iPhone 14</v>
      </c>
      <c r="I394" t="str">
        <f t="shared" si="87"/>
        <v>Apple Iphone 14</v>
      </c>
      <c r="J394" t="str">
        <f t="shared" si="88"/>
        <v>apple</v>
      </c>
      <c r="K394" t="str">
        <f t="shared" si="89"/>
        <v>Apple</v>
      </c>
      <c r="L394" t="str">
        <f t="shared" si="90"/>
        <v>Electronics</v>
      </c>
      <c r="M394">
        <f t="shared" si="91"/>
        <v>15</v>
      </c>
      <c r="N394">
        <f t="shared" si="92"/>
        <v>15</v>
      </c>
      <c r="O394" s="6">
        <f t="shared" si="93"/>
        <v>799</v>
      </c>
      <c r="P394" t="str">
        <f t="shared" si="94"/>
        <v>Electronics</v>
      </c>
      <c r="Q394">
        <f t="shared" si="95"/>
        <v>799</v>
      </c>
      <c r="R394" t="str">
        <f t="shared" si="96"/>
        <v>Apple Iphone 14|Electronics|799|Apple</v>
      </c>
      <c r="S394" t="b">
        <f t="shared" si="97"/>
        <v>1</v>
      </c>
    </row>
    <row r="395" spans="1:19" x14ac:dyDescent="0.45">
      <c r="A395" t="s">
        <v>481</v>
      </c>
      <c r="B395" t="s">
        <v>60</v>
      </c>
      <c r="C395" t="s">
        <v>123</v>
      </c>
      <c r="E395" t="s">
        <v>89</v>
      </c>
      <c r="F395" t="str">
        <f t="shared" si="84"/>
        <v>apple iPhone 14|Electronics||Apple</v>
      </c>
      <c r="G395" t="b">
        <f t="shared" si="85"/>
        <v>1</v>
      </c>
      <c r="H395" t="str">
        <f t="shared" si="86"/>
        <v>apple iPhone 14</v>
      </c>
      <c r="I395" t="str">
        <f t="shared" si="87"/>
        <v>Apple Iphone 14</v>
      </c>
      <c r="J395" t="str">
        <f t="shared" si="88"/>
        <v>Apple</v>
      </c>
      <c r="K395" t="str">
        <f t="shared" si="89"/>
        <v>Apple</v>
      </c>
      <c r="L395" t="str">
        <f t="shared" si="90"/>
        <v>Electronics</v>
      </c>
      <c r="M395">
        <f t="shared" si="91"/>
        <v>15</v>
      </c>
      <c r="N395">
        <f t="shared" si="92"/>
        <v>15</v>
      </c>
      <c r="O395" s="6" t="str">
        <f t="shared" si="93"/>
        <v/>
      </c>
      <c r="P395" t="str">
        <f t="shared" si="94"/>
        <v>Electronics</v>
      </c>
      <c r="Q395" t="str">
        <f t="shared" si="95"/>
        <v>Not Available</v>
      </c>
      <c r="R395" t="str">
        <f t="shared" si="96"/>
        <v>Apple Iphone 14|Electronics|Not Available|Apple</v>
      </c>
      <c r="S395" t="b">
        <f t="shared" si="97"/>
        <v>1</v>
      </c>
    </row>
    <row r="396" spans="1:19" x14ac:dyDescent="0.45">
      <c r="A396" t="s">
        <v>482</v>
      </c>
      <c r="B396" t="s">
        <v>58</v>
      </c>
      <c r="C396" t="s">
        <v>94</v>
      </c>
      <c r="D396" t="s">
        <v>69</v>
      </c>
      <c r="E396" t="s">
        <v>70</v>
      </c>
      <c r="F396" t="str">
        <f t="shared" si="84"/>
        <v>Google pixel|gadgets|799|Samsung</v>
      </c>
      <c r="G396" t="b">
        <f t="shared" si="85"/>
        <v>1</v>
      </c>
      <c r="H396" t="str">
        <f t="shared" si="86"/>
        <v>Google pixel</v>
      </c>
      <c r="I396" t="str">
        <f t="shared" si="87"/>
        <v>Google Pixel</v>
      </c>
      <c r="J396" t="str">
        <f t="shared" si="88"/>
        <v>Samsung</v>
      </c>
      <c r="K396" t="str">
        <f t="shared" si="89"/>
        <v>Samsung</v>
      </c>
      <c r="L396" t="str">
        <f t="shared" si="90"/>
        <v>Gadgets</v>
      </c>
      <c r="M396">
        <f t="shared" si="91"/>
        <v>12</v>
      </c>
      <c r="N396">
        <f t="shared" si="92"/>
        <v>12</v>
      </c>
      <c r="O396" s="6">
        <f t="shared" si="93"/>
        <v>799</v>
      </c>
      <c r="P396" t="str">
        <f t="shared" si="94"/>
        <v>Gadgets</v>
      </c>
      <c r="Q396">
        <f t="shared" si="95"/>
        <v>799</v>
      </c>
      <c r="R396" t="str">
        <f t="shared" si="96"/>
        <v>Google Pixel|Gadgets|799|Samsung</v>
      </c>
      <c r="S396" t="b">
        <f t="shared" si="97"/>
        <v>1</v>
      </c>
    </row>
    <row r="397" spans="1:19" x14ac:dyDescent="0.45">
      <c r="A397" t="s">
        <v>483</v>
      </c>
      <c r="B397" t="s">
        <v>109</v>
      </c>
      <c r="C397" t="s">
        <v>123</v>
      </c>
      <c r="D397" t="s">
        <v>66</v>
      </c>
      <c r="E397" t="s">
        <v>91</v>
      </c>
      <c r="F397" t="str">
        <f t="shared" si="84"/>
        <v>Apple iPhone14|Electronics|799.00|Apple</v>
      </c>
      <c r="G397" t="b">
        <f t="shared" si="85"/>
        <v>0</v>
      </c>
      <c r="H397" t="str">
        <f t="shared" si="86"/>
        <v>Apple iPhone14</v>
      </c>
      <c r="I397" t="str">
        <f t="shared" si="87"/>
        <v>Apple Iphone14</v>
      </c>
      <c r="J397" t="str">
        <f t="shared" si="88"/>
        <v>Apple</v>
      </c>
      <c r="K397" t="str">
        <f t="shared" si="89"/>
        <v>Apple</v>
      </c>
      <c r="L397" t="str">
        <f t="shared" si="90"/>
        <v>Electronics</v>
      </c>
      <c r="M397">
        <f t="shared" si="91"/>
        <v>15</v>
      </c>
      <c r="N397">
        <f t="shared" si="92"/>
        <v>14</v>
      </c>
      <c r="O397" s="6">
        <f t="shared" si="93"/>
        <v>799</v>
      </c>
      <c r="P397" t="str">
        <f t="shared" si="94"/>
        <v>Electronics</v>
      </c>
      <c r="Q397">
        <f t="shared" si="95"/>
        <v>799</v>
      </c>
      <c r="R397" t="str">
        <f t="shared" si="96"/>
        <v>Apple Iphone14|Electronics|799|Apple</v>
      </c>
      <c r="S397" t="b">
        <f t="shared" si="97"/>
        <v>1</v>
      </c>
    </row>
    <row r="398" spans="1:19" x14ac:dyDescent="0.45">
      <c r="A398" t="s">
        <v>484</v>
      </c>
      <c r="B398" t="s">
        <v>58</v>
      </c>
      <c r="C398" t="s">
        <v>94</v>
      </c>
      <c r="D398" t="s">
        <v>55</v>
      </c>
      <c r="E398" t="s">
        <v>91</v>
      </c>
      <c r="F398" t="str">
        <f t="shared" si="84"/>
        <v>Google pixel|gadgets|799|Apple</v>
      </c>
      <c r="G398" t="b">
        <f t="shared" si="85"/>
        <v>1</v>
      </c>
      <c r="H398" t="str">
        <f t="shared" si="86"/>
        <v>Google pixel</v>
      </c>
      <c r="I398" t="str">
        <f t="shared" si="87"/>
        <v>Google Pixel</v>
      </c>
      <c r="J398" t="str">
        <f t="shared" si="88"/>
        <v>Apple</v>
      </c>
      <c r="K398" t="str">
        <f t="shared" si="89"/>
        <v>Apple</v>
      </c>
      <c r="L398" t="str">
        <f t="shared" si="90"/>
        <v>Gadgets</v>
      </c>
      <c r="M398">
        <f t="shared" si="91"/>
        <v>12</v>
      </c>
      <c r="N398">
        <f t="shared" si="92"/>
        <v>12</v>
      </c>
      <c r="O398" s="6">
        <f t="shared" si="93"/>
        <v>799</v>
      </c>
      <c r="P398" t="str">
        <f t="shared" si="94"/>
        <v>Gadgets</v>
      </c>
      <c r="Q398">
        <f t="shared" si="95"/>
        <v>799</v>
      </c>
      <c r="R398" t="str">
        <f t="shared" si="96"/>
        <v>Google Pixel|Gadgets|799|Apple</v>
      </c>
      <c r="S398" t="b">
        <f t="shared" si="97"/>
        <v>1</v>
      </c>
    </row>
    <row r="399" spans="1:19" x14ac:dyDescent="0.45">
      <c r="A399" t="s">
        <v>485</v>
      </c>
      <c r="B399" t="s">
        <v>58</v>
      </c>
      <c r="C399" t="s">
        <v>96</v>
      </c>
      <c r="D399" t="s">
        <v>81</v>
      </c>
      <c r="E399" t="s">
        <v>79</v>
      </c>
      <c r="F399" t="str">
        <f t="shared" si="84"/>
        <v>Google pixel|Gadgets|$799|Samsung</v>
      </c>
      <c r="G399" t="b">
        <f t="shared" si="85"/>
        <v>1</v>
      </c>
      <c r="H399" t="str">
        <f t="shared" si="86"/>
        <v>Google pixel</v>
      </c>
      <c r="I399" t="str">
        <f t="shared" si="87"/>
        <v>Google Pixel</v>
      </c>
      <c r="J399" t="str">
        <f t="shared" si="88"/>
        <v>Samsung</v>
      </c>
      <c r="K399" t="str">
        <f t="shared" si="89"/>
        <v>Samsung</v>
      </c>
      <c r="L399" t="str">
        <f t="shared" si="90"/>
        <v>Gadgets</v>
      </c>
      <c r="M399">
        <f t="shared" si="91"/>
        <v>12</v>
      </c>
      <c r="N399">
        <f t="shared" si="92"/>
        <v>12</v>
      </c>
      <c r="O399" s="6">
        <f t="shared" si="93"/>
        <v>799</v>
      </c>
      <c r="P399" t="str">
        <f t="shared" si="94"/>
        <v>Gadgets</v>
      </c>
      <c r="Q399">
        <f t="shared" si="95"/>
        <v>799</v>
      </c>
      <c r="R399" t="str">
        <f t="shared" si="96"/>
        <v>Google Pixel|Gadgets|799|Samsung</v>
      </c>
      <c r="S399" t="b">
        <f t="shared" si="97"/>
        <v>1</v>
      </c>
    </row>
    <row r="400" spans="1:19" x14ac:dyDescent="0.45">
      <c r="A400" t="s">
        <v>486</v>
      </c>
      <c r="B400" t="s">
        <v>106</v>
      </c>
      <c r="C400" t="s">
        <v>85</v>
      </c>
      <c r="D400" t="s">
        <v>62</v>
      </c>
      <c r="E400" t="s">
        <v>67</v>
      </c>
      <c r="F400" t="str">
        <f t="shared" si="84"/>
        <v>Samsung Galaxy|electronics|799.0|apple</v>
      </c>
      <c r="G400" t="b">
        <f t="shared" si="85"/>
        <v>1</v>
      </c>
      <c r="H400" t="str">
        <f t="shared" si="86"/>
        <v>Samsung Galaxy</v>
      </c>
      <c r="I400" t="str">
        <f t="shared" si="87"/>
        <v>Samsung Galaxy</v>
      </c>
      <c r="J400" t="str">
        <f t="shared" si="88"/>
        <v>apple</v>
      </c>
      <c r="K400" t="str">
        <f t="shared" si="89"/>
        <v>Apple</v>
      </c>
      <c r="L400" t="str">
        <f t="shared" si="90"/>
        <v>Electronics</v>
      </c>
      <c r="M400">
        <f t="shared" si="91"/>
        <v>14</v>
      </c>
      <c r="N400">
        <f t="shared" si="92"/>
        <v>14</v>
      </c>
      <c r="O400" s="6">
        <f t="shared" si="93"/>
        <v>799</v>
      </c>
      <c r="P400" t="str">
        <f t="shared" si="94"/>
        <v>Electronics</v>
      </c>
      <c r="Q400">
        <f t="shared" si="95"/>
        <v>799</v>
      </c>
      <c r="R400" t="str">
        <f t="shared" si="96"/>
        <v>Samsung Galaxy|Electronics|799|Apple</v>
      </c>
      <c r="S400" t="b">
        <f t="shared" si="97"/>
        <v>1</v>
      </c>
    </row>
    <row r="401" spans="1:19" x14ac:dyDescent="0.45">
      <c r="A401" t="s">
        <v>487</v>
      </c>
      <c r="B401" t="s">
        <v>65</v>
      </c>
      <c r="C401" t="s">
        <v>61</v>
      </c>
      <c r="D401" t="s">
        <v>69</v>
      </c>
      <c r="E401" t="s">
        <v>67</v>
      </c>
      <c r="F401" t="str">
        <f t="shared" si="84"/>
        <v>apple iphone 14|Electrnics|799|apple</v>
      </c>
      <c r="G401" t="b">
        <f t="shared" si="85"/>
        <v>1</v>
      </c>
      <c r="H401" t="str">
        <f t="shared" si="86"/>
        <v>apple iphone 14</v>
      </c>
      <c r="I401" t="str">
        <f t="shared" si="87"/>
        <v>Apple Iphone 14</v>
      </c>
      <c r="J401" t="str">
        <f t="shared" si="88"/>
        <v>apple</v>
      </c>
      <c r="K401" t="str">
        <f t="shared" si="89"/>
        <v>Apple</v>
      </c>
      <c r="L401" t="str">
        <f t="shared" si="90"/>
        <v>Electronics</v>
      </c>
      <c r="M401">
        <f t="shared" si="91"/>
        <v>17</v>
      </c>
      <c r="N401">
        <f t="shared" si="92"/>
        <v>15</v>
      </c>
      <c r="O401" s="6">
        <f t="shared" si="93"/>
        <v>799</v>
      </c>
      <c r="P401" t="str">
        <f t="shared" si="94"/>
        <v>Electronics</v>
      </c>
      <c r="Q401">
        <f t="shared" si="95"/>
        <v>799</v>
      </c>
      <c r="R401" t="str">
        <f t="shared" si="96"/>
        <v>Apple Iphone 14|Electronics|799|Apple</v>
      </c>
      <c r="S401" t="b">
        <f t="shared" si="97"/>
        <v>1</v>
      </c>
    </row>
    <row r="402" spans="1:19" x14ac:dyDescent="0.45">
      <c r="A402" t="s">
        <v>488</v>
      </c>
      <c r="B402" t="s">
        <v>54</v>
      </c>
      <c r="C402" t="s">
        <v>94</v>
      </c>
      <c r="D402" t="s">
        <v>88</v>
      </c>
      <c r="E402" t="s">
        <v>63</v>
      </c>
      <c r="F402" t="str">
        <f t="shared" si="84"/>
        <v>Samsung galaxy|gadgets|USD 799|Google</v>
      </c>
      <c r="G402" t="b">
        <f t="shared" si="85"/>
        <v>1</v>
      </c>
      <c r="H402" t="str">
        <f t="shared" si="86"/>
        <v>Samsung galaxy</v>
      </c>
      <c r="I402" t="str">
        <f t="shared" si="87"/>
        <v>Samsung Galaxy</v>
      </c>
      <c r="J402" t="str">
        <f t="shared" si="88"/>
        <v>Google</v>
      </c>
      <c r="K402" t="str">
        <f t="shared" si="89"/>
        <v>Google</v>
      </c>
      <c r="L402" t="str">
        <f t="shared" si="90"/>
        <v>Gadgets</v>
      </c>
      <c r="M402">
        <f t="shared" si="91"/>
        <v>15</v>
      </c>
      <c r="N402">
        <f t="shared" si="92"/>
        <v>14</v>
      </c>
      <c r="O402" s="6">
        <f t="shared" si="93"/>
        <v>799</v>
      </c>
      <c r="P402" t="str">
        <f t="shared" si="94"/>
        <v>Gadgets</v>
      </c>
      <c r="Q402">
        <f t="shared" si="95"/>
        <v>799</v>
      </c>
      <c r="R402" t="str">
        <f t="shared" si="96"/>
        <v>Samsung Galaxy|Gadgets|799|Google</v>
      </c>
      <c r="S402" t="b">
        <f t="shared" si="97"/>
        <v>1</v>
      </c>
    </row>
    <row r="403" spans="1:19" x14ac:dyDescent="0.45">
      <c r="A403" t="s">
        <v>489</v>
      </c>
      <c r="B403" t="s">
        <v>102</v>
      </c>
      <c r="C403" t="s">
        <v>123</v>
      </c>
      <c r="D403" t="s">
        <v>69</v>
      </c>
      <c r="E403" t="s">
        <v>70</v>
      </c>
      <c r="F403" t="str">
        <f t="shared" si="84"/>
        <v>GOOGLE PIXEL|Electronics|799|Samsung</v>
      </c>
      <c r="G403" t="b">
        <f t="shared" si="85"/>
        <v>1</v>
      </c>
      <c r="H403" t="str">
        <f t="shared" si="86"/>
        <v>GOOGLE PIXEL</v>
      </c>
      <c r="I403" t="str">
        <f t="shared" si="87"/>
        <v>Google Pixel</v>
      </c>
      <c r="J403" t="str">
        <f t="shared" si="88"/>
        <v>Samsung</v>
      </c>
      <c r="K403" t="str">
        <f t="shared" si="89"/>
        <v>Samsung</v>
      </c>
      <c r="L403" t="str">
        <f t="shared" si="90"/>
        <v>Electronics</v>
      </c>
      <c r="M403">
        <f t="shared" si="91"/>
        <v>13</v>
      </c>
      <c r="N403">
        <f t="shared" si="92"/>
        <v>12</v>
      </c>
      <c r="O403" s="6">
        <f t="shared" si="93"/>
        <v>799</v>
      </c>
      <c r="P403" t="str">
        <f t="shared" si="94"/>
        <v>Electronics</v>
      </c>
      <c r="Q403">
        <f t="shared" si="95"/>
        <v>799</v>
      </c>
      <c r="R403" t="str">
        <f t="shared" si="96"/>
        <v>Google Pixel|Electronics|799|Samsung</v>
      </c>
      <c r="S403" t="b">
        <f t="shared" si="97"/>
        <v>1</v>
      </c>
    </row>
    <row r="404" spans="1:19" x14ac:dyDescent="0.45">
      <c r="A404" t="s">
        <v>490</v>
      </c>
      <c r="B404" t="s">
        <v>65</v>
      </c>
      <c r="C404" t="s">
        <v>61</v>
      </c>
      <c r="D404" t="s">
        <v>62</v>
      </c>
      <c r="E404" t="s">
        <v>79</v>
      </c>
      <c r="F404" t="str">
        <f t="shared" si="84"/>
        <v>apple iphone 14|Electrnics|799.0|Samsung</v>
      </c>
      <c r="G404" t="b">
        <f t="shared" si="85"/>
        <v>1</v>
      </c>
      <c r="H404" t="str">
        <f t="shared" si="86"/>
        <v>apple iphone 14</v>
      </c>
      <c r="I404" t="str">
        <f t="shared" si="87"/>
        <v>Apple Iphone 14</v>
      </c>
      <c r="J404" t="str">
        <f t="shared" si="88"/>
        <v>Samsung</v>
      </c>
      <c r="K404" t="str">
        <f t="shared" si="89"/>
        <v>Samsung</v>
      </c>
      <c r="L404" t="str">
        <f t="shared" si="90"/>
        <v>Electronics</v>
      </c>
      <c r="M404">
        <f t="shared" si="91"/>
        <v>17</v>
      </c>
      <c r="N404">
        <f t="shared" si="92"/>
        <v>15</v>
      </c>
      <c r="O404" s="6">
        <f t="shared" si="93"/>
        <v>799</v>
      </c>
      <c r="P404" t="str">
        <f t="shared" si="94"/>
        <v>Electronics</v>
      </c>
      <c r="Q404">
        <f t="shared" si="95"/>
        <v>799</v>
      </c>
      <c r="R404" t="str">
        <f t="shared" si="96"/>
        <v>Apple Iphone 14|Electronics|799|Samsung</v>
      </c>
      <c r="S404" t="b">
        <f t="shared" si="97"/>
        <v>1</v>
      </c>
    </row>
    <row r="405" spans="1:19" x14ac:dyDescent="0.45">
      <c r="A405" t="s">
        <v>491</v>
      </c>
      <c r="B405" t="s">
        <v>138</v>
      </c>
      <c r="C405" t="s">
        <v>123</v>
      </c>
      <c r="E405" t="s">
        <v>79</v>
      </c>
      <c r="F405" t="str">
        <f t="shared" si="84"/>
        <v>APPLE IPHONE 14|Electronics||Samsung</v>
      </c>
      <c r="G405" t="b">
        <f t="shared" si="85"/>
        <v>1</v>
      </c>
      <c r="H405" t="str">
        <f t="shared" si="86"/>
        <v>APPLE IPHONE 14</v>
      </c>
      <c r="I405" t="str">
        <f t="shared" si="87"/>
        <v>Apple Iphone 14</v>
      </c>
      <c r="J405" t="str">
        <f t="shared" si="88"/>
        <v>Samsung</v>
      </c>
      <c r="K405" t="str">
        <f t="shared" si="89"/>
        <v>Samsung</v>
      </c>
      <c r="L405" t="str">
        <f t="shared" si="90"/>
        <v>Electronics</v>
      </c>
      <c r="M405">
        <f t="shared" si="91"/>
        <v>15</v>
      </c>
      <c r="N405">
        <f t="shared" si="92"/>
        <v>15</v>
      </c>
      <c r="O405" s="6" t="str">
        <f t="shared" si="93"/>
        <v/>
      </c>
      <c r="P405" t="str">
        <f t="shared" si="94"/>
        <v>Electronics</v>
      </c>
      <c r="Q405" t="str">
        <f t="shared" si="95"/>
        <v>Not Available</v>
      </c>
      <c r="R405" t="str">
        <f t="shared" si="96"/>
        <v>Apple Iphone 14|Electronics|Not Available|Samsung</v>
      </c>
      <c r="S405" t="b">
        <f t="shared" si="97"/>
        <v>1</v>
      </c>
    </row>
    <row r="406" spans="1:19" x14ac:dyDescent="0.45">
      <c r="A406" t="s">
        <v>492</v>
      </c>
      <c r="B406" t="s">
        <v>54</v>
      </c>
      <c r="C406" t="s">
        <v>96</v>
      </c>
      <c r="D406" t="s">
        <v>81</v>
      </c>
      <c r="E406" t="s">
        <v>82</v>
      </c>
      <c r="F406" t="str">
        <f t="shared" si="84"/>
        <v>Samsung galaxy|Gadgets|$799|APPLE</v>
      </c>
      <c r="G406" t="b">
        <f t="shared" si="85"/>
        <v>1</v>
      </c>
      <c r="H406" t="str">
        <f t="shared" si="86"/>
        <v>Samsung galaxy</v>
      </c>
      <c r="I406" t="str">
        <f t="shared" si="87"/>
        <v>Samsung Galaxy</v>
      </c>
      <c r="J406" t="str">
        <f t="shared" si="88"/>
        <v>APPLE</v>
      </c>
      <c r="K406" t="str">
        <f t="shared" si="89"/>
        <v>Apple</v>
      </c>
      <c r="L406" t="str">
        <f t="shared" si="90"/>
        <v>Gadgets</v>
      </c>
      <c r="M406">
        <f t="shared" si="91"/>
        <v>15</v>
      </c>
      <c r="N406">
        <f t="shared" si="92"/>
        <v>14</v>
      </c>
      <c r="O406" s="6">
        <f t="shared" si="93"/>
        <v>799</v>
      </c>
      <c r="P406" t="str">
        <f t="shared" si="94"/>
        <v>Gadgets</v>
      </c>
      <c r="Q406">
        <f t="shared" si="95"/>
        <v>799</v>
      </c>
      <c r="R406" t="str">
        <f t="shared" si="96"/>
        <v>Samsung Galaxy|Gadgets|799|Apple</v>
      </c>
      <c r="S406" t="b">
        <f t="shared" si="97"/>
        <v>1</v>
      </c>
    </row>
    <row r="407" spans="1:19" x14ac:dyDescent="0.45">
      <c r="A407" t="s">
        <v>493</v>
      </c>
      <c r="B407" t="s">
        <v>78</v>
      </c>
      <c r="C407" t="s">
        <v>96</v>
      </c>
      <c r="D407" t="s">
        <v>88</v>
      </c>
      <c r="E407" t="s">
        <v>82</v>
      </c>
      <c r="F407" t="str">
        <f t="shared" si="84"/>
        <v>samsung Galaxy|Gadgets|USD 799|APPLE</v>
      </c>
      <c r="G407" t="b">
        <f t="shared" si="85"/>
        <v>1</v>
      </c>
      <c r="H407" t="str">
        <f t="shared" si="86"/>
        <v>samsung Galaxy</v>
      </c>
      <c r="I407" t="str">
        <f t="shared" si="87"/>
        <v>Samsung Galaxy</v>
      </c>
      <c r="J407" t="str">
        <f t="shared" si="88"/>
        <v>APPLE</v>
      </c>
      <c r="K407" t="str">
        <f t="shared" si="89"/>
        <v>Apple</v>
      </c>
      <c r="L407" t="str">
        <f t="shared" si="90"/>
        <v>Gadgets</v>
      </c>
      <c r="M407">
        <f t="shared" si="91"/>
        <v>15</v>
      </c>
      <c r="N407">
        <f t="shared" si="92"/>
        <v>14</v>
      </c>
      <c r="O407" s="6">
        <f t="shared" si="93"/>
        <v>799</v>
      </c>
      <c r="P407" t="str">
        <f t="shared" si="94"/>
        <v>Gadgets</v>
      </c>
      <c r="Q407">
        <f t="shared" si="95"/>
        <v>799</v>
      </c>
      <c r="R407" t="str">
        <f t="shared" si="96"/>
        <v>Samsung Galaxy|Gadgets|799|Apple</v>
      </c>
      <c r="S407" t="b">
        <f t="shared" si="97"/>
        <v>1</v>
      </c>
    </row>
    <row r="408" spans="1:19" x14ac:dyDescent="0.45">
      <c r="A408" t="s">
        <v>494</v>
      </c>
      <c r="B408" t="s">
        <v>93</v>
      </c>
      <c r="C408" t="s">
        <v>85</v>
      </c>
      <c r="D408" t="s">
        <v>55</v>
      </c>
      <c r="E408" t="s">
        <v>82</v>
      </c>
      <c r="F408" t="str">
        <f t="shared" si="84"/>
        <v>SAMSUNG GALAXY|electronics|799|APPLE</v>
      </c>
      <c r="G408" t="b">
        <f t="shared" si="85"/>
        <v>1</v>
      </c>
      <c r="H408" t="str">
        <f t="shared" si="86"/>
        <v>SAMSUNG GALAXY</v>
      </c>
      <c r="I408" t="str">
        <f t="shared" si="87"/>
        <v>Samsung Galaxy</v>
      </c>
      <c r="J408" t="str">
        <f t="shared" si="88"/>
        <v>APPLE</v>
      </c>
      <c r="K408" t="str">
        <f t="shared" si="89"/>
        <v>Apple</v>
      </c>
      <c r="L408" t="str">
        <f t="shared" si="90"/>
        <v>Electronics</v>
      </c>
      <c r="M408">
        <f t="shared" si="91"/>
        <v>14</v>
      </c>
      <c r="N408">
        <f t="shared" si="92"/>
        <v>14</v>
      </c>
      <c r="O408" s="6">
        <f t="shared" si="93"/>
        <v>799</v>
      </c>
      <c r="P408" t="str">
        <f t="shared" si="94"/>
        <v>Electronics</v>
      </c>
      <c r="Q408">
        <f t="shared" si="95"/>
        <v>799</v>
      </c>
      <c r="R408" t="str">
        <f t="shared" si="96"/>
        <v>Samsung Galaxy|Electronics|799|Apple</v>
      </c>
      <c r="S408" t="b">
        <f t="shared" si="97"/>
        <v>1</v>
      </c>
    </row>
    <row r="409" spans="1:19" x14ac:dyDescent="0.45">
      <c r="A409" t="s">
        <v>495</v>
      </c>
      <c r="B409" t="s">
        <v>102</v>
      </c>
      <c r="C409" t="s">
        <v>73</v>
      </c>
      <c r="D409" t="s">
        <v>66</v>
      </c>
      <c r="E409" t="s">
        <v>89</v>
      </c>
      <c r="F409" t="str">
        <f t="shared" si="84"/>
        <v>GOOGLE PIXEL|Electro|799.00|Apple</v>
      </c>
      <c r="G409" t="b">
        <f t="shared" si="85"/>
        <v>1</v>
      </c>
      <c r="H409" t="str">
        <f t="shared" si="86"/>
        <v>GOOGLE PIXEL</v>
      </c>
      <c r="I409" t="str">
        <f t="shared" si="87"/>
        <v>Google Pixel</v>
      </c>
      <c r="J409" t="str">
        <f t="shared" si="88"/>
        <v>Apple</v>
      </c>
      <c r="K409" t="str">
        <f t="shared" si="89"/>
        <v>Apple</v>
      </c>
      <c r="L409" t="str">
        <f t="shared" si="90"/>
        <v>Electronics</v>
      </c>
      <c r="M409">
        <f t="shared" si="91"/>
        <v>13</v>
      </c>
      <c r="N409">
        <f t="shared" si="92"/>
        <v>12</v>
      </c>
      <c r="O409" s="6">
        <f t="shared" si="93"/>
        <v>799</v>
      </c>
      <c r="P409" t="str">
        <f t="shared" si="94"/>
        <v>Electronics</v>
      </c>
      <c r="Q409">
        <f t="shared" si="95"/>
        <v>799</v>
      </c>
      <c r="R409" t="str">
        <f t="shared" si="96"/>
        <v>Google Pixel|Electronics|799|Apple</v>
      </c>
      <c r="S409" t="b">
        <f t="shared" si="97"/>
        <v>1</v>
      </c>
    </row>
    <row r="410" spans="1:19" x14ac:dyDescent="0.45">
      <c r="A410" t="s">
        <v>496</v>
      </c>
      <c r="B410" t="s">
        <v>87</v>
      </c>
      <c r="C410" t="s">
        <v>123</v>
      </c>
      <c r="D410" t="s">
        <v>69</v>
      </c>
      <c r="E410" t="s">
        <v>70</v>
      </c>
      <c r="F410" t="str">
        <f t="shared" si="84"/>
        <v>Google Pixel|Electronics|799|Samsung</v>
      </c>
      <c r="G410" t="b">
        <f t="shared" si="85"/>
        <v>1</v>
      </c>
      <c r="H410" t="str">
        <f t="shared" si="86"/>
        <v>Google Pixel</v>
      </c>
      <c r="I410" t="str">
        <f t="shared" si="87"/>
        <v>Google Pixel</v>
      </c>
      <c r="J410" t="str">
        <f t="shared" si="88"/>
        <v>Samsung</v>
      </c>
      <c r="K410" t="str">
        <f t="shared" si="89"/>
        <v>Samsung</v>
      </c>
      <c r="L410" t="str">
        <f t="shared" si="90"/>
        <v>Electronics</v>
      </c>
      <c r="M410">
        <f t="shared" si="91"/>
        <v>12</v>
      </c>
      <c r="N410">
        <f t="shared" si="92"/>
        <v>12</v>
      </c>
      <c r="O410" s="6">
        <f t="shared" si="93"/>
        <v>799</v>
      </c>
      <c r="P410" t="str">
        <f t="shared" si="94"/>
        <v>Electronics</v>
      </c>
      <c r="Q410">
        <f t="shared" si="95"/>
        <v>799</v>
      </c>
      <c r="R410" t="str">
        <f t="shared" si="96"/>
        <v>Google Pixel|Electronics|799|Samsung</v>
      </c>
      <c r="S410" t="b">
        <f t="shared" si="97"/>
        <v>1</v>
      </c>
    </row>
    <row r="411" spans="1:19" x14ac:dyDescent="0.45">
      <c r="A411" t="s">
        <v>497</v>
      </c>
      <c r="B411" t="s">
        <v>60</v>
      </c>
      <c r="C411" t="s">
        <v>94</v>
      </c>
      <c r="D411" t="s">
        <v>66</v>
      </c>
      <c r="E411" t="s">
        <v>67</v>
      </c>
      <c r="F411" t="str">
        <f t="shared" si="84"/>
        <v>apple iPhone 14|gadgets|799.00|apple</v>
      </c>
      <c r="G411" t="b">
        <f t="shared" si="85"/>
        <v>1</v>
      </c>
      <c r="H411" t="str">
        <f t="shared" si="86"/>
        <v>apple iPhone 14</v>
      </c>
      <c r="I411" t="str">
        <f t="shared" si="87"/>
        <v>Apple Iphone 14</v>
      </c>
      <c r="J411" t="str">
        <f t="shared" si="88"/>
        <v>apple</v>
      </c>
      <c r="K411" t="str">
        <f t="shared" si="89"/>
        <v>Apple</v>
      </c>
      <c r="L411" t="str">
        <f t="shared" si="90"/>
        <v>Gadgets</v>
      </c>
      <c r="M411">
        <f t="shared" si="91"/>
        <v>15</v>
      </c>
      <c r="N411">
        <f t="shared" si="92"/>
        <v>15</v>
      </c>
      <c r="O411" s="6">
        <f t="shared" si="93"/>
        <v>799</v>
      </c>
      <c r="P411" t="str">
        <f t="shared" si="94"/>
        <v>Gadgets</v>
      </c>
      <c r="Q411">
        <f t="shared" si="95"/>
        <v>799</v>
      </c>
      <c r="R411" t="str">
        <f t="shared" si="96"/>
        <v>Apple Iphone 14|Gadgets|799|Apple</v>
      </c>
      <c r="S411" t="b">
        <f t="shared" si="97"/>
        <v>1</v>
      </c>
    </row>
    <row r="412" spans="1:19" x14ac:dyDescent="0.45">
      <c r="A412" t="s">
        <v>498</v>
      </c>
      <c r="B412" t="s">
        <v>72</v>
      </c>
      <c r="D412" t="s">
        <v>69</v>
      </c>
      <c r="E412" t="s">
        <v>112</v>
      </c>
      <c r="F412" t="str">
        <f t="shared" si="84"/>
        <v>google pixel||799|SAMSUNG</v>
      </c>
      <c r="G412" t="b">
        <f t="shared" si="85"/>
        <v>1</v>
      </c>
      <c r="H412" t="str">
        <f t="shared" si="86"/>
        <v>google pixel</v>
      </c>
      <c r="I412" t="str">
        <f t="shared" si="87"/>
        <v>Google Pixel</v>
      </c>
      <c r="J412" t="str">
        <f t="shared" si="88"/>
        <v>SAMSUNG</v>
      </c>
      <c r="K412" t="str">
        <f t="shared" si="89"/>
        <v>Samsung</v>
      </c>
      <c r="L412" t="str">
        <f t="shared" si="90"/>
        <v/>
      </c>
      <c r="M412">
        <f t="shared" si="91"/>
        <v>14</v>
      </c>
      <c r="N412">
        <f t="shared" si="92"/>
        <v>12</v>
      </c>
      <c r="O412" s="6">
        <f t="shared" si="93"/>
        <v>799</v>
      </c>
      <c r="P412" t="str">
        <f t="shared" si="94"/>
        <v>Not Available</v>
      </c>
      <c r="Q412">
        <f t="shared" si="95"/>
        <v>799</v>
      </c>
      <c r="R412" t="str">
        <f t="shared" si="96"/>
        <v>Google Pixel|Not Available|799|Samsung</v>
      </c>
      <c r="S412" t="b">
        <f t="shared" si="97"/>
        <v>1</v>
      </c>
    </row>
    <row r="413" spans="1:19" x14ac:dyDescent="0.45">
      <c r="A413" t="s">
        <v>499</v>
      </c>
      <c r="B413" t="s">
        <v>138</v>
      </c>
      <c r="C413" t="s">
        <v>73</v>
      </c>
      <c r="D413" t="s">
        <v>69</v>
      </c>
      <c r="E413" t="s">
        <v>91</v>
      </c>
      <c r="F413" t="str">
        <f t="shared" si="84"/>
        <v>APPLE IPHONE 14|Electro|799|Apple</v>
      </c>
      <c r="G413" t="b">
        <f t="shared" si="85"/>
        <v>1</v>
      </c>
      <c r="H413" t="str">
        <f t="shared" si="86"/>
        <v>APPLE IPHONE 14</v>
      </c>
      <c r="I413" t="str">
        <f t="shared" si="87"/>
        <v>Apple Iphone 14</v>
      </c>
      <c r="J413" t="str">
        <f t="shared" si="88"/>
        <v>Apple</v>
      </c>
      <c r="K413" t="str">
        <f t="shared" si="89"/>
        <v>Apple</v>
      </c>
      <c r="L413" t="str">
        <f t="shared" si="90"/>
        <v>Electronics</v>
      </c>
      <c r="M413">
        <f t="shared" si="91"/>
        <v>15</v>
      </c>
      <c r="N413">
        <f t="shared" si="92"/>
        <v>15</v>
      </c>
      <c r="O413" s="6">
        <f t="shared" si="93"/>
        <v>799</v>
      </c>
      <c r="P413" t="str">
        <f t="shared" si="94"/>
        <v>Electronics</v>
      </c>
      <c r="Q413">
        <f t="shared" si="95"/>
        <v>799</v>
      </c>
      <c r="R413" t="str">
        <f t="shared" si="96"/>
        <v>Apple Iphone 14|Electronics|799|Apple</v>
      </c>
      <c r="S413" t="b">
        <f t="shared" si="97"/>
        <v>1</v>
      </c>
    </row>
    <row r="414" spans="1:19" x14ac:dyDescent="0.45">
      <c r="A414" t="s">
        <v>500</v>
      </c>
      <c r="B414" t="s">
        <v>58</v>
      </c>
      <c r="C414" t="s">
        <v>85</v>
      </c>
      <c r="D414" t="s">
        <v>69</v>
      </c>
      <c r="E414" t="s">
        <v>89</v>
      </c>
      <c r="F414" t="str">
        <f t="shared" si="84"/>
        <v>Google pixel|electronics|799|Apple</v>
      </c>
      <c r="G414" t="b">
        <f t="shared" si="85"/>
        <v>1</v>
      </c>
      <c r="H414" t="str">
        <f t="shared" si="86"/>
        <v>Google pixel</v>
      </c>
      <c r="I414" t="str">
        <f t="shared" si="87"/>
        <v>Google Pixel</v>
      </c>
      <c r="J414" t="str">
        <f t="shared" si="88"/>
        <v>Apple</v>
      </c>
      <c r="K414" t="str">
        <f t="shared" si="89"/>
        <v>Apple</v>
      </c>
      <c r="L414" t="str">
        <f t="shared" si="90"/>
        <v>Electronics</v>
      </c>
      <c r="M414">
        <f t="shared" si="91"/>
        <v>12</v>
      </c>
      <c r="N414">
        <f t="shared" si="92"/>
        <v>12</v>
      </c>
      <c r="O414" s="6">
        <f t="shared" si="93"/>
        <v>799</v>
      </c>
      <c r="P414" t="str">
        <f t="shared" si="94"/>
        <v>Electronics</v>
      </c>
      <c r="Q414">
        <f t="shared" si="95"/>
        <v>799</v>
      </c>
      <c r="R414" t="str">
        <f t="shared" si="96"/>
        <v>Google Pixel|Electronics|799|Apple</v>
      </c>
      <c r="S414" t="b">
        <f t="shared" si="97"/>
        <v>1</v>
      </c>
    </row>
    <row r="415" spans="1:19" x14ac:dyDescent="0.45">
      <c r="A415" t="s">
        <v>501</v>
      </c>
      <c r="B415" t="s">
        <v>72</v>
      </c>
      <c r="C415" t="s">
        <v>94</v>
      </c>
      <c r="D415" t="s">
        <v>66</v>
      </c>
      <c r="E415" t="s">
        <v>79</v>
      </c>
      <c r="F415" t="str">
        <f t="shared" si="84"/>
        <v>google pixel|gadgets|799.00|Samsung</v>
      </c>
      <c r="G415" t="b">
        <f t="shared" si="85"/>
        <v>1</v>
      </c>
      <c r="H415" t="str">
        <f t="shared" si="86"/>
        <v>google pixel</v>
      </c>
      <c r="I415" t="str">
        <f t="shared" si="87"/>
        <v>Google Pixel</v>
      </c>
      <c r="J415" t="str">
        <f t="shared" si="88"/>
        <v>Samsung</v>
      </c>
      <c r="K415" t="str">
        <f t="shared" si="89"/>
        <v>Samsung</v>
      </c>
      <c r="L415" t="str">
        <f t="shared" si="90"/>
        <v>Gadgets</v>
      </c>
      <c r="M415">
        <f t="shared" si="91"/>
        <v>14</v>
      </c>
      <c r="N415">
        <f t="shared" si="92"/>
        <v>12</v>
      </c>
      <c r="O415" s="6">
        <f t="shared" si="93"/>
        <v>799</v>
      </c>
      <c r="P415" t="str">
        <f t="shared" si="94"/>
        <v>Gadgets</v>
      </c>
      <c r="Q415">
        <f t="shared" si="95"/>
        <v>799</v>
      </c>
      <c r="R415" t="str">
        <f t="shared" si="96"/>
        <v>Google Pixel|Gadgets|799|Samsung</v>
      </c>
      <c r="S415" t="b">
        <f t="shared" si="97"/>
        <v>1</v>
      </c>
    </row>
    <row r="416" spans="1:19" x14ac:dyDescent="0.45">
      <c r="A416" t="s">
        <v>502</v>
      </c>
      <c r="B416" t="s">
        <v>93</v>
      </c>
      <c r="C416" t="s">
        <v>94</v>
      </c>
      <c r="D416" t="s">
        <v>66</v>
      </c>
      <c r="E416" t="s">
        <v>75</v>
      </c>
      <c r="F416" t="str">
        <f t="shared" si="84"/>
        <v>SAMSUNG GALAXY|gadgets|799.00|google</v>
      </c>
      <c r="G416" t="b">
        <f t="shared" si="85"/>
        <v>1</v>
      </c>
      <c r="H416" t="str">
        <f t="shared" si="86"/>
        <v>SAMSUNG GALAXY</v>
      </c>
      <c r="I416" t="str">
        <f t="shared" si="87"/>
        <v>Samsung Galaxy</v>
      </c>
      <c r="J416" t="str">
        <f t="shared" si="88"/>
        <v>google</v>
      </c>
      <c r="K416" t="str">
        <f t="shared" si="89"/>
        <v>Google</v>
      </c>
      <c r="L416" t="str">
        <f t="shared" si="90"/>
        <v>Gadgets</v>
      </c>
      <c r="M416">
        <f t="shared" si="91"/>
        <v>14</v>
      </c>
      <c r="N416">
        <f t="shared" si="92"/>
        <v>14</v>
      </c>
      <c r="O416" s="6">
        <f t="shared" si="93"/>
        <v>799</v>
      </c>
      <c r="P416" t="str">
        <f t="shared" si="94"/>
        <v>Gadgets</v>
      </c>
      <c r="Q416">
        <f t="shared" si="95"/>
        <v>799</v>
      </c>
      <c r="R416" t="str">
        <f t="shared" si="96"/>
        <v>Samsung Galaxy|Gadgets|799|Google</v>
      </c>
      <c r="S416" t="b">
        <f t="shared" si="97"/>
        <v>1</v>
      </c>
    </row>
    <row r="417" spans="1:19" x14ac:dyDescent="0.45">
      <c r="A417" t="s">
        <v>503</v>
      </c>
      <c r="B417" t="s">
        <v>54</v>
      </c>
      <c r="C417" t="s">
        <v>94</v>
      </c>
      <c r="D417" t="s">
        <v>62</v>
      </c>
      <c r="E417" t="s">
        <v>63</v>
      </c>
      <c r="F417" t="str">
        <f t="shared" si="84"/>
        <v>Samsung galaxy|gadgets|799.0|Google</v>
      </c>
      <c r="G417" t="b">
        <f t="shared" si="85"/>
        <v>1</v>
      </c>
      <c r="H417" t="str">
        <f t="shared" si="86"/>
        <v>Samsung galaxy</v>
      </c>
      <c r="I417" t="str">
        <f t="shared" si="87"/>
        <v>Samsung Galaxy</v>
      </c>
      <c r="J417" t="str">
        <f t="shared" si="88"/>
        <v>Google</v>
      </c>
      <c r="K417" t="str">
        <f t="shared" si="89"/>
        <v>Google</v>
      </c>
      <c r="L417" t="str">
        <f t="shared" si="90"/>
        <v>Gadgets</v>
      </c>
      <c r="M417">
        <f t="shared" si="91"/>
        <v>15</v>
      </c>
      <c r="N417">
        <f t="shared" si="92"/>
        <v>14</v>
      </c>
      <c r="O417" s="6">
        <f t="shared" si="93"/>
        <v>799</v>
      </c>
      <c r="P417" t="str">
        <f t="shared" si="94"/>
        <v>Gadgets</v>
      </c>
      <c r="Q417">
        <f t="shared" si="95"/>
        <v>799</v>
      </c>
      <c r="R417" t="str">
        <f t="shared" si="96"/>
        <v>Samsung Galaxy|Gadgets|799|Google</v>
      </c>
      <c r="S417" t="b">
        <f t="shared" si="97"/>
        <v>1</v>
      </c>
    </row>
    <row r="418" spans="1:19" x14ac:dyDescent="0.45">
      <c r="A418" t="s">
        <v>504</v>
      </c>
      <c r="B418" t="s">
        <v>87</v>
      </c>
      <c r="C418" t="s">
        <v>94</v>
      </c>
      <c r="D418" t="s">
        <v>66</v>
      </c>
      <c r="E418" t="s">
        <v>82</v>
      </c>
      <c r="F418" t="str">
        <f t="shared" si="84"/>
        <v>Google Pixel|gadgets|799.00|APPLE</v>
      </c>
      <c r="G418" t="b">
        <f t="shared" si="85"/>
        <v>0</v>
      </c>
      <c r="H418" t="str">
        <f t="shared" si="86"/>
        <v>Google Pixel</v>
      </c>
      <c r="I418" t="str">
        <f t="shared" si="87"/>
        <v>Google Pixel</v>
      </c>
      <c r="J418" t="str">
        <f t="shared" si="88"/>
        <v>APPLE</v>
      </c>
      <c r="K418" t="str">
        <f t="shared" si="89"/>
        <v>Apple</v>
      </c>
      <c r="L418" t="str">
        <f t="shared" si="90"/>
        <v>Gadgets</v>
      </c>
      <c r="M418">
        <f t="shared" si="91"/>
        <v>12</v>
      </c>
      <c r="N418">
        <f t="shared" si="92"/>
        <v>12</v>
      </c>
      <c r="O418" s="6">
        <f t="shared" si="93"/>
        <v>799</v>
      </c>
      <c r="P418" t="str">
        <f t="shared" si="94"/>
        <v>Gadgets</v>
      </c>
      <c r="Q418">
        <f t="shared" si="95"/>
        <v>799</v>
      </c>
      <c r="R418" t="str">
        <f t="shared" si="96"/>
        <v>Google Pixel|Gadgets|799|Apple</v>
      </c>
      <c r="S418" t="b">
        <f t="shared" si="97"/>
        <v>1</v>
      </c>
    </row>
    <row r="419" spans="1:19" x14ac:dyDescent="0.45">
      <c r="A419" t="s">
        <v>505</v>
      </c>
      <c r="B419" t="s">
        <v>138</v>
      </c>
      <c r="C419" t="s">
        <v>73</v>
      </c>
      <c r="D419" t="s">
        <v>66</v>
      </c>
      <c r="E419" t="s">
        <v>112</v>
      </c>
      <c r="F419" t="str">
        <f t="shared" si="84"/>
        <v>APPLE IPHONE 14|Electro|799.00|SAMSUNG</v>
      </c>
      <c r="G419" t="b">
        <f t="shared" si="85"/>
        <v>0</v>
      </c>
      <c r="H419" t="str">
        <f t="shared" si="86"/>
        <v>APPLE IPHONE 14</v>
      </c>
      <c r="I419" t="str">
        <f t="shared" si="87"/>
        <v>Apple Iphone 14</v>
      </c>
      <c r="J419" t="str">
        <f t="shared" si="88"/>
        <v>SAMSUNG</v>
      </c>
      <c r="K419" t="str">
        <f t="shared" si="89"/>
        <v>Samsung</v>
      </c>
      <c r="L419" t="str">
        <f t="shared" si="90"/>
        <v>Electronics</v>
      </c>
      <c r="M419">
        <f t="shared" si="91"/>
        <v>15</v>
      </c>
      <c r="N419">
        <f t="shared" si="92"/>
        <v>15</v>
      </c>
      <c r="O419" s="6">
        <f t="shared" si="93"/>
        <v>799</v>
      </c>
      <c r="P419" t="str">
        <f t="shared" si="94"/>
        <v>Electronics</v>
      </c>
      <c r="Q419">
        <f t="shared" si="95"/>
        <v>799</v>
      </c>
      <c r="R419" t="str">
        <f t="shared" si="96"/>
        <v>Apple Iphone 14|Electronics|799|Samsung</v>
      </c>
      <c r="S419" t="b">
        <f t="shared" si="97"/>
        <v>1</v>
      </c>
    </row>
    <row r="420" spans="1:19" x14ac:dyDescent="0.45">
      <c r="A420" t="s">
        <v>506</v>
      </c>
      <c r="B420" t="s">
        <v>109</v>
      </c>
      <c r="C420" t="s">
        <v>61</v>
      </c>
      <c r="D420" t="s">
        <v>74</v>
      </c>
      <c r="E420" t="s">
        <v>67</v>
      </c>
      <c r="F420" t="str">
        <f t="shared" si="84"/>
        <v>Apple iPhone14|Electrnics|799|apple</v>
      </c>
      <c r="G420" t="b">
        <f t="shared" si="85"/>
        <v>1</v>
      </c>
      <c r="H420" t="str">
        <f t="shared" si="86"/>
        <v>Apple iPhone14</v>
      </c>
      <c r="I420" t="str">
        <f t="shared" si="87"/>
        <v>Apple Iphone14</v>
      </c>
      <c r="J420" t="str">
        <f t="shared" si="88"/>
        <v>apple</v>
      </c>
      <c r="K420" t="str">
        <f t="shared" si="89"/>
        <v>Apple</v>
      </c>
      <c r="L420" t="str">
        <f t="shared" si="90"/>
        <v>Electronics</v>
      </c>
      <c r="M420">
        <f t="shared" si="91"/>
        <v>15</v>
      </c>
      <c r="N420">
        <f t="shared" si="92"/>
        <v>14</v>
      </c>
      <c r="O420" s="6">
        <f t="shared" si="93"/>
        <v>799</v>
      </c>
      <c r="P420" t="str">
        <f t="shared" si="94"/>
        <v>Electronics</v>
      </c>
      <c r="Q420">
        <f t="shared" si="95"/>
        <v>799</v>
      </c>
      <c r="R420" t="str">
        <f t="shared" si="96"/>
        <v>Apple Iphone14|Electronics|799|Apple</v>
      </c>
      <c r="S420" t="b">
        <f t="shared" si="97"/>
        <v>1</v>
      </c>
    </row>
    <row r="421" spans="1:19" x14ac:dyDescent="0.45">
      <c r="A421" t="s">
        <v>507</v>
      </c>
      <c r="B421" t="s">
        <v>58</v>
      </c>
      <c r="C421" t="s">
        <v>73</v>
      </c>
      <c r="D421" t="s">
        <v>69</v>
      </c>
      <c r="E421" t="s">
        <v>79</v>
      </c>
      <c r="F421" t="str">
        <f t="shared" si="84"/>
        <v>Google pixel|Electro|799|Samsung</v>
      </c>
      <c r="G421" t="b">
        <f t="shared" si="85"/>
        <v>1</v>
      </c>
      <c r="H421" t="str">
        <f t="shared" si="86"/>
        <v>Google pixel</v>
      </c>
      <c r="I421" t="str">
        <f t="shared" si="87"/>
        <v>Google Pixel</v>
      </c>
      <c r="J421" t="str">
        <f t="shared" si="88"/>
        <v>Samsung</v>
      </c>
      <c r="K421" t="str">
        <f t="shared" si="89"/>
        <v>Samsung</v>
      </c>
      <c r="L421" t="str">
        <f t="shared" si="90"/>
        <v>Electronics</v>
      </c>
      <c r="M421">
        <f t="shared" si="91"/>
        <v>12</v>
      </c>
      <c r="N421">
        <f t="shared" si="92"/>
        <v>12</v>
      </c>
      <c r="O421" s="6">
        <f t="shared" si="93"/>
        <v>799</v>
      </c>
      <c r="P421" t="str">
        <f t="shared" si="94"/>
        <v>Electronics</v>
      </c>
      <c r="Q421">
        <f t="shared" si="95"/>
        <v>799</v>
      </c>
      <c r="R421" t="str">
        <f t="shared" si="96"/>
        <v>Google Pixel|Electronics|799|Samsung</v>
      </c>
      <c r="S421" t="b">
        <f t="shared" si="97"/>
        <v>1</v>
      </c>
    </row>
    <row r="422" spans="1:19" x14ac:dyDescent="0.45">
      <c r="A422" t="s">
        <v>508</v>
      </c>
      <c r="B422" t="s">
        <v>78</v>
      </c>
      <c r="C422" t="s">
        <v>73</v>
      </c>
      <c r="D422" t="s">
        <v>88</v>
      </c>
      <c r="E422" t="s">
        <v>67</v>
      </c>
      <c r="F422" t="str">
        <f t="shared" si="84"/>
        <v>samsung Galaxy|Electro|USD 799|apple</v>
      </c>
      <c r="G422" t="b">
        <f t="shared" si="85"/>
        <v>1</v>
      </c>
      <c r="H422" t="str">
        <f t="shared" si="86"/>
        <v>samsung Galaxy</v>
      </c>
      <c r="I422" t="str">
        <f t="shared" si="87"/>
        <v>Samsung Galaxy</v>
      </c>
      <c r="J422" t="str">
        <f t="shared" si="88"/>
        <v>apple</v>
      </c>
      <c r="K422" t="str">
        <f t="shared" si="89"/>
        <v>Apple</v>
      </c>
      <c r="L422" t="str">
        <f t="shared" si="90"/>
        <v>Electronics</v>
      </c>
      <c r="M422">
        <f t="shared" si="91"/>
        <v>15</v>
      </c>
      <c r="N422">
        <f t="shared" si="92"/>
        <v>14</v>
      </c>
      <c r="O422" s="6">
        <f t="shared" si="93"/>
        <v>799</v>
      </c>
      <c r="P422" t="str">
        <f t="shared" si="94"/>
        <v>Electronics</v>
      </c>
      <c r="Q422">
        <f t="shared" si="95"/>
        <v>799</v>
      </c>
      <c r="R422" t="str">
        <f t="shared" si="96"/>
        <v>Samsung Galaxy|Electronics|799|Apple</v>
      </c>
      <c r="S422" t="b">
        <f t="shared" si="97"/>
        <v>1</v>
      </c>
    </row>
    <row r="423" spans="1:19" x14ac:dyDescent="0.45">
      <c r="A423" t="s">
        <v>509</v>
      </c>
      <c r="B423" t="s">
        <v>138</v>
      </c>
      <c r="E423" t="s">
        <v>56</v>
      </c>
      <c r="F423" t="str">
        <f t="shared" si="84"/>
        <v>APPLE IPHONE 14|||GOOGLE</v>
      </c>
      <c r="G423" t="b">
        <f t="shared" si="85"/>
        <v>1</v>
      </c>
      <c r="H423" t="str">
        <f t="shared" si="86"/>
        <v>APPLE IPHONE 14</v>
      </c>
      <c r="I423" t="str">
        <f t="shared" si="87"/>
        <v>Apple Iphone 14</v>
      </c>
      <c r="J423" t="str">
        <f t="shared" si="88"/>
        <v>GOOGLE</v>
      </c>
      <c r="K423" t="str">
        <f t="shared" si="89"/>
        <v>Google</v>
      </c>
      <c r="L423" t="str">
        <f t="shared" si="90"/>
        <v/>
      </c>
      <c r="M423">
        <f t="shared" si="91"/>
        <v>15</v>
      </c>
      <c r="N423">
        <f t="shared" si="92"/>
        <v>15</v>
      </c>
      <c r="O423" s="6" t="str">
        <f t="shared" si="93"/>
        <v/>
      </c>
      <c r="P423" t="str">
        <f t="shared" si="94"/>
        <v>Not Available</v>
      </c>
      <c r="Q423" t="str">
        <f t="shared" si="95"/>
        <v>Not Available</v>
      </c>
      <c r="R423" t="str">
        <f t="shared" si="96"/>
        <v>Apple Iphone 14|Not Available|Not Available|Google</v>
      </c>
      <c r="S423" t="b">
        <f t="shared" si="97"/>
        <v>1</v>
      </c>
    </row>
    <row r="424" spans="1:19" x14ac:dyDescent="0.45">
      <c r="A424" t="s">
        <v>510</v>
      </c>
      <c r="B424" t="s">
        <v>93</v>
      </c>
      <c r="D424" t="s">
        <v>74</v>
      </c>
      <c r="E424" t="s">
        <v>91</v>
      </c>
      <c r="F424" t="str">
        <f t="shared" si="84"/>
        <v>SAMSUNG GALAXY||799|Apple</v>
      </c>
      <c r="G424" t="b">
        <f t="shared" si="85"/>
        <v>1</v>
      </c>
      <c r="H424" t="str">
        <f t="shared" si="86"/>
        <v>SAMSUNG GALAXY</v>
      </c>
      <c r="I424" t="str">
        <f t="shared" si="87"/>
        <v>Samsung Galaxy</v>
      </c>
      <c r="J424" t="str">
        <f t="shared" si="88"/>
        <v>Apple</v>
      </c>
      <c r="K424" t="str">
        <f t="shared" si="89"/>
        <v>Apple</v>
      </c>
      <c r="L424" t="str">
        <f t="shared" si="90"/>
        <v/>
      </c>
      <c r="M424">
        <f t="shared" si="91"/>
        <v>14</v>
      </c>
      <c r="N424">
        <f t="shared" si="92"/>
        <v>14</v>
      </c>
      <c r="O424" s="6">
        <f t="shared" si="93"/>
        <v>799</v>
      </c>
      <c r="P424" t="str">
        <f t="shared" si="94"/>
        <v>Not Available</v>
      </c>
      <c r="Q424">
        <f t="shared" si="95"/>
        <v>799</v>
      </c>
      <c r="R424" t="str">
        <f t="shared" si="96"/>
        <v>Samsung Galaxy|Not Available|799|Apple</v>
      </c>
      <c r="S424" t="b">
        <f t="shared" si="97"/>
        <v>1</v>
      </c>
    </row>
    <row r="425" spans="1:19" x14ac:dyDescent="0.45">
      <c r="A425" t="s">
        <v>511</v>
      </c>
      <c r="B425" t="s">
        <v>54</v>
      </c>
      <c r="D425" t="s">
        <v>55</v>
      </c>
      <c r="E425" t="s">
        <v>70</v>
      </c>
      <c r="F425" t="str">
        <f t="shared" si="84"/>
        <v>Samsung galaxy||799|Samsung</v>
      </c>
      <c r="G425" t="b">
        <f t="shared" si="85"/>
        <v>1</v>
      </c>
      <c r="H425" t="str">
        <f t="shared" si="86"/>
        <v>Samsung galaxy</v>
      </c>
      <c r="I425" t="str">
        <f t="shared" si="87"/>
        <v>Samsung Galaxy</v>
      </c>
      <c r="J425" t="str">
        <f t="shared" si="88"/>
        <v>Samsung</v>
      </c>
      <c r="K425" t="str">
        <f t="shared" si="89"/>
        <v>Samsung</v>
      </c>
      <c r="L425" t="str">
        <f t="shared" si="90"/>
        <v/>
      </c>
      <c r="M425">
        <f t="shared" si="91"/>
        <v>15</v>
      </c>
      <c r="N425">
        <f t="shared" si="92"/>
        <v>14</v>
      </c>
      <c r="O425" s="6">
        <f t="shared" si="93"/>
        <v>799</v>
      </c>
      <c r="P425" t="str">
        <f t="shared" si="94"/>
        <v>Not Available</v>
      </c>
      <c r="Q425">
        <f t="shared" si="95"/>
        <v>799</v>
      </c>
      <c r="R425" t="str">
        <f t="shared" si="96"/>
        <v>Samsung Galaxy|Not Available|799|Samsung</v>
      </c>
      <c r="S425" t="b">
        <f t="shared" si="97"/>
        <v>1</v>
      </c>
    </row>
    <row r="426" spans="1:19" x14ac:dyDescent="0.45">
      <c r="A426" t="s">
        <v>512</v>
      </c>
      <c r="B426" t="s">
        <v>93</v>
      </c>
      <c r="C426" t="s">
        <v>96</v>
      </c>
      <c r="D426" t="s">
        <v>88</v>
      </c>
      <c r="E426" t="s">
        <v>67</v>
      </c>
      <c r="F426" t="str">
        <f t="shared" si="84"/>
        <v>SAMSUNG GALAXY|Gadgets|USD 799|apple</v>
      </c>
      <c r="G426" t="b">
        <f t="shared" si="85"/>
        <v>1</v>
      </c>
      <c r="H426" t="str">
        <f t="shared" si="86"/>
        <v>SAMSUNG GALAXY</v>
      </c>
      <c r="I426" t="str">
        <f t="shared" si="87"/>
        <v>Samsung Galaxy</v>
      </c>
      <c r="J426" t="str">
        <f t="shared" si="88"/>
        <v>apple</v>
      </c>
      <c r="K426" t="str">
        <f t="shared" si="89"/>
        <v>Apple</v>
      </c>
      <c r="L426" t="str">
        <f t="shared" si="90"/>
        <v>Gadgets</v>
      </c>
      <c r="M426">
        <f t="shared" si="91"/>
        <v>14</v>
      </c>
      <c r="N426">
        <f t="shared" si="92"/>
        <v>14</v>
      </c>
      <c r="O426" s="6">
        <f t="shared" si="93"/>
        <v>799</v>
      </c>
      <c r="P426" t="str">
        <f t="shared" si="94"/>
        <v>Gadgets</v>
      </c>
      <c r="Q426">
        <f t="shared" si="95"/>
        <v>799</v>
      </c>
      <c r="R426" t="str">
        <f t="shared" si="96"/>
        <v>Samsung Galaxy|Gadgets|799|Apple</v>
      </c>
      <c r="S426" t="b">
        <f t="shared" si="97"/>
        <v>1</v>
      </c>
    </row>
    <row r="427" spans="1:19" x14ac:dyDescent="0.45">
      <c r="A427" t="s">
        <v>513</v>
      </c>
      <c r="B427" t="s">
        <v>87</v>
      </c>
      <c r="C427" t="s">
        <v>123</v>
      </c>
      <c r="D427" t="s">
        <v>74</v>
      </c>
      <c r="E427" t="s">
        <v>56</v>
      </c>
      <c r="F427" t="str">
        <f t="shared" si="84"/>
        <v>Google Pixel|Electronics|799|GOOGLE</v>
      </c>
      <c r="G427" t="b">
        <f t="shared" si="85"/>
        <v>1</v>
      </c>
      <c r="H427" t="str">
        <f t="shared" si="86"/>
        <v>Google Pixel</v>
      </c>
      <c r="I427" t="str">
        <f t="shared" si="87"/>
        <v>Google Pixel</v>
      </c>
      <c r="J427" t="str">
        <f t="shared" si="88"/>
        <v>GOOGLE</v>
      </c>
      <c r="K427" t="str">
        <f t="shared" si="89"/>
        <v>Google</v>
      </c>
      <c r="L427" t="str">
        <f t="shared" si="90"/>
        <v>Electronics</v>
      </c>
      <c r="M427">
        <f t="shared" si="91"/>
        <v>12</v>
      </c>
      <c r="N427">
        <f t="shared" si="92"/>
        <v>12</v>
      </c>
      <c r="O427" s="6">
        <f t="shared" si="93"/>
        <v>799</v>
      </c>
      <c r="P427" t="str">
        <f t="shared" si="94"/>
        <v>Electronics</v>
      </c>
      <c r="Q427">
        <f t="shared" si="95"/>
        <v>799</v>
      </c>
      <c r="R427" t="str">
        <f t="shared" si="96"/>
        <v>Google Pixel|Electronics|799|Google</v>
      </c>
      <c r="S427" t="b">
        <f t="shared" si="97"/>
        <v>1</v>
      </c>
    </row>
    <row r="428" spans="1:19" x14ac:dyDescent="0.45">
      <c r="A428" t="s">
        <v>514</v>
      </c>
      <c r="B428" t="s">
        <v>93</v>
      </c>
      <c r="C428" t="s">
        <v>123</v>
      </c>
      <c r="D428" t="s">
        <v>88</v>
      </c>
      <c r="E428" t="s">
        <v>75</v>
      </c>
      <c r="F428" t="str">
        <f t="shared" si="84"/>
        <v>SAMSUNG GALAXY|Electronics|USD 799|google</v>
      </c>
      <c r="G428" t="b">
        <f t="shared" si="85"/>
        <v>1</v>
      </c>
      <c r="H428" t="str">
        <f t="shared" si="86"/>
        <v>SAMSUNG GALAXY</v>
      </c>
      <c r="I428" t="str">
        <f t="shared" si="87"/>
        <v>Samsung Galaxy</v>
      </c>
      <c r="J428" t="str">
        <f t="shared" si="88"/>
        <v>google</v>
      </c>
      <c r="K428" t="str">
        <f t="shared" si="89"/>
        <v>Google</v>
      </c>
      <c r="L428" t="str">
        <f t="shared" si="90"/>
        <v>Electronics</v>
      </c>
      <c r="M428">
        <f t="shared" si="91"/>
        <v>14</v>
      </c>
      <c r="N428">
        <f t="shared" si="92"/>
        <v>14</v>
      </c>
      <c r="O428" s="6">
        <f t="shared" si="93"/>
        <v>799</v>
      </c>
      <c r="P428" t="str">
        <f t="shared" si="94"/>
        <v>Electronics</v>
      </c>
      <c r="Q428">
        <f t="shared" si="95"/>
        <v>799</v>
      </c>
      <c r="R428" t="str">
        <f t="shared" si="96"/>
        <v>Samsung Galaxy|Electronics|799|Google</v>
      </c>
      <c r="S428" t="b">
        <f t="shared" si="97"/>
        <v>1</v>
      </c>
    </row>
    <row r="429" spans="1:19" x14ac:dyDescent="0.45">
      <c r="A429" t="s">
        <v>515</v>
      </c>
      <c r="B429" t="s">
        <v>93</v>
      </c>
      <c r="C429" t="s">
        <v>123</v>
      </c>
      <c r="D429" t="s">
        <v>66</v>
      </c>
      <c r="E429" t="s">
        <v>67</v>
      </c>
      <c r="F429" t="str">
        <f t="shared" si="84"/>
        <v>SAMSUNG GALAXY|Electronics|799.00|apple</v>
      </c>
      <c r="G429" t="b">
        <f t="shared" si="85"/>
        <v>1</v>
      </c>
      <c r="H429" t="str">
        <f t="shared" si="86"/>
        <v>SAMSUNG GALAXY</v>
      </c>
      <c r="I429" t="str">
        <f t="shared" si="87"/>
        <v>Samsung Galaxy</v>
      </c>
      <c r="J429" t="str">
        <f t="shared" si="88"/>
        <v>apple</v>
      </c>
      <c r="K429" t="str">
        <f t="shared" si="89"/>
        <v>Apple</v>
      </c>
      <c r="L429" t="str">
        <f t="shared" si="90"/>
        <v>Electronics</v>
      </c>
      <c r="M429">
        <f t="shared" si="91"/>
        <v>14</v>
      </c>
      <c r="N429">
        <f t="shared" si="92"/>
        <v>14</v>
      </c>
      <c r="O429" s="6">
        <f t="shared" si="93"/>
        <v>799</v>
      </c>
      <c r="P429" t="str">
        <f t="shared" si="94"/>
        <v>Electronics</v>
      </c>
      <c r="Q429">
        <f t="shared" si="95"/>
        <v>799</v>
      </c>
      <c r="R429" t="str">
        <f t="shared" si="96"/>
        <v>Samsung Galaxy|Electronics|799|Apple</v>
      </c>
      <c r="S429" t="b">
        <f t="shared" si="97"/>
        <v>1</v>
      </c>
    </row>
    <row r="430" spans="1:19" x14ac:dyDescent="0.45">
      <c r="A430" t="s">
        <v>516</v>
      </c>
      <c r="B430" t="s">
        <v>106</v>
      </c>
      <c r="C430" t="s">
        <v>85</v>
      </c>
      <c r="D430" t="s">
        <v>88</v>
      </c>
      <c r="E430" t="s">
        <v>79</v>
      </c>
      <c r="F430" t="str">
        <f t="shared" si="84"/>
        <v>Samsung Galaxy|electronics|USD 799|Samsung</v>
      </c>
      <c r="G430" t="b">
        <f t="shared" si="85"/>
        <v>1</v>
      </c>
      <c r="H430" t="str">
        <f t="shared" si="86"/>
        <v>Samsung Galaxy</v>
      </c>
      <c r="I430" t="str">
        <f t="shared" si="87"/>
        <v>Samsung Galaxy</v>
      </c>
      <c r="J430" t="str">
        <f t="shared" si="88"/>
        <v>Samsung</v>
      </c>
      <c r="K430" t="str">
        <f t="shared" si="89"/>
        <v>Samsung</v>
      </c>
      <c r="L430" t="str">
        <f t="shared" si="90"/>
        <v>Electronics</v>
      </c>
      <c r="M430">
        <f t="shared" si="91"/>
        <v>14</v>
      </c>
      <c r="N430">
        <f t="shared" si="92"/>
        <v>14</v>
      </c>
      <c r="O430" s="6">
        <f t="shared" si="93"/>
        <v>799</v>
      </c>
      <c r="P430" t="str">
        <f t="shared" si="94"/>
        <v>Electronics</v>
      </c>
      <c r="Q430">
        <f t="shared" si="95"/>
        <v>799</v>
      </c>
      <c r="R430" t="str">
        <f t="shared" si="96"/>
        <v>Samsung Galaxy|Electronics|799|Samsung</v>
      </c>
      <c r="S430" t="b">
        <f t="shared" si="97"/>
        <v>1</v>
      </c>
    </row>
    <row r="431" spans="1:19" x14ac:dyDescent="0.45">
      <c r="A431" t="s">
        <v>517</v>
      </c>
      <c r="B431" t="s">
        <v>58</v>
      </c>
      <c r="D431" t="s">
        <v>81</v>
      </c>
      <c r="E431" t="s">
        <v>112</v>
      </c>
      <c r="F431" t="str">
        <f t="shared" si="84"/>
        <v>Google pixel||$799|SAMSUNG</v>
      </c>
      <c r="G431" t="b">
        <f t="shared" si="85"/>
        <v>0</v>
      </c>
      <c r="H431" t="str">
        <f t="shared" si="86"/>
        <v>Google pixel</v>
      </c>
      <c r="I431" t="str">
        <f t="shared" si="87"/>
        <v>Google Pixel</v>
      </c>
      <c r="J431" t="str">
        <f t="shared" si="88"/>
        <v>SAMSUNG</v>
      </c>
      <c r="K431" t="str">
        <f t="shared" si="89"/>
        <v>Samsung</v>
      </c>
      <c r="L431" t="str">
        <f t="shared" si="90"/>
        <v/>
      </c>
      <c r="M431">
        <f t="shared" si="91"/>
        <v>12</v>
      </c>
      <c r="N431">
        <f t="shared" si="92"/>
        <v>12</v>
      </c>
      <c r="O431" s="6">
        <f t="shared" si="93"/>
        <v>799</v>
      </c>
      <c r="P431" t="str">
        <f t="shared" si="94"/>
        <v>Not Available</v>
      </c>
      <c r="Q431">
        <f t="shared" si="95"/>
        <v>799</v>
      </c>
      <c r="R431" t="str">
        <f t="shared" si="96"/>
        <v>Google Pixel|Not Available|799|Samsung</v>
      </c>
      <c r="S431" t="b">
        <f t="shared" si="97"/>
        <v>1</v>
      </c>
    </row>
    <row r="432" spans="1:19" x14ac:dyDescent="0.45">
      <c r="A432" t="s">
        <v>518</v>
      </c>
      <c r="B432" t="s">
        <v>78</v>
      </c>
      <c r="D432" t="s">
        <v>88</v>
      </c>
      <c r="E432" t="s">
        <v>67</v>
      </c>
      <c r="F432" t="str">
        <f t="shared" si="84"/>
        <v>samsung Galaxy||USD 799|apple</v>
      </c>
      <c r="G432" t="b">
        <f t="shared" si="85"/>
        <v>0</v>
      </c>
      <c r="H432" t="str">
        <f t="shared" si="86"/>
        <v>samsung Galaxy</v>
      </c>
      <c r="I432" t="str">
        <f t="shared" si="87"/>
        <v>Samsung Galaxy</v>
      </c>
      <c r="J432" t="str">
        <f t="shared" si="88"/>
        <v>apple</v>
      </c>
      <c r="K432" t="str">
        <f t="shared" si="89"/>
        <v>Apple</v>
      </c>
      <c r="L432" t="str">
        <f t="shared" si="90"/>
        <v/>
      </c>
      <c r="M432">
        <f t="shared" si="91"/>
        <v>15</v>
      </c>
      <c r="N432">
        <f t="shared" si="92"/>
        <v>14</v>
      </c>
      <c r="O432" s="6">
        <f t="shared" si="93"/>
        <v>799</v>
      </c>
      <c r="P432" t="str">
        <f t="shared" si="94"/>
        <v>Not Available</v>
      </c>
      <c r="Q432">
        <f t="shared" si="95"/>
        <v>799</v>
      </c>
      <c r="R432" t="str">
        <f t="shared" si="96"/>
        <v>Samsung Galaxy|Not Available|799|Apple</v>
      </c>
      <c r="S432" t="b">
        <f t="shared" si="97"/>
        <v>1</v>
      </c>
    </row>
    <row r="433" spans="1:19" x14ac:dyDescent="0.45">
      <c r="A433" t="s">
        <v>519</v>
      </c>
      <c r="B433" t="s">
        <v>65</v>
      </c>
      <c r="C433" t="s">
        <v>94</v>
      </c>
      <c r="D433" t="s">
        <v>81</v>
      </c>
      <c r="E433" t="s">
        <v>91</v>
      </c>
      <c r="F433" t="str">
        <f t="shared" si="84"/>
        <v>apple iphone 14|gadgets|$799|Apple</v>
      </c>
      <c r="G433" t="b">
        <f t="shared" si="85"/>
        <v>1</v>
      </c>
      <c r="H433" t="str">
        <f t="shared" si="86"/>
        <v>apple iphone 14</v>
      </c>
      <c r="I433" t="str">
        <f t="shared" si="87"/>
        <v>Apple Iphone 14</v>
      </c>
      <c r="J433" t="str">
        <f t="shared" si="88"/>
        <v>Apple</v>
      </c>
      <c r="K433" t="str">
        <f t="shared" si="89"/>
        <v>Apple</v>
      </c>
      <c r="L433" t="str">
        <f t="shared" si="90"/>
        <v>Gadgets</v>
      </c>
      <c r="M433">
        <f t="shared" si="91"/>
        <v>17</v>
      </c>
      <c r="N433">
        <f t="shared" si="92"/>
        <v>15</v>
      </c>
      <c r="O433" s="6">
        <f t="shared" si="93"/>
        <v>799</v>
      </c>
      <c r="P433" t="str">
        <f t="shared" si="94"/>
        <v>Gadgets</v>
      </c>
      <c r="Q433">
        <f t="shared" si="95"/>
        <v>799</v>
      </c>
      <c r="R433" t="str">
        <f t="shared" si="96"/>
        <v>Apple Iphone 14|Gadgets|799|Apple</v>
      </c>
      <c r="S433" t="b">
        <f t="shared" si="97"/>
        <v>1</v>
      </c>
    </row>
    <row r="434" spans="1:19" x14ac:dyDescent="0.45">
      <c r="A434" t="s">
        <v>520</v>
      </c>
      <c r="B434" t="s">
        <v>54</v>
      </c>
      <c r="D434" t="s">
        <v>66</v>
      </c>
      <c r="E434" t="s">
        <v>67</v>
      </c>
      <c r="F434" t="str">
        <f t="shared" si="84"/>
        <v>Samsung galaxy||799.00|apple</v>
      </c>
      <c r="G434" t="b">
        <f t="shared" si="85"/>
        <v>1</v>
      </c>
      <c r="H434" t="str">
        <f t="shared" si="86"/>
        <v>Samsung galaxy</v>
      </c>
      <c r="I434" t="str">
        <f t="shared" si="87"/>
        <v>Samsung Galaxy</v>
      </c>
      <c r="J434" t="str">
        <f t="shared" si="88"/>
        <v>apple</v>
      </c>
      <c r="K434" t="str">
        <f t="shared" si="89"/>
        <v>Apple</v>
      </c>
      <c r="L434" t="str">
        <f t="shared" si="90"/>
        <v/>
      </c>
      <c r="M434">
        <f t="shared" si="91"/>
        <v>15</v>
      </c>
      <c r="N434">
        <f t="shared" si="92"/>
        <v>14</v>
      </c>
      <c r="O434" s="6">
        <f t="shared" si="93"/>
        <v>799</v>
      </c>
      <c r="P434" t="str">
        <f t="shared" si="94"/>
        <v>Not Available</v>
      </c>
      <c r="Q434">
        <f t="shared" si="95"/>
        <v>799</v>
      </c>
      <c r="R434" t="str">
        <f t="shared" si="96"/>
        <v>Samsung Galaxy|Not Available|799|Apple</v>
      </c>
      <c r="S434" t="b">
        <f t="shared" si="97"/>
        <v>1</v>
      </c>
    </row>
    <row r="435" spans="1:19" x14ac:dyDescent="0.45">
      <c r="A435" t="s">
        <v>521</v>
      </c>
      <c r="B435" t="s">
        <v>60</v>
      </c>
      <c r="C435" t="s">
        <v>61</v>
      </c>
      <c r="D435" t="s">
        <v>74</v>
      </c>
      <c r="E435" t="s">
        <v>82</v>
      </c>
      <c r="F435" t="str">
        <f t="shared" si="84"/>
        <v>apple iPhone 14|Electrnics|799|APPLE</v>
      </c>
      <c r="G435" t="b">
        <f t="shared" si="85"/>
        <v>1</v>
      </c>
      <c r="H435" t="str">
        <f t="shared" si="86"/>
        <v>apple iPhone 14</v>
      </c>
      <c r="I435" t="str">
        <f t="shared" si="87"/>
        <v>Apple Iphone 14</v>
      </c>
      <c r="J435" t="str">
        <f t="shared" si="88"/>
        <v>APPLE</v>
      </c>
      <c r="K435" t="str">
        <f t="shared" si="89"/>
        <v>Apple</v>
      </c>
      <c r="L435" t="str">
        <f t="shared" si="90"/>
        <v>Electronics</v>
      </c>
      <c r="M435">
        <f t="shared" si="91"/>
        <v>15</v>
      </c>
      <c r="N435">
        <f t="shared" si="92"/>
        <v>15</v>
      </c>
      <c r="O435" s="6">
        <f t="shared" si="93"/>
        <v>799</v>
      </c>
      <c r="P435" t="str">
        <f t="shared" si="94"/>
        <v>Electronics</v>
      </c>
      <c r="Q435">
        <f t="shared" si="95"/>
        <v>799</v>
      </c>
      <c r="R435" t="str">
        <f t="shared" si="96"/>
        <v>Apple Iphone 14|Electronics|799|Apple</v>
      </c>
      <c r="S435" t="b">
        <f t="shared" si="97"/>
        <v>1</v>
      </c>
    </row>
    <row r="436" spans="1:19" x14ac:dyDescent="0.45">
      <c r="A436" t="s">
        <v>522</v>
      </c>
      <c r="B436" t="s">
        <v>72</v>
      </c>
      <c r="D436" t="s">
        <v>81</v>
      </c>
      <c r="E436" t="s">
        <v>67</v>
      </c>
      <c r="F436" t="str">
        <f t="shared" si="84"/>
        <v>google pixel||$799|apple</v>
      </c>
      <c r="G436" t="b">
        <f t="shared" si="85"/>
        <v>1</v>
      </c>
      <c r="H436" t="str">
        <f t="shared" si="86"/>
        <v>google pixel</v>
      </c>
      <c r="I436" t="str">
        <f t="shared" si="87"/>
        <v>Google Pixel</v>
      </c>
      <c r="J436" t="str">
        <f t="shared" si="88"/>
        <v>apple</v>
      </c>
      <c r="K436" t="str">
        <f t="shared" si="89"/>
        <v>Apple</v>
      </c>
      <c r="L436" t="str">
        <f t="shared" si="90"/>
        <v/>
      </c>
      <c r="M436">
        <f t="shared" si="91"/>
        <v>14</v>
      </c>
      <c r="N436">
        <f t="shared" si="92"/>
        <v>12</v>
      </c>
      <c r="O436" s="6">
        <f t="shared" si="93"/>
        <v>799</v>
      </c>
      <c r="P436" t="str">
        <f t="shared" si="94"/>
        <v>Not Available</v>
      </c>
      <c r="Q436">
        <f t="shared" si="95"/>
        <v>799</v>
      </c>
      <c r="R436" t="str">
        <f t="shared" si="96"/>
        <v>Google Pixel|Not Available|799|Apple</v>
      </c>
      <c r="S436" t="b">
        <f t="shared" si="97"/>
        <v>1</v>
      </c>
    </row>
    <row r="437" spans="1:19" x14ac:dyDescent="0.45">
      <c r="A437" t="s">
        <v>523</v>
      </c>
      <c r="B437" t="s">
        <v>138</v>
      </c>
      <c r="C437" t="s">
        <v>73</v>
      </c>
      <c r="D437" t="s">
        <v>74</v>
      </c>
      <c r="E437" t="s">
        <v>91</v>
      </c>
      <c r="F437" t="str">
        <f t="shared" si="84"/>
        <v>APPLE IPHONE 14|Electro|799|Apple</v>
      </c>
      <c r="G437" t="b">
        <f t="shared" si="85"/>
        <v>1</v>
      </c>
      <c r="H437" t="str">
        <f t="shared" si="86"/>
        <v>APPLE IPHONE 14</v>
      </c>
      <c r="I437" t="str">
        <f t="shared" si="87"/>
        <v>Apple Iphone 14</v>
      </c>
      <c r="J437" t="str">
        <f t="shared" si="88"/>
        <v>Apple</v>
      </c>
      <c r="K437" t="str">
        <f t="shared" si="89"/>
        <v>Apple</v>
      </c>
      <c r="L437" t="str">
        <f t="shared" si="90"/>
        <v>Electronics</v>
      </c>
      <c r="M437">
        <f t="shared" si="91"/>
        <v>15</v>
      </c>
      <c r="N437">
        <f t="shared" si="92"/>
        <v>15</v>
      </c>
      <c r="O437" s="6">
        <f t="shared" si="93"/>
        <v>799</v>
      </c>
      <c r="P437" t="str">
        <f t="shared" si="94"/>
        <v>Electronics</v>
      </c>
      <c r="Q437">
        <f t="shared" si="95"/>
        <v>799</v>
      </c>
      <c r="R437" t="str">
        <f t="shared" si="96"/>
        <v>Apple Iphone 14|Electronics|799|Apple</v>
      </c>
      <c r="S437" t="b">
        <f t="shared" si="97"/>
        <v>1</v>
      </c>
    </row>
    <row r="438" spans="1:19" x14ac:dyDescent="0.45">
      <c r="A438" t="s">
        <v>524</v>
      </c>
      <c r="B438" t="s">
        <v>78</v>
      </c>
      <c r="C438" t="s">
        <v>94</v>
      </c>
      <c r="D438" t="s">
        <v>81</v>
      </c>
      <c r="E438" t="s">
        <v>56</v>
      </c>
      <c r="F438" t="str">
        <f t="shared" si="84"/>
        <v>samsung Galaxy|gadgets|$799|GOOGLE</v>
      </c>
      <c r="G438" t="b">
        <f t="shared" si="85"/>
        <v>1</v>
      </c>
      <c r="H438" t="str">
        <f t="shared" si="86"/>
        <v>samsung Galaxy</v>
      </c>
      <c r="I438" t="str">
        <f t="shared" si="87"/>
        <v>Samsung Galaxy</v>
      </c>
      <c r="J438" t="str">
        <f t="shared" si="88"/>
        <v>GOOGLE</v>
      </c>
      <c r="K438" t="str">
        <f t="shared" si="89"/>
        <v>Google</v>
      </c>
      <c r="L438" t="str">
        <f t="shared" si="90"/>
        <v>Gadgets</v>
      </c>
      <c r="M438">
        <f t="shared" si="91"/>
        <v>15</v>
      </c>
      <c r="N438">
        <f t="shared" si="92"/>
        <v>14</v>
      </c>
      <c r="O438" s="6">
        <f t="shared" si="93"/>
        <v>799</v>
      </c>
      <c r="P438" t="str">
        <f t="shared" si="94"/>
        <v>Gadgets</v>
      </c>
      <c r="Q438">
        <f t="shared" si="95"/>
        <v>799</v>
      </c>
      <c r="R438" t="str">
        <f t="shared" si="96"/>
        <v>Samsung Galaxy|Gadgets|799|Google</v>
      </c>
      <c r="S438" t="b">
        <f t="shared" si="97"/>
        <v>1</v>
      </c>
    </row>
    <row r="439" spans="1:19" x14ac:dyDescent="0.45">
      <c r="A439" t="s">
        <v>525</v>
      </c>
      <c r="B439" t="s">
        <v>58</v>
      </c>
      <c r="C439" t="s">
        <v>61</v>
      </c>
      <c r="D439" t="s">
        <v>66</v>
      </c>
      <c r="E439" t="s">
        <v>63</v>
      </c>
      <c r="F439" t="str">
        <f t="shared" si="84"/>
        <v>Google pixel|Electrnics|799.00|Google</v>
      </c>
      <c r="G439" t="b">
        <f t="shared" si="85"/>
        <v>1</v>
      </c>
      <c r="H439" t="str">
        <f t="shared" si="86"/>
        <v>Google pixel</v>
      </c>
      <c r="I439" t="str">
        <f t="shared" si="87"/>
        <v>Google Pixel</v>
      </c>
      <c r="J439" t="str">
        <f t="shared" si="88"/>
        <v>Google</v>
      </c>
      <c r="K439" t="str">
        <f t="shared" si="89"/>
        <v>Google</v>
      </c>
      <c r="L439" t="str">
        <f t="shared" si="90"/>
        <v>Electronics</v>
      </c>
      <c r="M439">
        <f t="shared" si="91"/>
        <v>12</v>
      </c>
      <c r="N439">
        <f t="shared" si="92"/>
        <v>12</v>
      </c>
      <c r="O439" s="6">
        <f t="shared" si="93"/>
        <v>799</v>
      </c>
      <c r="P439" t="str">
        <f t="shared" si="94"/>
        <v>Electronics</v>
      </c>
      <c r="Q439">
        <f t="shared" si="95"/>
        <v>799</v>
      </c>
      <c r="R439" t="str">
        <f t="shared" si="96"/>
        <v>Google Pixel|Electronics|799|Google</v>
      </c>
      <c r="S439" t="b">
        <f t="shared" si="97"/>
        <v>1</v>
      </c>
    </row>
    <row r="440" spans="1:19" x14ac:dyDescent="0.45">
      <c r="A440" t="s">
        <v>526</v>
      </c>
      <c r="B440" t="s">
        <v>54</v>
      </c>
      <c r="C440" t="s">
        <v>73</v>
      </c>
      <c r="E440" t="s">
        <v>75</v>
      </c>
      <c r="F440" t="str">
        <f t="shared" si="84"/>
        <v>Samsung galaxy|Electro||google</v>
      </c>
      <c r="G440" t="b">
        <f t="shared" si="85"/>
        <v>1</v>
      </c>
      <c r="H440" t="str">
        <f t="shared" si="86"/>
        <v>Samsung galaxy</v>
      </c>
      <c r="I440" t="str">
        <f t="shared" si="87"/>
        <v>Samsung Galaxy</v>
      </c>
      <c r="J440" t="str">
        <f t="shared" si="88"/>
        <v>google</v>
      </c>
      <c r="K440" t="str">
        <f t="shared" si="89"/>
        <v>Google</v>
      </c>
      <c r="L440" t="str">
        <f t="shared" si="90"/>
        <v>Electronics</v>
      </c>
      <c r="M440">
        <f t="shared" si="91"/>
        <v>15</v>
      </c>
      <c r="N440">
        <f t="shared" si="92"/>
        <v>14</v>
      </c>
      <c r="O440" s="6" t="str">
        <f t="shared" si="93"/>
        <v/>
      </c>
      <c r="P440" t="str">
        <f t="shared" si="94"/>
        <v>Electronics</v>
      </c>
      <c r="Q440" t="str">
        <f t="shared" si="95"/>
        <v>Not Available</v>
      </c>
      <c r="R440" t="str">
        <f t="shared" si="96"/>
        <v>Samsung Galaxy|Electronics|Not Available|Google</v>
      </c>
      <c r="S440" t="b">
        <f t="shared" si="97"/>
        <v>1</v>
      </c>
    </row>
    <row r="441" spans="1:19" x14ac:dyDescent="0.45">
      <c r="A441" t="s">
        <v>527</v>
      </c>
      <c r="B441" t="s">
        <v>138</v>
      </c>
      <c r="C441" t="s">
        <v>73</v>
      </c>
      <c r="E441" t="s">
        <v>91</v>
      </c>
      <c r="F441" t="str">
        <f t="shared" si="84"/>
        <v>APPLE IPHONE 14|Electro||Apple</v>
      </c>
      <c r="G441" t="b">
        <f t="shared" si="85"/>
        <v>0</v>
      </c>
      <c r="H441" t="str">
        <f t="shared" si="86"/>
        <v>APPLE IPHONE 14</v>
      </c>
      <c r="I441" t="str">
        <f t="shared" si="87"/>
        <v>Apple Iphone 14</v>
      </c>
      <c r="J441" t="str">
        <f t="shared" si="88"/>
        <v>Apple</v>
      </c>
      <c r="K441" t="str">
        <f t="shared" si="89"/>
        <v>Apple</v>
      </c>
      <c r="L441" t="str">
        <f t="shared" si="90"/>
        <v>Electronics</v>
      </c>
      <c r="M441">
        <f t="shared" si="91"/>
        <v>15</v>
      </c>
      <c r="N441">
        <f t="shared" si="92"/>
        <v>15</v>
      </c>
      <c r="O441" s="6" t="str">
        <f t="shared" si="93"/>
        <v/>
      </c>
      <c r="P441" t="str">
        <f t="shared" si="94"/>
        <v>Electronics</v>
      </c>
      <c r="Q441" t="str">
        <f t="shared" si="95"/>
        <v>Not Available</v>
      </c>
      <c r="R441" t="str">
        <f t="shared" si="96"/>
        <v>Apple Iphone 14|Electronics|Not Available|Apple</v>
      </c>
      <c r="S441" t="b">
        <f t="shared" si="97"/>
        <v>1</v>
      </c>
    </row>
    <row r="442" spans="1:19" x14ac:dyDescent="0.45">
      <c r="A442" t="s">
        <v>528</v>
      </c>
      <c r="B442" t="s">
        <v>106</v>
      </c>
      <c r="C442" t="s">
        <v>61</v>
      </c>
      <c r="D442" t="s">
        <v>55</v>
      </c>
      <c r="E442" t="s">
        <v>89</v>
      </c>
      <c r="F442" t="str">
        <f t="shared" si="84"/>
        <v>Samsung Galaxy|Electrnics|799|Apple</v>
      </c>
      <c r="G442" t="b">
        <f t="shared" si="85"/>
        <v>1</v>
      </c>
      <c r="H442" t="str">
        <f t="shared" si="86"/>
        <v>Samsung Galaxy</v>
      </c>
      <c r="I442" t="str">
        <f t="shared" si="87"/>
        <v>Samsung Galaxy</v>
      </c>
      <c r="J442" t="str">
        <f t="shared" si="88"/>
        <v>Apple</v>
      </c>
      <c r="K442" t="str">
        <f t="shared" si="89"/>
        <v>Apple</v>
      </c>
      <c r="L442" t="str">
        <f t="shared" si="90"/>
        <v>Electronics</v>
      </c>
      <c r="M442">
        <f t="shared" si="91"/>
        <v>14</v>
      </c>
      <c r="N442">
        <f t="shared" si="92"/>
        <v>14</v>
      </c>
      <c r="O442" s="6">
        <f t="shared" si="93"/>
        <v>799</v>
      </c>
      <c r="P442" t="str">
        <f t="shared" si="94"/>
        <v>Electronics</v>
      </c>
      <c r="Q442">
        <f t="shared" si="95"/>
        <v>799</v>
      </c>
      <c r="R442" t="str">
        <f t="shared" si="96"/>
        <v>Samsung Galaxy|Electronics|799|Apple</v>
      </c>
      <c r="S442" t="b">
        <f t="shared" si="97"/>
        <v>1</v>
      </c>
    </row>
    <row r="443" spans="1:19" x14ac:dyDescent="0.45">
      <c r="A443" t="s">
        <v>529</v>
      </c>
      <c r="B443" t="s">
        <v>109</v>
      </c>
      <c r="C443" t="s">
        <v>94</v>
      </c>
      <c r="D443" t="s">
        <v>62</v>
      </c>
      <c r="E443" t="s">
        <v>75</v>
      </c>
      <c r="F443" t="str">
        <f t="shared" si="84"/>
        <v>Apple iPhone14|gadgets|799.0|google</v>
      </c>
      <c r="G443" t="b">
        <f t="shared" si="85"/>
        <v>0</v>
      </c>
      <c r="H443" t="str">
        <f t="shared" si="86"/>
        <v>Apple iPhone14</v>
      </c>
      <c r="I443" t="str">
        <f t="shared" si="87"/>
        <v>Apple Iphone14</v>
      </c>
      <c r="J443" t="str">
        <f t="shared" si="88"/>
        <v>google</v>
      </c>
      <c r="K443" t="str">
        <f t="shared" si="89"/>
        <v>Google</v>
      </c>
      <c r="L443" t="str">
        <f t="shared" si="90"/>
        <v>Gadgets</v>
      </c>
      <c r="M443">
        <f t="shared" si="91"/>
        <v>15</v>
      </c>
      <c r="N443">
        <f t="shared" si="92"/>
        <v>14</v>
      </c>
      <c r="O443" s="6">
        <f t="shared" si="93"/>
        <v>799</v>
      </c>
      <c r="P443" t="str">
        <f t="shared" si="94"/>
        <v>Gadgets</v>
      </c>
      <c r="Q443">
        <f t="shared" si="95"/>
        <v>799</v>
      </c>
      <c r="R443" t="str">
        <f t="shared" si="96"/>
        <v>Apple Iphone14|Gadgets|799|Google</v>
      </c>
      <c r="S443" t="b">
        <f t="shared" si="97"/>
        <v>1</v>
      </c>
    </row>
    <row r="444" spans="1:19" x14ac:dyDescent="0.45">
      <c r="A444" t="s">
        <v>530</v>
      </c>
      <c r="B444" t="s">
        <v>58</v>
      </c>
      <c r="C444" t="s">
        <v>123</v>
      </c>
      <c r="E444" t="s">
        <v>75</v>
      </c>
      <c r="F444" t="str">
        <f t="shared" si="84"/>
        <v>Google pixel|Electronics||google</v>
      </c>
      <c r="G444" t="b">
        <f t="shared" si="85"/>
        <v>1</v>
      </c>
      <c r="H444" t="str">
        <f t="shared" si="86"/>
        <v>Google pixel</v>
      </c>
      <c r="I444" t="str">
        <f t="shared" si="87"/>
        <v>Google Pixel</v>
      </c>
      <c r="J444" t="str">
        <f t="shared" si="88"/>
        <v>google</v>
      </c>
      <c r="K444" t="str">
        <f t="shared" si="89"/>
        <v>Google</v>
      </c>
      <c r="L444" t="str">
        <f t="shared" si="90"/>
        <v>Electronics</v>
      </c>
      <c r="M444">
        <f t="shared" si="91"/>
        <v>12</v>
      </c>
      <c r="N444">
        <f t="shared" si="92"/>
        <v>12</v>
      </c>
      <c r="O444" s="6" t="str">
        <f t="shared" si="93"/>
        <v/>
      </c>
      <c r="P444" t="str">
        <f t="shared" si="94"/>
        <v>Electronics</v>
      </c>
      <c r="Q444" t="str">
        <f t="shared" si="95"/>
        <v>Not Available</v>
      </c>
      <c r="R444" t="str">
        <f t="shared" si="96"/>
        <v>Google Pixel|Electronics|Not Available|Google</v>
      </c>
      <c r="S444" t="b">
        <f t="shared" si="97"/>
        <v>1</v>
      </c>
    </row>
    <row r="445" spans="1:19" x14ac:dyDescent="0.45">
      <c r="A445" t="s">
        <v>531</v>
      </c>
      <c r="B445" t="s">
        <v>58</v>
      </c>
      <c r="C445" t="s">
        <v>123</v>
      </c>
      <c r="D445" t="s">
        <v>69</v>
      </c>
      <c r="E445" t="s">
        <v>79</v>
      </c>
      <c r="F445" t="str">
        <f t="shared" si="84"/>
        <v>Google pixel|Electronics|799|Samsung</v>
      </c>
      <c r="G445" t="b">
        <f t="shared" si="85"/>
        <v>1</v>
      </c>
      <c r="H445" t="str">
        <f t="shared" si="86"/>
        <v>Google pixel</v>
      </c>
      <c r="I445" t="str">
        <f t="shared" si="87"/>
        <v>Google Pixel</v>
      </c>
      <c r="J445" t="str">
        <f t="shared" si="88"/>
        <v>Samsung</v>
      </c>
      <c r="K445" t="str">
        <f t="shared" si="89"/>
        <v>Samsung</v>
      </c>
      <c r="L445" t="str">
        <f t="shared" si="90"/>
        <v>Electronics</v>
      </c>
      <c r="M445">
        <f t="shared" si="91"/>
        <v>12</v>
      </c>
      <c r="N445">
        <f t="shared" si="92"/>
        <v>12</v>
      </c>
      <c r="O445" s="6">
        <f t="shared" si="93"/>
        <v>799</v>
      </c>
      <c r="P445" t="str">
        <f t="shared" si="94"/>
        <v>Electronics</v>
      </c>
      <c r="Q445">
        <f t="shared" si="95"/>
        <v>799</v>
      </c>
      <c r="R445" t="str">
        <f t="shared" si="96"/>
        <v>Google Pixel|Electronics|799|Samsung</v>
      </c>
      <c r="S445" t="b">
        <f t="shared" si="97"/>
        <v>1</v>
      </c>
    </row>
    <row r="446" spans="1:19" x14ac:dyDescent="0.45">
      <c r="A446" t="s">
        <v>532</v>
      </c>
      <c r="B446" t="s">
        <v>93</v>
      </c>
      <c r="D446" t="s">
        <v>55</v>
      </c>
      <c r="E446" t="s">
        <v>112</v>
      </c>
      <c r="F446" t="str">
        <f t="shared" si="84"/>
        <v>SAMSUNG GALAXY||799|SAMSUNG</v>
      </c>
      <c r="G446" t="b">
        <f t="shared" si="85"/>
        <v>1</v>
      </c>
      <c r="H446" t="str">
        <f t="shared" si="86"/>
        <v>SAMSUNG GALAXY</v>
      </c>
      <c r="I446" t="str">
        <f t="shared" si="87"/>
        <v>Samsung Galaxy</v>
      </c>
      <c r="J446" t="str">
        <f t="shared" si="88"/>
        <v>SAMSUNG</v>
      </c>
      <c r="K446" t="str">
        <f t="shared" si="89"/>
        <v>Samsung</v>
      </c>
      <c r="L446" t="str">
        <f t="shared" si="90"/>
        <v/>
      </c>
      <c r="M446">
        <f t="shared" si="91"/>
        <v>14</v>
      </c>
      <c r="N446">
        <f t="shared" si="92"/>
        <v>14</v>
      </c>
      <c r="O446" s="6">
        <f t="shared" si="93"/>
        <v>799</v>
      </c>
      <c r="P446" t="str">
        <f t="shared" si="94"/>
        <v>Not Available</v>
      </c>
      <c r="Q446">
        <f t="shared" si="95"/>
        <v>799</v>
      </c>
      <c r="R446" t="str">
        <f t="shared" si="96"/>
        <v>Samsung Galaxy|Not Available|799|Samsung</v>
      </c>
      <c r="S446" t="b">
        <f t="shared" si="97"/>
        <v>1</v>
      </c>
    </row>
    <row r="447" spans="1:19" x14ac:dyDescent="0.45">
      <c r="A447" t="s">
        <v>533</v>
      </c>
      <c r="B447" t="s">
        <v>138</v>
      </c>
      <c r="C447" t="s">
        <v>73</v>
      </c>
      <c r="D447" t="s">
        <v>62</v>
      </c>
      <c r="E447" t="s">
        <v>82</v>
      </c>
      <c r="F447" t="str">
        <f t="shared" si="84"/>
        <v>APPLE IPHONE 14|Electro|799.0|APPLE</v>
      </c>
      <c r="G447" t="b">
        <f t="shared" si="85"/>
        <v>1</v>
      </c>
      <c r="H447" t="str">
        <f t="shared" si="86"/>
        <v>APPLE IPHONE 14</v>
      </c>
      <c r="I447" t="str">
        <f t="shared" si="87"/>
        <v>Apple Iphone 14</v>
      </c>
      <c r="J447" t="str">
        <f t="shared" si="88"/>
        <v>APPLE</v>
      </c>
      <c r="K447" t="str">
        <f t="shared" si="89"/>
        <v>Apple</v>
      </c>
      <c r="L447" t="str">
        <f t="shared" si="90"/>
        <v>Electronics</v>
      </c>
      <c r="M447">
        <f t="shared" si="91"/>
        <v>15</v>
      </c>
      <c r="N447">
        <f t="shared" si="92"/>
        <v>15</v>
      </c>
      <c r="O447" s="6">
        <f t="shared" si="93"/>
        <v>799</v>
      </c>
      <c r="P447" t="str">
        <f t="shared" si="94"/>
        <v>Electronics</v>
      </c>
      <c r="Q447">
        <f t="shared" si="95"/>
        <v>799</v>
      </c>
      <c r="R447" t="str">
        <f t="shared" si="96"/>
        <v>Apple Iphone 14|Electronics|799|Apple</v>
      </c>
      <c r="S447" t="b">
        <f t="shared" si="97"/>
        <v>1</v>
      </c>
    </row>
    <row r="448" spans="1:19" x14ac:dyDescent="0.45">
      <c r="A448" t="s">
        <v>534</v>
      </c>
      <c r="B448" t="s">
        <v>106</v>
      </c>
      <c r="C448" t="s">
        <v>94</v>
      </c>
      <c r="D448" t="s">
        <v>69</v>
      </c>
      <c r="E448" t="s">
        <v>89</v>
      </c>
      <c r="F448" t="str">
        <f t="shared" si="84"/>
        <v>Samsung Galaxy|gadgets|799|Apple</v>
      </c>
      <c r="G448" t="b">
        <f t="shared" si="85"/>
        <v>1</v>
      </c>
      <c r="H448" t="str">
        <f t="shared" si="86"/>
        <v>Samsung Galaxy</v>
      </c>
      <c r="I448" t="str">
        <f t="shared" si="87"/>
        <v>Samsung Galaxy</v>
      </c>
      <c r="J448" t="str">
        <f t="shared" si="88"/>
        <v>Apple</v>
      </c>
      <c r="K448" t="str">
        <f t="shared" si="89"/>
        <v>Apple</v>
      </c>
      <c r="L448" t="str">
        <f t="shared" si="90"/>
        <v>Gadgets</v>
      </c>
      <c r="M448">
        <f t="shared" si="91"/>
        <v>14</v>
      </c>
      <c r="N448">
        <f t="shared" si="92"/>
        <v>14</v>
      </c>
      <c r="O448" s="6">
        <f t="shared" si="93"/>
        <v>799</v>
      </c>
      <c r="P448" t="str">
        <f t="shared" si="94"/>
        <v>Gadgets</v>
      </c>
      <c r="Q448">
        <f t="shared" si="95"/>
        <v>799</v>
      </c>
      <c r="R448" t="str">
        <f t="shared" si="96"/>
        <v>Samsung Galaxy|Gadgets|799|Apple</v>
      </c>
      <c r="S448" t="b">
        <f t="shared" si="97"/>
        <v>1</v>
      </c>
    </row>
    <row r="449" spans="1:19" x14ac:dyDescent="0.45">
      <c r="A449" t="s">
        <v>535</v>
      </c>
      <c r="B449" t="s">
        <v>93</v>
      </c>
      <c r="C449" t="s">
        <v>73</v>
      </c>
      <c r="E449" t="s">
        <v>67</v>
      </c>
      <c r="F449" t="str">
        <f t="shared" si="84"/>
        <v>SAMSUNG GALAXY|Electro||apple</v>
      </c>
      <c r="G449" t="b">
        <f t="shared" si="85"/>
        <v>1</v>
      </c>
      <c r="H449" t="str">
        <f t="shared" si="86"/>
        <v>SAMSUNG GALAXY</v>
      </c>
      <c r="I449" t="str">
        <f t="shared" si="87"/>
        <v>Samsung Galaxy</v>
      </c>
      <c r="J449" t="str">
        <f t="shared" si="88"/>
        <v>apple</v>
      </c>
      <c r="K449" t="str">
        <f t="shared" si="89"/>
        <v>Apple</v>
      </c>
      <c r="L449" t="str">
        <f t="shared" si="90"/>
        <v>Electronics</v>
      </c>
      <c r="M449">
        <f t="shared" si="91"/>
        <v>14</v>
      </c>
      <c r="N449">
        <f t="shared" si="92"/>
        <v>14</v>
      </c>
      <c r="O449" s="6" t="str">
        <f t="shared" si="93"/>
        <v/>
      </c>
      <c r="P449" t="str">
        <f t="shared" si="94"/>
        <v>Electronics</v>
      </c>
      <c r="Q449" t="str">
        <f t="shared" si="95"/>
        <v>Not Available</v>
      </c>
      <c r="R449" t="str">
        <f t="shared" si="96"/>
        <v>Samsung Galaxy|Electronics|Not Available|Apple</v>
      </c>
      <c r="S449" t="b">
        <f t="shared" si="97"/>
        <v>1</v>
      </c>
    </row>
    <row r="450" spans="1:19" x14ac:dyDescent="0.45">
      <c r="A450" t="s">
        <v>536</v>
      </c>
      <c r="B450" t="s">
        <v>60</v>
      </c>
      <c r="C450" t="s">
        <v>73</v>
      </c>
      <c r="D450" t="s">
        <v>62</v>
      </c>
      <c r="E450" t="s">
        <v>82</v>
      </c>
      <c r="F450" t="str">
        <f t="shared" ref="F450:F513" si="98">TRIM(B450)&amp;"|"&amp;TRIM(C450)&amp;"|"&amp;TRIM(D450)&amp;"|"&amp;TRIM(E450)</f>
        <v>apple iPhone 14|Electro|799.0|APPLE</v>
      </c>
      <c r="G450" t="b">
        <f t="shared" ref="G450:G513" si="99">COUNTIF($F$2:$F$565,F450)&gt;1</f>
        <v>1</v>
      </c>
      <c r="H450" t="str">
        <f t="shared" ref="H450:H513" si="100">TRIM(B450)</f>
        <v>apple iPhone 14</v>
      </c>
      <c r="I450" t="str">
        <f t="shared" ref="I450:I513" si="101">PROPER(H450)</f>
        <v>Apple Iphone 14</v>
      </c>
      <c r="J450" t="str">
        <f t="shared" ref="J450:J513" si="102">TRIM(E450)</f>
        <v>APPLE</v>
      </c>
      <c r="K450" t="str">
        <f t="shared" ref="K450:K513" si="103">PROPER(J450)</f>
        <v>Apple</v>
      </c>
      <c r="L450" t="str">
        <f t="shared" ref="L450:L513" si="104">IF(TRIM(C450)="","",IF(ISNUMBER(SEARCH("gadget",C450)),"Gadgets","Electronics"))</f>
        <v>Electronics</v>
      </c>
      <c r="M450">
        <f t="shared" ref="M450:M513" si="105">LEN(B450)</f>
        <v>15</v>
      </c>
      <c r="N450">
        <f t="shared" ref="N450:N513" si="106">LEN(H450)</f>
        <v>15</v>
      </c>
      <c r="O450" s="6">
        <f t="shared" ref="O450:O513" si="107">IF(TRIM(D450)="","",VALUE(TRIM(SUBSTITUTE(SUBSTITUTE(D450,"USD",""),"$",""))))</f>
        <v>799</v>
      </c>
      <c r="P450" t="str">
        <f t="shared" ref="P450:P513" si="108">IF(L450="","Not Available",L450)</f>
        <v>Electronics</v>
      </c>
      <c r="Q450">
        <f t="shared" ref="Q450:Q513" si="109">IF(O450="","Not Available",O450)</f>
        <v>799</v>
      </c>
      <c r="R450" t="str">
        <f t="shared" ref="R450:R513" si="110">I450&amp;"|"&amp;P450&amp;"|"&amp;Q450&amp;"|"&amp;K450</f>
        <v>Apple Iphone 14|Electronics|799|Apple</v>
      </c>
      <c r="S450" t="b">
        <f t="shared" ref="S450:S513" si="111">COUNTIF($R$2:$R$565,R450)&gt;1</f>
        <v>1</v>
      </c>
    </row>
    <row r="451" spans="1:19" x14ac:dyDescent="0.45">
      <c r="A451" t="s">
        <v>537</v>
      </c>
      <c r="B451" t="s">
        <v>93</v>
      </c>
      <c r="C451" t="s">
        <v>123</v>
      </c>
      <c r="D451" t="s">
        <v>88</v>
      </c>
      <c r="E451" t="s">
        <v>70</v>
      </c>
      <c r="F451" t="str">
        <f t="shared" si="98"/>
        <v>SAMSUNG GALAXY|Electronics|USD 799|Samsung</v>
      </c>
      <c r="G451" t="b">
        <f t="shared" si="99"/>
        <v>1</v>
      </c>
      <c r="H451" t="str">
        <f t="shared" si="100"/>
        <v>SAMSUNG GALAXY</v>
      </c>
      <c r="I451" t="str">
        <f t="shared" si="101"/>
        <v>Samsung Galaxy</v>
      </c>
      <c r="J451" t="str">
        <f t="shared" si="102"/>
        <v>Samsung</v>
      </c>
      <c r="K451" t="str">
        <f t="shared" si="103"/>
        <v>Samsung</v>
      </c>
      <c r="L451" t="str">
        <f t="shared" si="104"/>
        <v>Electronics</v>
      </c>
      <c r="M451">
        <f t="shared" si="105"/>
        <v>14</v>
      </c>
      <c r="N451">
        <f t="shared" si="106"/>
        <v>14</v>
      </c>
      <c r="O451" s="6">
        <f t="shared" si="107"/>
        <v>799</v>
      </c>
      <c r="P451" t="str">
        <f t="shared" si="108"/>
        <v>Electronics</v>
      </c>
      <c r="Q451">
        <f t="shared" si="109"/>
        <v>799</v>
      </c>
      <c r="R451" t="str">
        <f t="shared" si="110"/>
        <v>Samsung Galaxy|Electronics|799|Samsung</v>
      </c>
      <c r="S451" t="b">
        <f t="shared" si="111"/>
        <v>1</v>
      </c>
    </row>
    <row r="452" spans="1:19" x14ac:dyDescent="0.45">
      <c r="A452" t="s">
        <v>538</v>
      </c>
      <c r="B452" t="s">
        <v>65</v>
      </c>
      <c r="C452" t="s">
        <v>96</v>
      </c>
      <c r="D452" t="s">
        <v>74</v>
      </c>
      <c r="E452" t="s">
        <v>91</v>
      </c>
      <c r="F452" t="str">
        <f t="shared" si="98"/>
        <v>apple iphone 14|Gadgets|799|Apple</v>
      </c>
      <c r="G452" t="b">
        <f t="shared" si="99"/>
        <v>1</v>
      </c>
      <c r="H452" t="str">
        <f t="shared" si="100"/>
        <v>apple iphone 14</v>
      </c>
      <c r="I452" t="str">
        <f t="shared" si="101"/>
        <v>Apple Iphone 14</v>
      </c>
      <c r="J452" t="str">
        <f t="shared" si="102"/>
        <v>Apple</v>
      </c>
      <c r="K452" t="str">
        <f t="shared" si="103"/>
        <v>Apple</v>
      </c>
      <c r="L452" t="str">
        <f t="shared" si="104"/>
        <v>Gadgets</v>
      </c>
      <c r="M452">
        <f t="shared" si="105"/>
        <v>17</v>
      </c>
      <c r="N452">
        <f t="shared" si="106"/>
        <v>15</v>
      </c>
      <c r="O452" s="6">
        <f t="shared" si="107"/>
        <v>799</v>
      </c>
      <c r="P452" t="str">
        <f t="shared" si="108"/>
        <v>Gadgets</v>
      </c>
      <c r="Q452">
        <f t="shared" si="109"/>
        <v>799</v>
      </c>
      <c r="R452" t="str">
        <f t="shared" si="110"/>
        <v>Apple Iphone 14|Gadgets|799|Apple</v>
      </c>
      <c r="S452" t="b">
        <f t="shared" si="111"/>
        <v>1</v>
      </c>
    </row>
    <row r="453" spans="1:19" x14ac:dyDescent="0.45">
      <c r="A453" t="s">
        <v>539</v>
      </c>
      <c r="B453" t="s">
        <v>58</v>
      </c>
      <c r="C453" t="s">
        <v>61</v>
      </c>
      <c r="D453" t="s">
        <v>88</v>
      </c>
      <c r="E453" t="s">
        <v>75</v>
      </c>
      <c r="F453" t="str">
        <f t="shared" si="98"/>
        <v>Google pixel|Electrnics|USD 799|google</v>
      </c>
      <c r="G453" t="b">
        <f t="shared" si="99"/>
        <v>1</v>
      </c>
      <c r="H453" t="str">
        <f t="shared" si="100"/>
        <v>Google pixel</v>
      </c>
      <c r="I453" t="str">
        <f t="shared" si="101"/>
        <v>Google Pixel</v>
      </c>
      <c r="J453" t="str">
        <f t="shared" si="102"/>
        <v>google</v>
      </c>
      <c r="K453" t="str">
        <f t="shared" si="103"/>
        <v>Google</v>
      </c>
      <c r="L453" t="str">
        <f t="shared" si="104"/>
        <v>Electronics</v>
      </c>
      <c r="M453">
        <f t="shared" si="105"/>
        <v>12</v>
      </c>
      <c r="N453">
        <f t="shared" si="106"/>
        <v>12</v>
      </c>
      <c r="O453" s="6">
        <f t="shared" si="107"/>
        <v>799</v>
      </c>
      <c r="P453" t="str">
        <f t="shared" si="108"/>
        <v>Electronics</v>
      </c>
      <c r="Q453">
        <f t="shared" si="109"/>
        <v>799</v>
      </c>
      <c r="R453" t="str">
        <f t="shared" si="110"/>
        <v>Google Pixel|Electronics|799|Google</v>
      </c>
      <c r="S453" t="b">
        <f t="shared" si="111"/>
        <v>1</v>
      </c>
    </row>
    <row r="454" spans="1:19" x14ac:dyDescent="0.45">
      <c r="A454" t="s">
        <v>540</v>
      </c>
      <c r="B454" t="s">
        <v>78</v>
      </c>
      <c r="C454" t="s">
        <v>61</v>
      </c>
      <c r="D454" t="s">
        <v>81</v>
      </c>
      <c r="E454" t="s">
        <v>91</v>
      </c>
      <c r="F454" t="str">
        <f t="shared" si="98"/>
        <v>samsung Galaxy|Electrnics|$799|Apple</v>
      </c>
      <c r="G454" t="b">
        <f t="shared" si="99"/>
        <v>1</v>
      </c>
      <c r="H454" t="str">
        <f t="shared" si="100"/>
        <v>samsung Galaxy</v>
      </c>
      <c r="I454" t="str">
        <f t="shared" si="101"/>
        <v>Samsung Galaxy</v>
      </c>
      <c r="J454" t="str">
        <f t="shared" si="102"/>
        <v>Apple</v>
      </c>
      <c r="K454" t="str">
        <f t="shared" si="103"/>
        <v>Apple</v>
      </c>
      <c r="L454" t="str">
        <f t="shared" si="104"/>
        <v>Electronics</v>
      </c>
      <c r="M454">
        <f t="shared" si="105"/>
        <v>15</v>
      </c>
      <c r="N454">
        <f t="shared" si="106"/>
        <v>14</v>
      </c>
      <c r="O454" s="6">
        <f t="shared" si="107"/>
        <v>799</v>
      </c>
      <c r="P454" t="str">
        <f t="shared" si="108"/>
        <v>Electronics</v>
      </c>
      <c r="Q454">
        <f t="shared" si="109"/>
        <v>799</v>
      </c>
      <c r="R454" t="str">
        <f t="shared" si="110"/>
        <v>Samsung Galaxy|Electronics|799|Apple</v>
      </c>
      <c r="S454" t="b">
        <f t="shared" si="111"/>
        <v>1</v>
      </c>
    </row>
    <row r="455" spans="1:19" x14ac:dyDescent="0.45">
      <c r="A455" t="s">
        <v>541</v>
      </c>
      <c r="B455" t="s">
        <v>87</v>
      </c>
      <c r="C455" t="s">
        <v>85</v>
      </c>
      <c r="E455" t="s">
        <v>63</v>
      </c>
      <c r="F455" t="str">
        <f t="shared" si="98"/>
        <v>Google Pixel|electronics||Google</v>
      </c>
      <c r="G455" t="b">
        <f t="shared" si="99"/>
        <v>1</v>
      </c>
      <c r="H455" t="str">
        <f t="shared" si="100"/>
        <v>Google Pixel</v>
      </c>
      <c r="I455" t="str">
        <f t="shared" si="101"/>
        <v>Google Pixel</v>
      </c>
      <c r="J455" t="str">
        <f t="shared" si="102"/>
        <v>Google</v>
      </c>
      <c r="K455" t="str">
        <f t="shared" si="103"/>
        <v>Google</v>
      </c>
      <c r="L455" t="str">
        <f t="shared" si="104"/>
        <v>Electronics</v>
      </c>
      <c r="M455">
        <f t="shared" si="105"/>
        <v>12</v>
      </c>
      <c r="N455">
        <f t="shared" si="106"/>
        <v>12</v>
      </c>
      <c r="O455" s="6" t="str">
        <f t="shared" si="107"/>
        <v/>
      </c>
      <c r="P455" t="str">
        <f t="shared" si="108"/>
        <v>Electronics</v>
      </c>
      <c r="Q455" t="str">
        <f t="shared" si="109"/>
        <v>Not Available</v>
      </c>
      <c r="R455" t="str">
        <f t="shared" si="110"/>
        <v>Google Pixel|Electronics|Not Available|Google</v>
      </c>
      <c r="S455" t="b">
        <f t="shared" si="111"/>
        <v>1</v>
      </c>
    </row>
    <row r="456" spans="1:19" x14ac:dyDescent="0.45">
      <c r="A456" t="s">
        <v>542</v>
      </c>
      <c r="B456" t="s">
        <v>106</v>
      </c>
      <c r="E456" t="s">
        <v>89</v>
      </c>
      <c r="F456" t="str">
        <f t="shared" si="98"/>
        <v>Samsung Galaxy|||Apple</v>
      </c>
      <c r="G456" t="b">
        <f t="shared" si="99"/>
        <v>1</v>
      </c>
      <c r="H456" t="str">
        <f t="shared" si="100"/>
        <v>Samsung Galaxy</v>
      </c>
      <c r="I456" t="str">
        <f t="shared" si="101"/>
        <v>Samsung Galaxy</v>
      </c>
      <c r="J456" t="str">
        <f t="shared" si="102"/>
        <v>Apple</v>
      </c>
      <c r="K456" t="str">
        <f t="shared" si="103"/>
        <v>Apple</v>
      </c>
      <c r="L456" t="str">
        <f t="shared" si="104"/>
        <v/>
      </c>
      <c r="M456">
        <f t="shared" si="105"/>
        <v>14</v>
      </c>
      <c r="N456">
        <f t="shared" si="106"/>
        <v>14</v>
      </c>
      <c r="O456" s="6" t="str">
        <f t="shared" si="107"/>
        <v/>
      </c>
      <c r="P456" t="str">
        <f t="shared" si="108"/>
        <v>Not Available</v>
      </c>
      <c r="Q456" t="str">
        <f t="shared" si="109"/>
        <v>Not Available</v>
      </c>
      <c r="R456" t="str">
        <f t="shared" si="110"/>
        <v>Samsung Galaxy|Not Available|Not Available|Apple</v>
      </c>
      <c r="S456" t="b">
        <f t="shared" si="111"/>
        <v>1</v>
      </c>
    </row>
    <row r="457" spans="1:19" x14ac:dyDescent="0.45">
      <c r="A457" t="s">
        <v>543</v>
      </c>
      <c r="B457" t="s">
        <v>60</v>
      </c>
      <c r="C457" t="s">
        <v>85</v>
      </c>
      <c r="D457" t="s">
        <v>66</v>
      </c>
      <c r="E457" t="s">
        <v>82</v>
      </c>
      <c r="F457" t="str">
        <f t="shared" si="98"/>
        <v>apple iPhone 14|electronics|799.00|APPLE</v>
      </c>
      <c r="G457" t="b">
        <f t="shared" si="99"/>
        <v>1</v>
      </c>
      <c r="H457" t="str">
        <f t="shared" si="100"/>
        <v>apple iPhone 14</v>
      </c>
      <c r="I457" t="str">
        <f t="shared" si="101"/>
        <v>Apple Iphone 14</v>
      </c>
      <c r="J457" t="str">
        <f t="shared" si="102"/>
        <v>APPLE</v>
      </c>
      <c r="K457" t="str">
        <f t="shared" si="103"/>
        <v>Apple</v>
      </c>
      <c r="L457" t="str">
        <f t="shared" si="104"/>
        <v>Electronics</v>
      </c>
      <c r="M457">
        <f t="shared" si="105"/>
        <v>15</v>
      </c>
      <c r="N457">
        <f t="shared" si="106"/>
        <v>15</v>
      </c>
      <c r="O457" s="6">
        <f t="shared" si="107"/>
        <v>799</v>
      </c>
      <c r="P457" t="str">
        <f t="shared" si="108"/>
        <v>Electronics</v>
      </c>
      <c r="Q457">
        <f t="shared" si="109"/>
        <v>799</v>
      </c>
      <c r="R457" t="str">
        <f t="shared" si="110"/>
        <v>Apple Iphone 14|Electronics|799|Apple</v>
      </c>
      <c r="S457" t="b">
        <f t="shared" si="111"/>
        <v>1</v>
      </c>
    </row>
    <row r="458" spans="1:19" x14ac:dyDescent="0.45">
      <c r="A458" t="s">
        <v>544</v>
      </c>
      <c r="B458" t="s">
        <v>138</v>
      </c>
      <c r="C458" t="s">
        <v>94</v>
      </c>
      <c r="D458" t="s">
        <v>69</v>
      </c>
      <c r="E458" t="s">
        <v>79</v>
      </c>
      <c r="F458" t="str">
        <f t="shared" si="98"/>
        <v>APPLE IPHONE 14|gadgets|799|Samsung</v>
      </c>
      <c r="G458" t="b">
        <f t="shared" si="99"/>
        <v>1</v>
      </c>
      <c r="H458" t="str">
        <f t="shared" si="100"/>
        <v>APPLE IPHONE 14</v>
      </c>
      <c r="I458" t="str">
        <f t="shared" si="101"/>
        <v>Apple Iphone 14</v>
      </c>
      <c r="J458" t="str">
        <f t="shared" si="102"/>
        <v>Samsung</v>
      </c>
      <c r="K458" t="str">
        <f t="shared" si="103"/>
        <v>Samsung</v>
      </c>
      <c r="L458" t="str">
        <f t="shared" si="104"/>
        <v>Gadgets</v>
      </c>
      <c r="M458">
        <f t="shared" si="105"/>
        <v>15</v>
      </c>
      <c r="N458">
        <f t="shared" si="106"/>
        <v>15</v>
      </c>
      <c r="O458" s="6">
        <f t="shared" si="107"/>
        <v>799</v>
      </c>
      <c r="P458" t="str">
        <f t="shared" si="108"/>
        <v>Gadgets</v>
      </c>
      <c r="Q458">
        <f t="shared" si="109"/>
        <v>799</v>
      </c>
      <c r="R458" t="str">
        <f t="shared" si="110"/>
        <v>Apple Iphone 14|Gadgets|799|Samsung</v>
      </c>
      <c r="S458" t="b">
        <f t="shared" si="111"/>
        <v>1</v>
      </c>
    </row>
    <row r="459" spans="1:19" x14ac:dyDescent="0.45">
      <c r="A459" t="s">
        <v>545</v>
      </c>
      <c r="B459" t="s">
        <v>58</v>
      </c>
      <c r="C459" t="s">
        <v>73</v>
      </c>
      <c r="E459" t="s">
        <v>91</v>
      </c>
      <c r="F459" t="str">
        <f t="shared" si="98"/>
        <v>Google pixel|Electro||Apple</v>
      </c>
      <c r="G459" t="b">
        <f t="shared" si="99"/>
        <v>0</v>
      </c>
      <c r="H459" t="str">
        <f t="shared" si="100"/>
        <v>Google pixel</v>
      </c>
      <c r="I459" t="str">
        <f t="shared" si="101"/>
        <v>Google Pixel</v>
      </c>
      <c r="J459" t="str">
        <f t="shared" si="102"/>
        <v>Apple</v>
      </c>
      <c r="K459" t="str">
        <f t="shared" si="103"/>
        <v>Apple</v>
      </c>
      <c r="L459" t="str">
        <f t="shared" si="104"/>
        <v>Electronics</v>
      </c>
      <c r="M459">
        <f t="shared" si="105"/>
        <v>12</v>
      </c>
      <c r="N459">
        <f t="shared" si="106"/>
        <v>12</v>
      </c>
      <c r="O459" s="6" t="str">
        <f t="shared" si="107"/>
        <v/>
      </c>
      <c r="P459" t="str">
        <f t="shared" si="108"/>
        <v>Electronics</v>
      </c>
      <c r="Q459" t="str">
        <f t="shared" si="109"/>
        <v>Not Available</v>
      </c>
      <c r="R459" t="str">
        <f t="shared" si="110"/>
        <v>Google Pixel|Electronics|Not Available|Apple</v>
      </c>
      <c r="S459" t="b">
        <f t="shared" si="111"/>
        <v>1</v>
      </c>
    </row>
    <row r="460" spans="1:19" x14ac:dyDescent="0.45">
      <c r="A460" t="s">
        <v>546</v>
      </c>
      <c r="B460" t="s">
        <v>93</v>
      </c>
      <c r="C460" t="s">
        <v>61</v>
      </c>
      <c r="D460" t="s">
        <v>69</v>
      </c>
      <c r="E460" t="s">
        <v>79</v>
      </c>
      <c r="F460" t="str">
        <f t="shared" si="98"/>
        <v>SAMSUNG GALAXY|Electrnics|799|Samsung</v>
      </c>
      <c r="G460" t="b">
        <f t="shared" si="99"/>
        <v>1</v>
      </c>
      <c r="H460" t="str">
        <f t="shared" si="100"/>
        <v>SAMSUNG GALAXY</v>
      </c>
      <c r="I460" t="str">
        <f t="shared" si="101"/>
        <v>Samsung Galaxy</v>
      </c>
      <c r="J460" t="str">
        <f t="shared" si="102"/>
        <v>Samsung</v>
      </c>
      <c r="K460" t="str">
        <f t="shared" si="103"/>
        <v>Samsung</v>
      </c>
      <c r="L460" t="str">
        <f t="shared" si="104"/>
        <v>Electronics</v>
      </c>
      <c r="M460">
        <f t="shared" si="105"/>
        <v>14</v>
      </c>
      <c r="N460">
        <f t="shared" si="106"/>
        <v>14</v>
      </c>
      <c r="O460" s="6">
        <f t="shared" si="107"/>
        <v>799</v>
      </c>
      <c r="P460" t="str">
        <f t="shared" si="108"/>
        <v>Electronics</v>
      </c>
      <c r="Q460">
        <f t="shared" si="109"/>
        <v>799</v>
      </c>
      <c r="R460" t="str">
        <f t="shared" si="110"/>
        <v>Samsung Galaxy|Electronics|799|Samsung</v>
      </c>
      <c r="S460" t="b">
        <f t="shared" si="111"/>
        <v>1</v>
      </c>
    </row>
    <row r="461" spans="1:19" x14ac:dyDescent="0.45">
      <c r="A461" t="s">
        <v>547</v>
      </c>
      <c r="B461" t="s">
        <v>54</v>
      </c>
      <c r="C461" t="s">
        <v>94</v>
      </c>
      <c r="E461" t="s">
        <v>112</v>
      </c>
      <c r="F461" t="str">
        <f t="shared" si="98"/>
        <v>Samsung galaxy|gadgets||SAMSUNG</v>
      </c>
      <c r="G461" t="b">
        <f t="shared" si="99"/>
        <v>1</v>
      </c>
      <c r="H461" t="str">
        <f t="shared" si="100"/>
        <v>Samsung galaxy</v>
      </c>
      <c r="I461" t="str">
        <f t="shared" si="101"/>
        <v>Samsung Galaxy</v>
      </c>
      <c r="J461" t="str">
        <f t="shared" si="102"/>
        <v>SAMSUNG</v>
      </c>
      <c r="K461" t="str">
        <f t="shared" si="103"/>
        <v>Samsung</v>
      </c>
      <c r="L461" t="str">
        <f t="shared" si="104"/>
        <v>Gadgets</v>
      </c>
      <c r="M461">
        <f t="shared" si="105"/>
        <v>15</v>
      </c>
      <c r="N461">
        <f t="shared" si="106"/>
        <v>14</v>
      </c>
      <c r="O461" s="6" t="str">
        <f t="shared" si="107"/>
        <v/>
      </c>
      <c r="P461" t="str">
        <f t="shared" si="108"/>
        <v>Gadgets</v>
      </c>
      <c r="Q461" t="str">
        <f t="shared" si="109"/>
        <v>Not Available</v>
      </c>
      <c r="R461" t="str">
        <f t="shared" si="110"/>
        <v>Samsung Galaxy|Gadgets|Not Available|Samsung</v>
      </c>
      <c r="S461" t="b">
        <f t="shared" si="111"/>
        <v>1</v>
      </c>
    </row>
    <row r="462" spans="1:19" x14ac:dyDescent="0.45">
      <c r="A462" t="s">
        <v>548</v>
      </c>
      <c r="B462" t="s">
        <v>93</v>
      </c>
      <c r="C462" t="s">
        <v>85</v>
      </c>
      <c r="D462" t="s">
        <v>69</v>
      </c>
      <c r="E462" t="s">
        <v>67</v>
      </c>
      <c r="F462" t="str">
        <f t="shared" si="98"/>
        <v>SAMSUNG GALAXY|electronics|799|apple</v>
      </c>
      <c r="G462" t="b">
        <f t="shared" si="99"/>
        <v>1</v>
      </c>
      <c r="H462" t="str">
        <f t="shared" si="100"/>
        <v>SAMSUNG GALAXY</v>
      </c>
      <c r="I462" t="str">
        <f t="shared" si="101"/>
        <v>Samsung Galaxy</v>
      </c>
      <c r="J462" t="str">
        <f t="shared" si="102"/>
        <v>apple</v>
      </c>
      <c r="K462" t="str">
        <f t="shared" si="103"/>
        <v>Apple</v>
      </c>
      <c r="L462" t="str">
        <f t="shared" si="104"/>
        <v>Electronics</v>
      </c>
      <c r="M462">
        <f t="shared" si="105"/>
        <v>14</v>
      </c>
      <c r="N462">
        <f t="shared" si="106"/>
        <v>14</v>
      </c>
      <c r="O462" s="6">
        <f t="shared" si="107"/>
        <v>799</v>
      </c>
      <c r="P462" t="str">
        <f t="shared" si="108"/>
        <v>Electronics</v>
      </c>
      <c r="Q462">
        <f t="shared" si="109"/>
        <v>799</v>
      </c>
      <c r="R462" t="str">
        <f t="shared" si="110"/>
        <v>Samsung Galaxy|Electronics|799|Apple</v>
      </c>
      <c r="S462" t="b">
        <f t="shared" si="111"/>
        <v>1</v>
      </c>
    </row>
    <row r="463" spans="1:19" x14ac:dyDescent="0.45">
      <c r="A463" t="s">
        <v>549</v>
      </c>
      <c r="B463" t="s">
        <v>60</v>
      </c>
      <c r="D463" t="s">
        <v>81</v>
      </c>
      <c r="E463" t="s">
        <v>70</v>
      </c>
      <c r="F463" t="str">
        <f t="shared" si="98"/>
        <v>apple iPhone 14||$799|Samsung</v>
      </c>
      <c r="G463" t="b">
        <f t="shared" si="99"/>
        <v>1</v>
      </c>
      <c r="H463" t="str">
        <f t="shared" si="100"/>
        <v>apple iPhone 14</v>
      </c>
      <c r="I463" t="str">
        <f t="shared" si="101"/>
        <v>Apple Iphone 14</v>
      </c>
      <c r="J463" t="str">
        <f t="shared" si="102"/>
        <v>Samsung</v>
      </c>
      <c r="K463" t="str">
        <f t="shared" si="103"/>
        <v>Samsung</v>
      </c>
      <c r="L463" t="str">
        <f t="shared" si="104"/>
        <v/>
      </c>
      <c r="M463">
        <f t="shared" si="105"/>
        <v>15</v>
      </c>
      <c r="N463">
        <f t="shared" si="106"/>
        <v>15</v>
      </c>
      <c r="O463" s="6">
        <f t="shared" si="107"/>
        <v>799</v>
      </c>
      <c r="P463" t="str">
        <f t="shared" si="108"/>
        <v>Not Available</v>
      </c>
      <c r="Q463">
        <f t="shared" si="109"/>
        <v>799</v>
      </c>
      <c r="R463" t="str">
        <f t="shared" si="110"/>
        <v>Apple Iphone 14|Not Available|799|Samsung</v>
      </c>
      <c r="S463" t="b">
        <f t="shared" si="111"/>
        <v>1</v>
      </c>
    </row>
    <row r="464" spans="1:19" x14ac:dyDescent="0.45">
      <c r="A464" t="s">
        <v>550</v>
      </c>
      <c r="B464" t="s">
        <v>78</v>
      </c>
      <c r="C464" t="s">
        <v>61</v>
      </c>
      <c r="D464" t="s">
        <v>74</v>
      </c>
      <c r="E464" t="s">
        <v>82</v>
      </c>
      <c r="F464" t="str">
        <f t="shared" si="98"/>
        <v>samsung Galaxy|Electrnics|799|APPLE</v>
      </c>
      <c r="G464" t="b">
        <f t="shared" si="99"/>
        <v>1</v>
      </c>
      <c r="H464" t="str">
        <f t="shared" si="100"/>
        <v>samsung Galaxy</v>
      </c>
      <c r="I464" t="str">
        <f t="shared" si="101"/>
        <v>Samsung Galaxy</v>
      </c>
      <c r="J464" t="str">
        <f t="shared" si="102"/>
        <v>APPLE</v>
      </c>
      <c r="K464" t="str">
        <f t="shared" si="103"/>
        <v>Apple</v>
      </c>
      <c r="L464" t="str">
        <f t="shared" si="104"/>
        <v>Electronics</v>
      </c>
      <c r="M464">
        <f t="shared" si="105"/>
        <v>15</v>
      </c>
      <c r="N464">
        <f t="shared" si="106"/>
        <v>14</v>
      </c>
      <c r="O464" s="6">
        <f t="shared" si="107"/>
        <v>799</v>
      </c>
      <c r="P464" t="str">
        <f t="shared" si="108"/>
        <v>Electronics</v>
      </c>
      <c r="Q464">
        <f t="shared" si="109"/>
        <v>799</v>
      </c>
      <c r="R464" t="str">
        <f t="shared" si="110"/>
        <v>Samsung Galaxy|Electronics|799|Apple</v>
      </c>
      <c r="S464" t="b">
        <f t="shared" si="111"/>
        <v>1</v>
      </c>
    </row>
    <row r="465" spans="1:19" x14ac:dyDescent="0.45">
      <c r="A465" t="s">
        <v>551</v>
      </c>
      <c r="B465" t="s">
        <v>93</v>
      </c>
      <c r="C465" t="s">
        <v>123</v>
      </c>
      <c r="E465" t="s">
        <v>75</v>
      </c>
      <c r="F465" t="str">
        <f t="shared" si="98"/>
        <v>SAMSUNG GALAXY|Electronics||google</v>
      </c>
      <c r="G465" t="b">
        <f t="shared" si="99"/>
        <v>1</v>
      </c>
      <c r="H465" t="str">
        <f t="shared" si="100"/>
        <v>SAMSUNG GALAXY</v>
      </c>
      <c r="I465" t="str">
        <f t="shared" si="101"/>
        <v>Samsung Galaxy</v>
      </c>
      <c r="J465" t="str">
        <f t="shared" si="102"/>
        <v>google</v>
      </c>
      <c r="K465" t="str">
        <f t="shared" si="103"/>
        <v>Google</v>
      </c>
      <c r="L465" t="str">
        <f t="shared" si="104"/>
        <v>Electronics</v>
      </c>
      <c r="M465">
        <f t="shared" si="105"/>
        <v>14</v>
      </c>
      <c r="N465">
        <f t="shared" si="106"/>
        <v>14</v>
      </c>
      <c r="O465" s="6" t="str">
        <f t="shared" si="107"/>
        <v/>
      </c>
      <c r="P465" t="str">
        <f t="shared" si="108"/>
        <v>Electronics</v>
      </c>
      <c r="Q465" t="str">
        <f t="shared" si="109"/>
        <v>Not Available</v>
      </c>
      <c r="R465" t="str">
        <f t="shared" si="110"/>
        <v>Samsung Galaxy|Electronics|Not Available|Google</v>
      </c>
      <c r="S465" t="b">
        <f t="shared" si="111"/>
        <v>1</v>
      </c>
    </row>
    <row r="466" spans="1:19" x14ac:dyDescent="0.45">
      <c r="A466" t="s">
        <v>552</v>
      </c>
      <c r="B466" t="s">
        <v>54</v>
      </c>
      <c r="C466" t="s">
        <v>96</v>
      </c>
      <c r="D466" t="s">
        <v>55</v>
      </c>
      <c r="E466" t="s">
        <v>89</v>
      </c>
      <c r="F466" t="str">
        <f t="shared" si="98"/>
        <v>Samsung galaxy|Gadgets|799|Apple</v>
      </c>
      <c r="G466" t="b">
        <f t="shared" si="99"/>
        <v>1</v>
      </c>
      <c r="H466" t="str">
        <f t="shared" si="100"/>
        <v>Samsung galaxy</v>
      </c>
      <c r="I466" t="str">
        <f t="shared" si="101"/>
        <v>Samsung Galaxy</v>
      </c>
      <c r="J466" t="str">
        <f t="shared" si="102"/>
        <v>Apple</v>
      </c>
      <c r="K466" t="str">
        <f t="shared" si="103"/>
        <v>Apple</v>
      </c>
      <c r="L466" t="str">
        <f t="shared" si="104"/>
        <v>Gadgets</v>
      </c>
      <c r="M466">
        <f t="shared" si="105"/>
        <v>15</v>
      </c>
      <c r="N466">
        <f t="shared" si="106"/>
        <v>14</v>
      </c>
      <c r="O466" s="6">
        <f t="shared" si="107"/>
        <v>799</v>
      </c>
      <c r="P466" t="str">
        <f t="shared" si="108"/>
        <v>Gadgets</v>
      </c>
      <c r="Q466">
        <f t="shared" si="109"/>
        <v>799</v>
      </c>
      <c r="R466" t="str">
        <f t="shared" si="110"/>
        <v>Samsung Galaxy|Gadgets|799|Apple</v>
      </c>
      <c r="S466" t="b">
        <f t="shared" si="111"/>
        <v>1</v>
      </c>
    </row>
    <row r="467" spans="1:19" x14ac:dyDescent="0.45">
      <c r="A467" t="s">
        <v>553</v>
      </c>
      <c r="B467" t="s">
        <v>65</v>
      </c>
      <c r="C467" t="s">
        <v>94</v>
      </c>
      <c r="D467" t="s">
        <v>81</v>
      </c>
      <c r="E467" t="s">
        <v>75</v>
      </c>
      <c r="F467" t="str">
        <f t="shared" si="98"/>
        <v>apple iphone 14|gadgets|$799|google</v>
      </c>
      <c r="G467" t="b">
        <f t="shared" si="99"/>
        <v>1</v>
      </c>
      <c r="H467" t="str">
        <f t="shared" si="100"/>
        <v>apple iphone 14</v>
      </c>
      <c r="I467" t="str">
        <f t="shared" si="101"/>
        <v>Apple Iphone 14</v>
      </c>
      <c r="J467" t="str">
        <f t="shared" si="102"/>
        <v>google</v>
      </c>
      <c r="K467" t="str">
        <f t="shared" si="103"/>
        <v>Google</v>
      </c>
      <c r="L467" t="str">
        <f t="shared" si="104"/>
        <v>Gadgets</v>
      </c>
      <c r="M467">
        <f t="shared" si="105"/>
        <v>17</v>
      </c>
      <c r="N467">
        <f t="shared" si="106"/>
        <v>15</v>
      </c>
      <c r="O467" s="6">
        <f t="shared" si="107"/>
        <v>799</v>
      </c>
      <c r="P467" t="str">
        <f t="shared" si="108"/>
        <v>Gadgets</v>
      </c>
      <c r="Q467">
        <f t="shared" si="109"/>
        <v>799</v>
      </c>
      <c r="R467" t="str">
        <f t="shared" si="110"/>
        <v>Apple Iphone 14|Gadgets|799|Google</v>
      </c>
      <c r="S467" t="b">
        <f t="shared" si="111"/>
        <v>1</v>
      </c>
    </row>
    <row r="468" spans="1:19" x14ac:dyDescent="0.45">
      <c r="A468" t="s">
        <v>554</v>
      </c>
      <c r="B468" t="s">
        <v>72</v>
      </c>
      <c r="D468" t="s">
        <v>55</v>
      </c>
      <c r="E468" t="s">
        <v>89</v>
      </c>
      <c r="F468" t="str">
        <f t="shared" si="98"/>
        <v>google pixel||799|Apple</v>
      </c>
      <c r="G468" t="b">
        <f t="shared" si="99"/>
        <v>1</v>
      </c>
      <c r="H468" t="str">
        <f t="shared" si="100"/>
        <v>google pixel</v>
      </c>
      <c r="I468" t="str">
        <f t="shared" si="101"/>
        <v>Google Pixel</v>
      </c>
      <c r="J468" t="str">
        <f t="shared" si="102"/>
        <v>Apple</v>
      </c>
      <c r="K468" t="str">
        <f t="shared" si="103"/>
        <v>Apple</v>
      </c>
      <c r="L468" t="str">
        <f t="shared" si="104"/>
        <v/>
      </c>
      <c r="M468">
        <f t="shared" si="105"/>
        <v>14</v>
      </c>
      <c r="N468">
        <f t="shared" si="106"/>
        <v>12</v>
      </c>
      <c r="O468" s="6">
        <f t="shared" si="107"/>
        <v>799</v>
      </c>
      <c r="P468" t="str">
        <f t="shared" si="108"/>
        <v>Not Available</v>
      </c>
      <c r="Q468">
        <f t="shared" si="109"/>
        <v>799</v>
      </c>
      <c r="R468" t="str">
        <f t="shared" si="110"/>
        <v>Google Pixel|Not Available|799|Apple</v>
      </c>
      <c r="S468" t="b">
        <f t="shared" si="111"/>
        <v>1</v>
      </c>
    </row>
    <row r="469" spans="1:19" x14ac:dyDescent="0.45">
      <c r="A469" t="s">
        <v>555</v>
      </c>
      <c r="B469" t="s">
        <v>109</v>
      </c>
      <c r="D469" t="s">
        <v>66</v>
      </c>
      <c r="E469" t="s">
        <v>56</v>
      </c>
      <c r="F469" t="str">
        <f t="shared" si="98"/>
        <v>Apple iPhone14||799.00|GOOGLE</v>
      </c>
      <c r="G469" t="b">
        <f t="shared" si="99"/>
        <v>0</v>
      </c>
      <c r="H469" t="str">
        <f t="shared" si="100"/>
        <v>Apple iPhone14</v>
      </c>
      <c r="I469" t="str">
        <f t="shared" si="101"/>
        <v>Apple Iphone14</v>
      </c>
      <c r="J469" t="str">
        <f t="shared" si="102"/>
        <v>GOOGLE</v>
      </c>
      <c r="K469" t="str">
        <f t="shared" si="103"/>
        <v>Google</v>
      </c>
      <c r="L469" t="str">
        <f t="shared" si="104"/>
        <v/>
      </c>
      <c r="M469">
        <f t="shared" si="105"/>
        <v>15</v>
      </c>
      <c r="N469">
        <f t="shared" si="106"/>
        <v>14</v>
      </c>
      <c r="O469" s="6">
        <f t="shared" si="107"/>
        <v>799</v>
      </c>
      <c r="P469" t="str">
        <f t="shared" si="108"/>
        <v>Not Available</v>
      </c>
      <c r="Q469">
        <f t="shared" si="109"/>
        <v>799</v>
      </c>
      <c r="R469" t="str">
        <f t="shared" si="110"/>
        <v>Apple Iphone14|Not Available|799|Google</v>
      </c>
      <c r="S469" t="b">
        <f t="shared" si="111"/>
        <v>0</v>
      </c>
    </row>
    <row r="470" spans="1:19" x14ac:dyDescent="0.45">
      <c r="A470" t="s">
        <v>556</v>
      </c>
      <c r="B470" t="s">
        <v>93</v>
      </c>
      <c r="C470" t="s">
        <v>85</v>
      </c>
      <c r="D470" t="s">
        <v>88</v>
      </c>
      <c r="E470" t="s">
        <v>82</v>
      </c>
      <c r="F470" t="str">
        <f t="shared" si="98"/>
        <v>SAMSUNG GALAXY|electronics|USD 799|APPLE</v>
      </c>
      <c r="G470" t="b">
        <f t="shared" si="99"/>
        <v>1</v>
      </c>
      <c r="H470" t="str">
        <f t="shared" si="100"/>
        <v>SAMSUNG GALAXY</v>
      </c>
      <c r="I470" t="str">
        <f t="shared" si="101"/>
        <v>Samsung Galaxy</v>
      </c>
      <c r="J470" t="str">
        <f t="shared" si="102"/>
        <v>APPLE</v>
      </c>
      <c r="K470" t="str">
        <f t="shared" si="103"/>
        <v>Apple</v>
      </c>
      <c r="L470" t="str">
        <f t="shared" si="104"/>
        <v>Electronics</v>
      </c>
      <c r="M470">
        <f t="shared" si="105"/>
        <v>14</v>
      </c>
      <c r="N470">
        <f t="shared" si="106"/>
        <v>14</v>
      </c>
      <c r="O470" s="6">
        <f t="shared" si="107"/>
        <v>799</v>
      </c>
      <c r="P470" t="str">
        <f t="shared" si="108"/>
        <v>Electronics</v>
      </c>
      <c r="Q470">
        <f t="shared" si="109"/>
        <v>799</v>
      </c>
      <c r="R470" t="str">
        <f t="shared" si="110"/>
        <v>Samsung Galaxy|Electronics|799|Apple</v>
      </c>
      <c r="S470" t="b">
        <f t="shared" si="111"/>
        <v>1</v>
      </c>
    </row>
    <row r="471" spans="1:19" x14ac:dyDescent="0.45">
      <c r="A471" t="s">
        <v>557</v>
      </c>
      <c r="B471" t="s">
        <v>60</v>
      </c>
      <c r="C471" t="s">
        <v>96</v>
      </c>
      <c r="D471" t="s">
        <v>55</v>
      </c>
      <c r="E471" t="s">
        <v>79</v>
      </c>
      <c r="F471" t="str">
        <f t="shared" si="98"/>
        <v>apple iPhone 14|Gadgets|799|Samsung</v>
      </c>
      <c r="G471" t="b">
        <f t="shared" si="99"/>
        <v>1</v>
      </c>
      <c r="H471" t="str">
        <f t="shared" si="100"/>
        <v>apple iPhone 14</v>
      </c>
      <c r="I471" t="str">
        <f t="shared" si="101"/>
        <v>Apple Iphone 14</v>
      </c>
      <c r="J471" t="str">
        <f t="shared" si="102"/>
        <v>Samsung</v>
      </c>
      <c r="K471" t="str">
        <f t="shared" si="103"/>
        <v>Samsung</v>
      </c>
      <c r="L471" t="str">
        <f t="shared" si="104"/>
        <v>Gadgets</v>
      </c>
      <c r="M471">
        <f t="shared" si="105"/>
        <v>15</v>
      </c>
      <c r="N471">
        <f t="shared" si="106"/>
        <v>15</v>
      </c>
      <c r="O471" s="6">
        <f t="shared" si="107"/>
        <v>799</v>
      </c>
      <c r="P471" t="str">
        <f t="shared" si="108"/>
        <v>Gadgets</v>
      </c>
      <c r="Q471">
        <f t="shared" si="109"/>
        <v>799</v>
      </c>
      <c r="R471" t="str">
        <f t="shared" si="110"/>
        <v>Apple Iphone 14|Gadgets|799|Samsung</v>
      </c>
      <c r="S471" t="b">
        <f t="shared" si="111"/>
        <v>1</v>
      </c>
    </row>
    <row r="472" spans="1:19" x14ac:dyDescent="0.45">
      <c r="A472" t="s">
        <v>558</v>
      </c>
      <c r="B472" t="s">
        <v>87</v>
      </c>
      <c r="C472" t="s">
        <v>85</v>
      </c>
      <c r="D472" t="s">
        <v>66</v>
      </c>
      <c r="E472" t="s">
        <v>91</v>
      </c>
      <c r="F472" t="str">
        <f t="shared" si="98"/>
        <v>Google Pixel|electronics|799.00|Apple</v>
      </c>
      <c r="G472" t="b">
        <f t="shared" si="99"/>
        <v>1</v>
      </c>
      <c r="H472" t="str">
        <f t="shared" si="100"/>
        <v>Google Pixel</v>
      </c>
      <c r="I472" t="str">
        <f t="shared" si="101"/>
        <v>Google Pixel</v>
      </c>
      <c r="J472" t="str">
        <f t="shared" si="102"/>
        <v>Apple</v>
      </c>
      <c r="K472" t="str">
        <f t="shared" si="103"/>
        <v>Apple</v>
      </c>
      <c r="L472" t="str">
        <f t="shared" si="104"/>
        <v>Electronics</v>
      </c>
      <c r="M472">
        <f t="shared" si="105"/>
        <v>12</v>
      </c>
      <c r="N472">
        <f t="shared" si="106"/>
        <v>12</v>
      </c>
      <c r="O472" s="6">
        <f t="shared" si="107"/>
        <v>799</v>
      </c>
      <c r="P472" t="str">
        <f t="shared" si="108"/>
        <v>Electronics</v>
      </c>
      <c r="Q472">
        <f t="shared" si="109"/>
        <v>799</v>
      </c>
      <c r="R472" t="str">
        <f t="shared" si="110"/>
        <v>Google Pixel|Electronics|799|Apple</v>
      </c>
      <c r="S472" t="b">
        <f t="shared" si="111"/>
        <v>1</v>
      </c>
    </row>
    <row r="473" spans="1:19" x14ac:dyDescent="0.45">
      <c r="A473" t="s">
        <v>559</v>
      </c>
      <c r="B473" t="s">
        <v>65</v>
      </c>
      <c r="C473" t="s">
        <v>123</v>
      </c>
      <c r="D473" t="s">
        <v>81</v>
      </c>
      <c r="E473" t="s">
        <v>63</v>
      </c>
      <c r="F473" t="str">
        <f t="shared" si="98"/>
        <v>apple iphone 14|Electronics|$799|Google</v>
      </c>
      <c r="G473" t="b">
        <f t="shared" si="99"/>
        <v>1</v>
      </c>
      <c r="H473" t="str">
        <f t="shared" si="100"/>
        <v>apple iphone 14</v>
      </c>
      <c r="I473" t="str">
        <f t="shared" si="101"/>
        <v>Apple Iphone 14</v>
      </c>
      <c r="J473" t="str">
        <f t="shared" si="102"/>
        <v>Google</v>
      </c>
      <c r="K473" t="str">
        <f t="shared" si="103"/>
        <v>Google</v>
      </c>
      <c r="L473" t="str">
        <f t="shared" si="104"/>
        <v>Electronics</v>
      </c>
      <c r="M473">
        <f t="shared" si="105"/>
        <v>17</v>
      </c>
      <c r="N473">
        <f t="shared" si="106"/>
        <v>15</v>
      </c>
      <c r="O473" s="6">
        <f t="shared" si="107"/>
        <v>799</v>
      </c>
      <c r="P473" t="str">
        <f t="shared" si="108"/>
        <v>Electronics</v>
      </c>
      <c r="Q473">
        <f t="shared" si="109"/>
        <v>799</v>
      </c>
      <c r="R473" t="str">
        <f t="shared" si="110"/>
        <v>Apple Iphone 14|Electronics|799|Google</v>
      </c>
      <c r="S473" t="b">
        <f t="shared" si="111"/>
        <v>1</v>
      </c>
    </row>
    <row r="474" spans="1:19" x14ac:dyDescent="0.45">
      <c r="A474" t="s">
        <v>560</v>
      </c>
      <c r="B474" t="s">
        <v>58</v>
      </c>
      <c r="C474" t="s">
        <v>85</v>
      </c>
      <c r="D474" t="s">
        <v>62</v>
      </c>
      <c r="E474" t="s">
        <v>63</v>
      </c>
      <c r="F474" t="str">
        <f t="shared" si="98"/>
        <v>Google pixel|electronics|799.0|Google</v>
      </c>
      <c r="G474" t="b">
        <f t="shared" si="99"/>
        <v>1</v>
      </c>
      <c r="H474" t="str">
        <f t="shared" si="100"/>
        <v>Google pixel</v>
      </c>
      <c r="I474" t="str">
        <f t="shared" si="101"/>
        <v>Google Pixel</v>
      </c>
      <c r="J474" t="str">
        <f t="shared" si="102"/>
        <v>Google</v>
      </c>
      <c r="K474" t="str">
        <f t="shared" si="103"/>
        <v>Google</v>
      </c>
      <c r="L474" t="str">
        <f t="shared" si="104"/>
        <v>Electronics</v>
      </c>
      <c r="M474">
        <f t="shared" si="105"/>
        <v>12</v>
      </c>
      <c r="N474">
        <f t="shared" si="106"/>
        <v>12</v>
      </c>
      <c r="O474" s="6">
        <f t="shared" si="107"/>
        <v>799</v>
      </c>
      <c r="P474" t="str">
        <f t="shared" si="108"/>
        <v>Electronics</v>
      </c>
      <c r="Q474">
        <f t="shared" si="109"/>
        <v>799</v>
      </c>
      <c r="R474" t="str">
        <f t="shared" si="110"/>
        <v>Google Pixel|Electronics|799|Google</v>
      </c>
      <c r="S474" t="b">
        <f t="shared" si="111"/>
        <v>1</v>
      </c>
    </row>
    <row r="475" spans="1:19" x14ac:dyDescent="0.45">
      <c r="A475" t="s">
        <v>561</v>
      </c>
      <c r="B475" t="s">
        <v>109</v>
      </c>
      <c r="C475" t="s">
        <v>94</v>
      </c>
      <c r="D475" t="s">
        <v>69</v>
      </c>
      <c r="E475" t="s">
        <v>112</v>
      </c>
      <c r="F475" t="str">
        <f t="shared" si="98"/>
        <v>Apple iPhone14|gadgets|799|SAMSUNG</v>
      </c>
      <c r="G475" t="b">
        <f t="shared" si="99"/>
        <v>0</v>
      </c>
      <c r="H475" t="str">
        <f t="shared" si="100"/>
        <v>Apple iPhone14</v>
      </c>
      <c r="I475" t="str">
        <f t="shared" si="101"/>
        <v>Apple Iphone14</v>
      </c>
      <c r="J475" t="str">
        <f t="shared" si="102"/>
        <v>SAMSUNG</v>
      </c>
      <c r="K475" t="str">
        <f t="shared" si="103"/>
        <v>Samsung</v>
      </c>
      <c r="L475" t="str">
        <f t="shared" si="104"/>
        <v>Gadgets</v>
      </c>
      <c r="M475">
        <f t="shared" si="105"/>
        <v>15</v>
      </c>
      <c r="N475">
        <f t="shared" si="106"/>
        <v>14</v>
      </c>
      <c r="O475" s="6">
        <f t="shared" si="107"/>
        <v>799</v>
      </c>
      <c r="P475" t="str">
        <f t="shared" si="108"/>
        <v>Gadgets</v>
      </c>
      <c r="Q475">
        <f t="shared" si="109"/>
        <v>799</v>
      </c>
      <c r="R475" t="str">
        <f t="shared" si="110"/>
        <v>Apple Iphone14|Gadgets|799|Samsung</v>
      </c>
      <c r="S475" t="b">
        <f t="shared" si="111"/>
        <v>1</v>
      </c>
    </row>
    <row r="476" spans="1:19" x14ac:dyDescent="0.45">
      <c r="A476" t="s">
        <v>562</v>
      </c>
      <c r="B476" t="s">
        <v>109</v>
      </c>
      <c r="C476" t="s">
        <v>61</v>
      </c>
      <c r="D476" t="s">
        <v>81</v>
      </c>
      <c r="E476" t="s">
        <v>63</v>
      </c>
      <c r="F476" t="str">
        <f t="shared" si="98"/>
        <v>Apple iPhone14|Electrnics|$799|Google</v>
      </c>
      <c r="G476" t="b">
        <f t="shared" si="99"/>
        <v>0</v>
      </c>
      <c r="H476" t="str">
        <f t="shared" si="100"/>
        <v>Apple iPhone14</v>
      </c>
      <c r="I476" t="str">
        <f t="shared" si="101"/>
        <v>Apple Iphone14</v>
      </c>
      <c r="J476" t="str">
        <f t="shared" si="102"/>
        <v>Google</v>
      </c>
      <c r="K476" t="str">
        <f t="shared" si="103"/>
        <v>Google</v>
      </c>
      <c r="L476" t="str">
        <f t="shared" si="104"/>
        <v>Electronics</v>
      </c>
      <c r="M476">
        <f t="shared" si="105"/>
        <v>15</v>
      </c>
      <c r="N476">
        <f t="shared" si="106"/>
        <v>14</v>
      </c>
      <c r="O476" s="6">
        <f t="shared" si="107"/>
        <v>799</v>
      </c>
      <c r="P476" t="str">
        <f t="shared" si="108"/>
        <v>Electronics</v>
      </c>
      <c r="Q476">
        <f t="shared" si="109"/>
        <v>799</v>
      </c>
      <c r="R476" t="str">
        <f t="shared" si="110"/>
        <v>Apple Iphone14|Electronics|799|Google</v>
      </c>
      <c r="S476" t="b">
        <f t="shared" si="111"/>
        <v>1</v>
      </c>
    </row>
    <row r="477" spans="1:19" x14ac:dyDescent="0.45">
      <c r="A477" t="s">
        <v>563</v>
      </c>
      <c r="B477" t="s">
        <v>58</v>
      </c>
      <c r="C477" t="s">
        <v>96</v>
      </c>
      <c r="D477" t="s">
        <v>69</v>
      </c>
      <c r="E477" t="s">
        <v>82</v>
      </c>
      <c r="F477" t="str">
        <f t="shared" si="98"/>
        <v>Google pixel|Gadgets|799|APPLE</v>
      </c>
      <c r="G477" t="b">
        <f t="shared" si="99"/>
        <v>1</v>
      </c>
      <c r="H477" t="str">
        <f t="shared" si="100"/>
        <v>Google pixel</v>
      </c>
      <c r="I477" t="str">
        <f t="shared" si="101"/>
        <v>Google Pixel</v>
      </c>
      <c r="J477" t="str">
        <f t="shared" si="102"/>
        <v>APPLE</v>
      </c>
      <c r="K477" t="str">
        <f t="shared" si="103"/>
        <v>Apple</v>
      </c>
      <c r="L477" t="str">
        <f t="shared" si="104"/>
        <v>Gadgets</v>
      </c>
      <c r="M477">
        <f t="shared" si="105"/>
        <v>12</v>
      </c>
      <c r="N477">
        <f t="shared" si="106"/>
        <v>12</v>
      </c>
      <c r="O477" s="6">
        <f t="shared" si="107"/>
        <v>799</v>
      </c>
      <c r="P477" t="str">
        <f t="shared" si="108"/>
        <v>Gadgets</v>
      </c>
      <c r="Q477">
        <f t="shared" si="109"/>
        <v>799</v>
      </c>
      <c r="R477" t="str">
        <f t="shared" si="110"/>
        <v>Google Pixel|Gadgets|799|Apple</v>
      </c>
      <c r="S477" t="b">
        <f t="shared" si="111"/>
        <v>1</v>
      </c>
    </row>
    <row r="478" spans="1:19" x14ac:dyDescent="0.45">
      <c r="A478" t="s">
        <v>564</v>
      </c>
      <c r="B478" t="s">
        <v>54</v>
      </c>
      <c r="C478" t="s">
        <v>94</v>
      </c>
      <c r="D478" t="s">
        <v>74</v>
      </c>
      <c r="E478" t="s">
        <v>79</v>
      </c>
      <c r="F478" t="str">
        <f t="shared" si="98"/>
        <v>Samsung galaxy|gadgets|799|Samsung</v>
      </c>
      <c r="G478" t="b">
        <f t="shared" si="99"/>
        <v>1</v>
      </c>
      <c r="H478" t="str">
        <f t="shared" si="100"/>
        <v>Samsung galaxy</v>
      </c>
      <c r="I478" t="str">
        <f t="shared" si="101"/>
        <v>Samsung Galaxy</v>
      </c>
      <c r="J478" t="str">
        <f t="shared" si="102"/>
        <v>Samsung</v>
      </c>
      <c r="K478" t="str">
        <f t="shared" si="103"/>
        <v>Samsung</v>
      </c>
      <c r="L478" t="str">
        <f t="shared" si="104"/>
        <v>Gadgets</v>
      </c>
      <c r="M478">
        <f t="shared" si="105"/>
        <v>15</v>
      </c>
      <c r="N478">
        <f t="shared" si="106"/>
        <v>14</v>
      </c>
      <c r="O478" s="6">
        <f t="shared" si="107"/>
        <v>799</v>
      </c>
      <c r="P478" t="str">
        <f t="shared" si="108"/>
        <v>Gadgets</v>
      </c>
      <c r="Q478">
        <f t="shared" si="109"/>
        <v>799</v>
      </c>
      <c r="R478" t="str">
        <f t="shared" si="110"/>
        <v>Samsung Galaxy|Gadgets|799|Samsung</v>
      </c>
      <c r="S478" t="b">
        <f t="shared" si="111"/>
        <v>1</v>
      </c>
    </row>
    <row r="479" spans="1:19" x14ac:dyDescent="0.45">
      <c r="A479" t="s">
        <v>565</v>
      </c>
      <c r="B479" t="s">
        <v>58</v>
      </c>
      <c r="C479" t="s">
        <v>94</v>
      </c>
      <c r="D479" t="s">
        <v>66</v>
      </c>
      <c r="E479" t="s">
        <v>79</v>
      </c>
      <c r="F479" t="str">
        <f t="shared" si="98"/>
        <v>Google pixel|gadgets|799.00|Samsung</v>
      </c>
      <c r="G479" t="b">
        <f t="shared" si="99"/>
        <v>1</v>
      </c>
      <c r="H479" t="str">
        <f t="shared" si="100"/>
        <v>Google pixel</v>
      </c>
      <c r="I479" t="str">
        <f t="shared" si="101"/>
        <v>Google Pixel</v>
      </c>
      <c r="J479" t="str">
        <f t="shared" si="102"/>
        <v>Samsung</v>
      </c>
      <c r="K479" t="str">
        <f t="shared" si="103"/>
        <v>Samsung</v>
      </c>
      <c r="L479" t="str">
        <f t="shared" si="104"/>
        <v>Gadgets</v>
      </c>
      <c r="M479">
        <f t="shared" si="105"/>
        <v>12</v>
      </c>
      <c r="N479">
        <f t="shared" si="106"/>
        <v>12</v>
      </c>
      <c r="O479" s="6">
        <f t="shared" si="107"/>
        <v>799</v>
      </c>
      <c r="P479" t="str">
        <f t="shared" si="108"/>
        <v>Gadgets</v>
      </c>
      <c r="Q479">
        <f t="shared" si="109"/>
        <v>799</v>
      </c>
      <c r="R479" t="str">
        <f t="shared" si="110"/>
        <v>Google Pixel|Gadgets|799|Samsung</v>
      </c>
      <c r="S479" t="b">
        <f t="shared" si="111"/>
        <v>1</v>
      </c>
    </row>
    <row r="480" spans="1:19" x14ac:dyDescent="0.45">
      <c r="A480" t="s">
        <v>566</v>
      </c>
      <c r="B480" t="s">
        <v>78</v>
      </c>
      <c r="C480" t="s">
        <v>96</v>
      </c>
      <c r="E480" t="s">
        <v>70</v>
      </c>
      <c r="F480" t="str">
        <f t="shared" si="98"/>
        <v>samsung Galaxy|Gadgets||Samsung</v>
      </c>
      <c r="G480" t="b">
        <f t="shared" si="99"/>
        <v>1</v>
      </c>
      <c r="H480" t="str">
        <f t="shared" si="100"/>
        <v>samsung Galaxy</v>
      </c>
      <c r="I480" t="str">
        <f t="shared" si="101"/>
        <v>Samsung Galaxy</v>
      </c>
      <c r="J480" t="str">
        <f t="shared" si="102"/>
        <v>Samsung</v>
      </c>
      <c r="K480" t="str">
        <f t="shared" si="103"/>
        <v>Samsung</v>
      </c>
      <c r="L480" t="str">
        <f t="shared" si="104"/>
        <v>Gadgets</v>
      </c>
      <c r="M480">
        <f t="shared" si="105"/>
        <v>15</v>
      </c>
      <c r="N480">
        <f t="shared" si="106"/>
        <v>14</v>
      </c>
      <c r="O480" s="6" t="str">
        <f t="shared" si="107"/>
        <v/>
      </c>
      <c r="P480" t="str">
        <f t="shared" si="108"/>
        <v>Gadgets</v>
      </c>
      <c r="Q480" t="str">
        <f t="shared" si="109"/>
        <v>Not Available</v>
      </c>
      <c r="R480" t="str">
        <f t="shared" si="110"/>
        <v>Samsung Galaxy|Gadgets|Not Available|Samsung</v>
      </c>
      <c r="S480" t="b">
        <f t="shared" si="111"/>
        <v>1</v>
      </c>
    </row>
    <row r="481" spans="1:19" x14ac:dyDescent="0.45">
      <c r="A481" t="s">
        <v>567</v>
      </c>
      <c r="B481" t="s">
        <v>78</v>
      </c>
      <c r="C481" t="s">
        <v>61</v>
      </c>
      <c r="D481" t="s">
        <v>81</v>
      </c>
      <c r="E481" t="s">
        <v>56</v>
      </c>
      <c r="F481" t="str">
        <f t="shared" si="98"/>
        <v>samsung Galaxy|Electrnics|$799|GOOGLE</v>
      </c>
      <c r="G481" t="b">
        <f t="shared" si="99"/>
        <v>1</v>
      </c>
      <c r="H481" t="str">
        <f t="shared" si="100"/>
        <v>samsung Galaxy</v>
      </c>
      <c r="I481" t="str">
        <f t="shared" si="101"/>
        <v>Samsung Galaxy</v>
      </c>
      <c r="J481" t="str">
        <f t="shared" si="102"/>
        <v>GOOGLE</v>
      </c>
      <c r="K481" t="str">
        <f t="shared" si="103"/>
        <v>Google</v>
      </c>
      <c r="L481" t="str">
        <f t="shared" si="104"/>
        <v>Electronics</v>
      </c>
      <c r="M481">
        <f t="shared" si="105"/>
        <v>15</v>
      </c>
      <c r="N481">
        <f t="shared" si="106"/>
        <v>14</v>
      </c>
      <c r="O481" s="6">
        <f t="shared" si="107"/>
        <v>799</v>
      </c>
      <c r="P481" t="str">
        <f t="shared" si="108"/>
        <v>Electronics</v>
      </c>
      <c r="Q481">
        <f t="shared" si="109"/>
        <v>799</v>
      </c>
      <c r="R481" t="str">
        <f t="shared" si="110"/>
        <v>Samsung Galaxy|Electronics|799|Google</v>
      </c>
      <c r="S481" t="b">
        <f t="shared" si="111"/>
        <v>1</v>
      </c>
    </row>
    <row r="482" spans="1:19" x14ac:dyDescent="0.45">
      <c r="A482" t="s">
        <v>568</v>
      </c>
      <c r="B482" t="s">
        <v>138</v>
      </c>
      <c r="C482" t="s">
        <v>96</v>
      </c>
      <c r="D482" t="s">
        <v>81</v>
      </c>
      <c r="E482" t="s">
        <v>82</v>
      </c>
      <c r="F482" t="str">
        <f t="shared" si="98"/>
        <v>APPLE IPHONE 14|Gadgets|$799|APPLE</v>
      </c>
      <c r="G482" t="b">
        <f t="shared" si="99"/>
        <v>1</v>
      </c>
      <c r="H482" t="str">
        <f t="shared" si="100"/>
        <v>APPLE IPHONE 14</v>
      </c>
      <c r="I482" t="str">
        <f t="shared" si="101"/>
        <v>Apple Iphone 14</v>
      </c>
      <c r="J482" t="str">
        <f t="shared" si="102"/>
        <v>APPLE</v>
      </c>
      <c r="K482" t="str">
        <f t="shared" si="103"/>
        <v>Apple</v>
      </c>
      <c r="L482" t="str">
        <f t="shared" si="104"/>
        <v>Gadgets</v>
      </c>
      <c r="M482">
        <f t="shared" si="105"/>
        <v>15</v>
      </c>
      <c r="N482">
        <f t="shared" si="106"/>
        <v>15</v>
      </c>
      <c r="O482" s="6">
        <f t="shared" si="107"/>
        <v>799</v>
      </c>
      <c r="P482" t="str">
        <f t="shared" si="108"/>
        <v>Gadgets</v>
      </c>
      <c r="Q482">
        <f t="shared" si="109"/>
        <v>799</v>
      </c>
      <c r="R482" t="str">
        <f t="shared" si="110"/>
        <v>Apple Iphone 14|Gadgets|799|Apple</v>
      </c>
      <c r="S482" t="b">
        <f t="shared" si="111"/>
        <v>1</v>
      </c>
    </row>
    <row r="483" spans="1:19" x14ac:dyDescent="0.45">
      <c r="A483" t="s">
        <v>569</v>
      </c>
      <c r="B483" t="s">
        <v>54</v>
      </c>
      <c r="C483" t="s">
        <v>94</v>
      </c>
      <c r="D483" t="s">
        <v>81</v>
      </c>
      <c r="E483" t="s">
        <v>75</v>
      </c>
      <c r="F483" t="str">
        <f t="shared" si="98"/>
        <v>Samsung galaxy|gadgets|$799|google</v>
      </c>
      <c r="G483" t="b">
        <f t="shared" si="99"/>
        <v>1</v>
      </c>
      <c r="H483" t="str">
        <f t="shared" si="100"/>
        <v>Samsung galaxy</v>
      </c>
      <c r="I483" t="str">
        <f t="shared" si="101"/>
        <v>Samsung Galaxy</v>
      </c>
      <c r="J483" t="str">
        <f t="shared" si="102"/>
        <v>google</v>
      </c>
      <c r="K483" t="str">
        <f t="shared" si="103"/>
        <v>Google</v>
      </c>
      <c r="L483" t="str">
        <f t="shared" si="104"/>
        <v>Gadgets</v>
      </c>
      <c r="M483">
        <f t="shared" si="105"/>
        <v>15</v>
      </c>
      <c r="N483">
        <f t="shared" si="106"/>
        <v>14</v>
      </c>
      <c r="O483" s="6">
        <f t="shared" si="107"/>
        <v>799</v>
      </c>
      <c r="P483" t="str">
        <f t="shared" si="108"/>
        <v>Gadgets</v>
      </c>
      <c r="Q483">
        <f t="shared" si="109"/>
        <v>799</v>
      </c>
      <c r="R483" t="str">
        <f t="shared" si="110"/>
        <v>Samsung Galaxy|Gadgets|799|Google</v>
      </c>
      <c r="S483" t="b">
        <f t="shared" si="111"/>
        <v>1</v>
      </c>
    </row>
    <row r="484" spans="1:19" x14ac:dyDescent="0.45">
      <c r="A484" t="s">
        <v>570</v>
      </c>
      <c r="B484" t="s">
        <v>93</v>
      </c>
      <c r="C484" t="s">
        <v>85</v>
      </c>
      <c r="D484" t="s">
        <v>81</v>
      </c>
      <c r="E484" t="s">
        <v>112</v>
      </c>
      <c r="F484" t="str">
        <f t="shared" si="98"/>
        <v>SAMSUNG GALAXY|electronics|$799|SAMSUNG</v>
      </c>
      <c r="G484" t="b">
        <f t="shared" si="99"/>
        <v>0</v>
      </c>
      <c r="H484" t="str">
        <f t="shared" si="100"/>
        <v>SAMSUNG GALAXY</v>
      </c>
      <c r="I484" t="str">
        <f t="shared" si="101"/>
        <v>Samsung Galaxy</v>
      </c>
      <c r="J484" t="str">
        <f t="shared" si="102"/>
        <v>SAMSUNG</v>
      </c>
      <c r="K484" t="str">
        <f t="shared" si="103"/>
        <v>Samsung</v>
      </c>
      <c r="L484" t="str">
        <f t="shared" si="104"/>
        <v>Electronics</v>
      </c>
      <c r="M484">
        <f t="shared" si="105"/>
        <v>14</v>
      </c>
      <c r="N484">
        <f t="shared" si="106"/>
        <v>14</v>
      </c>
      <c r="O484" s="6">
        <f t="shared" si="107"/>
        <v>799</v>
      </c>
      <c r="P484" t="str">
        <f t="shared" si="108"/>
        <v>Electronics</v>
      </c>
      <c r="Q484">
        <f t="shared" si="109"/>
        <v>799</v>
      </c>
      <c r="R484" t="str">
        <f t="shared" si="110"/>
        <v>Samsung Galaxy|Electronics|799|Samsung</v>
      </c>
      <c r="S484" t="b">
        <f t="shared" si="111"/>
        <v>1</v>
      </c>
    </row>
    <row r="485" spans="1:19" x14ac:dyDescent="0.45">
      <c r="A485" t="s">
        <v>571</v>
      </c>
      <c r="B485" t="s">
        <v>54</v>
      </c>
      <c r="C485" t="s">
        <v>61</v>
      </c>
      <c r="D485" t="s">
        <v>69</v>
      </c>
      <c r="E485" t="s">
        <v>63</v>
      </c>
      <c r="F485" t="str">
        <f t="shared" si="98"/>
        <v>Samsung galaxy|Electrnics|799|Google</v>
      </c>
      <c r="G485" t="b">
        <f t="shared" si="99"/>
        <v>0</v>
      </c>
      <c r="H485" t="str">
        <f t="shared" si="100"/>
        <v>Samsung galaxy</v>
      </c>
      <c r="I485" t="str">
        <f t="shared" si="101"/>
        <v>Samsung Galaxy</v>
      </c>
      <c r="J485" t="str">
        <f t="shared" si="102"/>
        <v>Google</v>
      </c>
      <c r="K485" t="str">
        <f t="shared" si="103"/>
        <v>Google</v>
      </c>
      <c r="L485" t="str">
        <f t="shared" si="104"/>
        <v>Electronics</v>
      </c>
      <c r="M485">
        <f t="shared" si="105"/>
        <v>15</v>
      </c>
      <c r="N485">
        <f t="shared" si="106"/>
        <v>14</v>
      </c>
      <c r="O485" s="6">
        <f t="shared" si="107"/>
        <v>799</v>
      </c>
      <c r="P485" t="str">
        <f t="shared" si="108"/>
        <v>Electronics</v>
      </c>
      <c r="Q485">
        <f t="shared" si="109"/>
        <v>799</v>
      </c>
      <c r="R485" t="str">
        <f t="shared" si="110"/>
        <v>Samsung Galaxy|Electronics|799|Google</v>
      </c>
      <c r="S485" t="b">
        <f t="shared" si="111"/>
        <v>1</v>
      </c>
    </row>
    <row r="486" spans="1:19" x14ac:dyDescent="0.45">
      <c r="A486" t="s">
        <v>572</v>
      </c>
      <c r="B486" t="s">
        <v>106</v>
      </c>
      <c r="C486" t="s">
        <v>85</v>
      </c>
      <c r="D486" t="s">
        <v>55</v>
      </c>
      <c r="E486" t="s">
        <v>112</v>
      </c>
      <c r="F486" t="str">
        <f t="shared" si="98"/>
        <v>Samsung Galaxy|electronics|799|SAMSUNG</v>
      </c>
      <c r="G486" t="b">
        <f t="shared" si="99"/>
        <v>1</v>
      </c>
      <c r="H486" t="str">
        <f t="shared" si="100"/>
        <v>Samsung Galaxy</v>
      </c>
      <c r="I486" t="str">
        <f t="shared" si="101"/>
        <v>Samsung Galaxy</v>
      </c>
      <c r="J486" t="str">
        <f t="shared" si="102"/>
        <v>SAMSUNG</v>
      </c>
      <c r="K486" t="str">
        <f t="shared" si="103"/>
        <v>Samsung</v>
      </c>
      <c r="L486" t="str">
        <f t="shared" si="104"/>
        <v>Electronics</v>
      </c>
      <c r="M486">
        <f t="shared" si="105"/>
        <v>14</v>
      </c>
      <c r="N486">
        <f t="shared" si="106"/>
        <v>14</v>
      </c>
      <c r="O486" s="6">
        <f t="shared" si="107"/>
        <v>799</v>
      </c>
      <c r="P486" t="str">
        <f t="shared" si="108"/>
        <v>Electronics</v>
      </c>
      <c r="Q486">
        <f t="shared" si="109"/>
        <v>799</v>
      </c>
      <c r="R486" t="str">
        <f t="shared" si="110"/>
        <v>Samsung Galaxy|Electronics|799|Samsung</v>
      </c>
      <c r="S486" t="b">
        <f t="shared" si="111"/>
        <v>1</v>
      </c>
    </row>
    <row r="487" spans="1:19" x14ac:dyDescent="0.45">
      <c r="A487" t="s">
        <v>573</v>
      </c>
      <c r="B487" t="s">
        <v>54</v>
      </c>
      <c r="C487" t="s">
        <v>96</v>
      </c>
      <c r="D487" t="s">
        <v>74</v>
      </c>
      <c r="E487" t="s">
        <v>82</v>
      </c>
      <c r="F487" t="str">
        <f t="shared" si="98"/>
        <v>Samsung galaxy|Gadgets|799|APPLE</v>
      </c>
      <c r="G487" t="b">
        <f t="shared" si="99"/>
        <v>1</v>
      </c>
      <c r="H487" t="str">
        <f t="shared" si="100"/>
        <v>Samsung galaxy</v>
      </c>
      <c r="I487" t="str">
        <f t="shared" si="101"/>
        <v>Samsung Galaxy</v>
      </c>
      <c r="J487" t="str">
        <f t="shared" si="102"/>
        <v>APPLE</v>
      </c>
      <c r="K487" t="str">
        <f t="shared" si="103"/>
        <v>Apple</v>
      </c>
      <c r="L487" t="str">
        <f t="shared" si="104"/>
        <v>Gadgets</v>
      </c>
      <c r="M487">
        <f t="shared" si="105"/>
        <v>15</v>
      </c>
      <c r="N487">
        <f t="shared" si="106"/>
        <v>14</v>
      </c>
      <c r="O487" s="6">
        <f t="shared" si="107"/>
        <v>799</v>
      </c>
      <c r="P487" t="str">
        <f t="shared" si="108"/>
        <v>Gadgets</v>
      </c>
      <c r="Q487">
        <f t="shared" si="109"/>
        <v>799</v>
      </c>
      <c r="R487" t="str">
        <f t="shared" si="110"/>
        <v>Samsung Galaxy|Gadgets|799|Apple</v>
      </c>
      <c r="S487" t="b">
        <f t="shared" si="111"/>
        <v>1</v>
      </c>
    </row>
    <row r="488" spans="1:19" x14ac:dyDescent="0.45">
      <c r="A488" t="s">
        <v>574</v>
      </c>
      <c r="B488" t="s">
        <v>72</v>
      </c>
      <c r="C488" t="s">
        <v>85</v>
      </c>
      <c r="D488" t="s">
        <v>88</v>
      </c>
      <c r="E488" t="s">
        <v>70</v>
      </c>
      <c r="F488" t="str">
        <f t="shared" si="98"/>
        <v>google pixel|electronics|USD 799|Samsung</v>
      </c>
      <c r="G488" t="b">
        <f t="shared" si="99"/>
        <v>0</v>
      </c>
      <c r="H488" t="str">
        <f t="shared" si="100"/>
        <v>google pixel</v>
      </c>
      <c r="I488" t="str">
        <f t="shared" si="101"/>
        <v>Google Pixel</v>
      </c>
      <c r="J488" t="str">
        <f t="shared" si="102"/>
        <v>Samsung</v>
      </c>
      <c r="K488" t="str">
        <f t="shared" si="103"/>
        <v>Samsung</v>
      </c>
      <c r="L488" t="str">
        <f t="shared" si="104"/>
        <v>Electronics</v>
      </c>
      <c r="M488">
        <f t="shared" si="105"/>
        <v>14</v>
      </c>
      <c r="N488">
        <f t="shared" si="106"/>
        <v>12</v>
      </c>
      <c r="O488" s="6">
        <f t="shared" si="107"/>
        <v>799</v>
      </c>
      <c r="P488" t="str">
        <f t="shared" si="108"/>
        <v>Electronics</v>
      </c>
      <c r="Q488">
        <f t="shared" si="109"/>
        <v>799</v>
      </c>
      <c r="R488" t="str">
        <f t="shared" si="110"/>
        <v>Google Pixel|Electronics|799|Samsung</v>
      </c>
      <c r="S488" t="b">
        <f t="shared" si="111"/>
        <v>1</v>
      </c>
    </row>
    <row r="489" spans="1:19" x14ac:dyDescent="0.45">
      <c r="A489" t="s">
        <v>575</v>
      </c>
      <c r="B489" t="s">
        <v>65</v>
      </c>
      <c r="D489" t="s">
        <v>66</v>
      </c>
      <c r="E489" t="s">
        <v>56</v>
      </c>
      <c r="F489" t="str">
        <f t="shared" si="98"/>
        <v>apple iphone 14||799.00|GOOGLE</v>
      </c>
      <c r="G489" t="b">
        <f t="shared" si="99"/>
        <v>1</v>
      </c>
      <c r="H489" t="str">
        <f t="shared" si="100"/>
        <v>apple iphone 14</v>
      </c>
      <c r="I489" t="str">
        <f t="shared" si="101"/>
        <v>Apple Iphone 14</v>
      </c>
      <c r="J489" t="str">
        <f t="shared" si="102"/>
        <v>GOOGLE</v>
      </c>
      <c r="K489" t="str">
        <f t="shared" si="103"/>
        <v>Google</v>
      </c>
      <c r="L489" t="str">
        <f t="shared" si="104"/>
        <v/>
      </c>
      <c r="M489">
        <f t="shared" si="105"/>
        <v>17</v>
      </c>
      <c r="N489">
        <f t="shared" si="106"/>
        <v>15</v>
      </c>
      <c r="O489" s="6">
        <f t="shared" si="107"/>
        <v>799</v>
      </c>
      <c r="P489" t="str">
        <f t="shared" si="108"/>
        <v>Not Available</v>
      </c>
      <c r="Q489">
        <f t="shared" si="109"/>
        <v>799</v>
      </c>
      <c r="R489" t="str">
        <f t="shared" si="110"/>
        <v>Apple Iphone 14|Not Available|799|Google</v>
      </c>
      <c r="S489" t="b">
        <f t="shared" si="111"/>
        <v>1</v>
      </c>
    </row>
    <row r="490" spans="1:19" x14ac:dyDescent="0.45">
      <c r="A490" t="s">
        <v>576</v>
      </c>
      <c r="B490" t="s">
        <v>72</v>
      </c>
      <c r="C490" t="s">
        <v>94</v>
      </c>
      <c r="D490" t="s">
        <v>62</v>
      </c>
      <c r="E490" t="s">
        <v>75</v>
      </c>
      <c r="F490" t="str">
        <f t="shared" si="98"/>
        <v>google pixel|gadgets|799.0|google</v>
      </c>
      <c r="G490" t="b">
        <f t="shared" si="99"/>
        <v>1</v>
      </c>
      <c r="H490" t="str">
        <f t="shared" si="100"/>
        <v>google pixel</v>
      </c>
      <c r="I490" t="str">
        <f t="shared" si="101"/>
        <v>Google Pixel</v>
      </c>
      <c r="J490" t="str">
        <f t="shared" si="102"/>
        <v>google</v>
      </c>
      <c r="K490" t="str">
        <f t="shared" si="103"/>
        <v>Google</v>
      </c>
      <c r="L490" t="str">
        <f t="shared" si="104"/>
        <v>Gadgets</v>
      </c>
      <c r="M490">
        <f t="shared" si="105"/>
        <v>14</v>
      </c>
      <c r="N490">
        <f t="shared" si="106"/>
        <v>12</v>
      </c>
      <c r="O490" s="6">
        <f t="shared" si="107"/>
        <v>799</v>
      </c>
      <c r="P490" t="str">
        <f t="shared" si="108"/>
        <v>Gadgets</v>
      </c>
      <c r="Q490">
        <f t="shared" si="109"/>
        <v>799</v>
      </c>
      <c r="R490" t="str">
        <f t="shared" si="110"/>
        <v>Google Pixel|Gadgets|799|Google</v>
      </c>
      <c r="S490" t="b">
        <f t="shared" si="111"/>
        <v>1</v>
      </c>
    </row>
    <row r="491" spans="1:19" x14ac:dyDescent="0.45">
      <c r="A491" t="s">
        <v>577</v>
      </c>
      <c r="B491" t="s">
        <v>106</v>
      </c>
      <c r="C491" t="s">
        <v>85</v>
      </c>
      <c r="D491" t="s">
        <v>66</v>
      </c>
      <c r="E491" t="s">
        <v>67</v>
      </c>
      <c r="F491" t="str">
        <f t="shared" si="98"/>
        <v>Samsung Galaxy|electronics|799.00|apple</v>
      </c>
      <c r="G491" t="b">
        <f t="shared" si="99"/>
        <v>1</v>
      </c>
      <c r="H491" t="str">
        <f t="shared" si="100"/>
        <v>Samsung Galaxy</v>
      </c>
      <c r="I491" t="str">
        <f t="shared" si="101"/>
        <v>Samsung Galaxy</v>
      </c>
      <c r="J491" t="str">
        <f t="shared" si="102"/>
        <v>apple</v>
      </c>
      <c r="K491" t="str">
        <f t="shared" si="103"/>
        <v>Apple</v>
      </c>
      <c r="L491" t="str">
        <f t="shared" si="104"/>
        <v>Electronics</v>
      </c>
      <c r="M491">
        <f t="shared" si="105"/>
        <v>14</v>
      </c>
      <c r="N491">
        <f t="shared" si="106"/>
        <v>14</v>
      </c>
      <c r="O491" s="6">
        <f t="shared" si="107"/>
        <v>799</v>
      </c>
      <c r="P491" t="str">
        <f t="shared" si="108"/>
        <v>Electronics</v>
      </c>
      <c r="Q491">
        <f t="shared" si="109"/>
        <v>799</v>
      </c>
      <c r="R491" t="str">
        <f t="shared" si="110"/>
        <v>Samsung Galaxy|Electronics|799|Apple</v>
      </c>
      <c r="S491" t="b">
        <f t="shared" si="111"/>
        <v>1</v>
      </c>
    </row>
    <row r="492" spans="1:19" x14ac:dyDescent="0.45">
      <c r="A492" t="s">
        <v>578</v>
      </c>
      <c r="B492" t="s">
        <v>109</v>
      </c>
      <c r="C492" t="s">
        <v>96</v>
      </c>
      <c r="D492" t="s">
        <v>81</v>
      </c>
      <c r="E492" t="s">
        <v>82</v>
      </c>
      <c r="F492" t="str">
        <f t="shared" si="98"/>
        <v>Apple iPhone14|Gadgets|$799|APPLE</v>
      </c>
      <c r="G492" t="b">
        <f t="shared" si="99"/>
        <v>0</v>
      </c>
      <c r="H492" t="str">
        <f t="shared" si="100"/>
        <v>Apple iPhone14</v>
      </c>
      <c r="I492" t="str">
        <f t="shared" si="101"/>
        <v>Apple Iphone14</v>
      </c>
      <c r="J492" t="str">
        <f t="shared" si="102"/>
        <v>APPLE</v>
      </c>
      <c r="K492" t="str">
        <f t="shared" si="103"/>
        <v>Apple</v>
      </c>
      <c r="L492" t="str">
        <f t="shared" si="104"/>
        <v>Gadgets</v>
      </c>
      <c r="M492">
        <f t="shared" si="105"/>
        <v>15</v>
      </c>
      <c r="N492">
        <f t="shared" si="106"/>
        <v>14</v>
      </c>
      <c r="O492" s="6">
        <f t="shared" si="107"/>
        <v>799</v>
      </c>
      <c r="P492" t="str">
        <f t="shared" si="108"/>
        <v>Gadgets</v>
      </c>
      <c r="Q492">
        <f t="shared" si="109"/>
        <v>799</v>
      </c>
      <c r="R492" t="str">
        <f t="shared" si="110"/>
        <v>Apple Iphone14|Gadgets|799|Apple</v>
      </c>
      <c r="S492" t="b">
        <f t="shared" si="111"/>
        <v>1</v>
      </c>
    </row>
    <row r="493" spans="1:19" x14ac:dyDescent="0.45">
      <c r="A493" t="s">
        <v>579</v>
      </c>
      <c r="B493" t="s">
        <v>78</v>
      </c>
      <c r="C493" t="s">
        <v>94</v>
      </c>
      <c r="E493" t="s">
        <v>79</v>
      </c>
      <c r="F493" t="str">
        <f t="shared" si="98"/>
        <v>samsung Galaxy|gadgets||Samsung</v>
      </c>
      <c r="G493" t="b">
        <f t="shared" si="99"/>
        <v>1</v>
      </c>
      <c r="H493" t="str">
        <f t="shared" si="100"/>
        <v>samsung Galaxy</v>
      </c>
      <c r="I493" t="str">
        <f t="shared" si="101"/>
        <v>Samsung Galaxy</v>
      </c>
      <c r="J493" t="str">
        <f t="shared" si="102"/>
        <v>Samsung</v>
      </c>
      <c r="K493" t="str">
        <f t="shared" si="103"/>
        <v>Samsung</v>
      </c>
      <c r="L493" t="str">
        <f t="shared" si="104"/>
        <v>Gadgets</v>
      </c>
      <c r="M493">
        <f t="shared" si="105"/>
        <v>15</v>
      </c>
      <c r="N493">
        <f t="shared" si="106"/>
        <v>14</v>
      </c>
      <c r="O493" s="6" t="str">
        <f t="shared" si="107"/>
        <v/>
      </c>
      <c r="P493" t="str">
        <f t="shared" si="108"/>
        <v>Gadgets</v>
      </c>
      <c r="Q493" t="str">
        <f t="shared" si="109"/>
        <v>Not Available</v>
      </c>
      <c r="R493" t="str">
        <f t="shared" si="110"/>
        <v>Samsung Galaxy|Gadgets|Not Available|Samsung</v>
      </c>
      <c r="S493" t="b">
        <f t="shared" si="111"/>
        <v>1</v>
      </c>
    </row>
    <row r="494" spans="1:19" x14ac:dyDescent="0.45">
      <c r="A494" t="s">
        <v>580</v>
      </c>
      <c r="B494" t="s">
        <v>65</v>
      </c>
      <c r="C494" t="s">
        <v>85</v>
      </c>
      <c r="D494" t="s">
        <v>74</v>
      </c>
      <c r="E494" t="s">
        <v>82</v>
      </c>
      <c r="F494" t="str">
        <f t="shared" si="98"/>
        <v>apple iphone 14|electronics|799|APPLE</v>
      </c>
      <c r="G494" t="b">
        <f t="shared" si="99"/>
        <v>1</v>
      </c>
      <c r="H494" t="str">
        <f t="shared" si="100"/>
        <v>apple iphone 14</v>
      </c>
      <c r="I494" t="str">
        <f t="shared" si="101"/>
        <v>Apple Iphone 14</v>
      </c>
      <c r="J494" t="str">
        <f t="shared" si="102"/>
        <v>APPLE</v>
      </c>
      <c r="K494" t="str">
        <f t="shared" si="103"/>
        <v>Apple</v>
      </c>
      <c r="L494" t="str">
        <f t="shared" si="104"/>
        <v>Electronics</v>
      </c>
      <c r="M494">
        <f t="shared" si="105"/>
        <v>17</v>
      </c>
      <c r="N494">
        <f t="shared" si="106"/>
        <v>15</v>
      </c>
      <c r="O494" s="6">
        <f t="shared" si="107"/>
        <v>799</v>
      </c>
      <c r="P494" t="str">
        <f t="shared" si="108"/>
        <v>Electronics</v>
      </c>
      <c r="Q494">
        <f t="shared" si="109"/>
        <v>799</v>
      </c>
      <c r="R494" t="str">
        <f t="shared" si="110"/>
        <v>Apple Iphone 14|Electronics|799|Apple</v>
      </c>
      <c r="S494" t="b">
        <f t="shared" si="111"/>
        <v>1</v>
      </c>
    </row>
    <row r="495" spans="1:19" x14ac:dyDescent="0.45">
      <c r="A495" t="s">
        <v>581</v>
      </c>
      <c r="B495" t="s">
        <v>106</v>
      </c>
      <c r="C495" t="s">
        <v>96</v>
      </c>
      <c r="D495" t="s">
        <v>81</v>
      </c>
      <c r="E495" t="s">
        <v>82</v>
      </c>
      <c r="F495" t="str">
        <f t="shared" si="98"/>
        <v>Samsung Galaxy|Gadgets|$799|APPLE</v>
      </c>
      <c r="G495" t="b">
        <f t="shared" si="99"/>
        <v>1</v>
      </c>
      <c r="H495" t="str">
        <f t="shared" si="100"/>
        <v>Samsung Galaxy</v>
      </c>
      <c r="I495" t="str">
        <f t="shared" si="101"/>
        <v>Samsung Galaxy</v>
      </c>
      <c r="J495" t="str">
        <f t="shared" si="102"/>
        <v>APPLE</v>
      </c>
      <c r="K495" t="str">
        <f t="shared" si="103"/>
        <v>Apple</v>
      </c>
      <c r="L495" t="str">
        <f t="shared" si="104"/>
        <v>Gadgets</v>
      </c>
      <c r="M495">
        <f t="shared" si="105"/>
        <v>14</v>
      </c>
      <c r="N495">
        <f t="shared" si="106"/>
        <v>14</v>
      </c>
      <c r="O495" s="6">
        <f t="shared" si="107"/>
        <v>799</v>
      </c>
      <c r="P495" t="str">
        <f t="shared" si="108"/>
        <v>Gadgets</v>
      </c>
      <c r="Q495">
        <f t="shared" si="109"/>
        <v>799</v>
      </c>
      <c r="R495" t="str">
        <f t="shared" si="110"/>
        <v>Samsung Galaxy|Gadgets|799|Apple</v>
      </c>
      <c r="S495" t="b">
        <f t="shared" si="111"/>
        <v>1</v>
      </c>
    </row>
    <row r="496" spans="1:19" x14ac:dyDescent="0.45">
      <c r="A496" t="s">
        <v>582</v>
      </c>
      <c r="B496" t="s">
        <v>60</v>
      </c>
      <c r="C496" t="s">
        <v>73</v>
      </c>
      <c r="D496" t="s">
        <v>74</v>
      </c>
      <c r="E496" t="s">
        <v>63</v>
      </c>
      <c r="F496" t="str">
        <f t="shared" si="98"/>
        <v>apple iPhone 14|Electro|799|Google</v>
      </c>
      <c r="G496" t="b">
        <f t="shared" si="99"/>
        <v>1</v>
      </c>
      <c r="H496" t="str">
        <f t="shared" si="100"/>
        <v>apple iPhone 14</v>
      </c>
      <c r="I496" t="str">
        <f t="shared" si="101"/>
        <v>Apple Iphone 14</v>
      </c>
      <c r="J496" t="str">
        <f t="shared" si="102"/>
        <v>Google</v>
      </c>
      <c r="K496" t="str">
        <f t="shared" si="103"/>
        <v>Google</v>
      </c>
      <c r="L496" t="str">
        <f t="shared" si="104"/>
        <v>Electronics</v>
      </c>
      <c r="M496">
        <f t="shared" si="105"/>
        <v>15</v>
      </c>
      <c r="N496">
        <f t="shared" si="106"/>
        <v>15</v>
      </c>
      <c r="O496" s="6">
        <f t="shared" si="107"/>
        <v>799</v>
      </c>
      <c r="P496" t="str">
        <f t="shared" si="108"/>
        <v>Electronics</v>
      </c>
      <c r="Q496">
        <f t="shared" si="109"/>
        <v>799</v>
      </c>
      <c r="R496" t="str">
        <f t="shared" si="110"/>
        <v>Apple Iphone 14|Electronics|799|Google</v>
      </c>
      <c r="S496" t="b">
        <f t="shared" si="111"/>
        <v>1</v>
      </c>
    </row>
    <row r="497" spans="1:19" x14ac:dyDescent="0.45">
      <c r="A497" t="s">
        <v>583</v>
      </c>
      <c r="B497" t="s">
        <v>102</v>
      </c>
      <c r="C497" t="s">
        <v>61</v>
      </c>
      <c r="D497" t="s">
        <v>55</v>
      </c>
      <c r="E497" t="s">
        <v>82</v>
      </c>
      <c r="F497" t="str">
        <f t="shared" si="98"/>
        <v>GOOGLE PIXEL|Electrnics|799|APPLE</v>
      </c>
      <c r="G497" t="b">
        <f t="shared" si="99"/>
        <v>1</v>
      </c>
      <c r="H497" t="str">
        <f t="shared" si="100"/>
        <v>GOOGLE PIXEL</v>
      </c>
      <c r="I497" t="str">
        <f t="shared" si="101"/>
        <v>Google Pixel</v>
      </c>
      <c r="J497" t="str">
        <f t="shared" si="102"/>
        <v>APPLE</v>
      </c>
      <c r="K497" t="str">
        <f t="shared" si="103"/>
        <v>Apple</v>
      </c>
      <c r="L497" t="str">
        <f t="shared" si="104"/>
        <v>Electronics</v>
      </c>
      <c r="M497">
        <f t="shared" si="105"/>
        <v>13</v>
      </c>
      <c r="N497">
        <f t="shared" si="106"/>
        <v>12</v>
      </c>
      <c r="O497" s="6">
        <f t="shared" si="107"/>
        <v>799</v>
      </c>
      <c r="P497" t="str">
        <f t="shared" si="108"/>
        <v>Electronics</v>
      </c>
      <c r="Q497">
        <f t="shared" si="109"/>
        <v>799</v>
      </c>
      <c r="R497" t="str">
        <f t="shared" si="110"/>
        <v>Google Pixel|Electronics|799|Apple</v>
      </c>
      <c r="S497" t="b">
        <f t="shared" si="111"/>
        <v>1</v>
      </c>
    </row>
    <row r="498" spans="1:19" x14ac:dyDescent="0.45">
      <c r="A498" t="s">
        <v>584</v>
      </c>
      <c r="B498" t="s">
        <v>54</v>
      </c>
      <c r="C498" t="s">
        <v>123</v>
      </c>
      <c r="D498" t="s">
        <v>69</v>
      </c>
      <c r="E498" t="s">
        <v>91</v>
      </c>
      <c r="F498" t="str">
        <f t="shared" si="98"/>
        <v>Samsung galaxy|Electronics|799|Apple</v>
      </c>
      <c r="G498" t="b">
        <f t="shared" si="99"/>
        <v>1</v>
      </c>
      <c r="H498" t="str">
        <f t="shared" si="100"/>
        <v>Samsung galaxy</v>
      </c>
      <c r="I498" t="str">
        <f t="shared" si="101"/>
        <v>Samsung Galaxy</v>
      </c>
      <c r="J498" t="str">
        <f t="shared" si="102"/>
        <v>Apple</v>
      </c>
      <c r="K498" t="str">
        <f t="shared" si="103"/>
        <v>Apple</v>
      </c>
      <c r="L498" t="str">
        <f t="shared" si="104"/>
        <v>Electronics</v>
      </c>
      <c r="M498">
        <f t="shared" si="105"/>
        <v>15</v>
      </c>
      <c r="N498">
        <f t="shared" si="106"/>
        <v>14</v>
      </c>
      <c r="O498" s="6">
        <f t="shared" si="107"/>
        <v>799</v>
      </c>
      <c r="P498" t="str">
        <f t="shared" si="108"/>
        <v>Electronics</v>
      </c>
      <c r="Q498">
        <f t="shared" si="109"/>
        <v>799</v>
      </c>
      <c r="R498" t="str">
        <f t="shared" si="110"/>
        <v>Samsung Galaxy|Electronics|799|Apple</v>
      </c>
      <c r="S498" t="b">
        <f t="shared" si="111"/>
        <v>1</v>
      </c>
    </row>
    <row r="499" spans="1:19" x14ac:dyDescent="0.45">
      <c r="A499" t="s">
        <v>585</v>
      </c>
      <c r="B499" t="s">
        <v>58</v>
      </c>
      <c r="C499" t="s">
        <v>94</v>
      </c>
      <c r="D499" t="s">
        <v>62</v>
      </c>
      <c r="E499" t="s">
        <v>112</v>
      </c>
      <c r="F499" t="str">
        <f t="shared" si="98"/>
        <v>Google pixel|gadgets|799.0|SAMSUNG</v>
      </c>
      <c r="G499" t="b">
        <f t="shared" si="99"/>
        <v>1</v>
      </c>
      <c r="H499" t="str">
        <f t="shared" si="100"/>
        <v>Google pixel</v>
      </c>
      <c r="I499" t="str">
        <f t="shared" si="101"/>
        <v>Google Pixel</v>
      </c>
      <c r="J499" t="str">
        <f t="shared" si="102"/>
        <v>SAMSUNG</v>
      </c>
      <c r="K499" t="str">
        <f t="shared" si="103"/>
        <v>Samsung</v>
      </c>
      <c r="L499" t="str">
        <f t="shared" si="104"/>
        <v>Gadgets</v>
      </c>
      <c r="M499">
        <f t="shared" si="105"/>
        <v>12</v>
      </c>
      <c r="N499">
        <f t="shared" si="106"/>
        <v>12</v>
      </c>
      <c r="O499" s="6">
        <f t="shared" si="107"/>
        <v>799</v>
      </c>
      <c r="P499" t="str">
        <f t="shared" si="108"/>
        <v>Gadgets</v>
      </c>
      <c r="Q499">
        <f t="shared" si="109"/>
        <v>799</v>
      </c>
      <c r="R499" t="str">
        <f t="shared" si="110"/>
        <v>Google Pixel|Gadgets|799|Samsung</v>
      </c>
      <c r="S499" t="b">
        <f t="shared" si="111"/>
        <v>1</v>
      </c>
    </row>
    <row r="500" spans="1:19" x14ac:dyDescent="0.45">
      <c r="A500" t="s">
        <v>586</v>
      </c>
      <c r="B500" t="s">
        <v>138</v>
      </c>
      <c r="C500" t="s">
        <v>85</v>
      </c>
      <c r="D500" t="s">
        <v>62</v>
      </c>
      <c r="E500" t="s">
        <v>75</v>
      </c>
      <c r="F500" t="str">
        <f t="shared" si="98"/>
        <v>APPLE IPHONE 14|electronics|799.0|google</v>
      </c>
      <c r="G500" t="b">
        <f t="shared" si="99"/>
        <v>1</v>
      </c>
      <c r="H500" t="str">
        <f t="shared" si="100"/>
        <v>APPLE IPHONE 14</v>
      </c>
      <c r="I500" t="str">
        <f t="shared" si="101"/>
        <v>Apple Iphone 14</v>
      </c>
      <c r="J500" t="str">
        <f t="shared" si="102"/>
        <v>google</v>
      </c>
      <c r="K500" t="str">
        <f t="shared" si="103"/>
        <v>Google</v>
      </c>
      <c r="L500" t="str">
        <f t="shared" si="104"/>
        <v>Electronics</v>
      </c>
      <c r="M500">
        <f t="shared" si="105"/>
        <v>15</v>
      </c>
      <c r="N500">
        <f t="shared" si="106"/>
        <v>15</v>
      </c>
      <c r="O500" s="6">
        <f t="shared" si="107"/>
        <v>799</v>
      </c>
      <c r="P500" t="str">
        <f t="shared" si="108"/>
        <v>Electronics</v>
      </c>
      <c r="Q500">
        <f t="shared" si="109"/>
        <v>799</v>
      </c>
      <c r="R500" t="str">
        <f t="shared" si="110"/>
        <v>Apple Iphone 14|Electronics|799|Google</v>
      </c>
      <c r="S500" t="b">
        <f t="shared" si="111"/>
        <v>1</v>
      </c>
    </row>
    <row r="501" spans="1:19" x14ac:dyDescent="0.45">
      <c r="A501" t="s">
        <v>587</v>
      </c>
      <c r="B501" t="s">
        <v>72</v>
      </c>
      <c r="C501" t="s">
        <v>61</v>
      </c>
      <c r="D501" t="s">
        <v>55</v>
      </c>
      <c r="E501" t="s">
        <v>70</v>
      </c>
      <c r="F501" t="str">
        <f t="shared" si="98"/>
        <v>google pixel|Electrnics|799|Samsung</v>
      </c>
      <c r="G501" t="b">
        <f t="shared" si="99"/>
        <v>1</v>
      </c>
      <c r="H501" t="str">
        <f t="shared" si="100"/>
        <v>google pixel</v>
      </c>
      <c r="I501" t="str">
        <f t="shared" si="101"/>
        <v>Google Pixel</v>
      </c>
      <c r="J501" t="str">
        <f t="shared" si="102"/>
        <v>Samsung</v>
      </c>
      <c r="K501" t="str">
        <f t="shared" si="103"/>
        <v>Samsung</v>
      </c>
      <c r="L501" t="str">
        <f t="shared" si="104"/>
        <v>Electronics</v>
      </c>
      <c r="M501">
        <f t="shared" si="105"/>
        <v>14</v>
      </c>
      <c r="N501">
        <f t="shared" si="106"/>
        <v>12</v>
      </c>
      <c r="O501" s="6">
        <f t="shared" si="107"/>
        <v>799</v>
      </c>
      <c r="P501" t="str">
        <f t="shared" si="108"/>
        <v>Electronics</v>
      </c>
      <c r="Q501">
        <f t="shared" si="109"/>
        <v>799</v>
      </c>
      <c r="R501" t="str">
        <f t="shared" si="110"/>
        <v>Google Pixel|Electronics|799|Samsung</v>
      </c>
      <c r="S501" t="b">
        <f t="shared" si="111"/>
        <v>1</v>
      </c>
    </row>
    <row r="502" spans="1:19" x14ac:dyDescent="0.45">
      <c r="A502" t="s">
        <v>588</v>
      </c>
      <c r="B502" t="s">
        <v>60</v>
      </c>
      <c r="C502" t="s">
        <v>61</v>
      </c>
      <c r="D502" t="s">
        <v>81</v>
      </c>
      <c r="E502" t="s">
        <v>63</v>
      </c>
      <c r="F502" t="str">
        <f t="shared" si="98"/>
        <v>apple iPhone 14|Electrnics|$799|Google</v>
      </c>
      <c r="G502" t="b">
        <f t="shared" si="99"/>
        <v>0</v>
      </c>
      <c r="H502" t="str">
        <f t="shared" si="100"/>
        <v>apple iPhone 14</v>
      </c>
      <c r="I502" t="str">
        <f t="shared" si="101"/>
        <v>Apple Iphone 14</v>
      </c>
      <c r="J502" t="str">
        <f t="shared" si="102"/>
        <v>Google</v>
      </c>
      <c r="K502" t="str">
        <f t="shared" si="103"/>
        <v>Google</v>
      </c>
      <c r="L502" t="str">
        <f t="shared" si="104"/>
        <v>Electronics</v>
      </c>
      <c r="M502">
        <f t="shared" si="105"/>
        <v>15</v>
      </c>
      <c r="N502">
        <f t="shared" si="106"/>
        <v>15</v>
      </c>
      <c r="O502" s="6">
        <f t="shared" si="107"/>
        <v>799</v>
      </c>
      <c r="P502" t="str">
        <f t="shared" si="108"/>
        <v>Electronics</v>
      </c>
      <c r="Q502">
        <f t="shared" si="109"/>
        <v>799</v>
      </c>
      <c r="R502" t="str">
        <f t="shared" si="110"/>
        <v>Apple Iphone 14|Electronics|799|Google</v>
      </c>
      <c r="S502" t="b">
        <f t="shared" si="111"/>
        <v>1</v>
      </c>
    </row>
    <row r="503" spans="1:19" x14ac:dyDescent="0.45">
      <c r="A503" t="s">
        <v>589</v>
      </c>
      <c r="B503" t="s">
        <v>87</v>
      </c>
      <c r="C503" t="s">
        <v>96</v>
      </c>
      <c r="D503" t="s">
        <v>62</v>
      </c>
      <c r="E503" t="s">
        <v>70</v>
      </c>
      <c r="F503" t="str">
        <f t="shared" si="98"/>
        <v>Google Pixel|Gadgets|799.0|Samsung</v>
      </c>
      <c r="G503" t="b">
        <f t="shared" si="99"/>
        <v>1</v>
      </c>
      <c r="H503" t="str">
        <f t="shared" si="100"/>
        <v>Google Pixel</v>
      </c>
      <c r="I503" t="str">
        <f t="shared" si="101"/>
        <v>Google Pixel</v>
      </c>
      <c r="J503" t="str">
        <f t="shared" si="102"/>
        <v>Samsung</v>
      </c>
      <c r="K503" t="str">
        <f t="shared" si="103"/>
        <v>Samsung</v>
      </c>
      <c r="L503" t="str">
        <f t="shared" si="104"/>
        <v>Gadgets</v>
      </c>
      <c r="M503">
        <f t="shared" si="105"/>
        <v>12</v>
      </c>
      <c r="N503">
        <f t="shared" si="106"/>
        <v>12</v>
      </c>
      <c r="O503" s="6">
        <f t="shared" si="107"/>
        <v>799</v>
      </c>
      <c r="P503" t="str">
        <f t="shared" si="108"/>
        <v>Gadgets</v>
      </c>
      <c r="Q503">
        <f t="shared" si="109"/>
        <v>799</v>
      </c>
      <c r="R503" t="str">
        <f t="shared" si="110"/>
        <v>Google Pixel|Gadgets|799|Samsung</v>
      </c>
      <c r="S503" t="b">
        <f t="shared" si="111"/>
        <v>1</v>
      </c>
    </row>
    <row r="504" spans="1:19" x14ac:dyDescent="0.45">
      <c r="A504" t="s">
        <v>590</v>
      </c>
      <c r="B504" t="s">
        <v>54</v>
      </c>
      <c r="C504" t="s">
        <v>94</v>
      </c>
      <c r="D504" t="s">
        <v>62</v>
      </c>
      <c r="E504" t="s">
        <v>56</v>
      </c>
      <c r="F504" t="str">
        <f t="shared" si="98"/>
        <v>Samsung galaxy|gadgets|799.0|GOOGLE</v>
      </c>
      <c r="G504" t="b">
        <f t="shared" si="99"/>
        <v>1</v>
      </c>
      <c r="H504" t="str">
        <f t="shared" si="100"/>
        <v>Samsung galaxy</v>
      </c>
      <c r="I504" t="str">
        <f t="shared" si="101"/>
        <v>Samsung Galaxy</v>
      </c>
      <c r="J504" t="str">
        <f t="shared" si="102"/>
        <v>GOOGLE</v>
      </c>
      <c r="K504" t="str">
        <f t="shared" si="103"/>
        <v>Google</v>
      </c>
      <c r="L504" t="str">
        <f t="shared" si="104"/>
        <v>Gadgets</v>
      </c>
      <c r="M504">
        <f t="shared" si="105"/>
        <v>15</v>
      </c>
      <c r="N504">
        <f t="shared" si="106"/>
        <v>14</v>
      </c>
      <c r="O504" s="6">
        <f t="shared" si="107"/>
        <v>799</v>
      </c>
      <c r="P504" t="str">
        <f t="shared" si="108"/>
        <v>Gadgets</v>
      </c>
      <c r="Q504">
        <f t="shared" si="109"/>
        <v>799</v>
      </c>
      <c r="R504" t="str">
        <f t="shared" si="110"/>
        <v>Samsung Galaxy|Gadgets|799|Google</v>
      </c>
      <c r="S504" t="b">
        <f t="shared" si="111"/>
        <v>1</v>
      </c>
    </row>
    <row r="505" spans="1:19" x14ac:dyDescent="0.45">
      <c r="A505" t="s">
        <v>591</v>
      </c>
      <c r="B505" t="s">
        <v>109</v>
      </c>
      <c r="C505" t="s">
        <v>61</v>
      </c>
      <c r="D505" t="s">
        <v>66</v>
      </c>
      <c r="E505" t="s">
        <v>56</v>
      </c>
      <c r="F505" t="str">
        <f t="shared" si="98"/>
        <v>Apple iPhone14|Electrnics|799.00|GOOGLE</v>
      </c>
      <c r="G505" t="b">
        <f t="shared" si="99"/>
        <v>0</v>
      </c>
      <c r="H505" t="str">
        <f t="shared" si="100"/>
        <v>Apple iPhone14</v>
      </c>
      <c r="I505" t="str">
        <f t="shared" si="101"/>
        <v>Apple Iphone14</v>
      </c>
      <c r="J505" t="str">
        <f t="shared" si="102"/>
        <v>GOOGLE</v>
      </c>
      <c r="K505" t="str">
        <f t="shared" si="103"/>
        <v>Google</v>
      </c>
      <c r="L505" t="str">
        <f t="shared" si="104"/>
        <v>Electronics</v>
      </c>
      <c r="M505">
        <f t="shared" si="105"/>
        <v>15</v>
      </c>
      <c r="N505">
        <f t="shared" si="106"/>
        <v>14</v>
      </c>
      <c r="O505" s="6">
        <f t="shared" si="107"/>
        <v>799</v>
      </c>
      <c r="P505" t="str">
        <f t="shared" si="108"/>
        <v>Electronics</v>
      </c>
      <c r="Q505">
        <f t="shared" si="109"/>
        <v>799</v>
      </c>
      <c r="R505" t="str">
        <f t="shared" si="110"/>
        <v>Apple Iphone14|Electronics|799|Google</v>
      </c>
      <c r="S505" t="b">
        <f t="shared" si="111"/>
        <v>1</v>
      </c>
    </row>
    <row r="506" spans="1:19" x14ac:dyDescent="0.45">
      <c r="A506" t="s">
        <v>592</v>
      </c>
      <c r="B506" t="s">
        <v>102</v>
      </c>
      <c r="C506" t="s">
        <v>96</v>
      </c>
      <c r="D506" t="s">
        <v>55</v>
      </c>
      <c r="E506" t="s">
        <v>67</v>
      </c>
      <c r="F506" t="str">
        <f t="shared" si="98"/>
        <v>GOOGLE PIXEL|Gadgets|799|apple</v>
      </c>
      <c r="G506" t="b">
        <f t="shared" si="99"/>
        <v>1</v>
      </c>
      <c r="H506" t="str">
        <f t="shared" si="100"/>
        <v>GOOGLE PIXEL</v>
      </c>
      <c r="I506" t="str">
        <f t="shared" si="101"/>
        <v>Google Pixel</v>
      </c>
      <c r="J506" t="str">
        <f t="shared" si="102"/>
        <v>apple</v>
      </c>
      <c r="K506" t="str">
        <f t="shared" si="103"/>
        <v>Apple</v>
      </c>
      <c r="L506" t="str">
        <f t="shared" si="104"/>
        <v>Gadgets</v>
      </c>
      <c r="M506">
        <f t="shared" si="105"/>
        <v>13</v>
      </c>
      <c r="N506">
        <f t="shared" si="106"/>
        <v>12</v>
      </c>
      <c r="O506" s="6">
        <f t="shared" si="107"/>
        <v>799</v>
      </c>
      <c r="P506" t="str">
        <f t="shared" si="108"/>
        <v>Gadgets</v>
      </c>
      <c r="Q506">
        <f t="shared" si="109"/>
        <v>799</v>
      </c>
      <c r="R506" t="str">
        <f t="shared" si="110"/>
        <v>Google Pixel|Gadgets|799|Apple</v>
      </c>
      <c r="S506" t="b">
        <f t="shared" si="111"/>
        <v>1</v>
      </c>
    </row>
    <row r="507" spans="1:19" x14ac:dyDescent="0.45">
      <c r="A507" t="s">
        <v>593</v>
      </c>
      <c r="B507" t="s">
        <v>138</v>
      </c>
      <c r="C507" t="s">
        <v>96</v>
      </c>
      <c r="D507" t="s">
        <v>55</v>
      </c>
      <c r="E507" t="s">
        <v>112</v>
      </c>
      <c r="F507" t="str">
        <f t="shared" si="98"/>
        <v>APPLE IPHONE 14|Gadgets|799|SAMSUNG</v>
      </c>
      <c r="G507" t="b">
        <f t="shared" si="99"/>
        <v>1</v>
      </c>
      <c r="H507" t="str">
        <f t="shared" si="100"/>
        <v>APPLE IPHONE 14</v>
      </c>
      <c r="I507" t="str">
        <f t="shared" si="101"/>
        <v>Apple Iphone 14</v>
      </c>
      <c r="J507" t="str">
        <f t="shared" si="102"/>
        <v>SAMSUNG</v>
      </c>
      <c r="K507" t="str">
        <f t="shared" si="103"/>
        <v>Samsung</v>
      </c>
      <c r="L507" t="str">
        <f t="shared" si="104"/>
        <v>Gadgets</v>
      </c>
      <c r="M507">
        <f t="shared" si="105"/>
        <v>15</v>
      </c>
      <c r="N507">
        <f t="shared" si="106"/>
        <v>15</v>
      </c>
      <c r="O507" s="6">
        <f t="shared" si="107"/>
        <v>799</v>
      </c>
      <c r="P507" t="str">
        <f t="shared" si="108"/>
        <v>Gadgets</v>
      </c>
      <c r="Q507">
        <f t="shared" si="109"/>
        <v>799</v>
      </c>
      <c r="R507" t="str">
        <f t="shared" si="110"/>
        <v>Apple Iphone 14|Gadgets|799|Samsung</v>
      </c>
      <c r="S507" t="b">
        <f t="shared" si="111"/>
        <v>1</v>
      </c>
    </row>
    <row r="508" spans="1:19" x14ac:dyDescent="0.45">
      <c r="A508" t="s">
        <v>594</v>
      </c>
      <c r="B508" t="s">
        <v>54</v>
      </c>
      <c r="C508" t="s">
        <v>73</v>
      </c>
      <c r="D508" t="s">
        <v>74</v>
      </c>
      <c r="E508" t="s">
        <v>89</v>
      </c>
      <c r="F508" t="str">
        <f t="shared" si="98"/>
        <v>Samsung galaxy|Electro|799|Apple</v>
      </c>
      <c r="G508" t="b">
        <f t="shared" si="99"/>
        <v>1</v>
      </c>
      <c r="H508" t="str">
        <f t="shared" si="100"/>
        <v>Samsung galaxy</v>
      </c>
      <c r="I508" t="str">
        <f t="shared" si="101"/>
        <v>Samsung Galaxy</v>
      </c>
      <c r="J508" t="str">
        <f t="shared" si="102"/>
        <v>Apple</v>
      </c>
      <c r="K508" t="str">
        <f t="shared" si="103"/>
        <v>Apple</v>
      </c>
      <c r="L508" t="str">
        <f t="shared" si="104"/>
        <v>Electronics</v>
      </c>
      <c r="M508">
        <f t="shared" si="105"/>
        <v>15</v>
      </c>
      <c r="N508">
        <f t="shared" si="106"/>
        <v>14</v>
      </c>
      <c r="O508" s="6">
        <f t="shared" si="107"/>
        <v>799</v>
      </c>
      <c r="P508" t="str">
        <f t="shared" si="108"/>
        <v>Electronics</v>
      </c>
      <c r="Q508">
        <f t="shared" si="109"/>
        <v>799</v>
      </c>
      <c r="R508" t="str">
        <f t="shared" si="110"/>
        <v>Samsung Galaxy|Electronics|799|Apple</v>
      </c>
      <c r="S508" t="b">
        <f t="shared" si="111"/>
        <v>1</v>
      </c>
    </row>
    <row r="509" spans="1:19" x14ac:dyDescent="0.45">
      <c r="A509" t="s">
        <v>595</v>
      </c>
      <c r="B509" t="s">
        <v>60</v>
      </c>
      <c r="D509" t="s">
        <v>55</v>
      </c>
      <c r="E509" t="s">
        <v>82</v>
      </c>
      <c r="F509" t="str">
        <f t="shared" si="98"/>
        <v>apple iPhone 14||799|APPLE</v>
      </c>
      <c r="G509" t="b">
        <f t="shared" si="99"/>
        <v>0</v>
      </c>
      <c r="H509" t="str">
        <f t="shared" si="100"/>
        <v>apple iPhone 14</v>
      </c>
      <c r="I509" t="str">
        <f t="shared" si="101"/>
        <v>Apple Iphone 14</v>
      </c>
      <c r="J509" t="str">
        <f t="shared" si="102"/>
        <v>APPLE</v>
      </c>
      <c r="K509" t="str">
        <f t="shared" si="103"/>
        <v>Apple</v>
      </c>
      <c r="L509" t="str">
        <f t="shared" si="104"/>
        <v/>
      </c>
      <c r="M509">
        <f t="shared" si="105"/>
        <v>15</v>
      </c>
      <c r="N509">
        <f t="shared" si="106"/>
        <v>15</v>
      </c>
      <c r="O509" s="6">
        <f t="shared" si="107"/>
        <v>799</v>
      </c>
      <c r="P509" t="str">
        <f t="shared" si="108"/>
        <v>Not Available</v>
      </c>
      <c r="Q509">
        <f t="shared" si="109"/>
        <v>799</v>
      </c>
      <c r="R509" t="str">
        <f t="shared" si="110"/>
        <v>Apple Iphone 14|Not Available|799|Apple</v>
      </c>
      <c r="S509" t="b">
        <f t="shared" si="111"/>
        <v>1</v>
      </c>
    </row>
    <row r="510" spans="1:19" x14ac:dyDescent="0.45">
      <c r="A510" t="s">
        <v>596</v>
      </c>
      <c r="B510" t="s">
        <v>78</v>
      </c>
      <c r="D510" t="s">
        <v>81</v>
      </c>
      <c r="E510" t="s">
        <v>89</v>
      </c>
      <c r="F510" t="str">
        <f t="shared" si="98"/>
        <v>samsung Galaxy||$799|Apple</v>
      </c>
      <c r="G510" t="b">
        <f t="shared" si="99"/>
        <v>0</v>
      </c>
      <c r="H510" t="str">
        <f t="shared" si="100"/>
        <v>samsung Galaxy</v>
      </c>
      <c r="I510" t="str">
        <f t="shared" si="101"/>
        <v>Samsung Galaxy</v>
      </c>
      <c r="J510" t="str">
        <f t="shared" si="102"/>
        <v>Apple</v>
      </c>
      <c r="K510" t="str">
        <f t="shared" si="103"/>
        <v>Apple</v>
      </c>
      <c r="L510" t="str">
        <f t="shared" si="104"/>
        <v/>
      </c>
      <c r="M510">
        <f t="shared" si="105"/>
        <v>15</v>
      </c>
      <c r="N510">
        <f t="shared" si="106"/>
        <v>14</v>
      </c>
      <c r="O510" s="6">
        <f t="shared" si="107"/>
        <v>799</v>
      </c>
      <c r="P510" t="str">
        <f t="shared" si="108"/>
        <v>Not Available</v>
      </c>
      <c r="Q510">
        <f t="shared" si="109"/>
        <v>799</v>
      </c>
      <c r="R510" t="str">
        <f t="shared" si="110"/>
        <v>Samsung Galaxy|Not Available|799|Apple</v>
      </c>
      <c r="S510" t="b">
        <f t="shared" si="111"/>
        <v>1</v>
      </c>
    </row>
    <row r="511" spans="1:19" x14ac:dyDescent="0.45">
      <c r="A511" t="s">
        <v>597</v>
      </c>
      <c r="B511" t="s">
        <v>65</v>
      </c>
      <c r="C511" t="s">
        <v>94</v>
      </c>
      <c r="D511" t="s">
        <v>69</v>
      </c>
      <c r="E511" t="s">
        <v>91</v>
      </c>
      <c r="F511" t="str">
        <f t="shared" si="98"/>
        <v>apple iphone 14|gadgets|799|Apple</v>
      </c>
      <c r="G511" t="b">
        <f t="shared" si="99"/>
        <v>1</v>
      </c>
      <c r="H511" t="str">
        <f t="shared" si="100"/>
        <v>apple iphone 14</v>
      </c>
      <c r="I511" t="str">
        <f t="shared" si="101"/>
        <v>Apple Iphone 14</v>
      </c>
      <c r="J511" t="str">
        <f t="shared" si="102"/>
        <v>Apple</v>
      </c>
      <c r="K511" t="str">
        <f t="shared" si="103"/>
        <v>Apple</v>
      </c>
      <c r="L511" t="str">
        <f t="shared" si="104"/>
        <v>Gadgets</v>
      </c>
      <c r="M511">
        <f t="shared" si="105"/>
        <v>17</v>
      </c>
      <c r="N511">
        <f t="shared" si="106"/>
        <v>15</v>
      </c>
      <c r="O511" s="6">
        <f t="shared" si="107"/>
        <v>799</v>
      </c>
      <c r="P511" t="str">
        <f t="shared" si="108"/>
        <v>Gadgets</v>
      </c>
      <c r="Q511">
        <f t="shared" si="109"/>
        <v>799</v>
      </c>
      <c r="R511" t="str">
        <f t="shared" si="110"/>
        <v>Apple Iphone 14|Gadgets|799|Apple</v>
      </c>
      <c r="S511" t="b">
        <f t="shared" si="111"/>
        <v>1</v>
      </c>
    </row>
    <row r="512" spans="1:19" x14ac:dyDescent="0.45">
      <c r="A512" t="s">
        <v>598</v>
      </c>
      <c r="B512" t="s">
        <v>54</v>
      </c>
      <c r="C512" t="s">
        <v>73</v>
      </c>
      <c r="D512" t="s">
        <v>74</v>
      </c>
      <c r="E512" t="s">
        <v>91</v>
      </c>
      <c r="F512" t="str">
        <f t="shared" si="98"/>
        <v>Samsung galaxy|Electro|799|Apple</v>
      </c>
      <c r="G512" t="b">
        <f t="shared" si="99"/>
        <v>1</v>
      </c>
      <c r="H512" t="str">
        <f t="shared" si="100"/>
        <v>Samsung galaxy</v>
      </c>
      <c r="I512" t="str">
        <f t="shared" si="101"/>
        <v>Samsung Galaxy</v>
      </c>
      <c r="J512" t="str">
        <f t="shared" si="102"/>
        <v>Apple</v>
      </c>
      <c r="K512" t="str">
        <f t="shared" si="103"/>
        <v>Apple</v>
      </c>
      <c r="L512" t="str">
        <f t="shared" si="104"/>
        <v>Electronics</v>
      </c>
      <c r="M512">
        <f t="shared" si="105"/>
        <v>15</v>
      </c>
      <c r="N512">
        <f t="shared" si="106"/>
        <v>14</v>
      </c>
      <c r="O512" s="6">
        <f t="shared" si="107"/>
        <v>799</v>
      </c>
      <c r="P512" t="str">
        <f t="shared" si="108"/>
        <v>Electronics</v>
      </c>
      <c r="Q512">
        <f t="shared" si="109"/>
        <v>799</v>
      </c>
      <c r="R512" t="str">
        <f t="shared" si="110"/>
        <v>Samsung Galaxy|Electronics|799|Apple</v>
      </c>
      <c r="S512" t="b">
        <f t="shared" si="111"/>
        <v>1</v>
      </c>
    </row>
    <row r="513" spans="1:19" x14ac:dyDescent="0.45">
      <c r="A513" t="s">
        <v>599</v>
      </c>
      <c r="B513" t="s">
        <v>93</v>
      </c>
      <c r="C513" t="s">
        <v>96</v>
      </c>
      <c r="D513" t="s">
        <v>81</v>
      </c>
      <c r="E513" t="s">
        <v>63</v>
      </c>
      <c r="F513" t="str">
        <f t="shared" si="98"/>
        <v>SAMSUNG GALAXY|Gadgets|$799|Google</v>
      </c>
      <c r="G513" t="b">
        <f t="shared" si="99"/>
        <v>1</v>
      </c>
      <c r="H513" t="str">
        <f t="shared" si="100"/>
        <v>SAMSUNG GALAXY</v>
      </c>
      <c r="I513" t="str">
        <f t="shared" si="101"/>
        <v>Samsung Galaxy</v>
      </c>
      <c r="J513" t="str">
        <f t="shared" si="102"/>
        <v>Google</v>
      </c>
      <c r="K513" t="str">
        <f t="shared" si="103"/>
        <v>Google</v>
      </c>
      <c r="L513" t="str">
        <f t="shared" si="104"/>
        <v>Gadgets</v>
      </c>
      <c r="M513">
        <f t="shared" si="105"/>
        <v>14</v>
      </c>
      <c r="N513">
        <f t="shared" si="106"/>
        <v>14</v>
      </c>
      <c r="O513" s="6">
        <f t="shared" si="107"/>
        <v>799</v>
      </c>
      <c r="P513" t="str">
        <f t="shared" si="108"/>
        <v>Gadgets</v>
      </c>
      <c r="Q513">
        <f t="shared" si="109"/>
        <v>799</v>
      </c>
      <c r="R513" t="str">
        <f t="shared" si="110"/>
        <v>Samsung Galaxy|Gadgets|799|Google</v>
      </c>
      <c r="S513" t="b">
        <f t="shared" si="111"/>
        <v>1</v>
      </c>
    </row>
    <row r="514" spans="1:19" x14ac:dyDescent="0.45">
      <c r="A514" t="s">
        <v>600</v>
      </c>
      <c r="B514" t="s">
        <v>106</v>
      </c>
      <c r="C514" t="s">
        <v>61</v>
      </c>
      <c r="D514" t="s">
        <v>88</v>
      </c>
      <c r="E514" t="s">
        <v>67</v>
      </c>
      <c r="F514" t="str">
        <f t="shared" ref="F514:F565" si="112">TRIM(B514)&amp;"|"&amp;TRIM(C514)&amp;"|"&amp;TRIM(D514)&amp;"|"&amp;TRIM(E514)</f>
        <v>Samsung Galaxy|Electrnics|USD 799|apple</v>
      </c>
      <c r="G514" t="b">
        <f t="shared" ref="G514:G565" si="113">COUNTIF($F$2:$F$565,F514)&gt;1</f>
        <v>0</v>
      </c>
      <c r="H514" t="str">
        <f t="shared" ref="H514:H565" si="114">TRIM(B514)</f>
        <v>Samsung Galaxy</v>
      </c>
      <c r="I514" t="str">
        <f t="shared" ref="I514:I565" si="115">PROPER(H514)</f>
        <v>Samsung Galaxy</v>
      </c>
      <c r="J514" t="str">
        <f t="shared" ref="J514:J565" si="116">TRIM(E514)</f>
        <v>apple</v>
      </c>
      <c r="K514" t="str">
        <f t="shared" ref="K514:K565" si="117">PROPER(J514)</f>
        <v>Apple</v>
      </c>
      <c r="L514" t="str">
        <f t="shared" ref="L514:L565" si="118">IF(TRIM(C514)="","",IF(ISNUMBER(SEARCH("gadget",C514)),"Gadgets","Electronics"))</f>
        <v>Electronics</v>
      </c>
      <c r="M514">
        <f t="shared" ref="M514:M565" si="119">LEN(B514)</f>
        <v>14</v>
      </c>
      <c r="N514">
        <f t="shared" ref="N514:N565" si="120">LEN(H514)</f>
        <v>14</v>
      </c>
      <c r="O514" s="6">
        <f t="shared" ref="O514:O565" si="121">IF(TRIM(D514)="","",VALUE(TRIM(SUBSTITUTE(SUBSTITUTE(D514,"USD",""),"$",""))))</f>
        <v>799</v>
      </c>
      <c r="P514" t="str">
        <f t="shared" ref="P514:P565" si="122">IF(L514="","Not Available",L514)</f>
        <v>Electronics</v>
      </c>
      <c r="Q514">
        <f t="shared" ref="Q514:Q565" si="123">IF(O514="","Not Available",O514)</f>
        <v>799</v>
      </c>
      <c r="R514" t="str">
        <f t="shared" ref="R514:R565" si="124">I514&amp;"|"&amp;P514&amp;"|"&amp;Q514&amp;"|"&amp;K514</f>
        <v>Samsung Galaxy|Electronics|799|Apple</v>
      </c>
      <c r="S514" t="b">
        <f t="shared" ref="S514:S565" si="125">COUNTIF($R$2:$R$565,R514)&gt;1</f>
        <v>1</v>
      </c>
    </row>
    <row r="515" spans="1:19" x14ac:dyDescent="0.45">
      <c r="A515" t="s">
        <v>601</v>
      </c>
      <c r="B515" t="s">
        <v>65</v>
      </c>
      <c r="D515" t="s">
        <v>62</v>
      </c>
      <c r="E515" t="s">
        <v>63</v>
      </c>
      <c r="F515" t="str">
        <f t="shared" si="112"/>
        <v>apple iphone 14||799.0|Google</v>
      </c>
      <c r="G515" t="b">
        <f t="shared" si="113"/>
        <v>1</v>
      </c>
      <c r="H515" t="str">
        <f t="shared" si="114"/>
        <v>apple iphone 14</v>
      </c>
      <c r="I515" t="str">
        <f t="shared" si="115"/>
        <v>Apple Iphone 14</v>
      </c>
      <c r="J515" t="str">
        <f t="shared" si="116"/>
        <v>Google</v>
      </c>
      <c r="K515" t="str">
        <f t="shared" si="117"/>
        <v>Google</v>
      </c>
      <c r="L515" t="str">
        <f t="shared" si="118"/>
        <v/>
      </c>
      <c r="M515">
        <f t="shared" si="119"/>
        <v>17</v>
      </c>
      <c r="N515">
        <f t="shared" si="120"/>
        <v>15</v>
      </c>
      <c r="O515" s="6">
        <f t="shared" si="121"/>
        <v>799</v>
      </c>
      <c r="P515" t="str">
        <f t="shared" si="122"/>
        <v>Not Available</v>
      </c>
      <c r="Q515">
        <f t="shared" si="123"/>
        <v>799</v>
      </c>
      <c r="R515" t="str">
        <f t="shared" si="124"/>
        <v>Apple Iphone 14|Not Available|799|Google</v>
      </c>
      <c r="S515" t="b">
        <f t="shared" si="125"/>
        <v>1</v>
      </c>
    </row>
    <row r="516" spans="1:19" x14ac:dyDescent="0.45">
      <c r="A516" t="s">
        <v>602</v>
      </c>
      <c r="B516" t="s">
        <v>93</v>
      </c>
      <c r="C516" t="s">
        <v>94</v>
      </c>
      <c r="D516" t="s">
        <v>62</v>
      </c>
      <c r="E516" t="s">
        <v>63</v>
      </c>
      <c r="F516" t="str">
        <f t="shared" si="112"/>
        <v>SAMSUNG GALAXY|gadgets|799.0|Google</v>
      </c>
      <c r="G516" t="b">
        <f t="shared" si="113"/>
        <v>1</v>
      </c>
      <c r="H516" t="str">
        <f t="shared" si="114"/>
        <v>SAMSUNG GALAXY</v>
      </c>
      <c r="I516" t="str">
        <f t="shared" si="115"/>
        <v>Samsung Galaxy</v>
      </c>
      <c r="J516" t="str">
        <f t="shared" si="116"/>
        <v>Google</v>
      </c>
      <c r="K516" t="str">
        <f t="shared" si="117"/>
        <v>Google</v>
      </c>
      <c r="L516" t="str">
        <f t="shared" si="118"/>
        <v>Gadgets</v>
      </c>
      <c r="M516">
        <f t="shared" si="119"/>
        <v>14</v>
      </c>
      <c r="N516">
        <f t="shared" si="120"/>
        <v>14</v>
      </c>
      <c r="O516" s="6">
        <f t="shared" si="121"/>
        <v>799</v>
      </c>
      <c r="P516" t="str">
        <f t="shared" si="122"/>
        <v>Gadgets</v>
      </c>
      <c r="Q516">
        <f t="shared" si="123"/>
        <v>799</v>
      </c>
      <c r="R516" t="str">
        <f t="shared" si="124"/>
        <v>Samsung Galaxy|Gadgets|799|Google</v>
      </c>
      <c r="S516" t="b">
        <f t="shared" si="125"/>
        <v>1</v>
      </c>
    </row>
    <row r="517" spans="1:19" x14ac:dyDescent="0.45">
      <c r="A517" t="s">
        <v>603</v>
      </c>
      <c r="B517" t="s">
        <v>58</v>
      </c>
      <c r="C517" t="s">
        <v>96</v>
      </c>
      <c r="D517" t="s">
        <v>62</v>
      </c>
      <c r="E517" t="s">
        <v>63</v>
      </c>
      <c r="F517" t="str">
        <f t="shared" si="112"/>
        <v>Google pixel|Gadgets|799.0|Google</v>
      </c>
      <c r="G517" t="b">
        <f t="shared" si="113"/>
        <v>1</v>
      </c>
      <c r="H517" t="str">
        <f t="shared" si="114"/>
        <v>Google pixel</v>
      </c>
      <c r="I517" t="str">
        <f t="shared" si="115"/>
        <v>Google Pixel</v>
      </c>
      <c r="J517" t="str">
        <f t="shared" si="116"/>
        <v>Google</v>
      </c>
      <c r="K517" t="str">
        <f t="shared" si="117"/>
        <v>Google</v>
      </c>
      <c r="L517" t="str">
        <f t="shared" si="118"/>
        <v>Gadgets</v>
      </c>
      <c r="M517">
        <f t="shared" si="119"/>
        <v>12</v>
      </c>
      <c r="N517">
        <f t="shared" si="120"/>
        <v>12</v>
      </c>
      <c r="O517" s="6">
        <f t="shared" si="121"/>
        <v>799</v>
      </c>
      <c r="P517" t="str">
        <f t="shared" si="122"/>
        <v>Gadgets</v>
      </c>
      <c r="Q517">
        <f t="shared" si="123"/>
        <v>799</v>
      </c>
      <c r="R517" t="str">
        <f t="shared" si="124"/>
        <v>Google Pixel|Gadgets|799|Google</v>
      </c>
      <c r="S517" t="b">
        <f t="shared" si="125"/>
        <v>1</v>
      </c>
    </row>
    <row r="518" spans="1:19" x14ac:dyDescent="0.45">
      <c r="A518" t="s">
        <v>604</v>
      </c>
      <c r="B518" t="s">
        <v>65</v>
      </c>
      <c r="C518" t="s">
        <v>85</v>
      </c>
      <c r="D518" t="s">
        <v>62</v>
      </c>
      <c r="E518" t="s">
        <v>75</v>
      </c>
      <c r="F518" t="str">
        <f t="shared" si="112"/>
        <v>apple iphone 14|electronics|799.0|google</v>
      </c>
      <c r="G518" t="b">
        <f t="shared" si="113"/>
        <v>1</v>
      </c>
      <c r="H518" t="str">
        <f t="shared" si="114"/>
        <v>apple iphone 14</v>
      </c>
      <c r="I518" t="str">
        <f t="shared" si="115"/>
        <v>Apple Iphone 14</v>
      </c>
      <c r="J518" t="str">
        <f t="shared" si="116"/>
        <v>google</v>
      </c>
      <c r="K518" t="str">
        <f t="shared" si="117"/>
        <v>Google</v>
      </c>
      <c r="L518" t="str">
        <f t="shared" si="118"/>
        <v>Electronics</v>
      </c>
      <c r="M518">
        <f t="shared" si="119"/>
        <v>17</v>
      </c>
      <c r="N518">
        <f t="shared" si="120"/>
        <v>15</v>
      </c>
      <c r="O518" s="6">
        <f t="shared" si="121"/>
        <v>799</v>
      </c>
      <c r="P518" t="str">
        <f t="shared" si="122"/>
        <v>Electronics</v>
      </c>
      <c r="Q518">
        <f t="shared" si="123"/>
        <v>799</v>
      </c>
      <c r="R518" t="str">
        <f t="shared" si="124"/>
        <v>Apple Iphone 14|Electronics|799|Google</v>
      </c>
      <c r="S518" t="b">
        <f t="shared" si="125"/>
        <v>1</v>
      </c>
    </row>
    <row r="519" spans="1:19" x14ac:dyDescent="0.45">
      <c r="A519" t="s">
        <v>605</v>
      </c>
      <c r="B519" t="s">
        <v>106</v>
      </c>
      <c r="C519" t="s">
        <v>94</v>
      </c>
      <c r="D519" t="s">
        <v>81</v>
      </c>
      <c r="E519" t="s">
        <v>56</v>
      </c>
      <c r="F519" t="str">
        <f t="shared" si="112"/>
        <v>Samsung Galaxy|gadgets|$799|GOOGLE</v>
      </c>
      <c r="G519" t="b">
        <f t="shared" si="113"/>
        <v>1</v>
      </c>
      <c r="H519" t="str">
        <f t="shared" si="114"/>
        <v>Samsung Galaxy</v>
      </c>
      <c r="I519" t="str">
        <f t="shared" si="115"/>
        <v>Samsung Galaxy</v>
      </c>
      <c r="J519" t="str">
        <f t="shared" si="116"/>
        <v>GOOGLE</v>
      </c>
      <c r="K519" t="str">
        <f t="shared" si="117"/>
        <v>Google</v>
      </c>
      <c r="L519" t="str">
        <f t="shared" si="118"/>
        <v>Gadgets</v>
      </c>
      <c r="M519">
        <f t="shared" si="119"/>
        <v>14</v>
      </c>
      <c r="N519">
        <f t="shared" si="120"/>
        <v>14</v>
      </c>
      <c r="O519" s="6">
        <f t="shared" si="121"/>
        <v>799</v>
      </c>
      <c r="P519" t="str">
        <f t="shared" si="122"/>
        <v>Gadgets</v>
      </c>
      <c r="Q519">
        <f t="shared" si="123"/>
        <v>799</v>
      </c>
      <c r="R519" t="str">
        <f t="shared" si="124"/>
        <v>Samsung Galaxy|Gadgets|799|Google</v>
      </c>
      <c r="S519" t="b">
        <f t="shared" si="125"/>
        <v>1</v>
      </c>
    </row>
    <row r="520" spans="1:19" x14ac:dyDescent="0.45">
      <c r="A520" t="s">
        <v>606</v>
      </c>
      <c r="B520" t="s">
        <v>60</v>
      </c>
      <c r="C520" t="s">
        <v>73</v>
      </c>
      <c r="D520" t="s">
        <v>66</v>
      </c>
      <c r="E520" t="s">
        <v>75</v>
      </c>
      <c r="F520" t="str">
        <f t="shared" si="112"/>
        <v>apple iPhone 14|Electro|799.00|google</v>
      </c>
      <c r="G520" t="b">
        <f t="shared" si="113"/>
        <v>0</v>
      </c>
      <c r="H520" t="str">
        <f t="shared" si="114"/>
        <v>apple iPhone 14</v>
      </c>
      <c r="I520" t="str">
        <f t="shared" si="115"/>
        <v>Apple Iphone 14</v>
      </c>
      <c r="J520" t="str">
        <f t="shared" si="116"/>
        <v>google</v>
      </c>
      <c r="K520" t="str">
        <f t="shared" si="117"/>
        <v>Google</v>
      </c>
      <c r="L520" t="str">
        <f t="shared" si="118"/>
        <v>Electronics</v>
      </c>
      <c r="M520">
        <f t="shared" si="119"/>
        <v>15</v>
      </c>
      <c r="N520">
        <f t="shared" si="120"/>
        <v>15</v>
      </c>
      <c r="O520" s="6">
        <f t="shared" si="121"/>
        <v>799</v>
      </c>
      <c r="P520" t="str">
        <f t="shared" si="122"/>
        <v>Electronics</v>
      </c>
      <c r="Q520">
        <f t="shared" si="123"/>
        <v>799</v>
      </c>
      <c r="R520" t="str">
        <f t="shared" si="124"/>
        <v>Apple Iphone 14|Electronics|799|Google</v>
      </c>
      <c r="S520" t="b">
        <f t="shared" si="125"/>
        <v>1</v>
      </c>
    </row>
    <row r="521" spans="1:19" x14ac:dyDescent="0.45">
      <c r="A521" t="s">
        <v>607</v>
      </c>
      <c r="B521" t="s">
        <v>54</v>
      </c>
      <c r="C521" t="s">
        <v>85</v>
      </c>
      <c r="D521" t="s">
        <v>88</v>
      </c>
      <c r="E521" t="s">
        <v>56</v>
      </c>
      <c r="F521" t="str">
        <f t="shared" si="112"/>
        <v>Samsung galaxy|electronics|USD 799|GOOGLE</v>
      </c>
      <c r="G521" t="b">
        <f t="shared" si="113"/>
        <v>1</v>
      </c>
      <c r="H521" t="str">
        <f t="shared" si="114"/>
        <v>Samsung galaxy</v>
      </c>
      <c r="I521" t="str">
        <f t="shared" si="115"/>
        <v>Samsung Galaxy</v>
      </c>
      <c r="J521" t="str">
        <f t="shared" si="116"/>
        <v>GOOGLE</v>
      </c>
      <c r="K521" t="str">
        <f t="shared" si="117"/>
        <v>Google</v>
      </c>
      <c r="L521" t="str">
        <f t="shared" si="118"/>
        <v>Electronics</v>
      </c>
      <c r="M521">
        <f t="shared" si="119"/>
        <v>15</v>
      </c>
      <c r="N521">
        <f t="shared" si="120"/>
        <v>14</v>
      </c>
      <c r="O521" s="6">
        <f t="shared" si="121"/>
        <v>799</v>
      </c>
      <c r="P521" t="str">
        <f t="shared" si="122"/>
        <v>Electronics</v>
      </c>
      <c r="Q521">
        <f t="shared" si="123"/>
        <v>799</v>
      </c>
      <c r="R521" t="str">
        <f t="shared" si="124"/>
        <v>Samsung Galaxy|Electronics|799|Google</v>
      </c>
      <c r="S521" t="b">
        <f t="shared" si="125"/>
        <v>1</v>
      </c>
    </row>
    <row r="522" spans="1:19" x14ac:dyDescent="0.45">
      <c r="A522" t="s">
        <v>608</v>
      </c>
      <c r="B522" t="s">
        <v>58</v>
      </c>
      <c r="C522" t="s">
        <v>85</v>
      </c>
      <c r="D522" t="s">
        <v>55</v>
      </c>
      <c r="E522" t="s">
        <v>63</v>
      </c>
      <c r="F522" t="str">
        <f t="shared" si="112"/>
        <v>Google pixel|electronics|799|Google</v>
      </c>
      <c r="G522" t="b">
        <f t="shared" si="113"/>
        <v>1</v>
      </c>
      <c r="H522" t="str">
        <f t="shared" si="114"/>
        <v>Google pixel</v>
      </c>
      <c r="I522" t="str">
        <f t="shared" si="115"/>
        <v>Google Pixel</v>
      </c>
      <c r="J522" t="str">
        <f t="shared" si="116"/>
        <v>Google</v>
      </c>
      <c r="K522" t="str">
        <f t="shared" si="117"/>
        <v>Google</v>
      </c>
      <c r="L522" t="str">
        <f t="shared" si="118"/>
        <v>Electronics</v>
      </c>
      <c r="M522">
        <f t="shared" si="119"/>
        <v>12</v>
      </c>
      <c r="N522">
        <f t="shared" si="120"/>
        <v>12</v>
      </c>
      <c r="O522" s="6">
        <f t="shared" si="121"/>
        <v>799</v>
      </c>
      <c r="P522" t="str">
        <f t="shared" si="122"/>
        <v>Electronics</v>
      </c>
      <c r="Q522">
        <f t="shared" si="123"/>
        <v>799</v>
      </c>
      <c r="R522" t="str">
        <f t="shared" si="124"/>
        <v>Google Pixel|Electronics|799|Google</v>
      </c>
      <c r="S522" t="b">
        <f t="shared" si="125"/>
        <v>1</v>
      </c>
    </row>
    <row r="523" spans="1:19" x14ac:dyDescent="0.45">
      <c r="A523" t="s">
        <v>609</v>
      </c>
      <c r="B523" t="s">
        <v>87</v>
      </c>
      <c r="C523" t="s">
        <v>123</v>
      </c>
      <c r="E523" t="s">
        <v>70</v>
      </c>
      <c r="F523" t="str">
        <f t="shared" si="112"/>
        <v>Google Pixel|Electronics||Samsung</v>
      </c>
      <c r="G523" t="b">
        <f t="shared" si="113"/>
        <v>1</v>
      </c>
      <c r="H523" t="str">
        <f t="shared" si="114"/>
        <v>Google Pixel</v>
      </c>
      <c r="I523" t="str">
        <f t="shared" si="115"/>
        <v>Google Pixel</v>
      </c>
      <c r="J523" t="str">
        <f t="shared" si="116"/>
        <v>Samsung</v>
      </c>
      <c r="K523" t="str">
        <f t="shared" si="117"/>
        <v>Samsung</v>
      </c>
      <c r="L523" t="str">
        <f t="shared" si="118"/>
        <v>Electronics</v>
      </c>
      <c r="M523">
        <f t="shared" si="119"/>
        <v>12</v>
      </c>
      <c r="N523">
        <f t="shared" si="120"/>
        <v>12</v>
      </c>
      <c r="O523" s="6" t="str">
        <f t="shared" si="121"/>
        <v/>
      </c>
      <c r="P523" t="str">
        <f t="shared" si="122"/>
        <v>Electronics</v>
      </c>
      <c r="Q523" t="str">
        <f t="shared" si="123"/>
        <v>Not Available</v>
      </c>
      <c r="R523" t="str">
        <f t="shared" si="124"/>
        <v>Google Pixel|Electronics|Not Available|Samsung</v>
      </c>
      <c r="S523" t="b">
        <f t="shared" si="125"/>
        <v>1</v>
      </c>
    </row>
    <row r="524" spans="1:19" x14ac:dyDescent="0.45">
      <c r="A524" t="s">
        <v>610</v>
      </c>
      <c r="B524" t="s">
        <v>102</v>
      </c>
      <c r="D524" t="s">
        <v>88</v>
      </c>
      <c r="E524" t="s">
        <v>79</v>
      </c>
      <c r="F524" t="str">
        <f t="shared" si="112"/>
        <v>GOOGLE PIXEL||USD 799|Samsung</v>
      </c>
      <c r="G524" t="b">
        <f t="shared" si="113"/>
        <v>1</v>
      </c>
      <c r="H524" t="str">
        <f t="shared" si="114"/>
        <v>GOOGLE PIXEL</v>
      </c>
      <c r="I524" t="str">
        <f t="shared" si="115"/>
        <v>Google Pixel</v>
      </c>
      <c r="J524" t="str">
        <f t="shared" si="116"/>
        <v>Samsung</v>
      </c>
      <c r="K524" t="str">
        <f t="shared" si="117"/>
        <v>Samsung</v>
      </c>
      <c r="L524" t="str">
        <f t="shared" si="118"/>
        <v/>
      </c>
      <c r="M524">
        <f t="shared" si="119"/>
        <v>13</v>
      </c>
      <c r="N524">
        <f t="shared" si="120"/>
        <v>12</v>
      </c>
      <c r="O524" s="6">
        <f t="shared" si="121"/>
        <v>799</v>
      </c>
      <c r="P524" t="str">
        <f t="shared" si="122"/>
        <v>Not Available</v>
      </c>
      <c r="Q524">
        <f t="shared" si="123"/>
        <v>799</v>
      </c>
      <c r="R524" t="str">
        <f t="shared" si="124"/>
        <v>Google Pixel|Not Available|799|Samsung</v>
      </c>
      <c r="S524" t="b">
        <f t="shared" si="125"/>
        <v>1</v>
      </c>
    </row>
    <row r="525" spans="1:19" x14ac:dyDescent="0.45">
      <c r="A525" t="s">
        <v>611</v>
      </c>
      <c r="B525" t="s">
        <v>109</v>
      </c>
      <c r="C525" t="s">
        <v>123</v>
      </c>
      <c r="D525" t="s">
        <v>88</v>
      </c>
      <c r="E525" t="s">
        <v>63</v>
      </c>
      <c r="F525" t="str">
        <f t="shared" si="112"/>
        <v>Apple iPhone14|Electronics|USD 799|Google</v>
      </c>
      <c r="G525" t="b">
        <f t="shared" si="113"/>
        <v>0</v>
      </c>
      <c r="H525" t="str">
        <f t="shared" si="114"/>
        <v>Apple iPhone14</v>
      </c>
      <c r="I525" t="str">
        <f t="shared" si="115"/>
        <v>Apple Iphone14</v>
      </c>
      <c r="J525" t="str">
        <f t="shared" si="116"/>
        <v>Google</v>
      </c>
      <c r="K525" t="str">
        <f t="shared" si="117"/>
        <v>Google</v>
      </c>
      <c r="L525" t="str">
        <f t="shared" si="118"/>
        <v>Electronics</v>
      </c>
      <c r="M525">
        <f t="shared" si="119"/>
        <v>15</v>
      </c>
      <c r="N525">
        <f t="shared" si="120"/>
        <v>14</v>
      </c>
      <c r="O525" s="6">
        <f t="shared" si="121"/>
        <v>799</v>
      </c>
      <c r="P525" t="str">
        <f t="shared" si="122"/>
        <v>Electronics</v>
      </c>
      <c r="Q525">
        <f t="shared" si="123"/>
        <v>799</v>
      </c>
      <c r="R525" t="str">
        <f t="shared" si="124"/>
        <v>Apple Iphone14|Electronics|799|Google</v>
      </c>
      <c r="S525" t="b">
        <f t="shared" si="125"/>
        <v>1</v>
      </c>
    </row>
    <row r="526" spans="1:19" x14ac:dyDescent="0.45">
      <c r="A526" t="s">
        <v>612</v>
      </c>
      <c r="B526" t="s">
        <v>78</v>
      </c>
      <c r="C526" t="s">
        <v>96</v>
      </c>
      <c r="D526" t="s">
        <v>62</v>
      </c>
      <c r="E526" t="s">
        <v>82</v>
      </c>
      <c r="F526" t="str">
        <f t="shared" si="112"/>
        <v>samsung Galaxy|Gadgets|799.0|APPLE</v>
      </c>
      <c r="G526" t="b">
        <f t="shared" si="113"/>
        <v>1</v>
      </c>
      <c r="H526" t="str">
        <f t="shared" si="114"/>
        <v>samsung Galaxy</v>
      </c>
      <c r="I526" t="str">
        <f t="shared" si="115"/>
        <v>Samsung Galaxy</v>
      </c>
      <c r="J526" t="str">
        <f t="shared" si="116"/>
        <v>APPLE</v>
      </c>
      <c r="K526" t="str">
        <f t="shared" si="117"/>
        <v>Apple</v>
      </c>
      <c r="L526" t="str">
        <f t="shared" si="118"/>
        <v>Gadgets</v>
      </c>
      <c r="M526">
        <f t="shared" si="119"/>
        <v>15</v>
      </c>
      <c r="N526">
        <f t="shared" si="120"/>
        <v>14</v>
      </c>
      <c r="O526" s="6">
        <f t="shared" si="121"/>
        <v>799</v>
      </c>
      <c r="P526" t="str">
        <f t="shared" si="122"/>
        <v>Gadgets</v>
      </c>
      <c r="Q526">
        <f t="shared" si="123"/>
        <v>799</v>
      </c>
      <c r="R526" t="str">
        <f t="shared" si="124"/>
        <v>Samsung Galaxy|Gadgets|799|Apple</v>
      </c>
      <c r="S526" t="b">
        <f t="shared" si="125"/>
        <v>1</v>
      </c>
    </row>
    <row r="527" spans="1:19" x14ac:dyDescent="0.45">
      <c r="A527" t="s">
        <v>613</v>
      </c>
      <c r="B527" t="s">
        <v>54</v>
      </c>
      <c r="C527" t="s">
        <v>94</v>
      </c>
      <c r="D527" t="s">
        <v>81</v>
      </c>
      <c r="E527" t="s">
        <v>89</v>
      </c>
      <c r="F527" t="str">
        <f t="shared" si="112"/>
        <v>Samsung galaxy|gadgets|$799|Apple</v>
      </c>
      <c r="G527" t="b">
        <f t="shared" si="113"/>
        <v>1</v>
      </c>
      <c r="H527" t="str">
        <f t="shared" si="114"/>
        <v>Samsung galaxy</v>
      </c>
      <c r="I527" t="str">
        <f t="shared" si="115"/>
        <v>Samsung Galaxy</v>
      </c>
      <c r="J527" t="str">
        <f t="shared" si="116"/>
        <v>Apple</v>
      </c>
      <c r="K527" t="str">
        <f t="shared" si="117"/>
        <v>Apple</v>
      </c>
      <c r="L527" t="str">
        <f t="shared" si="118"/>
        <v>Gadgets</v>
      </c>
      <c r="M527">
        <f t="shared" si="119"/>
        <v>15</v>
      </c>
      <c r="N527">
        <f t="shared" si="120"/>
        <v>14</v>
      </c>
      <c r="O527" s="6">
        <f t="shared" si="121"/>
        <v>799</v>
      </c>
      <c r="P527" t="str">
        <f t="shared" si="122"/>
        <v>Gadgets</v>
      </c>
      <c r="Q527">
        <f t="shared" si="123"/>
        <v>799</v>
      </c>
      <c r="R527" t="str">
        <f t="shared" si="124"/>
        <v>Samsung Galaxy|Gadgets|799|Apple</v>
      </c>
      <c r="S527" t="b">
        <f t="shared" si="125"/>
        <v>1</v>
      </c>
    </row>
    <row r="528" spans="1:19" x14ac:dyDescent="0.45">
      <c r="A528" t="s">
        <v>614</v>
      </c>
      <c r="B528" t="s">
        <v>72</v>
      </c>
      <c r="C528" t="s">
        <v>85</v>
      </c>
      <c r="D528" t="s">
        <v>69</v>
      </c>
      <c r="E528" t="s">
        <v>67</v>
      </c>
      <c r="F528" t="str">
        <f t="shared" si="112"/>
        <v>google pixel|electronics|799|apple</v>
      </c>
      <c r="G528" t="b">
        <f t="shared" si="113"/>
        <v>1</v>
      </c>
      <c r="H528" t="str">
        <f t="shared" si="114"/>
        <v>google pixel</v>
      </c>
      <c r="I528" t="str">
        <f t="shared" si="115"/>
        <v>Google Pixel</v>
      </c>
      <c r="J528" t="str">
        <f t="shared" si="116"/>
        <v>apple</v>
      </c>
      <c r="K528" t="str">
        <f t="shared" si="117"/>
        <v>Apple</v>
      </c>
      <c r="L528" t="str">
        <f t="shared" si="118"/>
        <v>Electronics</v>
      </c>
      <c r="M528">
        <f t="shared" si="119"/>
        <v>14</v>
      </c>
      <c r="N528">
        <f t="shared" si="120"/>
        <v>12</v>
      </c>
      <c r="O528" s="6">
        <f t="shared" si="121"/>
        <v>799</v>
      </c>
      <c r="P528" t="str">
        <f t="shared" si="122"/>
        <v>Electronics</v>
      </c>
      <c r="Q528">
        <f t="shared" si="123"/>
        <v>799</v>
      </c>
      <c r="R528" t="str">
        <f t="shared" si="124"/>
        <v>Google Pixel|Electronics|799|Apple</v>
      </c>
      <c r="S528" t="b">
        <f t="shared" si="125"/>
        <v>1</v>
      </c>
    </row>
    <row r="529" spans="1:19" x14ac:dyDescent="0.45">
      <c r="A529" t="s">
        <v>615</v>
      </c>
      <c r="B529" t="s">
        <v>138</v>
      </c>
      <c r="C529" t="s">
        <v>61</v>
      </c>
      <c r="D529" t="s">
        <v>74</v>
      </c>
      <c r="E529" t="s">
        <v>70</v>
      </c>
      <c r="F529" t="str">
        <f t="shared" si="112"/>
        <v>APPLE IPHONE 14|Electrnics|799|Samsung</v>
      </c>
      <c r="G529" t="b">
        <f t="shared" si="113"/>
        <v>1</v>
      </c>
      <c r="H529" t="str">
        <f t="shared" si="114"/>
        <v>APPLE IPHONE 14</v>
      </c>
      <c r="I529" t="str">
        <f t="shared" si="115"/>
        <v>Apple Iphone 14</v>
      </c>
      <c r="J529" t="str">
        <f t="shared" si="116"/>
        <v>Samsung</v>
      </c>
      <c r="K529" t="str">
        <f t="shared" si="117"/>
        <v>Samsung</v>
      </c>
      <c r="L529" t="str">
        <f t="shared" si="118"/>
        <v>Electronics</v>
      </c>
      <c r="M529">
        <f t="shared" si="119"/>
        <v>15</v>
      </c>
      <c r="N529">
        <f t="shared" si="120"/>
        <v>15</v>
      </c>
      <c r="O529" s="6">
        <f t="shared" si="121"/>
        <v>799</v>
      </c>
      <c r="P529" t="str">
        <f t="shared" si="122"/>
        <v>Electronics</v>
      </c>
      <c r="Q529">
        <f t="shared" si="123"/>
        <v>799</v>
      </c>
      <c r="R529" t="str">
        <f t="shared" si="124"/>
        <v>Apple Iphone 14|Electronics|799|Samsung</v>
      </c>
      <c r="S529" t="b">
        <f t="shared" si="125"/>
        <v>1</v>
      </c>
    </row>
    <row r="530" spans="1:19" x14ac:dyDescent="0.45">
      <c r="A530" t="s">
        <v>616</v>
      </c>
      <c r="B530" t="s">
        <v>138</v>
      </c>
      <c r="D530" t="s">
        <v>88</v>
      </c>
      <c r="E530" t="s">
        <v>56</v>
      </c>
      <c r="F530" t="str">
        <f t="shared" si="112"/>
        <v>APPLE IPHONE 14||USD 799|GOOGLE</v>
      </c>
      <c r="G530" t="b">
        <f t="shared" si="113"/>
        <v>1</v>
      </c>
      <c r="H530" t="str">
        <f t="shared" si="114"/>
        <v>APPLE IPHONE 14</v>
      </c>
      <c r="I530" t="str">
        <f t="shared" si="115"/>
        <v>Apple Iphone 14</v>
      </c>
      <c r="J530" t="str">
        <f t="shared" si="116"/>
        <v>GOOGLE</v>
      </c>
      <c r="K530" t="str">
        <f t="shared" si="117"/>
        <v>Google</v>
      </c>
      <c r="L530" t="str">
        <f t="shared" si="118"/>
        <v/>
      </c>
      <c r="M530">
        <f t="shared" si="119"/>
        <v>15</v>
      </c>
      <c r="N530">
        <f t="shared" si="120"/>
        <v>15</v>
      </c>
      <c r="O530" s="6">
        <f t="shared" si="121"/>
        <v>799</v>
      </c>
      <c r="P530" t="str">
        <f t="shared" si="122"/>
        <v>Not Available</v>
      </c>
      <c r="Q530">
        <f t="shared" si="123"/>
        <v>799</v>
      </c>
      <c r="R530" t="str">
        <f t="shared" si="124"/>
        <v>Apple Iphone 14|Not Available|799|Google</v>
      </c>
      <c r="S530" t="b">
        <f t="shared" si="125"/>
        <v>1</v>
      </c>
    </row>
    <row r="531" spans="1:19" x14ac:dyDescent="0.45">
      <c r="A531" t="s">
        <v>617</v>
      </c>
      <c r="B531" t="s">
        <v>65</v>
      </c>
      <c r="C531" t="s">
        <v>94</v>
      </c>
      <c r="D531" t="s">
        <v>66</v>
      </c>
      <c r="E531" t="s">
        <v>63</v>
      </c>
      <c r="F531" t="str">
        <f t="shared" si="112"/>
        <v>apple iphone 14|gadgets|799.00|Google</v>
      </c>
      <c r="G531" t="b">
        <f t="shared" si="113"/>
        <v>1</v>
      </c>
      <c r="H531" t="str">
        <f t="shared" si="114"/>
        <v>apple iphone 14</v>
      </c>
      <c r="I531" t="str">
        <f t="shared" si="115"/>
        <v>Apple Iphone 14</v>
      </c>
      <c r="J531" t="str">
        <f t="shared" si="116"/>
        <v>Google</v>
      </c>
      <c r="K531" t="str">
        <f t="shared" si="117"/>
        <v>Google</v>
      </c>
      <c r="L531" t="str">
        <f t="shared" si="118"/>
        <v>Gadgets</v>
      </c>
      <c r="M531">
        <f t="shared" si="119"/>
        <v>17</v>
      </c>
      <c r="N531">
        <f t="shared" si="120"/>
        <v>15</v>
      </c>
      <c r="O531" s="6">
        <f t="shared" si="121"/>
        <v>799</v>
      </c>
      <c r="P531" t="str">
        <f t="shared" si="122"/>
        <v>Gadgets</v>
      </c>
      <c r="Q531">
        <f t="shared" si="123"/>
        <v>799</v>
      </c>
      <c r="R531" t="str">
        <f t="shared" si="124"/>
        <v>Apple Iphone 14|Gadgets|799|Google</v>
      </c>
      <c r="S531" t="b">
        <f t="shared" si="125"/>
        <v>1</v>
      </c>
    </row>
    <row r="532" spans="1:19" x14ac:dyDescent="0.45">
      <c r="A532" t="s">
        <v>618</v>
      </c>
      <c r="B532" t="s">
        <v>54</v>
      </c>
      <c r="D532" t="s">
        <v>55</v>
      </c>
      <c r="E532" t="s">
        <v>82</v>
      </c>
      <c r="F532" t="str">
        <f t="shared" si="112"/>
        <v>Samsung galaxy||799|APPLE</v>
      </c>
      <c r="G532" t="b">
        <f t="shared" si="113"/>
        <v>1</v>
      </c>
      <c r="H532" t="str">
        <f t="shared" si="114"/>
        <v>Samsung galaxy</v>
      </c>
      <c r="I532" t="str">
        <f t="shared" si="115"/>
        <v>Samsung Galaxy</v>
      </c>
      <c r="J532" t="str">
        <f t="shared" si="116"/>
        <v>APPLE</v>
      </c>
      <c r="K532" t="str">
        <f t="shared" si="117"/>
        <v>Apple</v>
      </c>
      <c r="L532" t="str">
        <f t="shared" si="118"/>
        <v/>
      </c>
      <c r="M532">
        <f t="shared" si="119"/>
        <v>15</v>
      </c>
      <c r="N532">
        <f t="shared" si="120"/>
        <v>14</v>
      </c>
      <c r="O532" s="6">
        <f t="shared" si="121"/>
        <v>799</v>
      </c>
      <c r="P532" t="str">
        <f t="shared" si="122"/>
        <v>Not Available</v>
      </c>
      <c r="Q532">
        <f t="shared" si="123"/>
        <v>799</v>
      </c>
      <c r="R532" t="str">
        <f t="shared" si="124"/>
        <v>Samsung Galaxy|Not Available|799|Apple</v>
      </c>
      <c r="S532" t="b">
        <f t="shared" si="125"/>
        <v>1</v>
      </c>
    </row>
    <row r="533" spans="1:19" x14ac:dyDescent="0.45">
      <c r="A533" t="s">
        <v>619</v>
      </c>
      <c r="B533" t="s">
        <v>109</v>
      </c>
      <c r="C533" t="s">
        <v>61</v>
      </c>
      <c r="D533" t="s">
        <v>55</v>
      </c>
      <c r="E533" t="s">
        <v>56</v>
      </c>
      <c r="F533" t="str">
        <f t="shared" si="112"/>
        <v>Apple iPhone14|Electrnics|799|GOOGLE</v>
      </c>
      <c r="G533" t="b">
        <f t="shared" si="113"/>
        <v>1</v>
      </c>
      <c r="H533" t="str">
        <f t="shared" si="114"/>
        <v>Apple iPhone14</v>
      </c>
      <c r="I533" t="str">
        <f t="shared" si="115"/>
        <v>Apple Iphone14</v>
      </c>
      <c r="J533" t="str">
        <f t="shared" si="116"/>
        <v>GOOGLE</v>
      </c>
      <c r="K533" t="str">
        <f t="shared" si="117"/>
        <v>Google</v>
      </c>
      <c r="L533" t="str">
        <f t="shared" si="118"/>
        <v>Electronics</v>
      </c>
      <c r="M533">
        <f t="shared" si="119"/>
        <v>15</v>
      </c>
      <c r="N533">
        <f t="shared" si="120"/>
        <v>14</v>
      </c>
      <c r="O533" s="6">
        <f t="shared" si="121"/>
        <v>799</v>
      </c>
      <c r="P533" t="str">
        <f t="shared" si="122"/>
        <v>Electronics</v>
      </c>
      <c r="Q533">
        <f t="shared" si="123"/>
        <v>799</v>
      </c>
      <c r="R533" t="str">
        <f t="shared" si="124"/>
        <v>Apple Iphone14|Electronics|799|Google</v>
      </c>
      <c r="S533" t="b">
        <f t="shared" si="125"/>
        <v>1</v>
      </c>
    </row>
    <row r="534" spans="1:19" x14ac:dyDescent="0.45">
      <c r="A534" t="s">
        <v>620</v>
      </c>
      <c r="B534" t="s">
        <v>78</v>
      </c>
      <c r="C534" t="s">
        <v>61</v>
      </c>
      <c r="D534" t="s">
        <v>81</v>
      </c>
      <c r="E534" t="s">
        <v>56</v>
      </c>
      <c r="F534" t="str">
        <f t="shared" si="112"/>
        <v>samsung Galaxy|Electrnics|$799|GOOGLE</v>
      </c>
      <c r="G534" t="b">
        <f t="shared" si="113"/>
        <v>1</v>
      </c>
      <c r="H534" t="str">
        <f t="shared" si="114"/>
        <v>samsung Galaxy</v>
      </c>
      <c r="I534" t="str">
        <f t="shared" si="115"/>
        <v>Samsung Galaxy</v>
      </c>
      <c r="J534" t="str">
        <f t="shared" si="116"/>
        <v>GOOGLE</v>
      </c>
      <c r="K534" t="str">
        <f t="shared" si="117"/>
        <v>Google</v>
      </c>
      <c r="L534" t="str">
        <f t="shared" si="118"/>
        <v>Electronics</v>
      </c>
      <c r="M534">
        <f t="shared" si="119"/>
        <v>15</v>
      </c>
      <c r="N534">
        <f t="shared" si="120"/>
        <v>14</v>
      </c>
      <c r="O534" s="6">
        <f t="shared" si="121"/>
        <v>799</v>
      </c>
      <c r="P534" t="str">
        <f t="shared" si="122"/>
        <v>Electronics</v>
      </c>
      <c r="Q534">
        <f t="shared" si="123"/>
        <v>799</v>
      </c>
      <c r="R534" t="str">
        <f t="shared" si="124"/>
        <v>Samsung Galaxy|Electronics|799|Google</v>
      </c>
      <c r="S534" t="b">
        <f t="shared" si="125"/>
        <v>1</v>
      </c>
    </row>
    <row r="535" spans="1:19" x14ac:dyDescent="0.45">
      <c r="A535" t="s">
        <v>621</v>
      </c>
      <c r="B535" t="s">
        <v>54</v>
      </c>
      <c r="D535" t="s">
        <v>62</v>
      </c>
      <c r="E535" t="s">
        <v>79</v>
      </c>
      <c r="F535" t="str">
        <f t="shared" si="112"/>
        <v>Samsung galaxy||799.0|Samsung</v>
      </c>
      <c r="G535" t="b">
        <f t="shared" si="113"/>
        <v>1</v>
      </c>
      <c r="H535" t="str">
        <f t="shared" si="114"/>
        <v>Samsung galaxy</v>
      </c>
      <c r="I535" t="str">
        <f t="shared" si="115"/>
        <v>Samsung Galaxy</v>
      </c>
      <c r="J535" t="str">
        <f t="shared" si="116"/>
        <v>Samsung</v>
      </c>
      <c r="K535" t="str">
        <f t="shared" si="117"/>
        <v>Samsung</v>
      </c>
      <c r="L535" t="str">
        <f t="shared" si="118"/>
        <v/>
      </c>
      <c r="M535">
        <f t="shared" si="119"/>
        <v>15</v>
      </c>
      <c r="N535">
        <f t="shared" si="120"/>
        <v>14</v>
      </c>
      <c r="O535" s="6">
        <f t="shared" si="121"/>
        <v>799</v>
      </c>
      <c r="P535" t="str">
        <f t="shared" si="122"/>
        <v>Not Available</v>
      </c>
      <c r="Q535">
        <f t="shared" si="123"/>
        <v>799</v>
      </c>
      <c r="R535" t="str">
        <f t="shared" si="124"/>
        <v>Samsung Galaxy|Not Available|799|Samsung</v>
      </c>
      <c r="S535" t="b">
        <f t="shared" si="125"/>
        <v>1</v>
      </c>
    </row>
    <row r="536" spans="1:19" x14ac:dyDescent="0.45">
      <c r="A536" t="s">
        <v>622</v>
      </c>
      <c r="B536" t="s">
        <v>93</v>
      </c>
      <c r="C536" t="s">
        <v>61</v>
      </c>
      <c r="D536" t="s">
        <v>55</v>
      </c>
      <c r="E536" t="s">
        <v>70</v>
      </c>
      <c r="F536" t="str">
        <f t="shared" si="112"/>
        <v>SAMSUNG GALAXY|Electrnics|799|Samsung</v>
      </c>
      <c r="G536" t="b">
        <f t="shared" si="113"/>
        <v>1</v>
      </c>
      <c r="H536" t="str">
        <f t="shared" si="114"/>
        <v>SAMSUNG GALAXY</v>
      </c>
      <c r="I536" t="str">
        <f t="shared" si="115"/>
        <v>Samsung Galaxy</v>
      </c>
      <c r="J536" t="str">
        <f t="shared" si="116"/>
        <v>Samsung</v>
      </c>
      <c r="K536" t="str">
        <f t="shared" si="117"/>
        <v>Samsung</v>
      </c>
      <c r="L536" t="str">
        <f t="shared" si="118"/>
        <v>Electronics</v>
      </c>
      <c r="M536">
        <f t="shared" si="119"/>
        <v>14</v>
      </c>
      <c r="N536">
        <f t="shared" si="120"/>
        <v>14</v>
      </c>
      <c r="O536" s="6">
        <f t="shared" si="121"/>
        <v>799</v>
      </c>
      <c r="P536" t="str">
        <f t="shared" si="122"/>
        <v>Electronics</v>
      </c>
      <c r="Q536">
        <f t="shared" si="123"/>
        <v>799</v>
      </c>
      <c r="R536" t="str">
        <f t="shared" si="124"/>
        <v>Samsung Galaxy|Electronics|799|Samsung</v>
      </c>
      <c r="S536" t="b">
        <f t="shared" si="125"/>
        <v>1</v>
      </c>
    </row>
    <row r="537" spans="1:19" x14ac:dyDescent="0.45">
      <c r="A537" t="s">
        <v>623</v>
      </c>
      <c r="B537" t="s">
        <v>138</v>
      </c>
      <c r="C537" t="s">
        <v>96</v>
      </c>
      <c r="E537" t="s">
        <v>70</v>
      </c>
      <c r="F537" t="str">
        <f t="shared" si="112"/>
        <v>APPLE IPHONE 14|Gadgets||Samsung</v>
      </c>
      <c r="G537" t="b">
        <f t="shared" si="113"/>
        <v>0</v>
      </c>
      <c r="H537" t="str">
        <f t="shared" si="114"/>
        <v>APPLE IPHONE 14</v>
      </c>
      <c r="I537" t="str">
        <f t="shared" si="115"/>
        <v>Apple Iphone 14</v>
      </c>
      <c r="J537" t="str">
        <f t="shared" si="116"/>
        <v>Samsung</v>
      </c>
      <c r="K537" t="str">
        <f t="shared" si="117"/>
        <v>Samsung</v>
      </c>
      <c r="L537" t="str">
        <f t="shared" si="118"/>
        <v>Gadgets</v>
      </c>
      <c r="M537">
        <f t="shared" si="119"/>
        <v>15</v>
      </c>
      <c r="N537">
        <f t="shared" si="120"/>
        <v>15</v>
      </c>
      <c r="O537" s="6" t="str">
        <f t="shared" si="121"/>
        <v/>
      </c>
      <c r="P537" t="str">
        <f t="shared" si="122"/>
        <v>Gadgets</v>
      </c>
      <c r="Q537" t="str">
        <f t="shared" si="123"/>
        <v>Not Available</v>
      </c>
      <c r="R537" t="str">
        <f t="shared" si="124"/>
        <v>Apple Iphone 14|Gadgets|Not Available|Samsung</v>
      </c>
      <c r="S537" t="b">
        <f t="shared" si="125"/>
        <v>0</v>
      </c>
    </row>
    <row r="538" spans="1:19" x14ac:dyDescent="0.45">
      <c r="A538" t="s">
        <v>624</v>
      </c>
      <c r="B538" t="s">
        <v>109</v>
      </c>
      <c r="C538" t="s">
        <v>85</v>
      </c>
      <c r="E538" t="s">
        <v>70</v>
      </c>
      <c r="F538" t="str">
        <f t="shared" si="112"/>
        <v>Apple iPhone14|electronics||Samsung</v>
      </c>
      <c r="G538" t="b">
        <f t="shared" si="113"/>
        <v>0</v>
      </c>
      <c r="H538" t="str">
        <f t="shared" si="114"/>
        <v>Apple iPhone14</v>
      </c>
      <c r="I538" t="str">
        <f t="shared" si="115"/>
        <v>Apple Iphone14</v>
      </c>
      <c r="J538" t="str">
        <f t="shared" si="116"/>
        <v>Samsung</v>
      </c>
      <c r="K538" t="str">
        <f t="shared" si="117"/>
        <v>Samsung</v>
      </c>
      <c r="L538" t="str">
        <f t="shared" si="118"/>
        <v>Electronics</v>
      </c>
      <c r="M538">
        <f t="shared" si="119"/>
        <v>15</v>
      </c>
      <c r="N538">
        <f t="shared" si="120"/>
        <v>14</v>
      </c>
      <c r="O538" s="6" t="str">
        <f t="shared" si="121"/>
        <v/>
      </c>
      <c r="P538" t="str">
        <f t="shared" si="122"/>
        <v>Electronics</v>
      </c>
      <c r="Q538" t="str">
        <f t="shared" si="123"/>
        <v>Not Available</v>
      </c>
      <c r="R538" t="str">
        <f t="shared" si="124"/>
        <v>Apple Iphone14|Electronics|Not Available|Samsung</v>
      </c>
      <c r="S538" t="b">
        <f t="shared" si="125"/>
        <v>0</v>
      </c>
    </row>
    <row r="539" spans="1:19" x14ac:dyDescent="0.45">
      <c r="A539" t="s">
        <v>625</v>
      </c>
      <c r="B539" t="s">
        <v>106</v>
      </c>
      <c r="D539" t="s">
        <v>74</v>
      </c>
      <c r="E539" t="s">
        <v>56</v>
      </c>
      <c r="F539" t="str">
        <f t="shared" si="112"/>
        <v>Samsung Galaxy||799|GOOGLE</v>
      </c>
      <c r="G539" t="b">
        <f t="shared" si="113"/>
        <v>1</v>
      </c>
      <c r="H539" t="str">
        <f t="shared" si="114"/>
        <v>Samsung Galaxy</v>
      </c>
      <c r="I539" t="str">
        <f t="shared" si="115"/>
        <v>Samsung Galaxy</v>
      </c>
      <c r="J539" t="str">
        <f t="shared" si="116"/>
        <v>GOOGLE</v>
      </c>
      <c r="K539" t="str">
        <f t="shared" si="117"/>
        <v>Google</v>
      </c>
      <c r="L539" t="str">
        <f t="shared" si="118"/>
        <v/>
      </c>
      <c r="M539">
        <f t="shared" si="119"/>
        <v>14</v>
      </c>
      <c r="N539">
        <f t="shared" si="120"/>
        <v>14</v>
      </c>
      <c r="O539" s="6">
        <f t="shared" si="121"/>
        <v>799</v>
      </c>
      <c r="P539" t="str">
        <f t="shared" si="122"/>
        <v>Not Available</v>
      </c>
      <c r="Q539">
        <f t="shared" si="123"/>
        <v>799</v>
      </c>
      <c r="R539" t="str">
        <f t="shared" si="124"/>
        <v>Samsung Galaxy|Not Available|799|Google</v>
      </c>
      <c r="S539" t="b">
        <f t="shared" si="125"/>
        <v>1</v>
      </c>
    </row>
    <row r="540" spans="1:19" x14ac:dyDescent="0.45">
      <c r="A540" t="s">
        <v>626</v>
      </c>
      <c r="B540" t="s">
        <v>78</v>
      </c>
      <c r="C540" t="s">
        <v>61</v>
      </c>
      <c r="E540" t="s">
        <v>79</v>
      </c>
      <c r="F540" t="str">
        <f t="shared" si="112"/>
        <v>samsung Galaxy|Electrnics||Samsung</v>
      </c>
      <c r="G540" t="b">
        <f t="shared" si="113"/>
        <v>0</v>
      </c>
      <c r="H540" t="str">
        <f t="shared" si="114"/>
        <v>samsung Galaxy</v>
      </c>
      <c r="I540" t="str">
        <f t="shared" si="115"/>
        <v>Samsung Galaxy</v>
      </c>
      <c r="J540" t="str">
        <f t="shared" si="116"/>
        <v>Samsung</v>
      </c>
      <c r="K540" t="str">
        <f t="shared" si="117"/>
        <v>Samsung</v>
      </c>
      <c r="L540" t="str">
        <f t="shared" si="118"/>
        <v>Electronics</v>
      </c>
      <c r="M540">
        <f t="shared" si="119"/>
        <v>15</v>
      </c>
      <c r="N540">
        <f t="shared" si="120"/>
        <v>14</v>
      </c>
      <c r="O540" s="6" t="str">
        <f t="shared" si="121"/>
        <v/>
      </c>
      <c r="P540" t="str">
        <f t="shared" si="122"/>
        <v>Electronics</v>
      </c>
      <c r="Q540" t="str">
        <f t="shared" si="123"/>
        <v>Not Available</v>
      </c>
      <c r="R540" t="str">
        <f t="shared" si="124"/>
        <v>Samsung Galaxy|Electronics|Not Available|Samsung</v>
      </c>
      <c r="S540" t="b">
        <f t="shared" si="125"/>
        <v>1</v>
      </c>
    </row>
    <row r="541" spans="1:19" x14ac:dyDescent="0.45">
      <c r="A541" t="s">
        <v>627</v>
      </c>
      <c r="B541" t="s">
        <v>87</v>
      </c>
      <c r="C541" t="s">
        <v>96</v>
      </c>
      <c r="D541" t="s">
        <v>74</v>
      </c>
      <c r="E541" t="s">
        <v>82</v>
      </c>
      <c r="F541" t="str">
        <f t="shared" si="112"/>
        <v>Google Pixel|Gadgets|799|APPLE</v>
      </c>
      <c r="G541" t="b">
        <f t="shared" si="113"/>
        <v>1</v>
      </c>
      <c r="H541" t="str">
        <f t="shared" si="114"/>
        <v>Google Pixel</v>
      </c>
      <c r="I541" t="str">
        <f t="shared" si="115"/>
        <v>Google Pixel</v>
      </c>
      <c r="J541" t="str">
        <f t="shared" si="116"/>
        <v>APPLE</v>
      </c>
      <c r="K541" t="str">
        <f t="shared" si="117"/>
        <v>Apple</v>
      </c>
      <c r="L541" t="str">
        <f t="shared" si="118"/>
        <v>Gadgets</v>
      </c>
      <c r="M541">
        <f t="shared" si="119"/>
        <v>12</v>
      </c>
      <c r="N541">
        <f t="shared" si="120"/>
        <v>12</v>
      </c>
      <c r="O541" s="6">
        <f t="shared" si="121"/>
        <v>799</v>
      </c>
      <c r="P541" t="str">
        <f t="shared" si="122"/>
        <v>Gadgets</v>
      </c>
      <c r="Q541">
        <f t="shared" si="123"/>
        <v>799</v>
      </c>
      <c r="R541" t="str">
        <f t="shared" si="124"/>
        <v>Google Pixel|Gadgets|799|Apple</v>
      </c>
      <c r="S541" t="b">
        <f t="shared" si="125"/>
        <v>1</v>
      </c>
    </row>
    <row r="542" spans="1:19" x14ac:dyDescent="0.45">
      <c r="A542" t="s">
        <v>628</v>
      </c>
      <c r="B542" t="s">
        <v>72</v>
      </c>
      <c r="C542" t="s">
        <v>85</v>
      </c>
      <c r="D542" t="s">
        <v>81</v>
      </c>
      <c r="E542" t="s">
        <v>67</v>
      </c>
      <c r="F542" t="str">
        <f t="shared" si="112"/>
        <v>google pixel|electronics|$799|apple</v>
      </c>
      <c r="G542" t="b">
        <f t="shared" si="113"/>
        <v>1</v>
      </c>
      <c r="H542" t="str">
        <f t="shared" si="114"/>
        <v>google pixel</v>
      </c>
      <c r="I542" t="str">
        <f t="shared" si="115"/>
        <v>Google Pixel</v>
      </c>
      <c r="J542" t="str">
        <f t="shared" si="116"/>
        <v>apple</v>
      </c>
      <c r="K542" t="str">
        <f t="shared" si="117"/>
        <v>Apple</v>
      </c>
      <c r="L542" t="str">
        <f t="shared" si="118"/>
        <v>Electronics</v>
      </c>
      <c r="M542">
        <f t="shared" si="119"/>
        <v>14</v>
      </c>
      <c r="N542">
        <f t="shared" si="120"/>
        <v>12</v>
      </c>
      <c r="O542" s="6">
        <f t="shared" si="121"/>
        <v>799</v>
      </c>
      <c r="P542" t="str">
        <f t="shared" si="122"/>
        <v>Electronics</v>
      </c>
      <c r="Q542">
        <f t="shared" si="123"/>
        <v>799</v>
      </c>
      <c r="R542" t="str">
        <f t="shared" si="124"/>
        <v>Google Pixel|Electronics|799|Apple</v>
      </c>
      <c r="S542" t="b">
        <f t="shared" si="125"/>
        <v>1</v>
      </c>
    </row>
    <row r="543" spans="1:19" x14ac:dyDescent="0.45">
      <c r="A543" t="s">
        <v>629</v>
      </c>
      <c r="B543" t="s">
        <v>65</v>
      </c>
      <c r="C543" t="s">
        <v>61</v>
      </c>
      <c r="D543" t="s">
        <v>55</v>
      </c>
      <c r="E543" t="s">
        <v>82</v>
      </c>
      <c r="F543" t="str">
        <f t="shared" si="112"/>
        <v>apple iphone 14|Electrnics|799|APPLE</v>
      </c>
      <c r="G543" t="b">
        <f t="shared" si="113"/>
        <v>1</v>
      </c>
      <c r="H543" t="str">
        <f t="shared" si="114"/>
        <v>apple iphone 14</v>
      </c>
      <c r="I543" t="str">
        <f t="shared" si="115"/>
        <v>Apple Iphone 14</v>
      </c>
      <c r="J543" t="str">
        <f t="shared" si="116"/>
        <v>APPLE</v>
      </c>
      <c r="K543" t="str">
        <f t="shared" si="117"/>
        <v>Apple</v>
      </c>
      <c r="L543" t="str">
        <f t="shared" si="118"/>
        <v>Electronics</v>
      </c>
      <c r="M543">
        <f t="shared" si="119"/>
        <v>17</v>
      </c>
      <c r="N543">
        <f t="shared" si="120"/>
        <v>15</v>
      </c>
      <c r="O543" s="6">
        <f t="shared" si="121"/>
        <v>799</v>
      </c>
      <c r="P543" t="str">
        <f t="shared" si="122"/>
        <v>Electronics</v>
      </c>
      <c r="Q543">
        <f t="shared" si="123"/>
        <v>799</v>
      </c>
      <c r="R543" t="str">
        <f t="shared" si="124"/>
        <v>Apple Iphone 14|Electronics|799|Apple</v>
      </c>
      <c r="S543" t="b">
        <f t="shared" si="125"/>
        <v>1</v>
      </c>
    </row>
    <row r="544" spans="1:19" x14ac:dyDescent="0.45">
      <c r="A544" t="s">
        <v>630</v>
      </c>
      <c r="B544" t="s">
        <v>54</v>
      </c>
      <c r="C544" t="s">
        <v>123</v>
      </c>
      <c r="D544" t="s">
        <v>88</v>
      </c>
      <c r="E544" t="s">
        <v>63</v>
      </c>
      <c r="F544" t="str">
        <f t="shared" si="112"/>
        <v>Samsung galaxy|Electronics|USD 799|Google</v>
      </c>
      <c r="G544" t="b">
        <f t="shared" si="113"/>
        <v>1</v>
      </c>
      <c r="H544" t="str">
        <f t="shared" si="114"/>
        <v>Samsung galaxy</v>
      </c>
      <c r="I544" t="str">
        <f t="shared" si="115"/>
        <v>Samsung Galaxy</v>
      </c>
      <c r="J544" t="str">
        <f t="shared" si="116"/>
        <v>Google</v>
      </c>
      <c r="K544" t="str">
        <f t="shared" si="117"/>
        <v>Google</v>
      </c>
      <c r="L544" t="str">
        <f t="shared" si="118"/>
        <v>Electronics</v>
      </c>
      <c r="M544">
        <f t="shared" si="119"/>
        <v>15</v>
      </c>
      <c r="N544">
        <f t="shared" si="120"/>
        <v>14</v>
      </c>
      <c r="O544" s="6">
        <f t="shared" si="121"/>
        <v>799</v>
      </c>
      <c r="P544" t="str">
        <f t="shared" si="122"/>
        <v>Electronics</v>
      </c>
      <c r="Q544">
        <f t="shared" si="123"/>
        <v>799</v>
      </c>
      <c r="R544" t="str">
        <f t="shared" si="124"/>
        <v>Samsung Galaxy|Electronics|799|Google</v>
      </c>
      <c r="S544" t="b">
        <f t="shared" si="125"/>
        <v>1</v>
      </c>
    </row>
    <row r="545" spans="1:19" x14ac:dyDescent="0.45">
      <c r="A545" t="s">
        <v>631</v>
      </c>
      <c r="B545" t="s">
        <v>54</v>
      </c>
      <c r="C545" t="s">
        <v>85</v>
      </c>
      <c r="D545" t="s">
        <v>66</v>
      </c>
      <c r="E545" t="s">
        <v>75</v>
      </c>
      <c r="F545" t="str">
        <f t="shared" si="112"/>
        <v>Samsung galaxy|electronics|799.00|google</v>
      </c>
      <c r="G545" t="b">
        <f t="shared" si="113"/>
        <v>1</v>
      </c>
      <c r="H545" t="str">
        <f t="shared" si="114"/>
        <v>Samsung galaxy</v>
      </c>
      <c r="I545" t="str">
        <f t="shared" si="115"/>
        <v>Samsung Galaxy</v>
      </c>
      <c r="J545" t="str">
        <f t="shared" si="116"/>
        <v>google</v>
      </c>
      <c r="K545" t="str">
        <f t="shared" si="117"/>
        <v>Google</v>
      </c>
      <c r="L545" t="str">
        <f t="shared" si="118"/>
        <v>Electronics</v>
      </c>
      <c r="M545">
        <f t="shared" si="119"/>
        <v>15</v>
      </c>
      <c r="N545">
        <f t="shared" si="120"/>
        <v>14</v>
      </c>
      <c r="O545" s="6">
        <f t="shared" si="121"/>
        <v>799</v>
      </c>
      <c r="P545" t="str">
        <f t="shared" si="122"/>
        <v>Electronics</v>
      </c>
      <c r="Q545">
        <f t="shared" si="123"/>
        <v>799</v>
      </c>
      <c r="R545" t="str">
        <f t="shared" si="124"/>
        <v>Samsung Galaxy|Electronics|799|Google</v>
      </c>
      <c r="S545" t="b">
        <f t="shared" si="125"/>
        <v>1</v>
      </c>
    </row>
    <row r="546" spans="1:19" x14ac:dyDescent="0.45">
      <c r="A546" t="s">
        <v>632</v>
      </c>
      <c r="B546" t="s">
        <v>60</v>
      </c>
      <c r="C546" t="s">
        <v>73</v>
      </c>
      <c r="D546" t="s">
        <v>88</v>
      </c>
      <c r="E546" t="s">
        <v>75</v>
      </c>
      <c r="F546" t="str">
        <f t="shared" si="112"/>
        <v>apple iPhone 14|Electro|USD 799|google</v>
      </c>
      <c r="G546" t="b">
        <f t="shared" si="113"/>
        <v>0</v>
      </c>
      <c r="H546" t="str">
        <f t="shared" si="114"/>
        <v>apple iPhone 14</v>
      </c>
      <c r="I546" t="str">
        <f t="shared" si="115"/>
        <v>Apple Iphone 14</v>
      </c>
      <c r="J546" t="str">
        <f t="shared" si="116"/>
        <v>google</v>
      </c>
      <c r="K546" t="str">
        <f t="shared" si="117"/>
        <v>Google</v>
      </c>
      <c r="L546" t="str">
        <f t="shared" si="118"/>
        <v>Electronics</v>
      </c>
      <c r="M546">
        <f t="shared" si="119"/>
        <v>15</v>
      </c>
      <c r="N546">
        <f t="shared" si="120"/>
        <v>15</v>
      </c>
      <c r="O546" s="6">
        <f t="shared" si="121"/>
        <v>799</v>
      </c>
      <c r="P546" t="str">
        <f t="shared" si="122"/>
        <v>Electronics</v>
      </c>
      <c r="Q546">
        <f t="shared" si="123"/>
        <v>799</v>
      </c>
      <c r="R546" t="str">
        <f t="shared" si="124"/>
        <v>Apple Iphone 14|Electronics|799|Google</v>
      </c>
      <c r="S546" t="b">
        <f t="shared" si="125"/>
        <v>1</v>
      </c>
    </row>
    <row r="547" spans="1:19" x14ac:dyDescent="0.45">
      <c r="A547" t="s">
        <v>633</v>
      </c>
      <c r="B547" t="s">
        <v>78</v>
      </c>
      <c r="C547" t="s">
        <v>94</v>
      </c>
      <c r="D547" t="s">
        <v>74</v>
      </c>
      <c r="E547" t="s">
        <v>89</v>
      </c>
      <c r="F547" t="str">
        <f t="shared" si="112"/>
        <v>samsung Galaxy|gadgets|799|Apple</v>
      </c>
      <c r="G547" t="b">
        <f t="shared" si="113"/>
        <v>1</v>
      </c>
      <c r="H547" t="str">
        <f t="shared" si="114"/>
        <v>samsung Galaxy</v>
      </c>
      <c r="I547" t="str">
        <f t="shared" si="115"/>
        <v>Samsung Galaxy</v>
      </c>
      <c r="J547" t="str">
        <f t="shared" si="116"/>
        <v>Apple</v>
      </c>
      <c r="K547" t="str">
        <f t="shared" si="117"/>
        <v>Apple</v>
      </c>
      <c r="L547" t="str">
        <f t="shared" si="118"/>
        <v>Gadgets</v>
      </c>
      <c r="M547">
        <f t="shared" si="119"/>
        <v>15</v>
      </c>
      <c r="N547">
        <f t="shared" si="120"/>
        <v>14</v>
      </c>
      <c r="O547" s="6">
        <f t="shared" si="121"/>
        <v>799</v>
      </c>
      <c r="P547" t="str">
        <f t="shared" si="122"/>
        <v>Gadgets</v>
      </c>
      <c r="Q547">
        <f t="shared" si="123"/>
        <v>799</v>
      </c>
      <c r="R547" t="str">
        <f t="shared" si="124"/>
        <v>Samsung Galaxy|Gadgets|799|Apple</v>
      </c>
      <c r="S547" t="b">
        <f t="shared" si="125"/>
        <v>1</v>
      </c>
    </row>
    <row r="548" spans="1:19" x14ac:dyDescent="0.45">
      <c r="A548" t="s">
        <v>634</v>
      </c>
      <c r="B548" t="s">
        <v>138</v>
      </c>
      <c r="C548" t="s">
        <v>123</v>
      </c>
      <c r="D548" t="s">
        <v>88</v>
      </c>
      <c r="E548" t="s">
        <v>63</v>
      </c>
      <c r="F548" t="str">
        <f t="shared" si="112"/>
        <v>APPLE IPHONE 14|Electronics|USD 799|Google</v>
      </c>
      <c r="G548" t="b">
        <f t="shared" si="113"/>
        <v>1</v>
      </c>
      <c r="H548" t="str">
        <f t="shared" si="114"/>
        <v>APPLE IPHONE 14</v>
      </c>
      <c r="I548" t="str">
        <f t="shared" si="115"/>
        <v>Apple Iphone 14</v>
      </c>
      <c r="J548" t="str">
        <f t="shared" si="116"/>
        <v>Google</v>
      </c>
      <c r="K548" t="str">
        <f t="shared" si="117"/>
        <v>Google</v>
      </c>
      <c r="L548" t="str">
        <f t="shared" si="118"/>
        <v>Electronics</v>
      </c>
      <c r="M548">
        <f t="shared" si="119"/>
        <v>15</v>
      </c>
      <c r="N548">
        <f t="shared" si="120"/>
        <v>15</v>
      </c>
      <c r="O548" s="6">
        <f t="shared" si="121"/>
        <v>799</v>
      </c>
      <c r="P548" t="str">
        <f t="shared" si="122"/>
        <v>Electronics</v>
      </c>
      <c r="Q548">
        <f t="shared" si="123"/>
        <v>799</v>
      </c>
      <c r="R548" t="str">
        <f t="shared" si="124"/>
        <v>Apple Iphone 14|Electronics|799|Google</v>
      </c>
      <c r="S548" t="b">
        <f t="shared" si="125"/>
        <v>1</v>
      </c>
    </row>
    <row r="549" spans="1:19" x14ac:dyDescent="0.45">
      <c r="A549" t="s">
        <v>635</v>
      </c>
      <c r="B549" t="s">
        <v>102</v>
      </c>
      <c r="C549" t="s">
        <v>61</v>
      </c>
      <c r="D549" t="s">
        <v>88</v>
      </c>
      <c r="E549" t="s">
        <v>75</v>
      </c>
      <c r="F549" t="str">
        <f t="shared" si="112"/>
        <v>GOOGLE PIXEL|Electrnics|USD 799|google</v>
      </c>
      <c r="G549" t="b">
        <f t="shared" si="113"/>
        <v>1</v>
      </c>
      <c r="H549" t="str">
        <f t="shared" si="114"/>
        <v>GOOGLE PIXEL</v>
      </c>
      <c r="I549" t="str">
        <f t="shared" si="115"/>
        <v>Google Pixel</v>
      </c>
      <c r="J549" t="str">
        <f t="shared" si="116"/>
        <v>google</v>
      </c>
      <c r="K549" t="str">
        <f t="shared" si="117"/>
        <v>Google</v>
      </c>
      <c r="L549" t="str">
        <f t="shared" si="118"/>
        <v>Electronics</v>
      </c>
      <c r="M549">
        <f t="shared" si="119"/>
        <v>13</v>
      </c>
      <c r="N549">
        <f t="shared" si="120"/>
        <v>12</v>
      </c>
      <c r="O549" s="6">
        <f t="shared" si="121"/>
        <v>799</v>
      </c>
      <c r="P549" t="str">
        <f t="shared" si="122"/>
        <v>Electronics</v>
      </c>
      <c r="Q549">
        <f t="shared" si="123"/>
        <v>799</v>
      </c>
      <c r="R549" t="str">
        <f t="shared" si="124"/>
        <v>Google Pixel|Electronics|799|Google</v>
      </c>
      <c r="S549" t="b">
        <f t="shared" si="125"/>
        <v>1</v>
      </c>
    </row>
    <row r="550" spans="1:19" x14ac:dyDescent="0.45">
      <c r="A550" t="s">
        <v>636</v>
      </c>
      <c r="B550" t="s">
        <v>102</v>
      </c>
      <c r="D550" t="s">
        <v>62</v>
      </c>
      <c r="E550" t="s">
        <v>63</v>
      </c>
      <c r="F550" t="str">
        <f t="shared" si="112"/>
        <v>GOOGLE PIXEL||799.0|Google</v>
      </c>
      <c r="G550" t="b">
        <f t="shared" si="113"/>
        <v>1</v>
      </c>
      <c r="H550" t="str">
        <f t="shared" si="114"/>
        <v>GOOGLE PIXEL</v>
      </c>
      <c r="I550" t="str">
        <f t="shared" si="115"/>
        <v>Google Pixel</v>
      </c>
      <c r="J550" t="str">
        <f t="shared" si="116"/>
        <v>Google</v>
      </c>
      <c r="K550" t="str">
        <f t="shared" si="117"/>
        <v>Google</v>
      </c>
      <c r="L550" t="str">
        <f t="shared" si="118"/>
        <v/>
      </c>
      <c r="M550">
        <f t="shared" si="119"/>
        <v>13</v>
      </c>
      <c r="N550">
        <f t="shared" si="120"/>
        <v>12</v>
      </c>
      <c r="O550" s="6">
        <f t="shared" si="121"/>
        <v>799</v>
      </c>
      <c r="P550" t="str">
        <f t="shared" si="122"/>
        <v>Not Available</v>
      </c>
      <c r="Q550">
        <f t="shared" si="123"/>
        <v>799</v>
      </c>
      <c r="R550" t="str">
        <f t="shared" si="124"/>
        <v>Google Pixel|Not Available|799|Google</v>
      </c>
      <c r="S550" t="b">
        <f t="shared" si="125"/>
        <v>1</v>
      </c>
    </row>
    <row r="551" spans="1:19" x14ac:dyDescent="0.45">
      <c r="A551" t="s">
        <v>637</v>
      </c>
      <c r="B551" t="s">
        <v>65</v>
      </c>
      <c r="C551" t="s">
        <v>73</v>
      </c>
      <c r="D551" t="s">
        <v>66</v>
      </c>
      <c r="E551" t="s">
        <v>89</v>
      </c>
      <c r="F551" t="str">
        <f t="shared" si="112"/>
        <v>apple iphone 14|Electro|799.00|Apple</v>
      </c>
      <c r="G551" t="b">
        <f t="shared" si="113"/>
        <v>1</v>
      </c>
      <c r="H551" t="str">
        <f t="shared" si="114"/>
        <v>apple iphone 14</v>
      </c>
      <c r="I551" t="str">
        <f t="shared" si="115"/>
        <v>Apple Iphone 14</v>
      </c>
      <c r="J551" t="str">
        <f t="shared" si="116"/>
        <v>Apple</v>
      </c>
      <c r="K551" t="str">
        <f t="shared" si="117"/>
        <v>Apple</v>
      </c>
      <c r="L551" t="str">
        <f t="shared" si="118"/>
        <v>Electronics</v>
      </c>
      <c r="M551">
        <f t="shared" si="119"/>
        <v>17</v>
      </c>
      <c r="N551">
        <f t="shared" si="120"/>
        <v>15</v>
      </c>
      <c r="O551" s="6">
        <f t="shared" si="121"/>
        <v>799</v>
      </c>
      <c r="P551" t="str">
        <f t="shared" si="122"/>
        <v>Electronics</v>
      </c>
      <c r="Q551">
        <f t="shared" si="123"/>
        <v>799</v>
      </c>
      <c r="R551" t="str">
        <f t="shared" si="124"/>
        <v>Apple Iphone 14|Electronics|799|Apple</v>
      </c>
      <c r="S551" t="b">
        <f t="shared" si="125"/>
        <v>1</v>
      </c>
    </row>
    <row r="552" spans="1:19" x14ac:dyDescent="0.45">
      <c r="A552" t="s">
        <v>638</v>
      </c>
      <c r="B552" t="s">
        <v>102</v>
      </c>
      <c r="C552" t="s">
        <v>73</v>
      </c>
      <c r="D552" t="s">
        <v>66</v>
      </c>
      <c r="E552" t="s">
        <v>91</v>
      </c>
      <c r="F552" t="str">
        <f t="shared" si="112"/>
        <v>GOOGLE PIXEL|Electro|799.00|Apple</v>
      </c>
      <c r="G552" t="b">
        <f t="shared" si="113"/>
        <v>1</v>
      </c>
      <c r="H552" t="str">
        <f t="shared" si="114"/>
        <v>GOOGLE PIXEL</v>
      </c>
      <c r="I552" t="str">
        <f t="shared" si="115"/>
        <v>Google Pixel</v>
      </c>
      <c r="J552" t="str">
        <f t="shared" si="116"/>
        <v>Apple</v>
      </c>
      <c r="K552" t="str">
        <f t="shared" si="117"/>
        <v>Apple</v>
      </c>
      <c r="L552" t="str">
        <f t="shared" si="118"/>
        <v>Electronics</v>
      </c>
      <c r="M552">
        <f t="shared" si="119"/>
        <v>13</v>
      </c>
      <c r="N552">
        <f t="shared" si="120"/>
        <v>12</v>
      </c>
      <c r="O552" s="6">
        <f t="shared" si="121"/>
        <v>799</v>
      </c>
      <c r="P552" t="str">
        <f t="shared" si="122"/>
        <v>Electronics</v>
      </c>
      <c r="Q552">
        <f t="shared" si="123"/>
        <v>799</v>
      </c>
      <c r="R552" t="str">
        <f t="shared" si="124"/>
        <v>Google Pixel|Electronics|799|Apple</v>
      </c>
      <c r="S552" t="b">
        <f t="shared" si="125"/>
        <v>1</v>
      </c>
    </row>
    <row r="553" spans="1:19" x14ac:dyDescent="0.45">
      <c r="A553" t="s">
        <v>639</v>
      </c>
      <c r="B553" t="s">
        <v>78</v>
      </c>
      <c r="C553" t="s">
        <v>96</v>
      </c>
      <c r="D553" t="s">
        <v>69</v>
      </c>
      <c r="E553" t="s">
        <v>70</v>
      </c>
      <c r="F553" t="str">
        <f t="shared" si="112"/>
        <v>samsung Galaxy|Gadgets|799|Samsung</v>
      </c>
      <c r="G553" t="b">
        <f t="shared" si="113"/>
        <v>1</v>
      </c>
      <c r="H553" t="str">
        <f t="shared" si="114"/>
        <v>samsung Galaxy</v>
      </c>
      <c r="I553" t="str">
        <f t="shared" si="115"/>
        <v>Samsung Galaxy</v>
      </c>
      <c r="J553" t="str">
        <f t="shared" si="116"/>
        <v>Samsung</v>
      </c>
      <c r="K553" t="str">
        <f t="shared" si="117"/>
        <v>Samsung</v>
      </c>
      <c r="L553" t="str">
        <f t="shared" si="118"/>
        <v>Gadgets</v>
      </c>
      <c r="M553">
        <f t="shared" si="119"/>
        <v>15</v>
      </c>
      <c r="N553">
        <f t="shared" si="120"/>
        <v>14</v>
      </c>
      <c r="O553" s="6">
        <f t="shared" si="121"/>
        <v>799</v>
      </c>
      <c r="P553" t="str">
        <f t="shared" si="122"/>
        <v>Gadgets</v>
      </c>
      <c r="Q553">
        <f t="shared" si="123"/>
        <v>799</v>
      </c>
      <c r="R553" t="str">
        <f t="shared" si="124"/>
        <v>Samsung Galaxy|Gadgets|799|Samsung</v>
      </c>
      <c r="S553" t="b">
        <f t="shared" si="125"/>
        <v>1</v>
      </c>
    </row>
    <row r="554" spans="1:19" x14ac:dyDescent="0.45">
      <c r="A554" t="s">
        <v>640</v>
      </c>
      <c r="B554" t="s">
        <v>138</v>
      </c>
      <c r="C554" t="s">
        <v>73</v>
      </c>
      <c r="E554" t="s">
        <v>112</v>
      </c>
      <c r="F554" t="str">
        <f t="shared" si="112"/>
        <v>APPLE IPHONE 14|Electro||SAMSUNG</v>
      </c>
      <c r="G554" t="b">
        <f t="shared" si="113"/>
        <v>0</v>
      </c>
      <c r="H554" t="str">
        <f t="shared" si="114"/>
        <v>APPLE IPHONE 14</v>
      </c>
      <c r="I554" t="str">
        <f t="shared" si="115"/>
        <v>Apple Iphone 14</v>
      </c>
      <c r="J554" t="str">
        <f t="shared" si="116"/>
        <v>SAMSUNG</v>
      </c>
      <c r="K554" t="str">
        <f t="shared" si="117"/>
        <v>Samsung</v>
      </c>
      <c r="L554" t="str">
        <f t="shared" si="118"/>
        <v>Electronics</v>
      </c>
      <c r="M554">
        <f t="shared" si="119"/>
        <v>15</v>
      </c>
      <c r="N554">
        <f t="shared" si="120"/>
        <v>15</v>
      </c>
      <c r="O554" s="6" t="str">
        <f t="shared" si="121"/>
        <v/>
      </c>
      <c r="P554" t="str">
        <f t="shared" si="122"/>
        <v>Electronics</v>
      </c>
      <c r="Q554" t="str">
        <f t="shared" si="123"/>
        <v>Not Available</v>
      </c>
      <c r="R554" t="str">
        <f t="shared" si="124"/>
        <v>Apple Iphone 14|Electronics|Not Available|Samsung</v>
      </c>
      <c r="S554" t="b">
        <f t="shared" si="125"/>
        <v>1</v>
      </c>
    </row>
    <row r="555" spans="1:19" x14ac:dyDescent="0.45">
      <c r="A555" t="s">
        <v>641</v>
      </c>
      <c r="B555" t="s">
        <v>60</v>
      </c>
      <c r="C555" t="s">
        <v>94</v>
      </c>
      <c r="D555" t="s">
        <v>66</v>
      </c>
      <c r="E555" t="s">
        <v>70</v>
      </c>
      <c r="F555" t="str">
        <f t="shared" si="112"/>
        <v>apple iPhone 14|gadgets|799.00|Samsung</v>
      </c>
      <c r="G555" t="b">
        <f t="shared" si="113"/>
        <v>0</v>
      </c>
      <c r="H555" t="str">
        <f t="shared" si="114"/>
        <v>apple iPhone 14</v>
      </c>
      <c r="I555" t="str">
        <f t="shared" si="115"/>
        <v>Apple Iphone 14</v>
      </c>
      <c r="J555" t="str">
        <f t="shared" si="116"/>
        <v>Samsung</v>
      </c>
      <c r="K555" t="str">
        <f t="shared" si="117"/>
        <v>Samsung</v>
      </c>
      <c r="L555" t="str">
        <f t="shared" si="118"/>
        <v>Gadgets</v>
      </c>
      <c r="M555">
        <f t="shared" si="119"/>
        <v>15</v>
      </c>
      <c r="N555">
        <f t="shared" si="120"/>
        <v>15</v>
      </c>
      <c r="O555" s="6">
        <f t="shared" si="121"/>
        <v>799</v>
      </c>
      <c r="P555" t="str">
        <f t="shared" si="122"/>
        <v>Gadgets</v>
      </c>
      <c r="Q555">
        <f t="shared" si="123"/>
        <v>799</v>
      </c>
      <c r="R555" t="str">
        <f t="shared" si="124"/>
        <v>Apple Iphone 14|Gadgets|799|Samsung</v>
      </c>
      <c r="S555" t="b">
        <f t="shared" si="125"/>
        <v>1</v>
      </c>
    </row>
    <row r="556" spans="1:19" x14ac:dyDescent="0.45">
      <c r="A556" t="s">
        <v>642</v>
      </c>
      <c r="B556" t="s">
        <v>54</v>
      </c>
      <c r="C556" t="s">
        <v>85</v>
      </c>
      <c r="D556" t="s">
        <v>81</v>
      </c>
      <c r="E556" t="s">
        <v>82</v>
      </c>
      <c r="F556" t="str">
        <f t="shared" si="112"/>
        <v>Samsung galaxy|electronics|$799|APPLE</v>
      </c>
      <c r="G556" t="b">
        <f t="shared" si="113"/>
        <v>1</v>
      </c>
      <c r="H556" t="str">
        <f t="shared" si="114"/>
        <v>Samsung galaxy</v>
      </c>
      <c r="I556" t="str">
        <f t="shared" si="115"/>
        <v>Samsung Galaxy</v>
      </c>
      <c r="J556" t="str">
        <f t="shared" si="116"/>
        <v>APPLE</v>
      </c>
      <c r="K556" t="str">
        <f t="shared" si="117"/>
        <v>Apple</v>
      </c>
      <c r="L556" t="str">
        <f t="shared" si="118"/>
        <v>Electronics</v>
      </c>
      <c r="M556">
        <f t="shared" si="119"/>
        <v>15</v>
      </c>
      <c r="N556">
        <f t="shared" si="120"/>
        <v>14</v>
      </c>
      <c r="O556" s="6">
        <f t="shared" si="121"/>
        <v>799</v>
      </c>
      <c r="P556" t="str">
        <f t="shared" si="122"/>
        <v>Electronics</v>
      </c>
      <c r="Q556">
        <f t="shared" si="123"/>
        <v>799</v>
      </c>
      <c r="R556" t="str">
        <f t="shared" si="124"/>
        <v>Samsung Galaxy|Electronics|799|Apple</v>
      </c>
      <c r="S556" t="b">
        <f t="shared" si="125"/>
        <v>1</v>
      </c>
    </row>
    <row r="557" spans="1:19" x14ac:dyDescent="0.45">
      <c r="A557" t="s">
        <v>643</v>
      </c>
      <c r="B557" t="s">
        <v>102</v>
      </c>
      <c r="C557" t="s">
        <v>61</v>
      </c>
      <c r="D557" t="s">
        <v>69</v>
      </c>
      <c r="E557" t="s">
        <v>82</v>
      </c>
      <c r="F557" t="str">
        <f t="shared" si="112"/>
        <v>GOOGLE PIXEL|Electrnics|799|APPLE</v>
      </c>
      <c r="G557" t="b">
        <f t="shared" si="113"/>
        <v>1</v>
      </c>
      <c r="H557" t="str">
        <f t="shared" si="114"/>
        <v>GOOGLE PIXEL</v>
      </c>
      <c r="I557" t="str">
        <f t="shared" si="115"/>
        <v>Google Pixel</v>
      </c>
      <c r="J557" t="str">
        <f t="shared" si="116"/>
        <v>APPLE</v>
      </c>
      <c r="K557" t="str">
        <f t="shared" si="117"/>
        <v>Apple</v>
      </c>
      <c r="L557" t="str">
        <f t="shared" si="118"/>
        <v>Electronics</v>
      </c>
      <c r="M557">
        <f t="shared" si="119"/>
        <v>13</v>
      </c>
      <c r="N557">
        <f t="shared" si="120"/>
        <v>12</v>
      </c>
      <c r="O557" s="6">
        <f t="shared" si="121"/>
        <v>799</v>
      </c>
      <c r="P557" t="str">
        <f t="shared" si="122"/>
        <v>Electronics</v>
      </c>
      <c r="Q557">
        <f t="shared" si="123"/>
        <v>799</v>
      </c>
      <c r="R557" t="str">
        <f t="shared" si="124"/>
        <v>Google Pixel|Electronics|799|Apple</v>
      </c>
      <c r="S557" t="b">
        <f t="shared" si="125"/>
        <v>1</v>
      </c>
    </row>
    <row r="558" spans="1:19" x14ac:dyDescent="0.45">
      <c r="A558" t="s">
        <v>644</v>
      </c>
      <c r="B558" t="s">
        <v>54</v>
      </c>
      <c r="D558" t="s">
        <v>55</v>
      </c>
      <c r="E558" t="s">
        <v>82</v>
      </c>
      <c r="F558" t="str">
        <f t="shared" si="112"/>
        <v>Samsung galaxy||799|APPLE</v>
      </c>
      <c r="G558" t="b">
        <f t="shared" si="113"/>
        <v>1</v>
      </c>
      <c r="H558" t="str">
        <f t="shared" si="114"/>
        <v>Samsung galaxy</v>
      </c>
      <c r="I558" t="str">
        <f t="shared" si="115"/>
        <v>Samsung Galaxy</v>
      </c>
      <c r="J558" t="str">
        <f t="shared" si="116"/>
        <v>APPLE</v>
      </c>
      <c r="K558" t="str">
        <f t="shared" si="117"/>
        <v>Apple</v>
      </c>
      <c r="L558" t="str">
        <f t="shared" si="118"/>
        <v/>
      </c>
      <c r="M558">
        <f t="shared" si="119"/>
        <v>15</v>
      </c>
      <c r="N558">
        <f t="shared" si="120"/>
        <v>14</v>
      </c>
      <c r="O558" s="6">
        <f t="shared" si="121"/>
        <v>799</v>
      </c>
      <c r="P558" t="str">
        <f t="shared" si="122"/>
        <v>Not Available</v>
      </c>
      <c r="Q558">
        <f t="shared" si="123"/>
        <v>799</v>
      </c>
      <c r="R558" t="str">
        <f t="shared" si="124"/>
        <v>Samsung Galaxy|Not Available|799|Apple</v>
      </c>
      <c r="S558" t="b">
        <f t="shared" si="125"/>
        <v>1</v>
      </c>
    </row>
    <row r="559" spans="1:19" x14ac:dyDescent="0.45">
      <c r="A559" t="s">
        <v>645</v>
      </c>
      <c r="B559" t="s">
        <v>78</v>
      </c>
      <c r="C559" t="s">
        <v>96</v>
      </c>
      <c r="D559" t="s">
        <v>69</v>
      </c>
      <c r="E559" t="s">
        <v>56</v>
      </c>
      <c r="F559" t="str">
        <f t="shared" si="112"/>
        <v>samsung Galaxy|Gadgets|799|GOOGLE</v>
      </c>
      <c r="G559" t="b">
        <f t="shared" si="113"/>
        <v>1</v>
      </c>
      <c r="H559" t="str">
        <f t="shared" si="114"/>
        <v>samsung Galaxy</v>
      </c>
      <c r="I559" t="str">
        <f t="shared" si="115"/>
        <v>Samsung Galaxy</v>
      </c>
      <c r="J559" t="str">
        <f t="shared" si="116"/>
        <v>GOOGLE</v>
      </c>
      <c r="K559" t="str">
        <f t="shared" si="117"/>
        <v>Google</v>
      </c>
      <c r="L559" t="str">
        <f t="shared" si="118"/>
        <v>Gadgets</v>
      </c>
      <c r="M559">
        <f t="shared" si="119"/>
        <v>15</v>
      </c>
      <c r="N559">
        <f t="shared" si="120"/>
        <v>14</v>
      </c>
      <c r="O559" s="6">
        <f t="shared" si="121"/>
        <v>799</v>
      </c>
      <c r="P559" t="str">
        <f t="shared" si="122"/>
        <v>Gadgets</v>
      </c>
      <c r="Q559">
        <f t="shared" si="123"/>
        <v>799</v>
      </c>
      <c r="R559" t="str">
        <f t="shared" si="124"/>
        <v>Samsung Galaxy|Gadgets|799|Google</v>
      </c>
      <c r="S559" t="b">
        <f t="shared" si="125"/>
        <v>1</v>
      </c>
    </row>
    <row r="560" spans="1:19" x14ac:dyDescent="0.45">
      <c r="A560" t="s">
        <v>646</v>
      </c>
      <c r="B560" t="s">
        <v>87</v>
      </c>
      <c r="C560" t="s">
        <v>94</v>
      </c>
      <c r="D560" t="s">
        <v>88</v>
      </c>
      <c r="E560" t="s">
        <v>70</v>
      </c>
      <c r="F560" t="str">
        <f t="shared" si="112"/>
        <v>Google Pixel|gadgets|USD 799|Samsung</v>
      </c>
      <c r="G560" t="b">
        <f t="shared" si="113"/>
        <v>1</v>
      </c>
      <c r="H560" t="str">
        <f t="shared" si="114"/>
        <v>Google Pixel</v>
      </c>
      <c r="I560" t="str">
        <f t="shared" si="115"/>
        <v>Google Pixel</v>
      </c>
      <c r="J560" t="str">
        <f t="shared" si="116"/>
        <v>Samsung</v>
      </c>
      <c r="K560" t="str">
        <f t="shared" si="117"/>
        <v>Samsung</v>
      </c>
      <c r="L560" t="str">
        <f t="shared" si="118"/>
        <v>Gadgets</v>
      </c>
      <c r="M560">
        <f t="shared" si="119"/>
        <v>12</v>
      </c>
      <c r="N560">
        <f t="shared" si="120"/>
        <v>12</v>
      </c>
      <c r="O560" s="6">
        <f t="shared" si="121"/>
        <v>799</v>
      </c>
      <c r="P560" t="str">
        <f t="shared" si="122"/>
        <v>Gadgets</v>
      </c>
      <c r="Q560">
        <f t="shared" si="123"/>
        <v>799</v>
      </c>
      <c r="R560" t="str">
        <f t="shared" si="124"/>
        <v>Google Pixel|Gadgets|799|Samsung</v>
      </c>
      <c r="S560" t="b">
        <f t="shared" si="125"/>
        <v>1</v>
      </c>
    </row>
    <row r="561" spans="1:19" x14ac:dyDescent="0.45">
      <c r="A561" t="s">
        <v>647</v>
      </c>
      <c r="B561" t="s">
        <v>138</v>
      </c>
      <c r="C561" t="s">
        <v>96</v>
      </c>
      <c r="D561" t="s">
        <v>66</v>
      </c>
      <c r="E561" t="s">
        <v>67</v>
      </c>
      <c r="F561" t="str">
        <f t="shared" si="112"/>
        <v>APPLE IPHONE 14|Gadgets|799.00|apple</v>
      </c>
      <c r="G561" t="b">
        <f t="shared" si="113"/>
        <v>1</v>
      </c>
      <c r="H561" t="str">
        <f t="shared" si="114"/>
        <v>APPLE IPHONE 14</v>
      </c>
      <c r="I561" t="str">
        <f t="shared" si="115"/>
        <v>Apple Iphone 14</v>
      </c>
      <c r="J561" t="str">
        <f t="shared" si="116"/>
        <v>apple</v>
      </c>
      <c r="K561" t="str">
        <f t="shared" si="117"/>
        <v>Apple</v>
      </c>
      <c r="L561" t="str">
        <f t="shared" si="118"/>
        <v>Gadgets</v>
      </c>
      <c r="M561">
        <f t="shared" si="119"/>
        <v>15</v>
      </c>
      <c r="N561">
        <f t="shared" si="120"/>
        <v>15</v>
      </c>
      <c r="O561" s="6">
        <f t="shared" si="121"/>
        <v>799</v>
      </c>
      <c r="P561" t="str">
        <f t="shared" si="122"/>
        <v>Gadgets</v>
      </c>
      <c r="Q561">
        <f t="shared" si="123"/>
        <v>799</v>
      </c>
      <c r="R561" t="str">
        <f t="shared" si="124"/>
        <v>Apple Iphone 14|Gadgets|799|Apple</v>
      </c>
      <c r="S561" t="b">
        <f t="shared" si="125"/>
        <v>1</v>
      </c>
    </row>
    <row r="562" spans="1:19" x14ac:dyDescent="0.45">
      <c r="A562" t="s">
        <v>648</v>
      </c>
      <c r="B562" t="s">
        <v>60</v>
      </c>
      <c r="C562" t="s">
        <v>94</v>
      </c>
      <c r="D562" t="s">
        <v>62</v>
      </c>
      <c r="E562" t="s">
        <v>91</v>
      </c>
      <c r="F562" t="str">
        <f t="shared" si="112"/>
        <v>apple iPhone 14|gadgets|799.0|Apple</v>
      </c>
      <c r="G562" t="b">
        <f t="shared" si="113"/>
        <v>0</v>
      </c>
      <c r="H562" t="str">
        <f t="shared" si="114"/>
        <v>apple iPhone 14</v>
      </c>
      <c r="I562" t="str">
        <f t="shared" si="115"/>
        <v>Apple Iphone 14</v>
      </c>
      <c r="J562" t="str">
        <f t="shared" si="116"/>
        <v>Apple</v>
      </c>
      <c r="K562" t="str">
        <f t="shared" si="117"/>
        <v>Apple</v>
      </c>
      <c r="L562" t="str">
        <f t="shared" si="118"/>
        <v>Gadgets</v>
      </c>
      <c r="M562">
        <f t="shared" si="119"/>
        <v>15</v>
      </c>
      <c r="N562">
        <f t="shared" si="120"/>
        <v>15</v>
      </c>
      <c r="O562" s="6">
        <f t="shared" si="121"/>
        <v>799</v>
      </c>
      <c r="P562" t="str">
        <f t="shared" si="122"/>
        <v>Gadgets</v>
      </c>
      <c r="Q562">
        <f t="shared" si="123"/>
        <v>799</v>
      </c>
      <c r="R562" t="str">
        <f t="shared" si="124"/>
        <v>Apple Iphone 14|Gadgets|799|Apple</v>
      </c>
      <c r="S562" t="b">
        <f t="shared" si="125"/>
        <v>1</v>
      </c>
    </row>
    <row r="563" spans="1:19" x14ac:dyDescent="0.45">
      <c r="A563" t="s">
        <v>649</v>
      </c>
      <c r="B563" t="s">
        <v>78</v>
      </c>
      <c r="C563" t="s">
        <v>96</v>
      </c>
      <c r="E563" t="s">
        <v>112</v>
      </c>
      <c r="F563" t="str">
        <f t="shared" si="112"/>
        <v>samsung Galaxy|Gadgets||SAMSUNG</v>
      </c>
      <c r="G563" t="b">
        <f t="shared" si="113"/>
        <v>1</v>
      </c>
      <c r="H563" t="str">
        <f t="shared" si="114"/>
        <v>samsung Galaxy</v>
      </c>
      <c r="I563" t="str">
        <f t="shared" si="115"/>
        <v>Samsung Galaxy</v>
      </c>
      <c r="J563" t="str">
        <f t="shared" si="116"/>
        <v>SAMSUNG</v>
      </c>
      <c r="K563" t="str">
        <f t="shared" si="117"/>
        <v>Samsung</v>
      </c>
      <c r="L563" t="str">
        <f t="shared" si="118"/>
        <v>Gadgets</v>
      </c>
      <c r="M563">
        <f t="shared" si="119"/>
        <v>15</v>
      </c>
      <c r="N563">
        <f t="shared" si="120"/>
        <v>14</v>
      </c>
      <c r="O563" s="6" t="str">
        <f t="shared" si="121"/>
        <v/>
      </c>
      <c r="P563" t="str">
        <f t="shared" si="122"/>
        <v>Gadgets</v>
      </c>
      <c r="Q563" t="str">
        <f t="shared" si="123"/>
        <v>Not Available</v>
      </c>
      <c r="R563" t="str">
        <f t="shared" si="124"/>
        <v>Samsung Galaxy|Gadgets|Not Available|Samsung</v>
      </c>
      <c r="S563" t="b">
        <f t="shared" si="125"/>
        <v>1</v>
      </c>
    </row>
    <row r="564" spans="1:19" x14ac:dyDescent="0.45">
      <c r="A564" t="s">
        <v>650</v>
      </c>
      <c r="B564" t="s">
        <v>54</v>
      </c>
      <c r="C564" t="s">
        <v>96</v>
      </c>
      <c r="D564" t="s">
        <v>74</v>
      </c>
      <c r="E564" t="s">
        <v>63</v>
      </c>
      <c r="F564" t="str">
        <f t="shared" si="112"/>
        <v>Samsung galaxy|Gadgets|799|Google</v>
      </c>
      <c r="G564" t="b">
        <f t="shared" si="113"/>
        <v>1</v>
      </c>
      <c r="H564" t="str">
        <f t="shared" si="114"/>
        <v>Samsung galaxy</v>
      </c>
      <c r="I564" t="str">
        <f t="shared" si="115"/>
        <v>Samsung Galaxy</v>
      </c>
      <c r="J564" t="str">
        <f t="shared" si="116"/>
        <v>Google</v>
      </c>
      <c r="K564" t="str">
        <f t="shared" si="117"/>
        <v>Google</v>
      </c>
      <c r="L564" t="str">
        <f t="shared" si="118"/>
        <v>Gadgets</v>
      </c>
      <c r="M564">
        <f t="shared" si="119"/>
        <v>15</v>
      </c>
      <c r="N564">
        <f t="shared" si="120"/>
        <v>14</v>
      </c>
      <c r="O564" s="6">
        <f t="shared" si="121"/>
        <v>799</v>
      </c>
      <c r="P564" t="str">
        <f t="shared" si="122"/>
        <v>Gadgets</v>
      </c>
      <c r="Q564">
        <f t="shared" si="123"/>
        <v>799</v>
      </c>
      <c r="R564" t="str">
        <f t="shared" si="124"/>
        <v>Samsung Galaxy|Gadgets|799|Google</v>
      </c>
      <c r="S564" t="b">
        <f t="shared" si="125"/>
        <v>1</v>
      </c>
    </row>
    <row r="565" spans="1:19" x14ac:dyDescent="0.45">
      <c r="A565" t="s">
        <v>651</v>
      </c>
      <c r="B565" t="s">
        <v>106</v>
      </c>
      <c r="C565" t="s">
        <v>61</v>
      </c>
      <c r="D565" t="s">
        <v>74</v>
      </c>
      <c r="E565" t="s">
        <v>112</v>
      </c>
      <c r="F565" t="str">
        <f t="shared" si="112"/>
        <v>Samsung Galaxy|Electrnics|799|SAMSUNG</v>
      </c>
      <c r="G565" t="b">
        <f t="shared" si="113"/>
        <v>1</v>
      </c>
      <c r="H565" t="str">
        <f t="shared" si="114"/>
        <v>Samsung Galaxy</v>
      </c>
      <c r="I565" t="str">
        <f t="shared" si="115"/>
        <v>Samsung Galaxy</v>
      </c>
      <c r="J565" t="str">
        <f t="shared" si="116"/>
        <v>SAMSUNG</v>
      </c>
      <c r="K565" t="str">
        <f t="shared" si="117"/>
        <v>Samsung</v>
      </c>
      <c r="L565" t="str">
        <f t="shared" si="118"/>
        <v>Electronics</v>
      </c>
      <c r="M565">
        <f t="shared" si="119"/>
        <v>14</v>
      </c>
      <c r="N565">
        <f t="shared" si="120"/>
        <v>14</v>
      </c>
      <c r="O565" s="6">
        <f t="shared" si="121"/>
        <v>799</v>
      </c>
      <c r="P565" t="str">
        <f t="shared" si="122"/>
        <v>Electronics</v>
      </c>
      <c r="Q565">
        <f t="shared" si="123"/>
        <v>799</v>
      </c>
      <c r="R565" t="str">
        <f t="shared" si="124"/>
        <v>Samsung Galaxy|Electronics|799|Samsung</v>
      </c>
      <c r="S565" t="b">
        <f t="shared" si="125"/>
        <v>1</v>
      </c>
    </row>
  </sheetData>
  <autoFilter ref="A1:S565" xr:uid="{00000000-0009-0000-0000-000001000000}"/>
  <conditionalFormatting sqref="A2:E565">
    <cfRule type="expression" dxfId="1" priority="1">
      <formula>$G2=TRUE</formula>
    </cfRule>
  </conditionalFormatting>
  <conditionalFormatting sqref="C2:D565">
    <cfRule type="containsBlanks" dxfId="0" priority="2"/>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2"/>
  <sheetViews>
    <sheetView workbookViewId="0">
      <pane ySplit="1" topLeftCell="A2" activePane="bottomLeft" state="frozen"/>
      <selection pane="bottomLeft"/>
    </sheetView>
  </sheetViews>
  <sheetFormatPr defaultRowHeight="14.25" x14ac:dyDescent="0.45"/>
  <cols>
    <col min="1" max="1" width="12" customWidth="1"/>
    <col min="2" max="2" width="18" customWidth="1"/>
    <col min="3" max="3" width="16" customWidth="1"/>
    <col min="4" max="4" width="14" customWidth="1"/>
    <col min="5" max="5" width="12" customWidth="1"/>
  </cols>
  <sheetData>
    <row r="1" spans="1:5" ht="20" customHeight="1" x14ac:dyDescent="0.45">
      <c r="A1" s="7" t="s">
        <v>34</v>
      </c>
      <c r="B1" s="7" t="s">
        <v>652</v>
      </c>
      <c r="C1" s="7" t="s">
        <v>653</v>
      </c>
      <c r="D1" s="7" t="s">
        <v>654</v>
      </c>
      <c r="E1" s="7" t="s">
        <v>655</v>
      </c>
    </row>
    <row r="2" spans="1:5" x14ac:dyDescent="0.45">
      <c r="A2" t="s">
        <v>53</v>
      </c>
      <c r="B2" t="s">
        <v>106</v>
      </c>
      <c r="C2" t="s">
        <v>656</v>
      </c>
      <c r="D2" s="6">
        <v>799</v>
      </c>
      <c r="E2" t="s">
        <v>63</v>
      </c>
    </row>
    <row r="3" spans="1:5" x14ac:dyDescent="0.45">
      <c r="A3" t="s">
        <v>57</v>
      </c>
      <c r="B3" t="s">
        <v>87</v>
      </c>
      <c r="C3" t="s">
        <v>656</v>
      </c>
      <c r="D3" t="s">
        <v>656</v>
      </c>
      <c r="E3" t="s">
        <v>63</v>
      </c>
    </row>
    <row r="4" spans="1:5" x14ac:dyDescent="0.45">
      <c r="A4" t="s">
        <v>59</v>
      </c>
      <c r="B4" t="s">
        <v>657</v>
      </c>
      <c r="C4" t="s">
        <v>123</v>
      </c>
      <c r="D4" s="6">
        <v>799</v>
      </c>
      <c r="E4" t="s">
        <v>63</v>
      </c>
    </row>
    <row r="5" spans="1:5" x14ac:dyDescent="0.45">
      <c r="A5" t="s">
        <v>64</v>
      </c>
      <c r="B5" t="s">
        <v>657</v>
      </c>
      <c r="C5" t="s">
        <v>123</v>
      </c>
      <c r="D5" s="6">
        <v>799</v>
      </c>
      <c r="E5" t="s">
        <v>89</v>
      </c>
    </row>
    <row r="6" spans="1:5" x14ac:dyDescent="0.45">
      <c r="A6" t="s">
        <v>68</v>
      </c>
      <c r="B6" t="s">
        <v>657</v>
      </c>
      <c r="C6" t="s">
        <v>123</v>
      </c>
      <c r="D6" s="6">
        <v>799</v>
      </c>
      <c r="E6" t="s">
        <v>79</v>
      </c>
    </row>
    <row r="7" spans="1:5" x14ac:dyDescent="0.45">
      <c r="A7" t="s">
        <v>71</v>
      </c>
      <c r="B7" t="s">
        <v>87</v>
      </c>
      <c r="C7" t="s">
        <v>123</v>
      </c>
      <c r="D7" s="6">
        <v>799</v>
      </c>
      <c r="E7" t="s">
        <v>63</v>
      </c>
    </row>
    <row r="8" spans="1:5" x14ac:dyDescent="0.45">
      <c r="A8" t="s">
        <v>76</v>
      </c>
      <c r="B8" t="s">
        <v>657</v>
      </c>
      <c r="C8" t="s">
        <v>656</v>
      </c>
      <c r="D8" s="6">
        <v>799</v>
      </c>
      <c r="E8" t="s">
        <v>63</v>
      </c>
    </row>
    <row r="9" spans="1:5" x14ac:dyDescent="0.45">
      <c r="A9" t="s">
        <v>77</v>
      </c>
      <c r="B9" t="s">
        <v>106</v>
      </c>
      <c r="C9" t="s">
        <v>123</v>
      </c>
      <c r="D9" s="6">
        <v>799</v>
      </c>
      <c r="E9" t="s">
        <v>79</v>
      </c>
    </row>
    <row r="10" spans="1:5" x14ac:dyDescent="0.45">
      <c r="A10" t="s">
        <v>80</v>
      </c>
      <c r="B10" t="s">
        <v>106</v>
      </c>
      <c r="C10" t="s">
        <v>123</v>
      </c>
      <c r="D10" s="6">
        <v>799</v>
      </c>
      <c r="E10" t="s">
        <v>89</v>
      </c>
    </row>
    <row r="11" spans="1:5" x14ac:dyDescent="0.45">
      <c r="A11" t="s">
        <v>86</v>
      </c>
      <c r="B11" t="s">
        <v>87</v>
      </c>
      <c r="C11" t="s">
        <v>123</v>
      </c>
      <c r="D11" s="6">
        <v>799</v>
      </c>
      <c r="E11" t="s">
        <v>89</v>
      </c>
    </row>
    <row r="12" spans="1:5" x14ac:dyDescent="0.45">
      <c r="A12" t="s">
        <v>92</v>
      </c>
      <c r="B12" t="s">
        <v>106</v>
      </c>
      <c r="C12" t="s">
        <v>96</v>
      </c>
      <c r="D12" s="6">
        <v>799</v>
      </c>
      <c r="E12" t="s">
        <v>63</v>
      </c>
    </row>
    <row r="13" spans="1:5" x14ac:dyDescent="0.45">
      <c r="A13" t="s">
        <v>95</v>
      </c>
      <c r="B13" t="s">
        <v>87</v>
      </c>
      <c r="C13" t="s">
        <v>96</v>
      </c>
      <c r="D13" s="6">
        <v>799</v>
      </c>
      <c r="E13" t="s">
        <v>89</v>
      </c>
    </row>
    <row r="14" spans="1:5" x14ac:dyDescent="0.45">
      <c r="A14" t="s">
        <v>97</v>
      </c>
      <c r="B14" t="s">
        <v>657</v>
      </c>
      <c r="C14" t="s">
        <v>123</v>
      </c>
      <c r="D14" t="s">
        <v>656</v>
      </c>
      <c r="E14" t="s">
        <v>63</v>
      </c>
    </row>
    <row r="15" spans="1:5" x14ac:dyDescent="0.45">
      <c r="A15" t="s">
        <v>99</v>
      </c>
      <c r="B15" t="s">
        <v>106</v>
      </c>
      <c r="C15" t="s">
        <v>96</v>
      </c>
      <c r="D15" s="6">
        <v>799</v>
      </c>
      <c r="E15" t="s">
        <v>89</v>
      </c>
    </row>
    <row r="16" spans="1:5" x14ac:dyDescent="0.45">
      <c r="A16" t="s">
        <v>100</v>
      </c>
      <c r="B16" t="s">
        <v>106</v>
      </c>
      <c r="C16" t="s">
        <v>123</v>
      </c>
      <c r="D16" s="6">
        <v>799</v>
      </c>
      <c r="E16" t="s">
        <v>63</v>
      </c>
    </row>
    <row r="17" spans="1:5" x14ac:dyDescent="0.45">
      <c r="A17" t="s">
        <v>103</v>
      </c>
      <c r="B17" t="s">
        <v>87</v>
      </c>
      <c r="C17" t="s">
        <v>96</v>
      </c>
      <c r="D17" s="6">
        <v>799</v>
      </c>
      <c r="E17" t="s">
        <v>79</v>
      </c>
    </row>
    <row r="18" spans="1:5" x14ac:dyDescent="0.45">
      <c r="A18" t="s">
        <v>104</v>
      </c>
      <c r="B18" t="s">
        <v>657</v>
      </c>
      <c r="C18" t="s">
        <v>96</v>
      </c>
      <c r="D18" s="6">
        <v>799</v>
      </c>
      <c r="E18" t="s">
        <v>63</v>
      </c>
    </row>
    <row r="19" spans="1:5" x14ac:dyDescent="0.45">
      <c r="A19" t="s">
        <v>105</v>
      </c>
      <c r="B19" t="s">
        <v>106</v>
      </c>
      <c r="C19" t="s">
        <v>96</v>
      </c>
      <c r="D19" s="6">
        <v>799</v>
      </c>
      <c r="E19" t="s">
        <v>79</v>
      </c>
    </row>
    <row r="20" spans="1:5" x14ac:dyDescent="0.45">
      <c r="A20" t="s">
        <v>107</v>
      </c>
      <c r="B20" t="s">
        <v>87</v>
      </c>
      <c r="C20" t="s">
        <v>123</v>
      </c>
      <c r="D20" s="6">
        <v>799</v>
      </c>
      <c r="E20" t="s">
        <v>79</v>
      </c>
    </row>
    <row r="21" spans="1:5" x14ac:dyDescent="0.45">
      <c r="A21" t="s">
        <v>108</v>
      </c>
      <c r="B21" t="s">
        <v>658</v>
      </c>
      <c r="C21" t="s">
        <v>123</v>
      </c>
      <c r="D21" s="6">
        <v>799</v>
      </c>
      <c r="E21" t="s">
        <v>79</v>
      </c>
    </row>
    <row r="22" spans="1:5" x14ac:dyDescent="0.45">
      <c r="A22" t="s">
        <v>113</v>
      </c>
      <c r="B22" t="s">
        <v>87</v>
      </c>
      <c r="C22" t="s">
        <v>96</v>
      </c>
      <c r="D22" s="6">
        <v>799</v>
      </c>
      <c r="E22" t="s">
        <v>63</v>
      </c>
    </row>
    <row r="23" spans="1:5" x14ac:dyDescent="0.45">
      <c r="A23" t="s">
        <v>114</v>
      </c>
      <c r="B23" t="s">
        <v>87</v>
      </c>
      <c r="C23" t="s">
        <v>123</v>
      </c>
      <c r="D23" t="s">
        <v>656</v>
      </c>
      <c r="E23" t="s">
        <v>63</v>
      </c>
    </row>
    <row r="24" spans="1:5" x14ac:dyDescent="0.45">
      <c r="A24" t="s">
        <v>121</v>
      </c>
      <c r="B24" t="s">
        <v>106</v>
      </c>
      <c r="C24" t="s">
        <v>123</v>
      </c>
      <c r="D24" t="s">
        <v>656</v>
      </c>
      <c r="E24" t="s">
        <v>79</v>
      </c>
    </row>
    <row r="25" spans="1:5" x14ac:dyDescent="0.45">
      <c r="A25" t="s">
        <v>126</v>
      </c>
      <c r="B25" t="s">
        <v>106</v>
      </c>
      <c r="C25" t="s">
        <v>123</v>
      </c>
      <c r="D25" t="s">
        <v>656</v>
      </c>
      <c r="E25" t="s">
        <v>63</v>
      </c>
    </row>
    <row r="26" spans="1:5" x14ac:dyDescent="0.45">
      <c r="A26" t="s">
        <v>127</v>
      </c>
      <c r="B26" t="s">
        <v>657</v>
      </c>
      <c r="C26" t="s">
        <v>123</v>
      </c>
      <c r="D26" t="s">
        <v>656</v>
      </c>
      <c r="E26" t="s">
        <v>89</v>
      </c>
    </row>
    <row r="27" spans="1:5" x14ac:dyDescent="0.45">
      <c r="A27" t="s">
        <v>132</v>
      </c>
      <c r="B27" t="s">
        <v>658</v>
      </c>
      <c r="C27" t="s">
        <v>123</v>
      </c>
      <c r="D27" s="6">
        <v>799</v>
      </c>
      <c r="E27" t="s">
        <v>89</v>
      </c>
    </row>
    <row r="28" spans="1:5" x14ac:dyDescent="0.45">
      <c r="A28" t="s">
        <v>133</v>
      </c>
      <c r="B28" t="s">
        <v>87</v>
      </c>
      <c r="C28" t="s">
        <v>656</v>
      </c>
      <c r="D28" s="6">
        <v>799</v>
      </c>
      <c r="E28" t="s">
        <v>63</v>
      </c>
    </row>
    <row r="29" spans="1:5" x14ac:dyDescent="0.45">
      <c r="A29" t="s">
        <v>139</v>
      </c>
      <c r="B29" t="s">
        <v>106</v>
      </c>
      <c r="C29" t="s">
        <v>656</v>
      </c>
      <c r="D29" t="s">
        <v>656</v>
      </c>
      <c r="E29" t="s">
        <v>63</v>
      </c>
    </row>
    <row r="30" spans="1:5" x14ac:dyDescent="0.45">
      <c r="A30" t="s">
        <v>143</v>
      </c>
      <c r="B30" t="s">
        <v>657</v>
      </c>
      <c r="C30" t="s">
        <v>96</v>
      </c>
      <c r="D30" s="6">
        <v>799</v>
      </c>
      <c r="E30" t="s">
        <v>79</v>
      </c>
    </row>
    <row r="31" spans="1:5" x14ac:dyDescent="0.45">
      <c r="A31" t="s">
        <v>153</v>
      </c>
      <c r="B31" t="s">
        <v>658</v>
      </c>
      <c r="C31" t="s">
        <v>656</v>
      </c>
      <c r="D31" s="6">
        <v>799</v>
      </c>
      <c r="E31" t="s">
        <v>89</v>
      </c>
    </row>
    <row r="32" spans="1:5" x14ac:dyDescent="0.45">
      <c r="A32" t="s">
        <v>169</v>
      </c>
      <c r="B32" t="s">
        <v>657</v>
      </c>
      <c r="C32" t="s">
        <v>123</v>
      </c>
      <c r="D32" t="s">
        <v>656</v>
      </c>
      <c r="E32" t="s">
        <v>79</v>
      </c>
    </row>
    <row r="33" spans="1:5" x14ac:dyDescent="0.45">
      <c r="A33" t="s">
        <v>185</v>
      </c>
      <c r="B33" t="s">
        <v>657</v>
      </c>
      <c r="C33" t="s">
        <v>656</v>
      </c>
      <c r="D33" s="6">
        <v>799</v>
      </c>
      <c r="E33" t="s">
        <v>79</v>
      </c>
    </row>
    <row r="34" spans="1:5" x14ac:dyDescent="0.45">
      <c r="A34" t="s">
        <v>195</v>
      </c>
      <c r="B34" t="s">
        <v>657</v>
      </c>
      <c r="C34" t="s">
        <v>96</v>
      </c>
      <c r="D34" s="6">
        <v>799</v>
      </c>
      <c r="E34" t="s">
        <v>89</v>
      </c>
    </row>
    <row r="35" spans="1:5" x14ac:dyDescent="0.45">
      <c r="A35" t="s">
        <v>199</v>
      </c>
      <c r="B35" t="s">
        <v>106</v>
      </c>
      <c r="C35" t="s">
        <v>656</v>
      </c>
      <c r="D35" s="6">
        <v>799</v>
      </c>
      <c r="E35" t="s">
        <v>79</v>
      </c>
    </row>
    <row r="36" spans="1:5" x14ac:dyDescent="0.45">
      <c r="A36" t="s">
        <v>200</v>
      </c>
      <c r="B36" t="s">
        <v>106</v>
      </c>
      <c r="C36" t="s">
        <v>656</v>
      </c>
      <c r="D36" s="6">
        <v>799</v>
      </c>
      <c r="E36" t="s">
        <v>89</v>
      </c>
    </row>
    <row r="37" spans="1:5" x14ac:dyDescent="0.45">
      <c r="A37" t="s">
        <v>224</v>
      </c>
      <c r="B37" t="s">
        <v>658</v>
      </c>
      <c r="C37" t="s">
        <v>123</v>
      </c>
      <c r="D37" s="6">
        <v>799</v>
      </c>
      <c r="E37" t="s">
        <v>63</v>
      </c>
    </row>
    <row r="38" spans="1:5" x14ac:dyDescent="0.45">
      <c r="A38" t="s">
        <v>225</v>
      </c>
      <c r="B38" t="s">
        <v>658</v>
      </c>
      <c r="C38" t="s">
        <v>96</v>
      </c>
      <c r="D38" s="6">
        <v>799</v>
      </c>
      <c r="E38" t="s">
        <v>63</v>
      </c>
    </row>
    <row r="39" spans="1:5" x14ac:dyDescent="0.45">
      <c r="A39" t="s">
        <v>229</v>
      </c>
      <c r="B39" t="s">
        <v>657</v>
      </c>
      <c r="C39" t="s">
        <v>656</v>
      </c>
      <c r="D39" s="6">
        <v>799</v>
      </c>
      <c r="E39" t="s">
        <v>89</v>
      </c>
    </row>
    <row r="40" spans="1:5" x14ac:dyDescent="0.45">
      <c r="A40" t="s">
        <v>230</v>
      </c>
      <c r="B40" t="s">
        <v>87</v>
      </c>
      <c r="C40" t="s">
        <v>656</v>
      </c>
      <c r="D40" t="s">
        <v>656</v>
      </c>
      <c r="E40" t="s">
        <v>89</v>
      </c>
    </row>
    <row r="41" spans="1:5" x14ac:dyDescent="0.45">
      <c r="A41" t="s">
        <v>235</v>
      </c>
      <c r="B41" t="s">
        <v>657</v>
      </c>
      <c r="C41" t="s">
        <v>656</v>
      </c>
      <c r="D41" t="s">
        <v>656</v>
      </c>
      <c r="E41" t="s">
        <v>63</v>
      </c>
    </row>
    <row r="42" spans="1:5" x14ac:dyDescent="0.45">
      <c r="A42" t="s">
        <v>248</v>
      </c>
      <c r="B42" t="s">
        <v>87</v>
      </c>
      <c r="C42" t="s">
        <v>656</v>
      </c>
      <c r="D42" s="6">
        <v>799</v>
      </c>
      <c r="E42" t="s">
        <v>89</v>
      </c>
    </row>
    <row r="43" spans="1:5" x14ac:dyDescent="0.45">
      <c r="A43" t="s">
        <v>260</v>
      </c>
      <c r="B43" t="s">
        <v>106</v>
      </c>
      <c r="C43" t="s">
        <v>123</v>
      </c>
      <c r="D43" t="s">
        <v>656</v>
      </c>
      <c r="E43" t="s">
        <v>89</v>
      </c>
    </row>
    <row r="44" spans="1:5" x14ac:dyDescent="0.45">
      <c r="A44" t="s">
        <v>263</v>
      </c>
      <c r="B44" t="s">
        <v>87</v>
      </c>
      <c r="C44" t="s">
        <v>656</v>
      </c>
      <c r="D44" s="6">
        <v>799</v>
      </c>
      <c r="E44" t="s">
        <v>79</v>
      </c>
    </row>
    <row r="45" spans="1:5" x14ac:dyDescent="0.45">
      <c r="A45" t="s">
        <v>275</v>
      </c>
      <c r="B45" t="s">
        <v>87</v>
      </c>
      <c r="C45" t="s">
        <v>656</v>
      </c>
      <c r="D45" t="s">
        <v>656</v>
      </c>
      <c r="E45" t="s">
        <v>79</v>
      </c>
    </row>
    <row r="46" spans="1:5" x14ac:dyDescent="0.45">
      <c r="A46" t="s">
        <v>288</v>
      </c>
      <c r="B46" t="s">
        <v>658</v>
      </c>
      <c r="C46" t="s">
        <v>96</v>
      </c>
      <c r="D46" s="6">
        <v>799</v>
      </c>
      <c r="E46" t="s">
        <v>79</v>
      </c>
    </row>
    <row r="47" spans="1:5" x14ac:dyDescent="0.45">
      <c r="A47" t="s">
        <v>289</v>
      </c>
      <c r="B47" t="s">
        <v>658</v>
      </c>
      <c r="C47" t="s">
        <v>123</v>
      </c>
      <c r="D47" t="s">
        <v>656</v>
      </c>
      <c r="E47" t="s">
        <v>89</v>
      </c>
    </row>
    <row r="48" spans="1:5" x14ac:dyDescent="0.45">
      <c r="A48" t="s">
        <v>300</v>
      </c>
      <c r="B48" t="s">
        <v>658</v>
      </c>
      <c r="C48" t="s">
        <v>96</v>
      </c>
      <c r="D48" s="6">
        <v>799</v>
      </c>
      <c r="E48" t="s">
        <v>89</v>
      </c>
    </row>
    <row r="49" spans="1:5" x14ac:dyDescent="0.45">
      <c r="A49" t="s">
        <v>315</v>
      </c>
      <c r="B49" t="s">
        <v>87</v>
      </c>
      <c r="C49" t="s">
        <v>96</v>
      </c>
      <c r="D49" t="s">
        <v>656</v>
      </c>
      <c r="E49" t="s">
        <v>63</v>
      </c>
    </row>
    <row r="50" spans="1:5" x14ac:dyDescent="0.45">
      <c r="A50" t="s">
        <v>322</v>
      </c>
      <c r="B50" t="s">
        <v>658</v>
      </c>
      <c r="C50" t="s">
        <v>656</v>
      </c>
      <c r="D50" s="6">
        <v>799</v>
      </c>
      <c r="E50" t="s">
        <v>79</v>
      </c>
    </row>
    <row r="51" spans="1:5" x14ac:dyDescent="0.45">
      <c r="A51" t="s">
        <v>341</v>
      </c>
      <c r="B51" t="s">
        <v>87</v>
      </c>
      <c r="C51" t="s">
        <v>123</v>
      </c>
      <c r="D51" t="s">
        <v>656</v>
      </c>
      <c r="E51" t="s">
        <v>79</v>
      </c>
    </row>
    <row r="52" spans="1:5" x14ac:dyDescent="0.45">
      <c r="A52" t="s">
        <v>350</v>
      </c>
      <c r="B52" t="s">
        <v>87</v>
      </c>
      <c r="C52" t="s">
        <v>96</v>
      </c>
      <c r="D52" t="s">
        <v>656</v>
      </c>
      <c r="E52" t="s">
        <v>89</v>
      </c>
    </row>
    <row r="53" spans="1:5" x14ac:dyDescent="0.45">
      <c r="A53" t="s">
        <v>377</v>
      </c>
      <c r="B53" t="s">
        <v>658</v>
      </c>
      <c r="C53" t="s">
        <v>656</v>
      </c>
      <c r="D53" t="s">
        <v>656</v>
      </c>
      <c r="E53" t="s">
        <v>89</v>
      </c>
    </row>
    <row r="54" spans="1:5" x14ac:dyDescent="0.45">
      <c r="A54" t="s">
        <v>378</v>
      </c>
      <c r="B54" t="s">
        <v>106</v>
      </c>
      <c r="C54" t="s">
        <v>656</v>
      </c>
      <c r="D54" t="s">
        <v>656</v>
      </c>
      <c r="E54" t="s">
        <v>89</v>
      </c>
    </row>
    <row r="55" spans="1:5" x14ac:dyDescent="0.45">
      <c r="A55" t="s">
        <v>387</v>
      </c>
      <c r="B55" t="s">
        <v>87</v>
      </c>
      <c r="C55" t="s">
        <v>123</v>
      </c>
      <c r="D55" t="s">
        <v>656</v>
      </c>
      <c r="E55" t="s">
        <v>89</v>
      </c>
    </row>
    <row r="56" spans="1:5" x14ac:dyDescent="0.45">
      <c r="A56" t="s">
        <v>452</v>
      </c>
      <c r="B56" t="s">
        <v>106</v>
      </c>
      <c r="C56" t="s">
        <v>96</v>
      </c>
      <c r="D56" t="s">
        <v>656</v>
      </c>
      <c r="E56" t="s">
        <v>89</v>
      </c>
    </row>
    <row r="57" spans="1:5" x14ac:dyDescent="0.45">
      <c r="A57" t="s">
        <v>547</v>
      </c>
      <c r="B57" t="s">
        <v>106</v>
      </c>
      <c r="C57" t="s">
        <v>96</v>
      </c>
      <c r="D57" t="s">
        <v>656</v>
      </c>
      <c r="E57" t="s">
        <v>79</v>
      </c>
    </row>
    <row r="58" spans="1:5" x14ac:dyDescent="0.45">
      <c r="A58" t="s">
        <v>555</v>
      </c>
      <c r="B58" t="s">
        <v>658</v>
      </c>
      <c r="C58" t="s">
        <v>656</v>
      </c>
      <c r="D58" s="6">
        <v>799</v>
      </c>
      <c r="E58" t="s">
        <v>63</v>
      </c>
    </row>
    <row r="59" spans="1:5" x14ac:dyDescent="0.45">
      <c r="A59" t="s">
        <v>623</v>
      </c>
      <c r="B59" t="s">
        <v>657</v>
      </c>
      <c r="C59" t="s">
        <v>96</v>
      </c>
      <c r="D59" t="s">
        <v>656</v>
      </c>
      <c r="E59" t="s">
        <v>79</v>
      </c>
    </row>
    <row r="60" spans="1:5" x14ac:dyDescent="0.45">
      <c r="A60" t="s">
        <v>624</v>
      </c>
      <c r="B60" t="s">
        <v>658</v>
      </c>
      <c r="C60" t="s">
        <v>123</v>
      </c>
      <c r="D60" t="s">
        <v>656</v>
      </c>
      <c r="E60" t="s">
        <v>79</v>
      </c>
    </row>
    <row r="62" spans="1:5" x14ac:dyDescent="0.45">
      <c r="A62" s="8" t="s">
        <v>659</v>
      </c>
    </row>
  </sheetData>
  <autoFilter ref="A1:E60"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Solution Notes</vt:lpstr>
      <vt:lpstr>ProductCatalog (Solved)</vt:lpstr>
      <vt:lpstr>Cleaned Output (No Duplicates)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Stephen David-williams</cp:lastModifiedBy>
  <dcterms:created xsi:type="dcterms:W3CDTF">2026-07-03T01:41:55Z</dcterms:created>
  <dcterms:modified xsi:type="dcterms:W3CDTF">2026-07-06T13:46:13Z</dcterms:modified>
</cp:coreProperties>
</file>