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2_formatting_for_analysis\practice\"/>
    </mc:Choice>
  </mc:AlternateContent>
  <xr:revisionPtr revIDLastSave="0" documentId="13_ncr:1_{A85448F1-140B-422B-A261-1F84706230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Project Tracker" sheetId="3" r:id="rId3"/>
    <sheet name="Project Tracker (Solved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" i="4" l="1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<sst xmlns="http://schemas.openxmlformats.org/spreadsheetml/2006/main" count="948" uniqueCount="146">
  <si>
    <t>Day 02 Solution - Formatting for Analysis</t>
  </si>
  <si>
    <t>Task 1: Use the PROPER function to capitalise project names.</t>
  </si>
  <si>
    <t>Formula: =PROPER('Project Tracker'!A2)  (applied down column A on 'Project Tracker (Solved)')</t>
  </si>
  <si>
    <t>Answer: 300 project names converted, e.g. 'marketing campaign' -&gt; 'Marketing Campaign'.</t>
  </si>
  <si>
    <t>Task 2: Format the Fee and Fee per Hour columns as currency (US Dollars).</t>
  </si>
  <si>
    <t>Format applied: number_format '"$"#,##0.00' on columns C (Fee) and G (Fee per Hour).</t>
  </si>
  <si>
    <t>Answer: e.g. row 2 Fee = $2,339.00, Fee per Hour = $89.96.</t>
  </si>
  <si>
    <t>Task 3: Format the Start Date column to show dates like 15-Jan-2024.</t>
  </si>
  <si>
    <t>Format applied: number_format 'dd-mmm-yyyy' on column E (Start Date).</t>
  </si>
  <si>
    <t>Answer: e.g. row 2 Start Date displays as 02-Dec-2023.</t>
  </si>
  <si>
    <t>Task 4: Standardise the Completed column to only show 'Yes' or 'No'.</t>
  </si>
  <si>
    <t>Formula: =PROPER('Project Tracker'!F2)  (applied down column F on 'Project Tracker (Solved)')</t>
  </si>
  <si>
    <t>Answer: original values were a mix of ['NO', 'YES', 'Yes', 'no', 'yes']; PROPER() standardises all of these to ['No', 'Yes'].</t>
  </si>
  <si>
    <t>Task 5: Auto-fit all columns so values are fully visible.</t>
  </si>
  <si>
    <t>Steps: measured the widest displayed value per column (post-formatting) and set column_dimensions[&lt;letter&gt;].width accordingly (+3 padding) on 'Project Tracker (Solved)'.</t>
  </si>
  <si>
    <t>Answer: columns A-G resized to fit their longest formatted value, e.g. Client column widened to fit 'Rodriguez, Figueroa and Sanchez'.</t>
  </si>
  <si>
    <t>Task 6: Highlight rows where Fee per Hour is below $75 using conditional formatting.</t>
  </si>
  <si>
    <t>Rule: FormulaRule '$G2&lt;75' applied to range A2:G301, fill colour FFF2CC (row-level highlight).</t>
  </si>
  <si>
    <t>Answer: 109 of 300 rows have Fee per Hour &lt; $75 and are highlighted.</t>
  </si>
  <si>
    <t>Task 7: Make the header row bold and add a bottom border.</t>
  </si>
  <si>
    <t>Format applied: Font(bold=True) + Border(bottom=Side(style='thin')) on row 1 of 'Project Tracker (Solved)'.</t>
  </si>
  <si>
    <t>Answer: header row (Project, Client, Fee, Hours, Start Date, Completed, Fee per Hour) is bold with a bottom border.</t>
  </si>
  <si>
    <t>Note: 'Project Tracker' is left untouched as the original data. 'Project Tracker (Solved)' is a fresh sheet with live formulas referencing it, plus all formatting from tasks 2, 3, 5, 6 and 7 applied directly.</t>
  </si>
  <si>
    <t>Day 2 Practice: Format a Freelance Project Tracker</t>
  </si>
  <si>
    <t>This workbook contains freelance project data on the 'Project Tracker' sheet.</t>
  </si>
  <si>
    <t>The data has inconsistencies that make it difficult to interpret. Your task is to clean and format it properly.</t>
  </si>
  <si>
    <t>Tasks:</t>
  </si>
  <si>
    <t>1. Use the PROPER function to capitalize project names.</t>
  </si>
  <si>
    <t>2. Format the 'Fee' and 'Fee per Hour' columns as currency (US Dollars).</t>
  </si>
  <si>
    <t>3. Format the 'Start Date' column to show dates like: 15-Jan-2024.</t>
  </si>
  <si>
    <t>4. Standardize the 'Completed' column to only show 'Yes' or 'No'.</t>
  </si>
  <si>
    <t>5. Auto-fit all columns so values are fully visible.</t>
  </si>
  <si>
    <t>6. Highlight rows where 'Fee per Hour' is below $75 using conditional formatting.</t>
  </si>
  <si>
    <t>7. Make the header row bold and add a bottom border.</t>
  </si>
  <si>
    <t>Project</t>
  </si>
  <si>
    <t>Client</t>
  </si>
  <si>
    <t>Fee</t>
  </si>
  <si>
    <t>Hours</t>
  </si>
  <si>
    <t>Start Date</t>
  </si>
  <si>
    <t>Completed</t>
  </si>
  <si>
    <t>Fee per Hour</t>
  </si>
  <si>
    <t>marketing campaign</t>
  </si>
  <si>
    <t>Campbell-Clark</t>
  </si>
  <si>
    <t>yes</t>
  </si>
  <si>
    <t>seo audit</t>
  </si>
  <si>
    <t>Guzman, Hoffman and Baldwin</t>
  </si>
  <si>
    <t>no</t>
  </si>
  <si>
    <t>Baxter Inc</t>
  </si>
  <si>
    <t>Smith, Montoya and Evans</t>
  </si>
  <si>
    <t>Daniels, Adkins and Brown</t>
  </si>
  <si>
    <t>Allen-Allen</t>
  </si>
  <si>
    <t>data dashboard</t>
  </si>
  <si>
    <t>Mcclure, Ward and Lee</t>
  </si>
  <si>
    <t>YES</t>
  </si>
  <si>
    <t>Arroyo, Miller and Tucker</t>
  </si>
  <si>
    <t>Russell Group</t>
  </si>
  <si>
    <t>app prototype</t>
  </si>
  <si>
    <t>Baker, Mason and White</t>
  </si>
  <si>
    <t>Turner, Riggs and Roman</t>
  </si>
  <si>
    <t>Blair PLC</t>
  </si>
  <si>
    <t>NO</t>
  </si>
  <si>
    <t>Lee-Davis</t>
  </si>
  <si>
    <t>Spence PLC</t>
  </si>
  <si>
    <t>Sandoval-Cunningham</t>
  </si>
  <si>
    <t>Hickman Ltd</t>
  </si>
  <si>
    <t>Yes</t>
  </si>
  <si>
    <t>website redesign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</si>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</sst>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defaultRowHeight="14.25" x14ac:dyDescent="0.45"/>
  <cols>
    <col min="1" max="1" width="95" customWidth="1"/>
  </cols>
  <sheetData>
    <row r="1" spans="1:1" ht="18" x14ac:dyDescent="0.55000000000000004">
      <c r="A1" s="1" t="s">
        <v>0</v>
      </c>
    </row>
    <row r="3" spans="1:1" x14ac:dyDescent="0.45">
      <c r="A3" s="2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7" spans="1:1" x14ac:dyDescent="0.45">
      <c r="A7" s="2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1" spans="1:1" x14ac:dyDescent="0.45">
      <c r="A11" s="2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5" spans="1:1" x14ac:dyDescent="0.45">
      <c r="A15" s="2" t="s">
        <v>10</v>
      </c>
    </row>
    <row r="16" spans="1:1" x14ac:dyDescent="0.45">
      <c r="A16" t="s">
        <v>11</v>
      </c>
    </row>
    <row r="17" spans="1:1" x14ac:dyDescent="0.45">
      <c r="A17" t="s">
        <v>12</v>
      </c>
    </row>
    <row r="19" spans="1:1" x14ac:dyDescent="0.45">
      <c r="A19" s="2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3" spans="1:1" x14ac:dyDescent="0.45">
      <c r="A23" s="2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7" spans="1:1" x14ac:dyDescent="0.45">
      <c r="A27" s="2" t="s">
        <v>19</v>
      </c>
    </row>
    <row r="28" spans="1:1" x14ac:dyDescent="0.45">
      <c r="A28" t="s">
        <v>20</v>
      </c>
    </row>
    <row r="29" spans="1:1" x14ac:dyDescent="0.45">
      <c r="A29" t="s">
        <v>21</v>
      </c>
    </row>
    <row r="31" spans="1:1" x14ac:dyDescent="0.45">
      <c r="A3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25" x14ac:dyDescent="0.45"/>
  <sheetData>
    <row r="1" spans="1:1" ht="18" x14ac:dyDescent="0.55000000000000004">
      <c r="A1" s="1" t="s">
        <v>23</v>
      </c>
    </row>
    <row r="3" spans="1:1" x14ac:dyDescent="0.45">
      <c r="A3" t="s">
        <v>24</v>
      </c>
    </row>
    <row r="4" spans="1:1" x14ac:dyDescent="0.45">
      <c r="A4" t="s">
        <v>25</v>
      </c>
    </row>
    <row r="6" spans="1:1" x14ac:dyDescent="0.45">
      <c r="A6" t="s">
        <v>26</v>
      </c>
    </row>
    <row r="7" spans="1:1" x14ac:dyDescent="0.45">
      <c r="A7" t="s">
        <v>27</v>
      </c>
    </row>
    <row r="8" spans="1:1" x14ac:dyDescent="0.45">
      <c r="A8" t="s">
        <v>28</v>
      </c>
    </row>
    <row r="9" spans="1:1" x14ac:dyDescent="0.45">
      <c r="A9" t="s">
        <v>29</v>
      </c>
    </row>
    <row r="10" spans="1:1" x14ac:dyDescent="0.45">
      <c r="A10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  <row r="13" spans="1:1" x14ac:dyDescent="0.45">
      <c r="A1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25" x14ac:dyDescent="0.45"/>
  <sheetData>
    <row r="1" spans="1:7" x14ac:dyDescent="0.4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45">
      <c r="A2" t="s">
        <v>41</v>
      </c>
      <c r="B2" t="s">
        <v>42</v>
      </c>
      <c r="C2">
        <v>2339</v>
      </c>
      <c r="D2">
        <v>26</v>
      </c>
      <c r="E2" s="3">
        <v>45262</v>
      </c>
      <c r="F2" t="s">
        <v>43</v>
      </c>
      <c r="G2">
        <v>89.96</v>
      </c>
    </row>
    <row r="3" spans="1:7" x14ac:dyDescent="0.45">
      <c r="A3" t="s">
        <v>44</v>
      </c>
      <c r="B3" t="s">
        <v>45</v>
      </c>
      <c r="C3">
        <v>1744</v>
      </c>
      <c r="D3">
        <v>26</v>
      </c>
      <c r="E3" s="3">
        <v>45374</v>
      </c>
      <c r="F3" t="s">
        <v>46</v>
      </c>
      <c r="G3">
        <v>67.08</v>
      </c>
    </row>
    <row r="4" spans="1:7" x14ac:dyDescent="0.45">
      <c r="A4" t="s">
        <v>41</v>
      </c>
      <c r="B4" t="s">
        <v>47</v>
      </c>
      <c r="C4">
        <v>6431</v>
      </c>
      <c r="D4">
        <v>18</v>
      </c>
      <c r="E4" s="3">
        <v>45316</v>
      </c>
      <c r="F4" t="s">
        <v>43</v>
      </c>
      <c r="G4">
        <v>357.28</v>
      </c>
    </row>
    <row r="5" spans="1:7" x14ac:dyDescent="0.45">
      <c r="A5" t="s">
        <v>41</v>
      </c>
      <c r="B5" t="s">
        <v>48</v>
      </c>
      <c r="C5">
        <v>6823</v>
      </c>
      <c r="D5">
        <v>68</v>
      </c>
      <c r="E5" s="3">
        <v>45338</v>
      </c>
      <c r="F5" t="s">
        <v>46</v>
      </c>
      <c r="G5">
        <v>100.34</v>
      </c>
    </row>
    <row r="6" spans="1:7" x14ac:dyDescent="0.45">
      <c r="A6" t="s">
        <v>44</v>
      </c>
      <c r="B6" t="s">
        <v>49</v>
      </c>
      <c r="C6">
        <v>3778</v>
      </c>
      <c r="D6">
        <v>15</v>
      </c>
      <c r="E6" s="3">
        <v>45368</v>
      </c>
      <c r="F6" t="s">
        <v>46</v>
      </c>
      <c r="G6">
        <v>251.87</v>
      </c>
    </row>
    <row r="7" spans="1:7" x14ac:dyDescent="0.45">
      <c r="A7" t="s">
        <v>44</v>
      </c>
      <c r="B7" t="s">
        <v>50</v>
      </c>
      <c r="C7">
        <v>3776</v>
      </c>
      <c r="D7">
        <v>34</v>
      </c>
      <c r="E7" s="3">
        <v>45314</v>
      </c>
      <c r="F7" t="s">
        <v>46</v>
      </c>
      <c r="G7">
        <v>111.06</v>
      </c>
    </row>
    <row r="8" spans="1:7" x14ac:dyDescent="0.45">
      <c r="A8" t="s">
        <v>51</v>
      </c>
      <c r="B8" t="s">
        <v>52</v>
      </c>
      <c r="C8">
        <v>2259</v>
      </c>
      <c r="D8">
        <v>63</v>
      </c>
      <c r="E8" s="3">
        <v>45339</v>
      </c>
      <c r="F8" t="s">
        <v>53</v>
      </c>
      <c r="G8">
        <v>35.86</v>
      </c>
    </row>
    <row r="9" spans="1:7" x14ac:dyDescent="0.45">
      <c r="A9" t="s">
        <v>51</v>
      </c>
      <c r="B9" t="s">
        <v>54</v>
      </c>
      <c r="C9">
        <v>6445</v>
      </c>
      <c r="D9">
        <v>48</v>
      </c>
      <c r="E9" s="3">
        <v>45232</v>
      </c>
      <c r="F9" t="s">
        <v>53</v>
      </c>
      <c r="G9">
        <v>134.27000000000001</v>
      </c>
    </row>
    <row r="10" spans="1:7" x14ac:dyDescent="0.45">
      <c r="A10" t="s">
        <v>44</v>
      </c>
      <c r="B10" t="s">
        <v>55</v>
      </c>
      <c r="C10">
        <v>2522</v>
      </c>
      <c r="D10">
        <v>63</v>
      </c>
      <c r="E10" s="3">
        <v>45252</v>
      </c>
      <c r="F10" t="s">
        <v>53</v>
      </c>
      <c r="G10">
        <v>40.03</v>
      </c>
    </row>
    <row r="11" spans="1:7" x14ac:dyDescent="0.45">
      <c r="A11" t="s">
        <v>56</v>
      </c>
      <c r="B11" t="s">
        <v>57</v>
      </c>
      <c r="C11">
        <v>6649</v>
      </c>
      <c r="D11">
        <v>61</v>
      </c>
      <c r="E11" s="3">
        <v>45245</v>
      </c>
      <c r="F11" t="s">
        <v>43</v>
      </c>
      <c r="G11">
        <v>109</v>
      </c>
    </row>
    <row r="12" spans="1:7" x14ac:dyDescent="0.45">
      <c r="A12" t="s">
        <v>41</v>
      </c>
      <c r="B12" t="s">
        <v>58</v>
      </c>
      <c r="C12">
        <v>2069</v>
      </c>
      <c r="D12">
        <v>20</v>
      </c>
      <c r="E12" s="3">
        <v>45402</v>
      </c>
      <c r="F12" t="s">
        <v>46</v>
      </c>
      <c r="G12">
        <v>103.45</v>
      </c>
    </row>
    <row r="13" spans="1:7" x14ac:dyDescent="0.45">
      <c r="A13" t="s">
        <v>51</v>
      </c>
      <c r="B13" t="s">
        <v>59</v>
      </c>
      <c r="C13">
        <v>3407</v>
      </c>
      <c r="D13">
        <v>27</v>
      </c>
      <c r="E13" s="3">
        <v>45365</v>
      </c>
      <c r="F13" t="s">
        <v>60</v>
      </c>
      <c r="G13">
        <v>126.19</v>
      </c>
    </row>
    <row r="14" spans="1:7" x14ac:dyDescent="0.45">
      <c r="A14" t="s">
        <v>51</v>
      </c>
      <c r="B14" t="s">
        <v>61</v>
      </c>
      <c r="C14">
        <v>6707</v>
      </c>
      <c r="D14">
        <v>61</v>
      </c>
      <c r="E14" s="3">
        <v>45406</v>
      </c>
      <c r="F14" t="s">
        <v>46</v>
      </c>
      <c r="G14">
        <v>109.95</v>
      </c>
    </row>
    <row r="15" spans="1:7" x14ac:dyDescent="0.45">
      <c r="A15" t="s">
        <v>51</v>
      </c>
      <c r="B15" t="s">
        <v>62</v>
      </c>
      <c r="C15">
        <v>3216</v>
      </c>
      <c r="D15">
        <v>49</v>
      </c>
      <c r="E15" s="3">
        <v>45259</v>
      </c>
      <c r="F15" t="s">
        <v>53</v>
      </c>
      <c r="G15">
        <v>65.63</v>
      </c>
    </row>
    <row r="16" spans="1:7" x14ac:dyDescent="0.45">
      <c r="A16" t="s">
        <v>56</v>
      </c>
      <c r="B16" t="s">
        <v>63</v>
      </c>
      <c r="C16">
        <v>2901</v>
      </c>
      <c r="D16">
        <v>46</v>
      </c>
      <c r="E16" s="3">
        <v>45336</v>
      </c>
      <c r="F16" t="s">
        <v>46</v>
      </c>
      <c r="G16">
        <v>63.07</v>
      </c>
    </row>
    <row r="17" spans="1:7" x14ac:dyDescent="0.45">
      <c r="A17" t="s">
        <v>44</v>
      </c>
      <c r="B17" t="s">
        <v>64</v>
      </c>
      <c r="C17">
        <v>3711</v>
      </c>
      <c r="D17">
        <v>43</v>
      </c>
      <c r="E17" s="3">
        <v>45237</v>
      </c>
      <c r="F17" t="s">
        <v>65</v>
      </c>
      <c r="G17">
        <v>86.3</v>
      </c>
    </row>
    <row r="18" spans="1:7" x14ac:dyDescent="0.45">
      <c r="A18" t="s">
        <v>66</v>
      </c>
      <c r="B18" t="s">
        <v>67</v>
      </c>
      <c r="C18">
        <v>1762</v>
      </c>
      <c r="D18">
        <v>55</v>
      </c>
      <c r="E18" s="3">
        <v>45393</v>
      </c>
      <c r="F18" t="s">
        <v>60</v>
      </c>
      <c r="G18">
        <v>32.04</v>
      </c>
    </row>
    <row r="19" spans="1:7" x14ac:dyDescent="0.45">
      <c r="A19" t="s">
        <v>51</v>
      </c>
      <c r="B19" t="s">
        <v>68</v>
      </c>
      <c r="C19">
        <v>3228</v>
      </c>
      <c r="D19">
        <v>55</v>
      </c>
      <c r="E19" s="3">
        <v>45302</v>
      </c>
      <c r="F19" t="s">
        <v>46</v>
      </c>
      <c r="G19">
        <v>58.69</v>
      </c>
    </row>
    <row r="20" spans="1:7" x14ac:dyDescent="0.45">
      <c r="A20" t="s">
        <v>44</v>
      </c>
      <c r="B20" t="s">
        <v>69</v>
      </c>
      <c r="C20">
        <v>6766</v>
      </c>
      <c r="D20">
        <v>73</v>
      </c>
      <c r="E20" s="3">
        <v>45344</v>
      </c>
      <c r="F20" t="s">
        <v>46</v>
      </c>
      <c r="G20">
        <v>92.68</v>
      </c>
    </row>
    <row r="21" spans="1:7" x14ac:dyDescent="0.45">
      <c r="A21" t="s">
        <v>51</v>
      </c>
      <c r="B21" t="s">
        <v>70</v>
      </c>
      <c r="C21">
        <v>3520</v>
      </c>
      <c r="D21">
        <v>48</v>
      </c>
      <c r="E21" s="3">
        <v>45338</v>
      </c>
      <c r="F21" t="s">
        <v>43</v>
      </c>
      <c r="G21">
        <v>73.33</v>
      </c>
    </row>
    <row r="22" spans="1:7" x14ac:dyDescent="0.45">
      <c r="A22" t="s">
        <v>44</v>
      </c>
      <c r="B22" t="s">
        <v>71</v>
      </c>
      <c r="C22">
        <v>4771</v>
      </c>
      <c r="D22">
        <v>61</v>
      </c>
      <c r="E22" s="3">
        <v>45259</v>
      </c>
      <c r="F22" t="s">
        <v>46</v>
      </c>
      <c r="G22">
        <v>78.209999999999994</v>
      </c>
    </row>
    <row r="23" spans="1:7" x14ac:dyDescent="0.45">
      <c r="A23" t="s">
        <v>41</v>
      </c>
      <c r="B23" t="s">
        <v>72</v>
      </c>
      <c r="C23">
        <v>5542</v>
      </c>
      <c r="D23">
        <v>26</v>
      </c>
      <c r="E23" s="3">
        <v>45314</v>
      </c>
      <c r="F23" t="s">
        <v>53</v>
      </c>
      <c r="G23">
        <v>213.15</v>
      </c>
    </row>
    <row r="24" spans="1:7" x14ac:dyDescent="0.45">
      <c r="A24" t="s">
        <v>66</v>
      </c>
      <c r="B24" t="s">
        <v>73</v>
      </c>
      <c r="C24">
        <v>6640</v>
      </c>
      <c r="D24">
        <v>35</v>
      </c>
      <c r="E24" s="3">
        <v>45255</v>
      </c>
      <c r="F24" t="s">
        <v>60</v>
      </c>
      <c r="G24">
        <v>189.71</v>
      </c>
    </row>
    <row r="25" spans="1:7" x14ac:dyDescent="0.45">
      <c r="A25" t="s">
        <v>56</v>
      </c>
      <c r="B25" t="s">
        <v>68</v>
      </c>
      <c r="C25">
        <v>4652</v>
      </c>
      <c r="D25">
        <v>63</v>
      </c>
      <c r="E25" s="3">
        <v>45239</v>
      </c>
      <c r="F25" t="s">
        <v>43</v>
      </c>
      <c r="G25">
        <v>73.84</v>
      </c>
    </row>
    <row r="26" spans="1:7" x14ac:dyDescent="0.45">
      <c r="A26" t="s">
        <v>44</v>
      </c>
      <c r="B26" t="s">
        <v>74</v>
      </c>
      <c r="C26">
        <v>3559</v>
      </c>
      <c r="D26">
        <v>16</v>
      </c>
      <c r="E26" s="3">
        <v>45290</v>
      </c>
      <c r="F26" t="s">
        <v>53</v>
      </c>
      <c r="G26">
        <v>222.44</v>
      </c>
    </row>
    <row r="27" spans="1:7" x14ac:dyDescent="0.45">
      <c r="A27" t="s">
        <v>56</v>
      </c>
      <c r="B27" t="s">
        <v>75</v>
      </c>
      <c r="C27">
        <v>3685</v>
      </c>
      <c r="D27">
        <v>58</v>
      </c>
      <c r="E27" s="3">
        <v>45301</v>
      </c>
      <c r="F27" t="s">
        <v>53</v>
      </c>
      <c r="G27">
        <v>63.53</v>
      </c>
    </row>
    <row r="28" spans="1:7" x14ac:dyDescent="0.45">
      <c r="A28" t="s">
        <v>51</v>
      </c>
      <c r="B28" t="s">
        <v>76</v>
      </c>
      <c r="C28">
        <v>2795</v>
      </c>
      <c r="D28">
        <v>73</v>
      </c>
      <c r="E28" s="3">
        <v>45405</v>
      </c>
      <c r="F28" t="s">
        <v>53</v>
      </c>
      <c r="G28">
        <v>38.29</v>
      </c>
    </row>
    <row r="29" spans="1:7" x14ac:dyDescent="0.45">
      <c r="A29" t="s">
        <v>51</v>
      </c>
      <c r="B29" t="s">
        <v>47</v>
      </c>
      <c r="C29">
        <v>2963</v>
      </c>
      <c r="D29">
        <v>79</v>
      </c>
      <c r="E29" s="3">
        <v>45385</v>
      </c>
      <c r="F29" t="s">
        <v>53</v>
      </c>
      <c r="G29">
        <v>37.51</v>
      </c>
    </row>
    <row r="30" spans="1:7" x14ac:dyDescent="0.45">
      <c r="A30" t="s">
        <v>51</v>
      </c>
      <c r="B30" t="s">
        <v>63</v>
      </c>
      <c r="C30">
        <v>5658</v>
      </c>
      <c r="D30">
        <v>40</v>
      </c>
      <c r="E30" s="3">
        <v>45398</v>
      </c>
      <c r="F30" t="s">
        <v>46</v>
      </c>
      <c r="G30">
        <v>141.44999999999999</v>
      </c>
    </row>
    <row r="31" spans="1:7" x14ac:dyDescent="0.45">
      <c r="A31" t="s">
        <v>51</v>
      </c>
      <c r="B31" t="s">
        <v>77</v>
      </c>
      <c r="C31">
        <v>2823</v>
      </c>
      <c r="D31">
        <v>15</v>
      </c>
      <c r="E31" s="3">
        <v>45238</v>
      </c>
      <c r="F31" t="s">
        <v>43</v>
      </c>
      <c r="G31">
        <v>188.2</v>
      </c>
    </row>
    <row r="32" spans="1:7" x14ac:dyDescent="0.45">
      <c r="A32" t="s">
        <v>51</v>
      </c>
      <c r="B32" t="s">
        <v>78</v>
      </c>
      <c r="C32">
        <v>1659</v>
      </c>
      <c r="D32">
        <v>29</v>
      </c>
      <c r="E32" s="3">
        <v>45405</v>
      </c>
      <c r="F32" t="s">
        <v>65</v>
      </c>
      <c r="G32">
        <v>57.21</v>
      </c>
    </row>
    <row r="33" spans="1:7" x14ac:dyDescent="0.45">
      <c r="A33" t="s">
        <v>51</v>
      </c>
      <c r="B33" t="s">
        <v>79</v>
      </c>
      <c r="C33">
        <v>1974</v>
      </c>
      <c r="D33">
        <v>45</v>
      </c>
      <c r="E33" s="3">
        <v>45300</v>
      </c>
      <c r="F33" t="s">
        <v>43</v>
      </c>
      <c r="G33">
        <v>43.87</v>
      </c>
    </row>
    <row r="34" spans="1:7" x14ac:dyDescent="0.45">
      <c r="A34" t="s">
        <v>66</v>
      </c>
      <c r="B34" t="s">
        <v>59</v>
      </c>
      <c r="C34">
        <v>5481</v>
      </c>
      <c r="D34">
        <v>23</v>
      </c>
      <c r="E34" s="3">
        <v>45271</v>
      </c>
      <c r="F34" t="s">
        <v>43</v>
      </c>
      <c r="G34">
        <v>238.3</v>
      </c>
    </row>
    <row r="35" spans="1:7" x14ac:dyDescent="0.45">
      <c r="A35" t="s">
        <v>41</v>
      </c>
      <c r="B35" t="s">
        <v>80</v>
      </c>
      <c r="C35">
        <v>6904</v>
      </c>
      <c r="D35">
        <v>75</v>
      </c>
      <c r="E35" s="3">
        <v>45363</v>
      </c>
      <c r="F35" t="s">
        <v>43</v>
      </c>
      <c r="G35">
        <v>92.05</v>
      </c>
    </row>
    <row r="36" spans="1:7" x14ac:dyDescent="0.45">
      <c r="A36" t="s">
        <v>41</v>
      </c>
      <c r="B36" t="s">
        <v>81</v>
      </c>
      <c r="C36">
        <v>5822</v>
      </c>
      <c r="D36">
        <v>69</v>
      </c>
      <c r="E36" s="3">
        <v>45279</v>
      </c>
      <c r="F36" t="s">
        <v>46</v>
      </c>
      <c r="G36">
        <v>84.38</v>
      </c>
    </row>
    <row r="37" spans="1:7" x14ac:dyDescent="0.45">
      <c r="A37" t="s">
        <v>56</v>
      </c>
      <c r="B37" t="s">
        <v>75</v>
      </c>
      <c r="C37">
        <v>3147</v>
      </c>
      <c r="D37">
        <v>54</v>
      </c>
      <c r="E37" s="3">
        <v>45360</v>
      </c>
      <c r="F37" t="s">
        <v>60</v>
      </c>
      <c r="G37">
        <v>58.28</v>
      </c>
    </row>
    <row r="38" spans="1:7" x14ac:dyDescent="0.45">
      <c r="A38" t="s">
        <v>51</v>
      </c>
      <c r="B38" t="s">
        <v>82</v>
      </c>
      <c r="C38">
        <v>5739</v>
      </c>
      <c r="D38">
        <v>72</v>
      </c>
      <c r="E38" s="3">
        <v>45250</v>
      </c>
      <c r="F38" t="s">
        <v>53</v>
      </c>
      <c r="G38">
        <v>79.709999999999994</v>
      </c>
    </row>
    <row r="39" spans="1:7" x14ac:dyDescent="0.45">
      <c r="A39" t="s">
        <v>41</v>
      </c>
      <c r="B39" t="s">
        <v>83</v>
      </c>
      <c r="C39">
        <v>2024</v>
      </c>
      <c r="D39">
        <v>58</v>
      </c>
      <c r="E39" s="3">
        <v>45299</v>
      </c>
      <c r="F39" t="s">
        <v>53</v>
      </c>
      <c r="G39">
        <v>34.9</v>
      </c>
    </row>
    <row r="40" spans="1:7" x14ac:dyDescent="0.45">
      <c r="A40" t="s">
        <v>56</v>
      </c>
      <c r="B40" t="s">
        <v>84</v>
      </c>
      <c r="C40">
        <v>3385</v>
      </c>
      <c r="D40">
        <v>43</v>
      </c>
      <c r="E40" s="3">
        <v>45382</v>
      </c>
      <c r="F40" t="s">
        <v>53</v>
      </c>
      <c r="G40">
        <v>78.72</v>
      </c>
    </row>
    <row r="41" spans="1:7" x14ac:dyDescent="0.45">
      <c r="A41" t="s">
        <v>66</v>
      </c>
      <c r="B41" t="s">
        <v>58</v>
      </c>
      <c r="C41">
        <v>6669</v>
      </c>
      <c r="D41">
        <v>22</v>
      </c>
      <c r="E41" s="3">
        <v>45339</v>
      </c>
      <c r="F41" t="s">
        <v>46</v>
      </c>
      <c r="G41">
        <v>303.14</v>
      </c>
    </row>
    <row r="42" spans="1:7" x14ac:dyDescent="0.45">
      <c r="A42" t="s">
        <v>66</v>
      </c>
      <c r="B42" t="s">
        <v>45</v>
      </c>
      <c r="C42">
        <v>4206</v>
      </c>
      <c r="D42">
        <v>24</v>
      </c>
      <c r="E42" s="3">
        <v>45402</v>
      </c>
      <c r="F42" t="s">
        <v>43</v>
      </c>
      <c r="G42">
        <v>175.25</v>
      </c>
    </row>
    <row r="43" spans="1:7" x14ac:dyDescent="0.45">
      <c r="A43" t="s">
        <v>41</v>
      </c>
      <c r="B43" t="s">
        <v>85</v>
      </c>
      <c r="C43">
        <v>6980</v>
      </c>
      <c r="D43">
        <v>77</v>
      </c>
      <c r="E43" s="3">
        <v>45400</v>
      </c>
      <c r="F43" t="s">
        <v>46</v>
      </c>
      <c r="G43">
        <v>90.65</v>
      </c>
    </row>
    <row r="44" spans="1:7" x14ac:dyDescent="0.45">
      <c r="A44" t="s">
        <v>56</v>
      </c>
      <c r="B44" t="s">
        <v>80</v>
      </c>
      <c r="C44">
        <v>6177</v>
      </c>
      <c r="D44">
        <v>75</v>
      </c>
      <c r="E44" s="3">
        <v>45309</v>
      </c>
      <c r="F44" t="s">
        <v>46</v>
      </c>
      <c r="G44">
        <v>82.36</v>
      </c>
    </row>
    <row r="45" spans="1:7" x14ac:dyDescent="0.45">
      <c r="A45" t="s">
        <v>44</v>
      </c>
      <c r="B45" t="s">
        <v>86</v>
      </c>
      <c r="C45">
        <v>3059</v>
      </c>
      <c r="D45">
        <v>27</v>
      </c>
      <c r="E45" s="3">
        <v>45351</v>
      </c>
      <c r="F45" t="s">
        <v>53</v>
      </c>
      <c r="G45">
        <v>113.3</v>
      </c>
    </row>
    <row r="46" spans="1:7" x14ac:dyDescent="0.45">
      <c r="A46" t="s">
        <v>44</v>
      </c>
      <c r="B46" t="s">
        <v>62</v>
      </c>
      <c r="C46">
        <v>4969</v>
      </c>
      <c r="D46">
        <v>67</v>
      </c>
      <c r="E46" s="3">
        <v>45376</v>
      </c>
      <c r="F46" t="s">
        <v>60</v>
      </c>
      <c r="G46">
        <v>74.16</v>
      </c>
    </row>
    <row r="47" spans="1:7" x14ac:dyDescent="0.45">
      <c r="A47" t="s">
        <v>66</v>
      </c>
      <c r="B47" t="s">
        <v>87</v>
      </c>
      <c r="C47">
        <v>6853</v>
      </c>
      <c r="D47">
        <v>27</v>
      </c>
      <c r="E47" s="3">
        <v>45261</v>
      </c>
      <c r="F47" t="s">
        <v>53</v>
      </c>
      <c r="G47">
        <v>253.81</v>
      </c>
    </row>
    <row r="48" spans="1:7" x14ac:dyDescent="0.45">
      <c r="A48" t="s">
        <v>44</v>
      </c>
      <c r="B48" t="s">
        <v>88</v>
      </c>
      <c r="C48">
        <v>4279</v>
      </c>
      <c r="D48">
        <v>28</v>
      </c>
      <c r="E48" s="3">
        <v>45410</v>
      </c>
      <c r="F48" t="s">
        <v>46</v>
      </c>
      <c r="G48">
        <v>152.82</v>
      </c>
    </row>
    <row r="49" spans="1:7" x14ac:dyDescent="0.45">
      <c r="A49" t="s">
        <v>41</v>
      </c>
      <c r="B49" t="s">
        <v>89</v>
      </c>
      <c r="C49">
        <v>5893</v>
      </c>
      <c r="D49">
        <v>72</v>
      </c>
      <c r="E49" s="3">
        <v>45411</v>
      </c>
      <c r="F49" t="s">
        <v>46</v>
      </c>
      <c r="G49">
        <v>81.849999999999994</v>
      </c>
    </row>
    <row r="50" spans="1:7" x14ac:dyDescent="0.45">
      <c r="A50" t="s">
        <v>44</v>
      </c>
      <c r="B50" t="s">
        <v>90</v>
      </c>
      <c r="C50">
        <v>3781</v>
      </c>
      <c r="D50">
        <v>74</v>
      </c>
      <c r="E50" s="3">
        <v>45276</v>
      </c>
      <c r="F50" t="s">
        <v>46</v>
      </c>
      <c r="G50">
        <v>51.09</v>
      </c>
    </row>
    <row r="51" spans="1:7" x14ac:dyDescent="0.45">
      <c r="A51" t="s">
        <v>66</v>
      </c>
      <c r="B51" t="s">
        <v>82</v>
      </c>
      <c r="C51">
        <v>6008</v>
      </c>
      <c r="D51">
        <v>27</v>
      </c>
      <c r="E51" s="3">
        <v>45398</v>
      </c>
      <c r="F51" t="s">
        <v>53</v>
      </c>
      <c r="G51">
        <v>222.52</v>
      </c>
    </row>
    <row r="52" spans="1:7" x14ac:dyDescent="0.45">
      <c r="A52" t="s">
        <v>56</v>
      </c>
      <c r="B52" t="s">
        <v>91</v>
      </c>
      <c r="C52">
        <v>2264</v>
      </c>
      <c r="D52">
        <v>45</v>
      </c>
      <c r="E52" s="3">
        <v>45262</v>
      </c>
      <c r="F52" t="s">
        <v>46</v>
      </c>
      <c r="G52">
        <v>50.31</v>
      </c>
    </row>
    <row r="53" spans="1:7" x14ac:dyDescent="0.45">
      <c r="A53" t="s">
        <v>44</v>
      </c>
      <c r="B53" t="s">
        <v>78</v>
      </c>
      <c r="C53">
        <v>5443</v>
      </c>
      <c r="D53">
        <v>42</v>
      </c>
      <c r="E53" s="3">
        <v>45386</v>
      </c>
      <c r="F53" t="s">
        <v>60</v>
      </c>
      <c r="G53">
        <v>129.6</v>
      </c>
    </row>
    <row r="54" spans="1:7" x14ac:dyDescent="0.45">
      <c r="A54" t="s">
        <v>66</v>
      </c>
      <c r="B54" t="s">
        <v>92</v>
      </c>
      <c r="C54">
        <v>4604</v>
      </c>
      <c r="D54">
        <v>15</v>
      </c>
      <c r="E54" s="3">
        <v>45388</v>
      </c>
      <c r="F54" t="s">
        <v>60</v>
      </c>
      <c r="G54">
        <v>306.93</v>
      </c>
    </row>
    <row r="55" spans="1:7" x14ac:dyDescent="0.45">
      <c r="A55" t="s">
        <v>51</v>
      </c>
      <c r="B55" t="s">
        <v>61</v>
      </c>
      <c r="C55">
        <v>3836</v>
      </c>
      <c r="D55">
        <v>69</v>
      </c>
      <c r="E55" s="3">
        <v>45265</v>
      </c>
      <c r="F55" t="s">
        <v>43</v>
      </c>
      <c r="G55">
        <v>55.59</v>
      </c>
    </row>
    <row r="56" spans="1:7" x14ac:dyDescent="0.45">
      <c r="A56" t="s">
        <v>44</v>
      </c>
      <c r="B56" t="s">
        <v>73</v>
      </c>
      <c r="C56">
        <v>3055</v>
      </c>
      <c r="D56">
        <v>52</v>
      </c>
      <c r="E56" s="3">
        <v>45402</v>
      </c>
      <c r="F56" t="s">
        <v>46</v>
      </c>
      <c r="G56">
        <v>58.75</v>
      </c>
    </row>
    <row r="57" spans="1:7" x14ac:dyDescent="0.45">
      <c r="A57" t="s">
        <v>66</v>
      </c>
      <c r="B57" t="s">
        <v>71</v>
      </c>
      <c r="C57">
        <v>5941</v>
      </c>
      <c r="D57">
        <v>22</v>
      </c>
      <c r="E57" s="3">
        <v>45311</v>
      </c>
      <c r="F57" t="s">
        <v>65</v>
      </c>
      <c r="G57">
        <v>270.05</v>
      </c>
    </row>
    <row r="58" spans="1:7" x14ac:dyDescent="0.45">
      <c r="A58" t="s">
        <v>66</v>
      </c>
      <c r="B58" t="s">
        <v>93</v>
      </c>
      <c r="C58">
        <v>6285</v>
      </c>
      <c r="D58">
        <v>76</v>
      </c>
      <c r="E58" s="3">
        <v>45235</v>
      </c>
      <c r="F58" t="s">
        <v>43</v>
      </c>
      <c r="G58">
        <v>82.7</v>
      </c>
    </row>
    <row r="59" spans="1:7" x14ac:dyDescent="0.45">
      <c r="A59" t="s">
        <v>56</v>
      </c>
      <c r="B59" t="s">
        <v>94</v>
      </c>
      <c r="C59">
        <v>1965</v>
      </c>
      <c r="D59">
        <v>80</v>
      </c>
      <c r="E59" s="3">
        <v>45265</v>
      </c>
      <c r="F59" t="s">
        <v>53</v>
      </c>
      <c r="G59">
        <v>24.56</v>
      </c>
    </row>
    <row r="60" spans="1:7" x14ac:dyDescent="0.45">
      <c r="A60" t="s">
        <v>41</v>
      </c>
      <c r="B60" t="s">
        <v>68</v>
      </c>
      <c r="C60">
        <v>6374</v>
      </c>
      <c r="D60">
        <v>23</v>
      </c>
      <c r="E60" s="3">
        <v>45374</v>
      </c>
      <c r="F60" t="s">
        <v>46</v>
      </c>
      <c r="G60">
        <v>277.13</v>
      </c>
    </row>
    <row r="61" spans="1:7" x14ac:dyDescent="0.45">
      <c r="A61" t="s">
        <v>44</v>
      </c>
      <c r="B61" t="s">
        <v>95</v>
      </c>
      <c r="C61">
        <v>6166</v>
      </c>
      <c r="D61">
        <v>46</v>
      </c>
      <c r="E61" s="3">
        <v>45410</v>
      </c>
      <c r="F61" t="s">
        <v>43</v>
      </c>
      <c r="G61">
        <v>134.04</v>
      </c>
    </row>
    <row r="62" spans="1:7" x14ac:dyDescent="0.45">
      <c r="A62" t="s">
        <v>56</v>
      </c>
      <c r="B62" t="s">
        <v>96</v>
      </c>
      <c r="C62">
        <v>6573</v>
      </c>
      <c r="D62">
        <v>25</v>
      </c>
      <c r="E62" s="3">
        <v>45295</v>
      </c>
      <c r="F62" t="s">
        <v>60</v>
      </c>
      <c r="G62">
        <v>262.92</v>
      </c>
    </row>
    <row r="63" spans="1:7" x14ac:dyDescent="0.45">
      <c r="A63" t="s">
        <v>56</v>
      </c>
      <c r="B63" t="s">
        <v>97</v>
      </c>
      <c r="C63">
        <v>5782</v>
      </c>
      <c r="D63">
        <v>55</v>
      </c>
      <c r="E63" s="3">
        <v>45382</v>
      </c>
      <c r="F63" t="s">
        <v>65</v>
      </c>
      <c r="G63">
        <v>105.13</v>
      </c>
    </row>
    <row r="64" spans="1:7" x14ac:dyDescent="0.45">
      <c r="A64" t="s">
        <v>41</v>
      </c>
      <c r="B64" t="s">
        <v>98</v>
      </c>
      <c r="C64">
        <v>4073</v>
      </c>
      <c r="D64">
        <v>45</v>
      </c>
      <c r="E64" s="3">
        <v>45411</v>
      </c>
      <c r="F64" t="s">
        <v>65</v>
      </c>
      <c r="G64">
        <v>90.51</v>
      </c>
    </row>
    <row r="65" spans="1:7" x14ac:dyDescent="0.45">
      <c r="A65" t="s">
        <v>44</v>
      </c>
      <c r="B65" t="s">
        <v>80</v>
      </c>
      <c r="C65">
        <v>6787</v>
      </c>
      <c r="D65">
        <v>53</v>
      </c>
      <c r="E65" s="3">
        <v>45310</v>
      </c>
      <c r="F65" t="s">
        <v>60</v>
      </c>
      <c r="G65">
        <v>128.06</v>
      </c>
    </row>
    <row r="66" spans="1:7" x14ac:dyDescent="0.45">
      <c r="A66" t="s">
        <v>51</v>
      </c>
      <c r="B66" t="s">
        <v>75</v>
      </c>
      <c r="C66">
        <v>2094</v>
      </c>
      <c r="D66">
        <v>16</v>
      </c>
      <c r="E66" s="3">
        <v>45386</v>
      </c>
      <c r="F66" t="s">
        <v>60</v>
      </c>
      <c r="G66">
        <v>130.88</v>
      </c>
    </row>
    <row r="67" spans="1:7" x14ac:dyDescent="0.45">
      <c r="A67" t="s">
        <v>56</v>
      </c>
      <c r="B67" t="s">
        <v>97</v>
      </c>
      <c r="C67">
        <v>2319</v>
      </c>
      <c r="D67">
        <v>24</v>
      </c>
      <c r="E67" s="3">
        <v>45361</v>
      </c>
      <c r="F67" t="s">
        <v>43</v>
      </c>
      <c r="G67">
        <v>96.62</v>
      </c>
    </row>
    <row r="68" spans="1:7" x14ac:dyDescent="0.45">
      <c r="A68" t="s">
        <v>41</v>
      </c>
      <c r="B68" t="s">
        <v>47</v>
      </c>
      <c r="C68">
        <v>3672</v>
      </c>
      <c r="D68">
        <v>31</v>
      </c>
      <c r="E68" s="3">
        <v>45398</v>
      </c>
      <c r="F68" t="s">
        <v>65</v>
      </c>
      <c r="G68">
        <v>118.45</v>
      </c>
    </row>
    <row r="69" spans="1:7" x14ac:dyDescent="0.45">
      <c r="A69" t="s">
        <v>66</v>
      </c>
      <c r="B69" t="s">
        <v>99</v>
      </c>
      <c r="C69">
        <v>4527</v>
      </c>
      <c r="D69">
        <v>51</v>
      </c>
      <c r="E69" s="3">
        <v>45373</v>
      </c>
      <c r="F69" t="s">
        <v>46</v>
      </c>
      <c r="G69">
        <v>88.76</v>
      </c>
    </row>
    <row r="70" spans="1:7" x14ac:dyDescent="0.45">
      <c r="A70" t="s">
        <v>44</v>
      </c>
      <c r="B70" t="s">
        <v>100</v>
      </c>
      <c r="C70">
        <v>3978</v>
      </c>
      <c r="D70">
        <v>16</v>
      </c>
      <c r="E70" s="3">
        <v>45388</v>
      </c>
      <c r="F70" t="s">
        <v>43</v>
      </c>
      <c r="G70">
        <v>248.62</v>
      </c>
    </row>
    <row r="71" spans="1:7" x14ac:dyDescent="0.45">
      <c r="A71" t="s">
        <v>51</v>
      </c>
      <c r="B71" t="s">
        <v>101</v>
      </c>
      <c r="C71">
        <v>2348</v>
      </c>
      <c r="D71">
        <v>32</v>
      </c>
      <c r="E71" s="3">
        <v>45279</v>
      </c>
      <c r="F71" t="s">
        <v>65</v>
      </c>
      <c r="G71">
        <v>73.38</v>
      </c>
    </row>
    <row r="72" spans="1:7" x14ac:dyDescent="0.45">
      <c r="A72" t="s">
        <v>66</v>
      </c>
      <c r="B72" t="s">
        <v>52</v>
      </c>
      <c r="C72">
        <v>6032</v>
      </c>
      <c r="D72">
        <v>34</v>
      </c>
      <c r="E72" s="3">
        <v>45282</v>
      </c>
      <c r="F72" t="s">
        <v>65</v>
      </c>
      <c r="G72">
        <v>177.41</v>
      </c>
    </row>
    <row r="73" spans="1:7" x14ac:dyDescent="0.45">
      <c r="A73" t="s">
        <v>51</v>
      </c>
      <c r="B73" t="s">
        <v>102</v>
      </c>
      <c r="C73">
        <v>3225</v>
      </c>
      <c r="D73">
        <v>58</v>
      </c>
      <c r="E73" s="3">
        <v>45261</v>
      </c>
      <c r="F73" t="s">
        <v>46</v>
      </c>
      <c r="G73">
        <v>55.6</v>
      </c>
    </row>
    <row r="74" spans="1:7" x14ac:dyDescent="0.45">
      <c r="A74" t="s">
        <v>51</v>
      </c>
      <c r="B74" t="s">
        <v>47</v>
      </c>
      <c r="C74">
        <v>5502</v>
      </c>
      <c r="D74">
        <v>47</v>
      </c>
      <c r="E74" s="3">
        <v>45383</v>
      </c>
      <c r="F74" t="s">
        <v>53</v>
      </c>
      <c r="G74">
        <v>117.06</v>
      </c>
    </row>
    <row r="75" spans="1:7" x14ac:dyDescent="0.45">
      <c r="A75" t="s">
        <v>66</v>
      </c>
      <c r="B75" t="s">
        <v>63</v>
      </c>
      <c r="C75">
        <v>4969</v>
      </c>
      <c r="D75">
        <v>50</v>
      </c>
      <c r="E75" s="3">
        <v>45367</v>
      </c>
      <c r="F75" t="s">
        <v>53</v>
      </c>
      <c r="G75">
        <v>99.38</v>
      </c>
    </row>
    <row r="76" spans="1:7" x14ac:dyDescent="0.45">
      <c r="A76" t="s">
        <v>66</v>
      </c>
      <c r="B76" t="s">
        <v>103</v>
      </c>
      <c r="C76">
        <v>2571</v>
      </c>
      <c r="D76">
        <v>48</v>
      </c>
      <c r="E76" s="3">
        <v>45251</v>
      </c>
      <c r="F76" t="s">
        <v>46</v>
      </c>
      <c r="G76">
        <v>53.56</v>
      </c>
    </row>
    <row r="77" spans="1:7" x14ac:dyDescent="0.45">
      <c r="A77" t="s">
        <v>44</v>
      </c>
      <c r="B77" t="s">
        <v>84</v>
      </c>
      <c r="C77">
        <v>5003</v>
      </c>
      <c r="D77">
        <v>16</v>
      </c>
      <c r="E77" s="3">
        <v>45305</v>
      </c>
      <c r="F77" t="s">
        <v>53</v>
      </c>
      <c r="G77">
        <v>312.69</v>
      </c>
    </row>
    <row r="78" spans="1:7" x14ac:dyDescent="0.45">
      <c r="A78" t="s">
        <v>66</v>
      </c>
      <c r="B78" t="s">
        <v>104</v>
      </c>
      <c r="C78">
        <v>2721</v>
      </c>
      <c r="D78">
        <v>19</v>
      </c>
      <c r="E78" s="3">
        <v>45400</v>
      </c>
      <c r="F78" t="s">
        <v>65</v>
      </c>
      <c r="G78">
        <v>143.21</v>
      </c>
    </row>
    <row r="79" spans="1:7" x14ac:dyDescent="0.45">
      <c r="A79" t="s">
        <v>56</v>
      </c>
      <c r="B79" t="s">
        <v>84</v>
      </c>
      <c r="C79">
        <v>2713</v>
      </c>
      <c r="D79">
        <v>70</v>
      </c>
      <c r="E79" s="3">
        <v>45238</v>
      </c>
      <c r="F79" t="s">
        <v>46</v>
      </c>
      <c r="G79">
        <v>38.76</v>
      </c>
    </row>
    <row r="80" spans="1:7" x14ac:dyDescent="0.45">
      <c r="A80" t="s">
        <v>66</v>
      </c>
      <c r="B80" t="s">
        <v>105</v>
      </c>
      <c r="C80">
        <v>4487</v>
      </c>
      <c r="D80">
        <v>20</v>
      </c>
      <c r="E80" s="3">
        <v>45397</v>
      </c>
      <c r="F80" t="s">
        <v>65</v>
      </c>
      <c r="G80">
        <v>224.35</v>
      </c>
    </row>
    <row r="81" spans="1:7" x14ac:dyDescent="0.45">
      <c r="A81" t="s">
        <v>41</v>
      </c>
      <c r="B81" t="s">
        <v>106</v>
      </c>
      <c r="C81">
        <v>3544</v>
      </c>
      <c r="D81">
        <v>28</v>
      </c>
      <c r="E81" s="3">
        <v>45322</v>
      </c>
      <c r="F81" t="s">
        <v>65</v>
      </c>
      <c r="G81">
        <v>126.57</v>
      </c>
    </row>
    <row r="82" spans="1:7" x14ac:dyDescent="0.45">
      <c r="A82" t="s">
        <v>56</v>
      </c>
      <c r="B82" t="s">
        <v>86</v>
      </c>
      <c r="C82">
        <v>6584</v>
      </c>
      <c r="D82">
        <v>34</v>
      </c>
      <c r="E82" s="3">
        <v>45274</v>
      </c>
      <c r="F82" t="s">
        <v>46</v>
      </c>
      <c r="G82">
        <v>193.65</v>
      </c>
    </row>
    <row r="83" spans="1:7" x14ac:dyDescent="0.45">
      <c r="A83" t="s">
        <v>41</v>
      </c>
      <c r="B83" t="s">
        <v>107</v>
      </c>
      <c r="C83">
        <v>4877</v>
      </c>
      <c r="D83">
        <v>18</v>
      </c>
      <c r="E83" s="3">
        <v>45269</v>
      </c>
      <c r="F83" t="s">
        <v>46</v>
      </c>
      <c r="G83">
        <v>270.94</v>
      </c>
    </row>
    <row r="84" spans="1:7" x14ac:dyDescent="0.45">
      <c r="A84" t="s">
        <v>51</v>
      </c>
      <c r="B84" t="s">
        <v>86</v>
      </c>
      <c r="C84">
        <v>6987</v>
      </c>
      <c r="D84">
        <v>46</v>
      </c>
      <c r="E84" s="3">
        <v>45389</v>
      </c>
      <c r="F84" t="s">
        <v>65</v>
      </c>
      <c r="G84">
        <v>151.88999999999999</v>
      </c>
    </row>
    <row r="85" spans="1:7" x14ac:dyDescent="0.45">
      <c r="A85" t="s">
        <v>41</v>
      </c>
      <c r="B85" t="s">
        <v>108</v>
      </c>
      <c r="C85">
        <v>2385</v>
      </c>
      <c r="D85">
        <v>63</v>
      </c>
      <c r="E85" s="3">
        <v>45409</v>
      </c>
      <c r="F85" t="s">
        <v>53</v>
      </c>
      <c r="G85">
        <v>37.86</v>
      </c>
    </row>
    <row r="86" spans="1:7" x14ac:dyDescent="0.45">
      <c r="A86" t="s">
        <v>44</v>
      </c>
      <c r="B86" t="s">
        <v>83</v>
      </c>
      <c r="C86">
        <v>3134</v>
      </c>
      <c r="D86">
        <v>73</v>
      </c>
      <c r="E86" s="3">
        <v>45320</v>
      </c>
      <c r="F86" t="s">
        <v>65</v>
      </c>
      <c r="G86">
        <v>42.93</v>
      </c>
    </row>
    <row r="87" spans="1:7" x14ac:dyDescent="0.45">
      <c r="A87" t="s">
        <v>51</v>
      </c>
      <c r="B87" t="s">
        <v>67</v>
      </c>
      <c r="C87">
        <v>3326</v>
      </c>
      <c r="D87">
        <v>18</v>
      </c>
      <c r="E87" s="3">
        <v>45298</v>
      </c>
      <c r="F87" t="s">
        <v>46</v>
      </c>
      <c r="G87">
        <v>184.78</v>
      </c>
    </row>
    <row r="88" spans="1:7" x14ac:dyDescent="0.45">
      <c r="A88" t="s">
        <v>44</v>
      </c>
      <c r="B88" t="s">
        <v>103</v>
      </c>
      <c r="C88">
        <v>3782</v>
      </c>
      <c r="D88">
        <v>23</v>
      </c>
      <c r="E88" s="3">
        <v>45290</v>
      </c>
      <c r="F88" t="s">
        <v>65</v>
      </c>
      <c r="G88">
        <v>164.43</v>
      </c>
    </row>
    <row r="89" spans="1:7" x14ac:dyDescent="0.45">
      <c r="A89" t="s">
        <v>51</v>
      </c>
      <c r="B89" t="s">
        <v>109</v>
      </c>
      <c r="C89">
        <v>5673</v>
      </c>
      <c r="D89">
        <v>66</v>
      </c>
      <c r="E89" s="3">
        <v>45390</v>
      </c>
      <c r="F89" t="s">
        <v>43</v>
      </c>
      <c r="G89">
        <v>85.95</v>
      </c>
    </row>
    <row r="90" spans="1:7" x14ac:dyDescent="0.45">
      <c r="A90" t="s">
        <v>51</v>
      </c>
      <c r="B90" t="s">
        <v>110</v>
      </c>
      <c r="C90">
        <v>2444</v>
      </c>
      <c r="D90">
        <v>48</v>
      </c>
      <c r="E90" s="3">
        <v>45385</v>
      </c>
      <c r="F90" t="s">
        <v>46</v>
      </c>
      <c r="G90">
        <v>50.92</v>
      </c>
    </row>
    <row r="91" spans="1:7" x14ac:dyDescent="0.45">
      <c r="A91" t="s">
        <v>56</v>
      </c>
      <c r="B91" t="s">
        <v>81</v>
      </c>
      <c r="C91">
        <v>1813</v>
      </c>
      <c r="D91">
        <v>28</v>
      </c>
      <c r="E91" s="3">
        <v>45400</v>
      </c>
      <c r="F91" t="s">
        <v>43</v>
      </c>
      <c r="G91">
        <v>64.75</v>
      </c>
    </row>
    <row r="92" spans="1:7" x14ac:dyDescent="0.45">
      <c r="A92" t="s">
        <v>44</v>
      </c>
      <c r="B92" t="s">
        <v>54</v>
      </c>
      <c r="C92">
        <v>4069</v>
      </c>
      <c r="D92">
        <v>70</v>
      </c>
      <c r="E92" s="3">
        <v>45275</v>
      </c>
      <c r="F92" t="s">
        <v>43</v>
      </c>
      <c r="G92">
        <v>58.13</v>
      </c>
    </row>
    <row r="93" spans="1:7" x14ac:dyDescent="0.45">
      <c r="A93" t="s">
        <v>56</v>
      </c>
      <c r="B93" t="s">
        <v>111</v>
      </c>
      <c r="C93">
        <v>4655</v>
      </c>
      <c r="D93">
        <v>39</v>
      </c>
      <c r="E93" s="3">
        <v>45274</v>
      </c>
      <c r="F93" t="s">
        <v>65</v>
      </c>
      <c r="G93">
        <v>119.36</v>
      </c>
    </row>
    <row r="94" spans="1:7" x14ac:dyDescent="0.45">
      <c r="A94" t="s">
        <v>66</v>
      </c>
      <c r="B94" t="s">
        <v>58</v>
      </c>
      <c r="C94">
        <v>5072</v>
      </c>
      <c r="D94">
        <v>15</v>
      </c>
      <c r="E94" s="3">
        <v>45235</v>
      </c>
      <c r="F94" t="s">
        <v>43</v>
      </c>
      <c r="G94">
        <v>338.13</v>
      </c>
    </row>
    <row r="95" spans="1:7" x14ac:dyDescent="0.45">
      <c r="A95" t="s">
        <v>56</v>
      </c>
      <c r="B95" t="s">
        <v>106</v>
      </c>
      <c r="C95">
        <v>6993</v>
      </c>
      <c r="D95">
        <v>40</v>
      </c>
      <c r="E95" s="3">
        <v>45359</v>
      </c>
      <c r="F95" t="s">
        <v>65</v>
      </c>
      <c r="G95">
        <v>174.82</v>
      </c>
    </row>
    <row r="96" spans="1:7" x14ac:dyDescent="0.45">
      <c r="A96" t="s">
        <v>44</v>
      </c>
      <c r="B96" t="s">
        <v>68</v>
      </c>
      <c r="C96">
        <v>6941</v>
      </c>
      <c r="D96">
        <v>57</v>
      </c>
      <c r="E96" s="3">
        <v>45268</v>
      </c>
      <c r="F96" t="s">
        <v>43</v>
      </c>
      <c r="G96">
        <v>121.77</v>
      </c>
    </row>
    <row r="97" spans="1:7" x14ac:dyDescent="0.45">
      <c r="A97" t="s">
        <v>51</v>
      </c>
      <c r="B97" t="s">
        <v>101</v>
      </c>
      <c r="C97">
        <v>2520</v>
      </c>
      <c r="D97">
        <v>53</v>
      </c>
      <c r="E97" s="3">
        <v>45308</v>
      </c>
      <c r="F97" t="s">
        <v>43</v>
      </c>
      <c r="G97">
        <v>47.55</v>
      </c>
    </row>
    <row r="98" spans="1:7" x14ac:dyDescent="0.45">
      <c r="A98" t="s">
        <v>51</v>
      </c>
      <c r="B98" t="s">
        <v>98</v>
      </c>
      <c r="C98">
        <v>4845</v>
      </c>
      <c r="D98">
        <v>56</v>
      </c>
      <c r="E98" s="3">
        <v>45294</v>
      </c>
      <c r="F98" t="s">
        <v>60</v>
      </c>
      <c r="G98">
        <v>86.52</v>
      </c>
    </row>
    <row r="99" spans="1:7" x14ac:dyDescent="0.45">
      <c r="A99" t="s">
        <v>51</v>
      </c>
      <c r="B99" t="s">
        <v>84</v>
      </c>
      <c r="C99">
        <v>2542</v>
      </c>
      <c r="D99">
        <v>39</v>
      </c>
      <c r="E99" s="3">
        <v>45285</v>
      </c>
      <c r="F99" t="s">
        <v>60</v>
      </c>
      <c r="G99">
        <v>65.180000000000007</v>
      </c>
    </row>
    <row r="100" spans="1:7" x14ac:dyDescent="0.45">
      <c r="A100" t="s">
        <v>44</v>
      </c>
      <c r="B100" t="s">
        <v>87</v>
      </c>
      <c r="C100">
        <v>2925</v>
      </c>
      <c r="D100">
        <v>53</v>
      </c>
      <c r="E100" s="3">
        <v>45398</v>
      </c>
      <c r="F100" t="s">
        <v>60</v>
      </c>
      <c r="G100">
        <v>55.19</v>
      </c>
    </row>
    <row r="101" spans="1:7" x14ac:dyDescent="0.45">
      <c r="A101" t="s">
        <v>56</v>
      </c>
      <c r="B101" t="s">
        <v>112</v>
      </c>
      <c r="C101">
        <v>3989</v>
      </c>
      <c r="D101">
        <v>51</v>
      </c>
      <c r="E101" s="3">
        <v>45244</v>
      </c>
      <c r="F101" t="s">
        <v>46</v>
      </c>
      <c r="G101">
        <v>78.22</v>
      </c>
    </row>
    <row r="102" spans="1:7" x14ac:dyDescent="0.45">
      <c r="A102" t="s">
        <v>44</v>
      </c>
      <c r="B102" t="s">
        <v>71</v>
      </c>
      <c r="C102">
        <v>6469</v>
      </c>
      <c r="D102">
        <v>56</v>
      </c>
      <c r="E102" s="3">
        <v>45381</v>
      </c>
      <c r="F102" t="s">
        <v>60</v>
      </c>
      <c r="G102">
        <v>115.52</v>
      </c>
    </row>
    <row r="103" spans="1:7" x14ac:dyDescent="0.45">
      <c r="A103" t="s">
        <v>44</v>
      </c>
      <c r="B103" t="s">
        <v>82</v>
      </c>
      <c r="C103">
        <v>3250</v>
      </c>
      <c r="D103">
        <v>80</v>
      </c>
      <c r="E103" s="3">
        <v>45285</v>
      </c>
      <c r="F103" t="s">
        <v>60</v>
      </c>
      <c r="G103">
        <v>40.619999999999997</v>
      </c>
    </row>
    <row r="104" spans="1:7" x14ac:dyDescent="0.45">
      <c r="A104" t="s">
        <v>41</v>
      </c>
      <c r="B104" t="s">
        <v>101</v>
      </c>
      <c r="C104">
        <v>2194</v>
      </c>
      <c r="D104">
        <v>51</v>
      </c>
      <c r="E104" s="3">
        <v>45299</v>
      </c>
      <c r="F104" t="s">
        <v>43</v>
      </c>
      <c r="G104">
        <v>43.02</v>
      </c>
    </row>
    <row r="105" spans="1:7" x14ac:dyDescent="0.45">
      <c r="A105" t="s">
        <v>56</v>
      </c>
      <c r="B105" t="s">
        <v>103</v>
      </c>
      <c r="C105">
        <v>2265</v>
      </c>
      <c r="D105">
        <v>45</v>
      </c>
      <c r="E105" s="3">
        <v>45355</v>
      </c>
      <c r="F105" t="s">
        <v>65</v>
      </c>
      <c r="G105">
        <v>50.33</v>
      </c>
    </row>
    <row r="106" spans="1:7" x14ac:dyDescent="0.45">
      <c r="A106" t="s">
        <v>41</v>
      </c>
      <c r="B106" t="s">
        <v>113</v>
      </c>
      <c r="C106">
        <v>2707</v>
      </c>
      <c r="D106">
        <v>18</v>
      </c>
      <c r="E106" s="3">
        <v>45329</v>
      </c>
      <c r="F106" t="s">
        <v>53</v>
      </c>
      <c r="G106">
        <v>150.38999999999999</v>
      </c>
    </row>
    <row r="107" spans="1:7" x14ac:dyDescent="0.45">
      <c r="A107" t="s">
        <v>41</v>
      </c>
      <c r="B107" t="s">
        <v>114</v>
      </c>
      <c r="C107">
        <v>6507</v>
      </c>
      <c r="D107">
        <v>24</v>
      </c>
      <c r="E107" s="3">
        <v>45308</v>
      </c>
      <c r="F107" t="s">
        <v>60</v>
      </c>
      <c r="G107">
        <v>271.12</v>
      </c>
    </row>
    <row r="108" spans="1:7" x14ac:dyDescent="0.45">
      <c r="A108" t="s">
        <v>44</v>
      </c>
      <c r="B108" t="s">
        <v>115</v>
      </c>
      <c r="C108">
        <v>6215</v>
      </c>
      <c r="D108">
        <v>39</v>
      </c>
      <c r="E108" s="3">
        <v>45362</v>
      </c>
      <c r="F108" t="s">
        <v>60</v>
      </c>
      <c r="G108">
        <v>159.36000000000001</v>
      </c>
    </row>
    <row r="109" spans="1:7" x14ac:dyDescent="0.45">
      <c r="A109" t="s">
        <v>44</v>
      </c>
      <c r="B109" t="s">
        <v>116</v>
      </c>
      <c r="C109">
        <v>3498</v>
      </c>
      <c r="D109">
        <v>33</v>
      </c>
      <c r="E109" s="3">
        <v>45394</v>
      </c>
      <c r="F109" t="s">
        <v>53</v>
      </c>
      <c r="G109">
        <v>106</v>
      </c>
    </row>
    <row r="110" spans="1:7" x14ac:dyDescent="0.45">
      <c r="A110" t="s">
        <v>66</v>
      </c>
      <c r="B110" t="s">
        <v>117</v>
      </c>
      <c r="C110">
        <v>4982</v>
      </c>
      <c r="D110">
        <v>43</v>
      </c>
      <c r="E110" s="3">
        <v>45335</v>
      </c>
      <c r="F110" t="s">
        <v>46</v>
      </c>
      <c r="G110">
        <v>115.86</v>
      </c>
    </row>
    <row r="111" spans="1:7" x14ac:dyDescent="0.45">
      <c r="A111" t="s">
        <v>56</v>
      </c>
      <c r="B111" t="s">
        <v>118</v>
      </c>
      <c r="C111">
        <v>1911</v>
      </c>
      <c r="D111">
        <v>46</v>
      </c>
      <c r="E111" s="3">
        <v>45295</v>
      </c>
      <c r="F111" t="s">
        <v>53</v>
      </c>
      <c r="G111">
        <v>41.54</v>
      </c>
    </row>
    <row r="112" spans="1:7" x14ac:dyDescent="0.45">
      <c r="A112" t="s">
        <v>44</v>
      </c>
      <c r="B112" t="s">
        <v>70</v>
      </c>
      <c r="C112">
        <v>5306</v>
      </c>
      <c r="D112">
        <v>55</v>
      </c>
      <c r="E112" s="3">
        <v>45236</v>
      </c>
      <c r="F112" t="s">
        <v>60</v>
      </c>
      <c r="G112">
        <v>96.47</v>
      </c>
    </row>
    <row r="113" spans="1:7" x14ac:dyDescent="0.45">
      <c r="A113" t="s">
        <v>56</v>
      </c>
      <c r="B113" t="s">
        <v>119</v>
      </c>
      <c r="C113">
        <v>5635</v>
      </c>
      <c r="D113">
        <v>69</v>
      </c>
      <c r="E113" s="3">
        <v>45253</v>
      </c>
      <c r="F113" t="s">
        <v>43</v>
      </c>
      <c r="G113">
        <v>81.67</v>
      </c>
    </row>
    <row r="114" spans="1:7" x14ac:dyDescent="0.45">
      <c r="A114" t="s">
        <v>44</v>
      </c>
      <c r="B114" t="s">
        <v>94</v>
      </c>
      <c r="C114">
        <v>5388</v>
      </c>
      <c r="D114">
        <v>72</v>
      </c>
      <c r="E114" s="3">
        <v>45401</v>
      </c>
      <c r="F114" t="s">
        <v>65</v>
      </c>
      <c r="G114">
        <v>74.83</v>
      </c>
    </row>
    <row r="115" spans="1:7" x14ac:dyDescent="0.45">
      <c r="A115" t="s">
        <v>41</v>
      </c>
      <c r="B115" t="s">
        <v>63</v>
      </c>
      <c r="C115">
        <v>3771</v>
      </c>
      <c r="D115">
        <v>77</v>
      </c>
      <c r="E115" s="3">
        <v>45281</v>
      </c>
      <c r="F115" t="s">
        <v>46</v>
      </c>
      <c r="G115">
        <v>48.97</v>
      </c>
    </row>
    <row r="116" spans="1:7" x14ac:dyDescent="0.45">
      <c r="A116" t="s">
        <v>51</v>
      </c>
      <c r="B116" t="s">
        <v>82</v>
      </c>
      <c r="C116">
        <v>2134</v>
      </c>
      <c r="D116">
        <v>51</v>
      </c>
      <c r="E116" s="3">
        <v>45265</v>
      </c>
      <c r="F116" t="s">
        <v>46</v>
      </c>
      <c r="G116">
        <v>41.84</v>
      </c>
    </row>
    <row r="117" spans="1:7" x14ac:dyDescent="0.45">
      <c r="A117" t="s">
        <v>51</v>
      </c>
      <c r="B117" t="s">
        <v>103</v>
      </c>
      <c r="C117">
        <v>4119</v>
      </c>
      <c r="D117">
        <v>25</v>
      </c>
      <c r="E117" s="3">
        <v>45343</v>
      </c>
      <c r="F117" t="s">
        <v>46</v>
      </c>
      <c r="G117">
        <v>164.76</v>
      </c>
    </row>
    <row r="118" spans="1:7" x14ac:dyDescent="0.45">
      <c r="A118" t="s">
        <v>41</v>
      </c>
      <c r="B118" t="s">
        <v>67</v>
      </c>
      <c r="C118">
        <v>4637</v>
      </c>
      <c r="D118">
        <v>34</v>
      </c>
      <c r="E118" s="3">
        <v>45282</v>
      </c>
      <c r="F118" t="s">
        <v>46</v>
      </c>
      <c r="G118">
        <v>136.38</v>
      </c>
    </row>
    <row r="119" spans="1:7" x14ac:dyDescent="0.45">
      <c r="A119" t="s">
        <v>66</v>
      </c>
      <c r="B119" t="s">
        <v>120</v>
      </c>
      <c r="C119">
        <v>4839</v>
      </c>
      <c r="D119">
        <v>57</v>
      </c>
      <c r="E119" s="3">
        <v>45238</v>
      </c>
      <c r="F119" t="s">
        <v>43</v>
      </c>
      <c r="G119">
        <v>84.89</v>
      </c>
    </row>
    <row r="120" spans="1:7" x14ac:dyDescent="0.45">
      <c r="A120" t="s">
        <v>44</v>
      </c>
      <c r="B120" t="s">
        <v>120</v>
      </c>
      <c r="C120">
        <v>2010</v>
      </c>
      <c r="D120">
        <v>41</v>
      </c>
      <c r="E120" s="3">
        <v>45252</v>
      </c>
      <c r="F120" t="s">
        <v>60</v>
      </c>
      <c r="G120">
        <v>49.02</v>
      </c>
    </row>
    <row r="121" spans="1:7" x14ac:dyDescent="0.45">
      <c r="A121" t="s">
        <v>44</v>
      </c>
      <c r="B121" t="s">
        <v>121</v>
      </c>
      <c r="C121">
        <v>6284</v>
      </c>
      <c r="D121">
        <v>17</v>
      </c>
      <c r="E121" s="3">
        <v>45346</v>
      </c>
      <c r="F121" t="s">
        <v>43</v>
      </c>
      <c r="G121">
        <v>369.65</v>
      </c>
    </row>
    <row r="122" spans="1:7" x14ac:dyDescent="0.45">
      <c r="A122" t="s">
        <v>44</v>
      </c>
      <c r="B122" t="s">
        <v>122</v>
      </c>
      <c r="C122">
        <v>1548</v>
      </c>
      <c r="D122">
        <v>60</v>
      </c>
      <c r="E122" s="3">
        <v>45315</v>
      </c>
      <c r="F122" t="s">
        <v>65</v>
      </c>
      <c r="G122">
        <v>25.8</v>
      </c>
    </row>
    <row r="123" spans="1:7" x14ac:dyDescent="0.45">
      <c r="A123" t="s">
        <v>44</v>
      </c>
      <c r="B123" t="s">
        <v>120</v>
      </c>
      <c r="C123">
        <v>5909</v>
      </c>
      <c r="D123">
        <v>43</v>
      </c>
      <c r="E123" s="3">
        <v>45298</v>
      </c>
      <c r="F123" t="s">
        <v>60</v>
      </c>
      <c r="G123">
        <v>137.41999999999999</v>
      </c>
    </row>
    <row r="124" spans="1:7" x14ac:dyDescent="0.45">
      <c r="A124" t="s">
        <v>41</v>
      </c>
      <c r="B124" t="s">
        <v>123</v>
      </c>
      <c r="C124">
        <v>5070</v>
      </c>
      <c r="D124">
        <v>77</v>
      </c>
      <c r="E124" s="3">
        <v>45372</v>
      </c>
      <c r="F124" t="s">
        <v>53</v>
      </c>
      <c r="G124">
        <v>65.84</v>
      </c>
    </row>
    <row r="125" spans="1:7" x14ac:dyDescent="0.45">
      <c r="A125" t="s">
        <v>44</v>
      </c>
      <c r="B125" t="s">
        <v>50</v>
      </c>
      <c r="C125">
        <v>6979</v>
      </c>
      <c r="D125">
        <v>66</v>
      </c>
      <c r="E125" s="3">
        <v>45383</v>
      </c>
      <c r="F125" t="s">
        <v>46</v>
      </c>
      <c r="G125">
        <v>105.74</v>
      </c>
    </row>
    <row r="126" spans="1:7" x14ac:dyDescent="0.45">
      <c r="A126" t="s">
        <v>44</v>
      </c>
      <c r="B126" t="s">
        <v>80</v>
      </c>
      <c r="C126">
        <v>6597</v>
      </c>
      <c r="D126">
        <v>18</v>
      </c>
      <c r="E126" s="3">
        <v>45291</v>
      </c>
      <c r="F126" t="s">
        <v>60</v>
      </c>
      <c r="G126">
        <v>366.5</v>
      </c>
    </row>
    <row r="127" spans="1:7" x14ac:dyDescent="0.45">
      <c r="A127" t="s">
        <v>56</v>
      </c>
      <c r="B127" t="s">
        <v>97</v>
      </c>
      <c r="C127">
        <v>6931</v>
      </c>
      <c r="D127">
        <v>18</v>
      </c>
      <c r="E127" s="3">
        <v>45315</v>
      </c>
      <c r="F127" t="s">
        <v>53</v>
      </c>
      <c r="G127">
        <v>385.06</v>
      </c>
    </row>
    <row r="128" spans="1:7" x14ac:dyDescent="0.45">
      <c r="A128" t="s">
        <v>44</v>
      </c>
      <c r="B128" t="s">
        <v>70</v>
      </c>
      <c r="C128">
        <v>5282</v>
      </c>
      <c r="D128">
        <v>38</v>
      </c>
      <c r="E128" s="3">
        <v>45348</v>
      </c>
      <c r="F128" t="s">
        <v>53</v>
      </c>
      <c r="G128">
        <v>139</v>
      </c>
    </row>
    <row r="129" spans="1:7" x14ac:dyDescent="0.45">
      <c r="A129" t="s">
        <v>51</v>
      </c>
      <c r="B129" t="s">
        <v>64</v>
      </c>
      <c r="C129">
        <v>4181</v>
      </c>
      <c r="D129">
        <v>42</v>
      </c>
      <c r="E129" s="3">
        <v>45330</v>
      </c>
      <c r="F129" t="s">
        <v>60</v>
      </c>
      <c r="G129">
        <v>99.55</v>
      </c>
    </row>
    <row r="130" spans="1:7" x14ac:dyDescent="0.45">
      <c r="A130" t="s">
        <v>51</v>
      </c>
      <c r="B130" t="s">
        <v>50</v>
      </c>
      <c r="C130">
        <v>4605</v>
      </c>
      <c r="D130">
        <v>50</v>
      </c>
      <c r="E130" s="3">
        <v>45253</v>
      </c>
      <c r="F130" t="s">
        <v>60</v>
      </c>
      <c r="G130">
        <v>92.1</v>
      </c>
    </row>
    <row r="131" spans="1:7" x14ac:dyDescent="0.45">
      <c r="A131" t="s">
        <v>51</v>
      </c>
      <c r="B131" t="s">
        <v>59</v>
      </c>
      <c r="C131">
        <v>5352</v>
      </c>
      <c r="D131">
        <v>17</v>
      </c>
      <c r="E131" s="3">
        <v>45305</v>
      </c>
      <c r="F131" t="s">
        <v>43</v>
      </c>
      <c r="G131">
        <v>314.82</v>
      </c>
    </row>
    <row r="132" spans="1:7" x14ac:dyDescent="0.45">
      <c r="A132" t="s">
        <v>66</v>
      </c>
      <c r="B132" t="s">
        <v>54</v>
      </c>
      <c r="C132">
        <v>3336</v>
      </c>
      <c r="D132">
        <v>23</v>
      </c>
      <c r="E132" s="3">
        <v>45405</v>
      </c>
      <c r="F132" t="s">
        <v>53</v>
      </c>
      <c r="G132">
        <v>145.04</v>
      </c>
    </row>
    <row r="133" spans="1:7" x14ac:dyDescent="0.45">
      <c r="A133" t="s">
        <v>66</v>
      </c>
      <c r="B133" t="s">
        <v>99</v>
      </c>
      <c r="C133">
        <v>3133</v>
      </c>
      <c r="D133">
        <v>17</v>
      </c>
      <c r="E133" s="3">
        <v>45342</v>
      </c>
      <c r="F133" t="s">
        <v>43</v>
      </c>
      <c r="G133">
        <v>184.29</v>
      </c>
    </row>
    <row r="134" spans="1:7" x14ac:dyDescent="0.45">
      <c r="A134" t="s">
        <v>41</v>
      </c>
      <c r="B134" t="s">
        <v>79</v>
      </c>
      <c r="C134">
        <v>2534</v>
      </c>
      <c r="D134">
        <v>75</v>
      </c>
      <c r="E134" s="3">
        <v>45267</v>
      </c>
      <c r="F134" t="s">
        <v>53</v>
      </c>
      <c r="G134">
        <v>33.79</v>
      </c>
    </row>
    <row r="135" spans="1:7" x14ac:dyDescent="0.45">
      <c r="A135" t="s">
        <v>56</v>
      </c>
      <c r="B135" t="s">
        <v>124</v>
      </c>
      <c r="C135">
        <v>5309</v>
      </c>
      <c r="D135">
        <v>47</v>
      </c>
      <c r="E135" s="3">
        <v>45280</v>
      </c>
      <c r="F135" t="s">
        <v>65</v>
      </c>
      <c r="G135">
        <v>112.96</v>
      </c>
    </row>
    <row r="136" spans="1:7" x14ac:dyDescent="0.45">
      <c r="A136" t="s">
        <v>41</v>
      </c>
      <c r="B136" t="s">
        <v>102</v>
      </c>
      <c r="C136">
        <v>6474</v>
      </c>
      <c r="D136">
        <v>29</v>
      </c>
      <c r="E136" s="3">
        <v>45239</v>
      </c>
      <c r="F136" t="s">
        <v>46</v>
      </c>
      <c r="G136">
        <v>223.24</v>
      </c>
    </row>
    <row r="137" spans="1:7" x14ac:dyDescent="0.45">
      <c r="A137" t="s">
        <v>51</v>
      </c>
      <c r="B137" t="s">
        <v>52</v>
      </c>
      <c r="C137">
        <v>6240</v>
      </c>
      <c r="D137">
        <v>18</v>
      </c>
      <c r="E137" s="3">
        <v>45368</v>
      </c>
      <c r="F137" t="s">
        <v>65</v>
      </c>
      <c r="G137">
        <v>346.67</v>
      </c>
    </row>
    <row r="138" spans="1:7" x14ac:dyDescent="0.45">
      <c r="A138" t="s">
        <v>56</v>
      </c>
      <c r="B138" t="s">
        <v>87</v>
      </c>
      <c r="C138">
        <v>4574</v>
      </c>
      <c r="D138">
        <v>65</v>
      </c>
      <c r="E138" s="3">
        <v>45315</v>
      </c>
      <c r="F138" t="s">
        <v>46</v>
      </c>
      <c r="G138">
        <v>70.37</v>
      </c>
    </row>
    <row r="139" spans="1:7" x14ac:dyDescent="0.45">
      <c r="A139" t="s">
        <v>66</v>
      </c>
      <c r="B139" t="s">
        <v>49</v>
      </c>
      <c r="C139">
        <v>6638</v>
      </c>
      <c r="D139">
        <v>46</v>
      </c>
      <c r="E139" s="3">
        <v>45231</v>
      </c>
      <c r="F139" t="s">
        <v>53</v>
      </c>
      <c r="G139">
        <v>144.30000000000001</v>
      </c>
    </row>
    <row r="140" spans="1:7" x14ac:dyDescent="0.45">
      <c r="A140" t="s">
        <v>51</v>
      </c>
      <c r="B140" t="s">
        <v>106</v>
      </c>
      <c r="C140">
        <v>6418</v>
      </c>
      <c r="D140">
        <v>30</v>
      </c>
      <c r="E140" s="3">
        <v>45331</v>
      </c>
      <c r="F140" t="s">
        <v>43</v>
      </c>
      <c r="G140">
        <v>213.93</v>
      </c>
    </row>
    <row r="141" spans="1:7" x14ac:dyDescent="0.45">
      <c r="A141" t="s">
        <v>66</v>
      </c>
      <c r="B141" t="s">
        <v>54</v>
      </c>
      <c r="C141">
        <v>5864</v>
      </c>
      <c r="D141">
        <v>69</v>
      </c>
      <c r="E141" s="3">
        <v>45410</v>
      </c>
      <c r="F141" t="s">
        <v>65</v>
      </c>
      <c r="G141">
        <v>84.99</v>
      </c>
    </row>
    <row r="142" spans="1:7" x14ac:dyDescent="0.45">
      <c r="A142" t="s">
        <v>66</v>
      </c>
      <c r="B142" t="s">
        <v>47</v>
      </c>
      <c r="C142">
        <v>6804</v>
      </c>
      <c r="D142">
        <v>58</v>
      </c>
      <c r="E142" s="3">
        <v>45387</v>
      </c>
      <c r="F142" t="s">
        <v>53</v>
      </c>
      <c r="G142">
        <v>117.31</v>
      </c>
    </row>
    <row r="143" spans="1:7" x14ac:dyDescent="0.45">
      <c r="A143" t="s">
        <v>44</v>
      </c>
      <c r="B143" t="s">
        <v>78</v>
      </c>
      <c r="C143">
        <v>2364</v>
      </c>
      <c r="D143">
        <v>70</v>
      </c>
      <c r="E143" s="3">
        <v>45335</v>
      </c>
      <c r="F143" t="s">
        <v>65</v>
      </c>
      <c r="G143">
        <v>33.770000000000003</v>
      </c>
    </row>
    <row r="144" spans="1:7" x14ac:dyDescent="0.45">
      <c r="A144" t="s">
        <v>44</v>
      </c>
      <c r="B144" t="s">
        <v>58</v>
      </c>
      <c r="C144">
        <v>2753</v>
      </c>
      <c r="D144">
        <v>70</v>
      </c>
      <c r="E144" s="3">
        <v>45364</v>
      </c>
      <c r="F144" t="s">
        <v>46</v>
      </c>
      <c r="G144">
        <v>39.33</v>
      </c>
    </row>
    <row r="145" spans="1:7" x14ac:dyDescent="0.45">
      <c r="A145" t="s">
        <v>56</v>
      </c>
      <c r="B145" t="s">
        <v>125</v>
      </c>
      <c r="C145">
        <v>3712</v>
      </c>
      <c r="D145">
        <v>76</v>
      </c>
      <c r="E145" s="3">
        <v>45370</v>
      </c>
      <c r="F145" t="s">
        <v>60</v>
      </c>
      <c r="G145">
        <v>48.84</v>
      </c>
    </row>
    <row r="146" spans="1:7" x14ac:dyDescent="0.45">
      <c r="A146" t="s">
        <v>44</v>
      </c>
      <c r="B146" t="s">
        <v>88</v>
      </c>
      <c r="C146">
        <v>6353</v>
      </c>
      <c r="D146">
        <v>49</v>
      </c>
      <c r="E146" s="3">
        <v>45375</v>
      </c>
      <c r="F146" t="s">
        <v>65</v>
      </c>
      <c r="G146">
        <v>129.65</v>
      </c>
    </row>
    <row r="147" spans="1:7" x14ac:dyDescent="0.45">
      <c r="A147" t="s">
        <v>41</v>
      </c>
      <c r="B147" t="s">
        <v>126</v>
      </c>
      <c r="C147">
        <v>3784</v>
      </c>
      <c r="D147">
        <v>72</v>
      </c>
      <c r="E147" s="3">
        <v>45374</v>
      </c>
      <c r="F147" t="s">
        <v>46</v>
      </c>
      <c r="G147">
        <v>52.56</v>
      </c>
    </row>
    <row r="148" spans="1:7" x14ac:dyDescent="0.45">
      <c r="A148" t="s">
        <v>44</v>
      </c>
      <c r="B148" t="s">
        <v>97</v>
      </c>
      <c r="C148">
        <v>6499</v>
      </c>
      <c r="D148">
        <v>63</v>
      </c>
      <c r="E148" s="3">
        <v>45361</v>
      </c>
      <c r="F148" t="s">
        <v>65</v>
      </c>
      <c r="G148">
        <v>103.16</v>
      </c>
    </row>
    <row r="149" spans="1:7" x14ac:dyDescent="0.45">
      <c r="A149" t="s">
        <v>66</v>
      </c>
      <c r="B149" t="s">
        <v>127</v>
      </c>
      <c r="C149">
        <v>4162</v>
      </c>
      <c r="D149">
        <v>38</v>
      </c>
      <c r="E149" s="3">
        <v>45269</v>
      </c>
      <c r="F149" t="s">
        <v>60</v>
      </c>
      <c r="G149">
        <v>109.53</v>
      </c>
    </row>
    <row r="150" spans="1:7" x14ac:dyDescent="0.45">
      <c r="A150" t="s">
        <v>41</v>
      </c>
      <c r="B150" t="s">
        <v>62</v>
      </c>
      <c r="C150">
        <v>3616</v>
      </c>
      <c r="D150">
        <v>58</v>
      </c>
      <c r="E150" s="3">
        <v>45301</v>
      </c>
      <c r="F150" t="s">
        <v>65</v>
      </c>
      <c r="G150">
        <v>62.34</v>
      </c>
    </row>
    <row r="151" spans="1:7" x14ac:dyDescent="0.45">
      <c r="A151" t="s">
        <v>56</v>
      </c>
      <c r="B151" t="s">
        <v>108</v>
      </c>
      <c r="C151">
        <v>3763</v>
      </c>
      <c r="D151">
        <v>16</v>
      </c>
      <c r="E151" s="3">
        <v>45314</v>
      </c>
      <c r="F151" t="s">
        <v>43</v>
      </c>
      <c r="G151">
        <v>235.19</v>
      </c>
    </row>
    <row r="152" spans="1:7" x14ac:dyDescent="0.45">
      <c r="A152" t="s">
        <v>41</v>
      </c>
      <c r="B152" t="s">
        <v>59</v>
      </c>
      <c r="C152">
        <v>3477</v>
      </c>
      <c r="D152">
        <v>67</v>
      </c>
      <c r="E152" s="3">
        <v>45244</v>
      </c>
      <c r="F152" t="s">
        <v>60</v>
      </c>
      <c r="G152">
        <v>51.9</v>
      </c>
    </row>
    <row r="153" spans="1:7" x14ac:dyDescent="0.45">
      <c r="A153" t="s">
        <v>56</v>
      </c>
      <c r="B153" t="s">
        <v>77</v>
      </c>
      <c r="C153">
        <v>3468</v>
      </c>
      <c r="D153">
        <v>75</v>
      </c>
      <c r="E153" s="3">
        <v>45359</v>
      </c>
      <c r="F153" t="s">
        <v>60</v>
      </c>
      <c r="G153">
        <v>46.24</v>
      </c>
    </row>
    <row r="154" spans="1:7" x14ac:dyDescent="0.45">
      <c r="A154" t="s">
        <v>44</v>
      </c>
      <c r="B154" t="s">
        <v>128</v>
      </c>
      <c r="C154">
        <v>2262</v>
      </c>
      <c r="D154">
        <v>52</v>
      </c>
      <c r="E154" s="3">
        <v>45409</v>
      </c>
      <c r="F154" t="s">
        <v>46</v>
      </c>
      <c r="G154">
        <v>43.5</v>
      </c>
    </row>
    <row r="155" spans="1:7" x14ac:dyDescent="0.45">
      <c r="A155" t="s">
        <v>44</v>
      </c>
      <c r="B155" t="s">
        <v>104</v>
      </c>
      <c r="C155">
        <v>3493</v>
      </c>
      <c r="D155">
        <v>54</v>
      </c>
      <c r="E155" s="3">
        <v>45295</v>
      </c>
      <c r="F155" t="s">
        <v>43</v>
      </c>
      <c r="G155">
        <v>64.69</v>
      </c>
    </row>
    <row r="156" spans="1:7" x14ac:dyDescent="0.45">
      <c r="A156" t="s">
        <v>51</v>
      </c>
      <c r="B156" t="s">
        <v>114</v>
      </c>
      <c r="C156">
        <v>6034</v>
      </c>
      <c r="D156">
        <v>59</v>
      </c>
      <c r="E156" s="3">
        <v>45352</v>
      </c>
      <c r="F156" t="s">
        <v>60</v>
      </c>
      <c r="G156">
        <v>102.27</v>
      </c>
    </row>
    <row r="157" spans="1:7" x14ac:dyDescent="0.45">
      <c r="A157" t="s">
        <v>56</v>
      </c>
      <c r="B157" t="s">
        <v>103</v>
      </c>
      <c r="C157">
        <v>4382</v>
      </c>
      <c r="D157">
        <v>73</v>
      </c>
      <c r="E157" s="3">
        <v>45291</v>
      </c>
      <c r="F157" t="s">
        <v>65</v>
      </c>
      <c r="G157">
        <v>60.03</v>
      </c>
    </row>
    <row r="158" spans="1:7" x14ac:dyDescent="0.45">
      <c r="A158" t="s">
        <v>51</v>
      </c>
      <c r="B158" t="s">
        <v>129</v>
      </c>
      <c r="C158">
        <v>3388</v>
      </c>
      <c r="D158">
        <v>30</v>
      </c>
      <c r="E158" s="3">
        <v>45359</v>
      </c>
      <c r="F158" t="s">
        <v>46</v>
      </c>
      <c r="G158">
        <v>112.93</v>
      </c>
    </row>
    <row r="159" spans="1:7" x14ac:dyDescent="0.45">
      <c r="A159" t="s">
        <v>51</v>
      </c>
      <c r="B159" t="s">
        <v>95</v>
      </c>
      <c r="C159">
        <v>5889</v>
      </c>
      <c r="D159">
        <v>38</v>
      </c>
      <c r="E159" s="3">
        <v>45395</v>
      </c>
      <c r="F159" t="s">
        <v>46</v>
      </c>
      <c r="G159">
        <v>154.97</v>
      </c>
    </row>
    <row r="160" spans="1:7" x14ac:dyDescent="0.45">
      <c r="A160" t="s">
        <v>41</v>
      </c>
      <c r="B160" t="s">
        <v>42</v>
      </c>
      <c r="C160">
        <v>5466</v>
      </c>
      <c r="D160">
        <v>50</v>
      </c>
      <c r="E160" s="3">
        <v>45255</v>
      </c>
      <c r="F160" t="s">
        <v>43</v>
      </c>
      <c r="G160">
        <v>109.32</v>
      </c>
    </row>
    <row r="161" spans="1:7" x14ac:dyDescent="0.45">
      <c r="A161" t="s">
        <v>56</v>
      </c>
      <c r="B161" t="s">
        <v>130</v>
      </c>
      <c r="C161">
        <v>3818</v>
      </c>
      <c r="D161">
        <v>27</v>
      </c>
      <c r="E161" s="3">
        <v>45370</v>
      </c>
      <c r="F161" t="s">
        <v>46</v>
      </c>
      <c r="G161">
        <v>141.41</v>
      </c>
    </row>
    <row r="162" spans="1:7" x14ac:dyDescent="0.45">
      <c r="A162" t="s">
        <v>51</v>
      </c>
      <c r="B162" t="s">
        <v>67</v>
      </c>
      <c r="C162">
        <v>4456</v>
      </c>
      <c r="D162">
        <v>37</v>
      </c>
      <c r="E162" s="3">
        <v>45405</v>
      </c>
      <c r="F162" t="s">
        <v>65</v>
      </c>
      <c r="G162">
        <v>120.43</v>
      </c>
    </row>
    <row r="163" spans="1:7" x14ac:dyDescent="0.45">
      <c r="A163" t="s">
        <v>66</v>
      </c>
      <c r="B163" t="s">
        <v>58</v>
      </c>
      <c r="C163">
        <v>5875</v>
      </c>
      <c r="D163">
        <v>31</v>
      </c>
      <c r="E163" s="3">
        <v>45289</v>
      </c>
      <c r="F163" t="s">
        <v>65</v>
      </c>
      <c r="G163">
        <v>189.52</v>
      </c>
    </row>
    <row r="164" spans="1:7" x14ac:dyDescent="0.45">
      <c r="A164" t="s">
        <v>66</v>
      </c>
      <c r="B164" t="s">
        <v>93</v>
      </c>
      <c r="C164">
        <v>6033</v>
      </c>
      <c r="D164">
        <v>52</v>
      </c>
      <c r="E164" s="3">
        <v>45329</v>
      </c>
      <c r="F164" t="s">
        <v>46</v>
      </c>
      <c r="G164">
        <v>116.02</v>
      </c>
    </row>
    <row r="165" spans="1:7" x14ac:dyDescent="0.45">
      <c r="A165" t="s">
        <v>44</v>
      </c>
      <c r="B165" t="s">
        <v>52</v>
      </c>
      <c r="C165">
        <v>1600</v>
      </c>
      <c r="D165">
        <v>51</v>
      </c>
      <c r="E165" s="3">
        <v>45291</v>
      </c>
      <c r="F165" t="s">
        <v>60</v>
      </c>
      <c r="G165">
        <v>31.37</v>
      </c>
    </row>
    <row r="166" spans="1:7" x14ac:dyDescent="0.45">
      <c r="A166" t="s">
        <v>44</v>
      </c>
      <c r="B166" t="s">
        <v>82</v>
      </c>
      <c r="C166">
        <v>4291</v>
      </c>
      <c r="D166">
        <v>38</v>
      </c>
      <c r="E166" s="3">
        <v>45360</v>
      </c>
      <c r="F166" t="s">
        <v>53</v>
      </c>
      <c r="G166">
        <v>112.92</v>
      </c>
    </row>
    <row r="167" spans="1:7" x14ac:dyDescent="0.45">
      <c r="A167" t="s">
        <v>51</v>
      </c>
      <c r="B167" t="s">
        <v>122</v>
      </c>
      <c r="C167">
        <v>2434</v>
      </c>
      <c r="D167">
        <v>23</v>
      </c>
      <c r="E167" s="3">
        <v>45310</v>
      </c>
      <c r="F167" t="s">
        <v>60</v>
      </c>
      <c r="G167">
        <v>105.83</v>
      </c>
    </row>
    <row r="168" spans="1:7" x14ac:dyDescent="0.45">
      <c r="A168" t="s">
        <v>44</v>
      </c>
      <c r="B168" t="s">
        <v>131</v>
      </c>
      <c r="C168">
        <v>6226</v>
      </c>
      <c r="D168">
        <v>21</v>
      </c>
      <c r="E168" s="3">
        <v>45294</v>
      </c>
      <c r="F168" t="s">
        <v>46</v>
      </c>
      <c r="G168">
        <v>296.48</v>
      </c>
    </row>
    <row r="169" spans="1:7" x14ac:dyDescent="0.45">
      <c r="A169" t="s">
        <v>41</v>
      </c>
      <c r="B169" t="s">
        <v>97</v>
      </c>
      <c r="C169">
        <v>3989</v>
      </c>
      <c r="D169">
        <v>25</v>
      </c>
      <c r="E169" s="3">
        <v>45309</v>
      </c>
      <c r="F169" t="s">
        <v>46</v>
      </c>
      <c r="G169">
        <v>159.56</v>
      </c>
    </row>
    <row r="170" spans="1:7" x14ac:dyDescent="0.45">
      <c r="A170" t="s">
        <v>66</v>
      </c>
      <c r="B170" t="s">
        <v>132</v>
      </c>
      <c r="C170">
        <v>4909</v>
      </c>
      <c r="D170">
        <v>43</v>
      </c>
      <c r="E170" s="3">
        <v>45366</v>
      </c>
      <c r="F170" t="s">
        <v>43</v>
      </c>
      <c r="G170">
        <v>114.16</v>
      </c>
    </row>
    <row r="171" spans="1:7" x14ac:dyDescent="0.45">
      <c r="A171" t="s">
        <v>44</v>
      </c>
      <c r="B171" t="s">
        <v>133</v>
      </c>
      <c r="C171">
        <v>5126</v>
      </c>
      <c r="D171">
        <v>53</v>
      </c>
      <c r="E171" s="3">
        <v>45288</v>
      </c>
      <c r="F171" t="s">
        <v>43</v>
      </c>
      <c r="G171">
        <v>96.72</v>
      </c>
    </row>
    <row r="172" spans="1:7" x14ac:dyDescent="0.45">
      <c r="A172" t="s">
        <v>44</v>
      </c>
      <c r="B172" t="s">
        <v>105</v>
      </c>
      <c r="C172">
        <v>6158</v>
      </c>
      <c r="D172">
        <v>22</v>
      </c>
      <c r="E172" s="3">
        <v>45338</v>
      </c>
      <c r="F172" t="s">
        <v>43</v>
      </c>
      <c r="G172">
        <v>279.91000000000003</v>
      </c>
    </row>
    <row r="173" spans="1:7" x14ac:dyDescent="0.45">
      <c r="A173" t="s">
        <v>66</v>
      </c>
      <c r="B173" t="s">
        <v>77</v>
      </c>
      <c r="C173">
        <v>3202</v>
      </c>
      <c r="D173">
        <v>42</v>
      </c>
      <c r="E173" s="3">
        <v>45255</v>
      </c>
      <c r="F173" t="s">
        <v>65</v>
      </c>
      <c r="G173">
        <v>76.239999999999995</v>
      </c>
    </row>
    <row r="174" spans="1:7" x14ac:dyDescent="0.45">
      <c r="A174" t="s">
        <v>66</v>
      </c>
      <c r="B174" t="s">
        <v>94</v>
      </c>
      <c r="C174">
        <v>3464</v>
      </c>
      <c r="D174">
        <v>37</v>
      </c>
      <c r="E174" s="3">
        <v>45268</v>
      </c>
      <c r="F174" t="s">
        <v>43</v>
      </c>
      <c r="G174">
        <v>93.62</v>
      </c>
    </row>
    <row r="175" spans="1:7" x14ac:dyDescent="0.45">
      <c r="A175" t="s">
        <v>66</v>
      </c>
      <c r="B175" t="s">
        <v>94</v>
      </c>
      <c r="C175">
        <v>1521</v>
      </c>
      <c r="D175">
        <v>67</v>
      </c>
      <c r="E175" s="3">
        <v>45312</v>
      </c>
      <c r="F175" t="s">
        <v>60</v>
      </c>
      <c r="G175">
        <v>22.7</v>
      </c>
    </row>
    <row r="176" spans="1:7" x14ac:dyDescent="0.45">
      <c r="A176" t="s">
        <v>56</v>
      </c>
      <c r="B176" t="s">
        <v>114</v>
      </c>
      <c r="C176">
        <v>3885</v>
      </c>
      <c r="D176">
        <v>19</v>
      </c>
      <c r="E176" s="3">
        <v>45360</v>
      </c>
      <c r="F176" t="s">
        <v>46</v>
      </c>
      <c r="G176">
        <v>204.47</v>
      </c>
    </row>
    <row r="177" spans="1:7" x14ac:dyDescent="0.45">
      <c r="A177" t="s">
        <v>51</v>
      </c>
      <c r="B177" t="s">
        <v>58</v>
      </c>
      <c r="C177">
        <v>3816</v>
      </c>
      <c r="D177">
        <v>73</v>
      </c>
      <c r="E177" s="3">
        <v>45304</v>
      </c>
      <c r="F177" t="s">
        <v>53</v>
      </c>
      <c r="G177">
        <v>52.27</v>
      </c>
    </row>
    <row r="178" spans="1:7" x14ac:dyDescent="0.45">
      <c r="A178" t="s">
        <v>41</v>
      </c>
      <c r="B178" t="s">
        <v>81</v>
      </c>
      <c r="C178">
        <v>6620</v>
      </c>
      <c r="D178">
        <v>40</v>
      </c>
      <c r="E178" s="3">
        <v>45362</v>
      </c>
      <c r="F178" t="s">
        <v>60</v>
      </c>
      <c r="G178">
        <v>165.5</v>
      </c>
    </row>
    <row r="179" spans="1:7" x14ac:dyDescent="0.45">
      <c r="A179" t="s">
        <v>66</v>
      </c>
      <c r="B179" t="s">
        <v>100</v>
      </c>
      <c r="C179">
        <v>3341</v>
      </c>
      <c r="D179">
        <v>34</v>
      </c>
      <c r="E179" s="3">
        <v>45376</v>
      </c>
      <c r="F179" t="s">
        <v>65</v>
      </c>
      <c r="G179">
        <v>98.26</v>
      </c>
    </row>
    <row r="180" spans="1:7" x14ac:dyDescent="0.45">
      <c r="A180" t="s">
        <v>41</v>
      </c>
      <c r="B180" t="s">
        <v>131</v>
      </c>
      <c r="C180">
        <v>1988</v>
      </c>
      <c r="D180">
        <v>36</v>
      </c>
      <c r="E180" s="3">
        <v>45406</v>
      </c>
      <c r="F180" t="s">
        <v>65</v>
      </c>
      <c r="G180">
        <v>55.22</v>
      </c>
    </row>
    <row r="181" spans="1:7" x14ac:dyDescent="0.45">
      <c r="A181" t="s">
        <v>56</v>
      </c>
      <c r="B181" t="s">
        <v>134</v>
      </c>
      <c r="C181">
        <v>6162</v>
      </c>
      <c r="D181">
        <v>51</v>
      </c>
      <c r="E181" s="3">
        <v>45264</v>
      </c>
      <c r="F181" t="s">
        <v>60</v>
      </c>
      <c r="G181">
        <v>120.82</v>
      </c>
    </row>
    <row r="182" spans="1:7" x14ac:dyDescent="0.45">
      <c r="A182" t="s">
        <v>66</v>
      </c>
      <c r="B182" t="s">
        <v>118</v>
      </c>
      <c r="C182">
        <v>3991</v>
      </c>
      <c r="D182">
        <v>66</v>
      </c>
      <c r="E182" s="3">
        <v>45350</v>
      </c>
      <c r="F182" t="s">
        <v>65</v>
      </c>
      <c r="G182">
        <v>60.47</v>
      </c>
    </row>
    <row r="183" spans="1:7" x14ac:dyDescent="0.45">
      <c r="A183" t="s">
        <v>56</v>
      </c>
      <c r="B183" t="s">
        <v>100</v>
      </c>
      <c r="C183">
        <v>5545</v>
      </c>
      <c r="D183">
        <v>71</v>
      </c>
      <c r="E183" s="3">
        <v>45341</v>
      </c>
      <c r="F183" t="s">
        <v>53</v>
      </c>
      <c r="G183">
        <v>78.099999999999994</v>
      </c>
    </row>
    <row r="184" spans="1:7" x14ac:dyDescent="0.45">
      <c r="A184" t="s">
        <v>56</v>
      </c>
      <c r="B184" t="s">
        <v>96</v>
      </c>
      <c r="C184">
        <v>5039</v>
      </c>
      <c r="D184">
        <v>56</v>
      </c>
      <c r="E184" s="3">
        <v>45289</v>
      </c>
      <c r="F184" t="s">
        <v>43</v>
      </c>
      <c r="G184">
        <v>89.98</v>
      </c>
    </row>
    <row r="185" spans="1:7" x14ac:dyDescent="0.45">
      <c r="A185" t="s">
        <v>51</v>
      </c>
      <c r="B185" t="s">
        <v>110</v>
      </c>
      <c r="C185">
        <v>2248</v>
      </c>
      <c r="D185">
        <v>44</v>
      </c>
      <c r="E185" s="3">
        <v>45309</v>
      </c>
      <c r="F185" t="s">
        <v>43</v>
      </c>
      <c r="G185">
        <v>51.09</v>
      </c>
    </row>
    <row r="186" spans="1:7" x14ac:dyDescent="0.45">
      <c r="A186" t="s">
        <v>56</v>
      </c>
      <c r="B186" t="s">
        <v>128</v>
      </c>
      <c r="C186">
        <v>3707</v>
      </c>
      <c r="D186">
        <v>20</v>
      </c>
      <c r="E186" s="3">
        <v>45337</v>
      </c>
      <c r="F186" t="s">
        <v>46</v>
      </c>
      <c r="G186">
        <v>185.35</v>
      </c>
    </row>
    <row r="187" spans="1:7" x14ac:dyDescent="0.45">
      <c r="A187" t="s">
        <v>44</v>
      </c>
      <c r="B187" t="s">
        <v>135</v>
      </c>
      <c r="C187">
        <v>6837</v>
      </c>
      <c r="D187">
        <v>71</v>
      </c>
      <c r="E187" s="3">
        <v>45392</v>
      </c>
      <c r="F187" t="s">
        <v>65</v>
      </c>
      <c r="G187">
        <v>96.3</v>
      </c>
    </row>
    <row r="188" spans="1:7" x14ac:dyDescent="0.45">
      <c r="A188" t="s">
        <v>41</v>
      </c>
      <c r="B188" t="s">
        <v>71</v>
      </c>
      <c r="C188">
        <v>5070</v>
      </c>
      <c r="D188">
        <v>77</v>
      </c>
      <c r="E188" s="3">
        <v>45231</v>
      </c>
      <c r="F188" t="s">
        <v>53</v>
      </c>
      <c r="G188">
        <v>65.84</v>
      </c>
    </row>
    <row r="189" spans="1:7" x14ac:dyDescent="0.45">
      <c r="A189" t="s">
        <v>44</v>
      </c>
      <c r="B189" t="s">
        <v>54</v>
      </c>
      <c r="C189">
        <v>4845</v>
      </c>
      <c r="D189">
        <v>57</v>
      </c>
      <c r="E189" s="3">
        <v>45290</v>
      </c>
      <c r="F189" t="s">
        <v>65</v>
      </c>
      <c r="G189">
        <v>85</v>
      </c>
    </row>
    <row r="190" spans="1:7" x14ac:dyDescent="0.45">
      <c r="A190" t="s">
        <v>66</v>
      </c>
      <c r="B190" t="s">
        <v>94</v>
      </c>
      <c r="C190">
        <v>4201</v>
      </c>
      <c r="D190">
        <v>67</v>
      </c>
      <c r="E190" s="3">
        <v>45286</v>
      </c>
      <c r="F190" t="s">
        <v>60</v>
      </c>
      <c r="G190">
        <v>62.7</v>
      </c>
    </row>
    <row r="191" spans="1:7" x14ac:dyDescent="0.45">
      <c r="A191" t="s">
        <v>51</v>
      </c>
      <c r="B191" t="s">
        <v>101</v>
      </c>
      <c r="C191">
        <v>4780</v>
      </c>
      <c r="D191">
        <v>19</v>
      </c>
      <c r="E191" s="3">
        <v>45271</v>
      </c>
      <c r="F191" t="s">
        <v>60</v>
      </c>
      <c r="G191">
        <v>251.58</v>
      </c>
    </row>
    <row r="192" spans="1:7" x14ac:dyDescent="0.45">
      <c r="A192" t="s">
        <v>66</v>
      </c>
      <c r="B192" t="s">
        <v>136</v>
      </c>
      <c r="C192">
        <v>3567</v>
      </c>
      <c r="D192">
        <v>56</v>
      </c>
      <c r="E192" s="3">
        <v>45314</v>
      </c>
      <c r="F192" t="s">
        <v>53</v>
      </c>
      <c r="G192">
        <v>63.7</v>
      </c>
    </row>
    <row r="193" spans="1:7" x14ac:dyDescent="0.45">
      <c r="A193" t="s">
        <v>44</v>
      </c>
      <c r="B193" t="s">
        <v>72</v>
      </c>
      <c r="C193">
        <v>1509</v>
      </c>
      <c r="D193">
        <v>74</v>
      </c>
      <c r="E193" s="3">
        <v>45383</v>
      </c>
      <c r="F193" t="s">
        <v>60</v>
      </c>
      <c r="G193">
        <v>20.39</v>
      </c>
    </row>
    <row r="194" spans="1:7" x14ac:dyDescent="0.45">
      <c r="A194" t="s">
        <v>66</v>
      </c>
      <c r="B194" t="s">
        <v>89</v>
      </c>
      <c r="C194">
        <v>5747</v>
      </c>
      <c r="D194">
        <v>61</v>
      </c>
      <c r="E194" s="3">
        <v>45343</v>
      </c>
      <c r="F194" t="s">
        <v>43</v>
      </c>
      <c r="G194">
        <v>94.21</v>
      </c>
    </row>
    <row r="195" spans="1:7" x14ac:dyDescent="0.45">
      <c r="A195" t="s">
        <v>44</v>
      </c>
      <c r="B195" t="s">
        <v>115</v>
      </c>
      <c r="C195">
        <v>5121</v>
      </c>
      <c r="D195">
        <v>21</v>
      </c>
      <c r="E195" s="3">
        <v>45348</v>
      </c>
      <c r="F195" t="s">
        <v>46</v>
      </c>
      <c r="G195">
        <v>243.86</v>
      </c>
    </row>
    <row r="196" spans="1:7" x14ac:dyDescent="0.45">
      <c r="A196" t="s">
        <v>51</v>
      </c>
      <c r="B196" t="s">
        <v>84</v>
      </c>
      <c r="C196">
        <v>2573</v>
      </c>
      <c r="D196">
        <v>51</v>
      </c>
      <c r="E196" s="3">
        <v>45358</v>
      </c>
      <c r="F196" t="s">
        <v>60</v>
      </c>
      <c r="G196">
        <v>50.45</v>
      </c>
    </row>
    <row r="197" spans="1:7" x14ac:dyDescent="0.45">
      <c r="A197" t="s">
        <v>44</v>
      </c>
      <c r="B197" t="s">
        <v>95</v>
      </c>
      <c r="C197">
        <v>1736</v>
      </c>
      <c r="D197">
        <v>45</v>
      </c>
      <c r="E197" s="3">
        <v>45293</v>
      </c>
      <c r="F197" t="s">
        <v>46</v>
      </c>
      <c r="G197">
        <v>38.58</v>
      </c>
    </row>
    <row r="198" spans="1:7" x14ac:dyDescent="0.45">
      <c r="A198" t="s">
        <v>51</v>
      </c>
      <c r="B198" t="s">
        <v>84</v>
      </c>
      <c r="C198">
        <v>1612</v>
      </c>
      <c r="D198">
        <v>67</v>
      </c>
      <c r="E198" s="3">
        <v>45321</v>
      </c>
      <c r="F198" t="s">
        <v>53</v>
      </c>
      <c r="G198">
        <v>24.06</v>
      </c>
    </row>
    <row r="199" spans="1:7" x14ac:dyDescent="0.45">
      <c r="A199" t="s">
        <v>41</v>
      </c>
      <c r="B199" t="s">
        <v>111</v>
      </c>
      <c r="C199">
        <v>5280</v>
      </c>
      <c r="D199">
        <v>30</v>
      </c>
      <c r="E199" s="3">
        <v>45316</v>
      </c>
      <c r="F199" t="s">
        <v>46</v>
      </c>
      <c r="G199">
        <v>176</v>
      </c>
    </row>
    <row r="200" spans="1:7" x14ac:dyDescent="0.45">
      <c r="A200" t="s">
        <v>44</v>
      </c>
      <c r="B200" t="s">
        <v>48</v>
      </c>
      <c r="C200">
        <v>3890</v>
      </c>
      <c r="D200">
        <v>80</v>
      </c>
      <c r="E200" s="3">
        <v>45316</v>
      </c>
      <c r="F200" t="s">
        <v>65</v>
      </c>
      <c r="G200">
        <v>48.62</v>
      </c>
    </row>
    <row r="201" spans="1:7" x14ac:dyDescent="0.45">
      <c r="A201" t="s">
        <v>44</v>
      </c>
      <c r="B201" t="s">
        <v>122</v>
      </c>
      <c r="C201">
        <v>5368</v>
      </c>
      <c r="D201">
        <v>46</v>
      </c>
      <c r="E201" s="3">
        <v>45362</v>
      </c>
      <c r="F201" t="s">
        <v>60</v>
      </c>
      <c r="G201">
        <v>116.7</v>
      </c>
    </row>
    <row r="202" spans="1:7" x14ac:dyDescent="0.45">
      <c r="A202" t="s">
        <v>56</v>
      </c>
      <c r="B202" t="s">
        <v>137</v>
      </c>
      <c r="C202">
        <v>4642</v>
      </c>
      <c r="D202">
        <v>39</v>
      </c>
      <c r="E202" s="3">
        <v>45272</v>
      </c>
      <c r="F202" t="s">
        <v>43</v>
      </c>
      <c r="G202">
        <v>119.03</v>
      </c>
    </row>
    <row r="203" spans="1:7" x14ac:dyDescent="0.45">
      <c r="A203" t="s">
        <v>56</v>
      </c>
      <c r="B203" t="s">
        <v>134</v>
      </c>
      <c r="C203">
        <v>2618</v>
      </c>
      <c r="D203">
        <v>23</v>
      </c>
      <c r="E203" s="3">
        <v>45330</v>
      </c>
      <c r="F203" t="s">
        <v>65</v>
      </c>
      <c r="G203">
        <v>113.83</v>
      </c>
    </row>
    <row r="204" spans="1:7" x14ac:dyDescent="0.45">
      <c r="A204" t="s">
        <v>44</v>
      </c>
      <c r="B204" t="s">
        <v>50</v>
      </c>
      <c r="C204">
        <v>5659</v>
      </c>
      <c r="D204">
        <v>49</v>
      </c>
      <c r="E204" s="3">
        <v>45322</v>
      </c>
      <c r="F204" t="s">
        <v>53</v>
      </c>
      <c r="G204">
        <v>115.49</v>
      </c>
    </row>
    <row r="205" spans="1:7" x14ac:dyDescent="0.45">
      <c r="A205" t="s">
        <v>51</v>
      </c>
      <c r="B205" t="s">
        <v>119</v>
      </c>
      <c r="C205">
        <v>3945</v>
      </c>
      <c r="D205">
        <v>77</v>
      </c>
      <c r="E205" s="3">
        <v>45385</v>
      </c>
      <c r="F205" t="s">
        <v>46</v>
      </c>
      <c r="G205">
        <v>51.23</v>
      </c>
    </row>
    <row r="206" spans="1:7" x14ac:dyDescent="0.45">
      <c r="A206" t="s">
        <v>44</v>
      </c>
      <c r="B206" t="s">
        <v>55</v>
      </c>
      <c r="C206">
        <v>5467</v>
      </c>
      <c r="D206">
        <v>59</v>
      </c>
      <c r="E206" s="3">
        <v>45405</v>
      </c>
      <c r="F206" t="s">
        <v>65</v>
      </c>
      <c r="G206">
        <v>92.66</v>
      </c>
    </row>
    <row r="207" spans="1:7" x14ac:dyDescent="0.45">
      <c r="A207" t="s">
        <v>56</v>
      </c>
      <c r="B207" t="s">
        <v>77</v>
      </c>
      <c r="C207">
        <v>5951</v>
      </c>
      <c r="D207">
        <v>63</v>
      </c>
      <c r="E207" s="3">
        <v>45385</v>
      </c>
      <c r="F207" t="s">
        <v>60</v>
      </c>
      <c r="G207">
        <v>94.46</v>
      </c>
    </row>
    <row r="208" spans="1:7" x14ac:dyDescent="0.45">
      <c r="A208" t="s">
        <v>51</v>
      </c>
      <c r="B208" t="s">
        <v>89</v>
      </c>
      <c r="C208">
        <v>3456</v>
      </c>
      <c r="D208">
        <v>64</v>
      </c>
      <c r="E208" s="3">
        <v>45373</v>
      </c>
      <c r="F208" t="s">
        <v>46</v>
      </c>
      <c r="G208">
        <v>54</v>
      </c>
    </row>
    <row r="209" spans="1:7" x14ac:dyDescent="0.45">
      <c r="A209" t="s">
        <v>44</v>
      </c>
      <c r="B209" t="s">
        <v>96</v>
      </c>
      <c r="C209">
        <v>4106</v>
      </c>
      <c r="D209">
        <v>75</v>
      </c>
      <c r="E209" s="3">
        <v>45263</v>
      </c>
      <c r="F209" t="s">
        <v>60</v>
      </c>
      <c r="G209">
        <v>54.75</v>
      </c>
    </row>
    <row r="210" spans="1:7" x14ac:dyDescent="0.45">
      <c r="A210" t="s">
        <v>44</v>
      </c>
      <c r="B210" t="s">
        <v>101</v>
      </c>
      <c r="C210">
        <v>6841</v>
      </c>
      <c r="D210">
        <v>34</v>
      </c>
      <c r="E210" s="3">
        <v>45358</v>
      </c>
      <c r="F210" t="s">
        <v>60</v>
      </c>
      <c r="G210">
        <v>201.21</v>
      </c>
    </row>
    <row r="211" spans="1:7" x14ac:dyDescent="0.45">
      <c r="A211" t="s">
        <v>66</v>
      </c>
      <c r="B211" t="s">
        <v>80</v>
      </c>
      <c r="C211">
        <v>5614</v>
      </c>
      <c r="D211">
        <v>57</v>
      </c>
      <c r="E211" s="3">
        <v>45247</v>
      </c>
      <c r="F211" t="s">
        <v>53</v>
      </c>
      <c r="G211">
        <v>98.49</v>
      </c>
    </row>
    <row r="212" spans="1:7" x14ac:dyDescent="0.45">
      <c r="A212" t="s">
        <v>44</v>
      </c>
      <c r="B212" t="s">
        <v>138</v>
      </c>
      <c r="C212">
        <v>5808</v>
      </c>
      <c r="D212">
        <v>73</v>
      </c>
      <c r="E212" s="3">
        <v>45286</v>
      </c>
      <c r="F212" t="s">
        <v>53</v>
      </c>
      <c r="G212">
        <v>79.56</v>
      </c>
    </row>
    <row r="213" spans="1:7" x14ac:dyDescent="0.45">
      <c r="A213" t="s">
        <v>41</v>
      </c>
      <c r="B213" t="s">
        <v>86</v>
      </c>
      <c r="C213">
        <v>6863</v>
      </c>
      <c r="D213">
        <v>34</v>
      </c>
      <c r="E213" s="3">
        <v>45331</v>
      </c>
      <c r="F213" t="s">
        <v>53</v>
      </c>
      <c r="G213">
        <v>201.85</v>
      </c>
    </row>
    <row r="214" spans="1:7" x14ac:dyDescent="0.45">
      <c r="A214" t="s">
        <v>44</v>
      </c>
      <c r="B214" t="s">
        <v>81</v>
      </c>
      <c r="C214">
        <v>4273</v>
      </c>
      <c r="D214">
        <v>65</v>
      </c>
      <c r="E214" s="3">
        <v>45359</v>
      </c>
      <c r="F214" t="s">
        <v>53</v>
      </c>
      <c r="G214">
        <v>65.739999999999995</v>
      </c>
    </row>
    <row r="215" spans="1:7" x14ac:dyDescent="0.45">
      <c r="A215" t="s">
        <v>51</v>
      </c>
      <c r="B215" t="s">
        <v>87</v>
      </c>
      <c r="C215">
        <v>5871</v>
      </c>
      <c r="D215">
        <v>63</v>
      </c>
      <c r="E215" s="3">
        <v>45353</v>
      </c>
      <c r="F215" t="s">
        <v>65</v>
      </c>
      <c r="G215">
        <v>93.19</v>
      </c>
    </row>
    <row r="216" spans="1:7" x14ac:dyDescent="0.45">
      <c r="A216" t="s">
        <v>44</v>
      </c>
      <c r="B216" t="s">
        <v>100</v>
      </c>
      <c r="C216">
        <v>1794</v>
      </c>
      <c r="D216">
        <v>23</v>
      </c>
      <c r="E216" s="3">
        <v>45351</v>
      </c>
      <c r="F216" t="s">
        <v>46</v>
      </c>
      <c r="G216">
        <v>78</v>
      </c>
    </row>
    <row r="217" spans="1:7" x14ac:dyDescent="0.45">
      <c r="A217" t="s">
        <v>51</v>
      </c>
      <c r="B217" t="s">
        <v>67</v>
      </c>
      <c r="C217">
        <v>2240</v>
      </c>
      <c r="D217">
        <v>70</v>
      </c>
      <c r="E217" s="3">
        <v>45296</v>
      </c>
      <c r="F217" t="s">
        <v>53</v>
      </c>
      <c r="G217">
        <v>32</v>
      </c>
    </row>
    <row r="218" spans="1:7" x14ac:dyDescent="0.45">
      <c r="A218" t="s">
        <v>66</v>
      </c>
      <c r="B218" t="s">
        <v>82</v>
      </c>
      <c r="C218">
        <v>2862</v>
      </c>
      <c r="D218">
        <v>53</v>
      </c>
      <c r="E218" s="3">
        <v>45249</v>
      </c>
      <c r="F218" t="s">
        <v>53</v>
      </c>
      <c r="G218">
        <v>54</v>
      </c>
    </row>
    <row r="219" spans="1:7" x14ac:dyDescent="0.45">
      <c r="A219" t="s">
        <v>66</v>
      </c>
      <c r="B219" t="s">
        <v>139</v>
      </c>
      <c r="C219">
        <v>1959</v>
      </c>
      <c r="D219">
        <v>52</v>
      </c>
      <c r="E219" s="3">
        <v>45389</v>
      </c>
      <c r="F219" t="s">
        <v>65</v>
      </c>
      <c r="G219">
        <v>37.67</v>
      </c>
    </row>
    <row r="220" spans="1:7" x14ac:dyDescent="0.45">
      <c r="A220" t="s">
        <v>51</v>
      </c>
      <c r="B220" t="s">
        <v>76</v>
      </c>
      <c r="C220">
        <v>2692</v>
      </c>
      <c r="D220">
        <v>46</v>
      </c>
      <c r="E220" s="3">
        <v>45376</v>
      </c>
      <c r="F220" t="s">
        <v>43</v>
      </c>
      <c r="G220">
        <v>58.52</v>
      </c>
    </row>
    <row r="221" spans="1:7" x14ac:dyDescent="0.45">
      <c r="A221" t="s">
        <v>44</v>
      </c>
      <c r="B221" t="s">
        <v>97</v>
      </c>
      <c r="C221">
        <v>2975</v>
      </c>
      <c r="D221">
        <v>36</v>
      </c>
      <c r="E221" s="3">
        <v>45276</v>
      </c>
      <c r="F221" t="s">
        <v>46</v>
      </c>
      <c r="G221">
        <v>82.64</v>
      </c>
    </row>
    <row r="222" spans="1:7" x14ac:dyDescent="0.45">
      <c r="A222" t="s">
        <v>66</v>
      </c>
      <c r="B222" t="s">
        <v>140</v>
      </c>
      <c r="C222">
        <v>4633</v>
      </c>
      <c r="D222">
        <v>45</v>
      </c>
      <c r="E222" s="3">
        <v>45361</v>
      </c>
      <c r="F222" t="s">
        <v>60</v>
      </c>
      <c r="G222">
        <v>102.96</v>
      </c>
    </row>
    <row r="223" spans="1:7" x14ac:dyDescent="0.45">
      <c r="A223" t="s">
        <v>56</v>
      </c>
      <c r="B223" t="s">
        <v>137</v>
      </c>
      <c r="C223">
        <v>3402</v>
      </c>
      <c r="D223">
        <v>74</v>
      </c>
      <c r="E223" s="3">
        <v>45291</v>
      </c>
      <c r="F223" t="s">
        <v>65</v>
      </c>
      <c r="G223">
        <v>45.97</v>
      </c>
    </row>
    <row r="224" spans="1:7" x14ac:dyDescent="0.45">
      <c r="A224" t="s">
        <v>44</v>
      </c>
      <c r="B224" t="s">
        <v>129</v>
      </c>
      <c r="C224">
        <v>6962</v>
      </c>
      <c r="D224">
        <v>16</v>
      </c>
      <c r="E224" s="3">
        <v>45274</v>
      </c>
      <c r="F224" t="s">
        <v>60</v>
      </c>
      <c r="G224">
        <v>435.12</v>
      </c>
    </row>
    <row r="225" spans="1:7" x14ac:dyDescent="0.45">
      <c r="A225" t="s">
        <v>51</v>
      </c>
      <c r="B225" t="s">
        <v>87</v>
      </c>
      <c r="C225">
        <v>5977</v>
      </c>
      <c r="D225">
        <v>35</v>
      </c>
      <c r="E225" s="3">
        <v>45387</v>
      </c>
      <c r="F225" t="s">
        <v>53</v>
      </c>
      <c r="G225">
        <v>170.77</v>
      </c>
    </row>
    <row r="226" spans="1:7" x14ac:dyDescent="0.45">
      <c r="A226" t="s">
        <v>44</v>
      </c>
      <c r="B226" t="s">
        <v>54</v>
      </c>
      <c r="C226">
        <v>6313</v>
      </c>
      <c r="D226">
        <v>53</v>
      </c>
      <c r="E226" s="3">
        <v>45269</v>
      </c>
      <c r="F226" t="s">
        <v>60</v>
      </c>
      <c r="G226">
        <v>119.11</v>
      </c>
    </row>
    <row r="227" spans="1:7" x14ac:dyDescent="0.45">
      <c r="A227" t="s">
        <v>51</v>
      </c>
      <c r="B227" t="s">
        <v>61</v>
      </c>
      <c r="C227">
        <v>3974</v>
      </c>
      <c r="D227">
        <v>40</v>
      </c>
      <c r="E227" s="3">
        <v>45259</v>
      </c>
      <c r="F227" t="s">
        <v>60</v>
      </c>
      <c r="G227">
        <v>99.35</v>
      </c>
    </row>
    <row r="228" spans="1:7" x14ac:dyDescent="0.45">
      <c r="A228" t="s">
        <v>44</v>
      </c>
      <c r="B228" t="s">
        <v>52</v>
      </c>
      <c r="C228">
        <v>3443</v>
      </c>
      <c r="D228">
        <v>63</v>
      </c>
      <c r="E228" s="3">
        <v>45235</v>
      </c>
      <c r="F228" t="s">
        <v>43</v>
      </c>
      <c r="G228">
        <v>54.65</v>
      </c>
    </row>
    <row r="229" spans="1:7" x14ac:dyDescent="0.45">
      <c r="A229" t="s">
        <v>51</v>
      </c>
      <c r="B229" t="s">
        <v>141</v>
      </c>
      <c r="C229">
        <v>3923</v>
      </c>
      <c r="D229">
        <v>52</v>
      </c>
      <c r="E229" s="3">
        <v>45239</v>
      </c>
      <c r="F229" t="s">
        <v>53</v>
      </c>
      <c r="G229">
        <v>75.44</v>
      </c>
    </row>
    <row r="230" spans="1:7" x14ac:dyDescent="0.45">
      <c r="A230" t="s">
        <v>44</v>
      </c>
      <c r="B230" t="s">
        <v>85</v>
      </c>
      <c r="C230">
        <v>1566</v>
      </c>
      <c r="D230">
        <v>21</v>
      </c>
      <c r="E230" s="3">
        <v>45278</v>
      </c>
      <c r="F230" t="s">
        <v>43</v>
      </c>
      <c r="G230">
        <v>74.569999999999993</v>
      </c>
    </row>
    <row r="231" spans="1:7" x14ac:dyDescent="0.45">
      <c r="A231" t="s">
        <v>44</v>
      </c>
      <c r="B231" t="s">
        <v>142</v>
      </c>
      <c r="C231">
        <v>3385</v>
      </c>
      <c r="D231">
        <v>60</v>
      </c>
      <c r="E231" s="3">
        <v>45323</v>
      </c>
      <c r="F231" t="s">
        <v>46</v>
      </c>
      <c r="G231">
        <v>56.42</v>
      </c>
    </row>
    <row r="232" spans="1:7" x14ac:dyDescent="0.45">
      <c r="A232" t="s">
        <v>41</v>
      </c>
      <c r="B232" t="s">
        <v>143</v>
      </c>
      <c r="C232">
        <v>3553</v>
      </c>
      <c r="D232">
        <v>32</v>
      </c>
      <c r="E232" s="3">
        <v>45349</v>
      </c>
      <c r="F232" t="s">
        <v>53</v>
      </c>
      <c r="G232">
        <v>111.03</v>
      </c>
    </row>
    <row r="233" spans="1:7" x14ac:dyDescent="0.45">
      <c r="A233" t="s">
        <v>66</v>
      </c>
      <c r="B233" t="s">
        <v>105</v>
      </c>
      <c r="C233">
        <v>5111</v>
      </c>
      <c r="D233">
        <v>19</v>
      </c>
      <c r="E233" s="3">
        <v>45396</v>
      </c>
      <c r="F233" t="s">
        <v>43</v>
      </c>
      <c r="G233">
        <v>269</v>
      </c>
    </row>
    <row r="234" spans="1:7" x14ac:dyDescent="0.45">
      <c r="A234" t="s">
        <v>51</v>
      </c>
      <c r="B234" t="s">
        <v>88</v>
      </c>
      <c r="C234">
        <v>2576</v>
      </c>
      <c r="D234">
        <v>26</v>
      </c>
      <c r="E234" s="3">
        <v>45380</v>
      </c>
      <c r="F234" t="s">
        <v>65</v>
      </c>
      <c r="G234">
        <v>99.08</v>
      </c>
    </row>
    <row r="235" spans="1:7" x14ac:dyDescent="0.45">
      <c r="A235" t="s">
        <v>51</v>
      </c>
      <c r="B235" t="s">
        <v>134</v>
      </c>
      <c r="C235">
        <v>4903</v>
      </c>
      <c r="D235">
        <v>37</v>
      </c>
      <c r="E235" s="3">
        <v>45245</v>
      </c>
      <c r="F235" t="s">
        <v>46</v>
      </c>
      <c r="G235">
        <v>132.51</v>
      </c>
    </row>
    <row r="236" spans="1:7" x14ac:dyDescent="0.45">
      <c r="A236" t="s">
        <v>41</v>
      </c>
      <c r="B236" t="s">
        <v>100</v>
      </c>
      <c r="C236">
        <v>4497</v>
      </c>
      <c r="D236">
        <v>79</v>
      </c>
      <c r="E236" s="3">
        <v>45319</v>
      </c>
      <c r="F236" t="s">
        <v>65</v>
      </c>
      <c r="G236">
        <v>56.92</v>
      </c>
    </row>
    <row r="237" spans="1:7" x14ac:dyDescent="0.45">
      <c r="A237" t="s">
        <v>41</v>
      </c>
      <c r="B237" t="s">
        <v>129</v>
      </c>
      <c r="C237">
        <v>5447</v>
      </c>
      <c r="D237">
        <v>52</v>
      </c>
      <c r="E237" s="3">
        <v>45311</v>
      </c>
      <c r="F237" t="s">
        <v>65</v>
      </c>
      <c r="G237">
        <v>104.75</v>
      </c>
    </row>
    <row r="238" spans="1:7" x14ac:dyDescent="0.45">
      <c r="A238" t="s">
        <v>66</v>
      </c>
      <c r="B238" t="s">
        <v>118</v>
      </c>
      <c r="C238">
        <v>2116</v>
      </c>
      <c r="D238">
        <v>33</v>
      </c>
      <c r="E238" s="3">
        <v>45403</v>
      </c>
      <c r="F238" t="s">
        <v>46</v>
      </c>
      <c r="G238">
        <v>64.12</v>
      </c>
    </row>
    <row r="239" spans="1:7" x14ac:dyDescent="0.45">
      <c r="A239" t="s">
        <v>44</v>
      </c>
      <c r="B239" t="s">
        <v>132</v>
      </c>
      <c r="C239">
        <v>4496</v>
      </c>
      <c r="D239">
        <v>26</v>
      </c>
      <c r="E239" s="3">
        <v>45353</v>
      </c>
      <c r="F239" t="s">
        <v>60</v>
      </c>
      <c r="G239">
        <v>172.92</v>
      </c>
    </row>
    <row r="240" spans="1:7" x14ac:dyDescent="0.45">
      <c r="A240" t="s">
        <v>66</v>
      </c>
      <c r="B240" t="s">
        <v>81</v>
      </c>
      <c r="C240">
        <v>5895</v>
      </c>
      <c r="D240">
        <v>30</v>
      </c>
      <c r="E240" s="3">
        <v>45342</v>
      </c>
      <c r="F240" t="s">
        <v>60</v>
      </c>
      <c r="G240">
        <v>196.5</v>
      </c>
    </row>
    <row r="241" spans="1:7" x14ac:dyDescent="0.45">
      <c r="A241" t="s">
        <v>51</v>
      </c>
      <c r="B241" t="s">
        <v>87</v>
      </c>
      <c r="C241">
        <v>3647</v>
      </c>
      <c r="D241">
        <v>63</v>
      </c>
      <c r="E241" s="3">
        <v>45268</v>
      </c>
      <c r="F241" t="s">
        <v>65</v>
      </c>
      <c r="G241">
        <v>57.89</v>
      </c>
    </row>
    <row r="242" spans="1:7" x14ac:dyDescent="0.45">
      <c r="A242" t="s">
        <v>66</v>
      </c>
      <c r="B242" t="s">
        <v>87</v>
      </c>
      <c r="C242">
        <v>3415</v>
      </c>
      <c r="D242">
        <v>75</v>
      </c>
      <c r="E242" s="3">
        <v>45370</v>
      </c>
      <c r="F242" t="s">
        <v>53</v>
      </c>
      <c r="G242">
        <v>45.53</v>
      </c>
    </row>
    <row r="243" spans="1:7" x14ac:dyDescent="0.45">
      <c r="A243" t="s">
        <v>56</v>
      </c>
      <c r="B243" t="s">
        <v>132</v>
      </c>
      <c r="C243">
        <v>4187</v>
      </c>
      <c r="D243">
        <v>43</v>
      </c>
      <c r="E243" s="3">
        <v>45366</v>
      </c>
      <c r="F243" t="s">
        <v>53</v>
      </c>
      <c r="G243">
        <v>97.37</v>
      </c>
    </row>
    <row r="244" spans="1:7" x14ac:dyDescent="0.45">
      <c r="A244" t="s">
        <v>44</v>
      </c>
      <c r="B244" t="s">
        <v>108</v>
      </c>
      <c r="C244">
        <v>3975</v>
      </c>
      <c r="D244">
        <v>67</v>
      </c>
      <c r="E244" s="3">
        <v>45305</v>
      </c>
      <c r="F244" t="s">
        <v>53</v>
      </c>
      <c r="G244">
        <v>59.33</v>
      </c>
    </row>
    <row r="245" spans="1:7" x14ac:dyDescent="0.45">
      <c r="A245" t="s">
        <v>41</v>
      </c>
      <c r="B245" t="s">
        <v>96</v>
      </c>
      <c r="C245">
        <v>1804</v>
      </c>
      <c r="D245">
        <v>53</v>
      </c>
      <c r="E245" s="3">
        <v>45326</v>
      </c>
      <c r="F245" t="s">
        <v>60</v>
      </c>
      <c r="G245">
        <v>34.04</v>
      </c>
    </row>
    <row r="246" spans="1:7" x14ac:dyDescent="0.45">
      <c r="A246" t="s">
        <v>66</v>
      </c>
      <c r="B246" t="s">
        <v>138</v>
      </c>
      <c r="C246">
        <v>3423</v>
      </c>
      <c r="D246">
        <v>32</v>
      </c>
      <c r="E246" s="3">
        <v>45308</v>
      </c>
      <c r="F246" t="s">
        <v>60</v>
      </c>
      <c r="G246">
        <v>106.97</v>
      </c>
    </row>
    <row r="247" spans="1:7" x14ac:dyDescent="0.45">
      <c r="A247" t="s">
        <v>44</v>
      </c>
      <c r="B247" t="s">
        <v>144</v>
      </c>
      <c r="C247">
        <v>6992</v>
      </c>
      <c r="D247">
        <v>68</v>
      </c>
      <c r="E247" s="3">
        <v>45278</v>
      </c>
      <c r="F247" t="s">
        <v>43</v>
      </c>
      <c r="G247">
        <v>102.82</v>
      </c>
    </row>
    <row r="248" spans="1:7" x14ac:dyDescent="0.45">
      <c r="A248" t="s">
        <v>41</v>
      </c>
      <c r="B248" t="s">
        <v>120</v>
      </c>
      <c r="C248">
        <v>6865</v>
      </c>
      <c r="D248">
        <v>27</v>
      </c>
      <c r="E248" s="3">
        <v>45259</v>
      </c>
      <c r="F248" t="s">
        <v>60</v>
      </c>
      <c r="G248">
        <v>254.26</v>
      </c>
    </row>
    <row r="249" spans="1:7" x14ac:dyDescent="0.45">
      <c r="A249" t="s">
        <v>56</v>
      </c>
      <c r="B249" t="s">
        <v>86</v>
      </c>
      <c r="C249">
        <v>3791</v>
      </c>
      <c r="D249">
        <v>19</v>
      </c>
      <c r="E249" s="3">
        <v>45358</v>
      </c>
      <c r="F249" t="s">
        <v>65</v>
      </c>
      <c r="G249">
        <v>199.53</v>
      </c>
    </row>
    <row r="250" spans="1:7" x14ac:dyDescent="0.45">
      <c r="A250" t="s">
        <v>41</v>
      </c>
      <c r="B250" t="s">
        <v>82</v>
      </c>
      <c r="C250">
        <v>5142</v>
      </c>
      <c r="D250">
        <v>45</v>
      </c>
      <c r="E250" s="3">
        <v>45364</v>
      </c>
      <c r="F250" t="s">
        <v>65</v>
      </c>
      <c r="G250">
        <v>114.27</v>
      </c>
    </row>
    <row r="251" spans="1:7" x14ac:dyDescent="0.45">
      <c r="A251" t="s">
        <v>66</v>
      </c>
      <c r="B251" t="s">
        <v>106</v>
      </c>
      <c r="C251">
        <v>4509</v>
      </c>
      <c r="D251">
        <v>60</v>
      </c>
      <c r="E251" s="3">
        <v>45232</v>
      </c>
      <c r="F251" t="s">
        <v>53</v>
      </c>
      <c r="G251">
        <v>75.150000000000006</v>
      </c>
    </row>
    <row r="252" spans="1:7" x14ac:dyDescent="0.45">
      <c r="A252" t="s">
        <v>44</v>
      </c>
      <c r="B252" t="s">
        <v>85</v>
      </c>
      <c r="C252">
        <v>3054</v>
      </c>
      <c r="D252">
        <v>30</v>
      </c>
      <c r="E252" s="3">
        <v>45404</v>
      </c>
      <c r="F252" t="s">
        <v>60</v>
      </c>
      <c r="G252">
        <v>101.8</v>
      </c>
    </row>
    <row r="253" spans="1:7" x14ac:dyDescent="0.45">
      <c r="A253" t="s">
        <v>66</v>
      </c>
      <c r="B253" t="s">
        <v>101</v>
      </c>
      <c r="C253">
        <v>3237</v>
      </c>
      <c r="D253">
        <v>17</v>
      </c>
      <c r="E253" s="3">
        <v>45376</v>
      </c>
      <c r="F253" t="s">
        <v>53</v>
      </c>
      <c r="G253">
        <v>190.41</v>
      </c>
    </row>
    <row r="254" spans="1:7" x14ac:dyDescent="0.45">
      <c r="A254" t="s">
        <v>51</v>
      </c>
      <c r="B254" t="s">
        <v>99</v>
      </c>
      <c r="C254">
        <v>2531</v>
      </c>
      <c r="D254">
        <v>41</v>
      </c>
      <c r="E254" s="3">
        <v>45398</v>
      </c>
      <c r="F254" t="s">
        <v>53</v>
      </c>
      <c r="G254">
        <v>61.73</v>
      </c>
    </row>
    <row r="255" spans="1:7" x14ac:dyDescent="0.45">
      <c r="A255" t="s">
        <v>56</v>
      </c>
      <c r="B255" t="s">
        <v>145</v>
      </c>
      <c r="C255">
        <v>6303</v>
      </c>
      <c r="D255">
        <v>42</v>
      </c>
      <c r="E255" s="3">
        <v>45380</v>
      </c>
      <c r="F255" t="s">
        <v>46</v>
      </c>
      <c r="G255">
        <v>150.07</v>
      </c>
    </row>
    <row r="256" spans="1:7" x14ac:dyDescent="0.45">
      <c r="A256" t="s">
        <v>51</v>
      </c>
      <c r="B256" t="s">
        <v>117</v>
      </c>
      <c r="C256">
        <v>2708</v>
      </c>
      <c r="D256">
        <v>15</v>
      </c>
      <c r="E256" s="3">
        <v>45402</v>
      </c>
      <c r="F256" t="s">
        <v>65</v>
      </c>
      <c r="G256">
        <v>180.53</v>
      </c>
    </row>
    <row r="257" spans="1:7" x14ac:dyDescent="0.45">
      <c r="A257" t="s">
        <v>41</v>
      </c>
      <c r="B257" t="s">
        <v>80</v>
      </c>
      <c r="C257">
        <v>5925</v>
      </c>
      <c r="D257">
        <v>47</v>
      </c>
      <c r="E257" s="3">
        <v>45251</v>
      </c>
      <c r="F257" t="s">
        <v>46</v>
      </c>
      <c r="G257">
        <v>126.06</v>
      </c>
    </row>
    <row r="258" spans="1:7" x14ac:dyDescent="0.45">
      <c r="A258" t="s">
        <v>66</v>
      </c>
      <c r="B258" t="s">
        <v>101</v>
      </c>
      <c r="C258">
        <v>1711</v>
      </c>
      <c r="D258">
        <v>31</v>
      </c>
      <c r="E258" s="3">
        <v>45382</v>
      </c>
      <c r="F258" t="s">
        <v>53</v>
      </c>
      <c r="G258">
        <v>55.19</v>
      </c>
    </row>
    <row r="259" spans="1:7" x14ac:dyDescent="0.45">
      <c r="A259" t="s">
        <v>51</v>
      </c>
      <c r="B259" t="s">
        <v>79</v>
      </c>
      <c r="C259">
        <v>6323</v>
      </c>
      <c r="D259">
        <v>56</v>
      </c>
      <c r="E259" s="3">
        <v>45313</v>
      </c>
      <c r="F259" t="s">
        <v>53</v>
      </c>
      <c r="G259">
        <v>112.91</v>
      </c>
    </row>
    <row r="260" spans="1:7" x14ac:dyDescent="0.45">
      <c r="A260" t="s">
        <v>41</v>
      </c>
      <c r="B260" t="s">
        <v>81</v>
      </c>
      <c r="C260">
        <v>1929</v>
      </c>
      <c r="D260">
        <v>31</v>
      </c>
      <c r="E260" s="3">
        <v>45273</v>
      </c>
      <c r="F260" t="s">
        <v>60</v>
      </c>
      <c r="G260">
        <v>62.23</v>
      </c>
    </row>
    <row r="261" spans="1:7" x14ac:dyDescent="0.45">
      <c r="A261" t="s">
        <v>56</v>
      </c>
      <c r="B261" t="s">
        <v>111</v>
      </c>
      <c r="C261">
        <v>2020</v>
      </c>
      <c r="D261">
        <v>75</v>
      </c>
      <c r="E261" s="3">
        <v>45265</v>
      </c>
      <c r="F261" t="s">
        <v>60</v>
      </c>
      <c r="G261">
        <v>26.93</v>
      </c>
    </row>
    <row r="262" spans="1:7" x14ac:dyDescent="0.45">
      <c r="A262" t="s">
        <v>51</v>
      </c>
      <c r="B262" t="s">
        <v>72</v>
      </c>
      <c r="C262">
        <v>6363</v>
      </c>
      <c r="D262">
        <v>28</v>
      </c>
      <c r="E262" s="3">
        <v>45387</v>
      </c>
      <c r="F262" t="s">
        <v>60</v>
      </c>
      <c r="G262">
        <v>227.25</v>
      </c>
    </row>
    <row r="263" spans="1:7" x14ac:dyDescent="0.45">
      <c r="A263" t="s">
        <v>56</v>
      </c>
      <c r="B263" t="s">
        <v>83</v>
      </c>
      <c r="C263">
        <v>6538</v>
      </c>
      <c r="D263">
        <v>20</v>
      </c>
      <c r="E263" s="3">
        <v>45366</v>
      </c>
      <c r="F263" t="s">
        <v>43</v>
      </c>
      <c r="G263">
        <v>326.89999999999998</v>
      </c>
    </row>
    <row r="264" spans="1:7" x14ac:dyDescent="0.45">
      <c r="A264" t="s">
        <v>51</v>
      </c>
      <c r="B264" t="s">
        <v>61</v>
      </c>
      <c r="C264">
        <v>6770</v>
      </c>
      <c r="D264">
        <v>18</v>
      </c>
      <c r="E264" s="3">
        <v>45331</v>
      </c>
      <c r="F264" t="s">
        <v>53</v>
      </c>
      <c r="G264">
        <v>376.11</v>
      </c>
    </row>
    <row r="265" spans="1:7" x14ac:dyDescent="0.45">
      <c r="A265" t="s">
        <v>44</v>
      </c>
      <c r="B265" t="s">
        <v>116</v>
      </c>
      <c r="C265">
        <v>4992</v>
      </c>
      <c r="D265">
        <v>28</v>
      </c>
      <c r="E265" s="3">
        <v>45321</v>
      </c>
      <c r="F265" t="s">
        <v>60</v>
      </c>
      <c r="G265">
        <v>178.29</v>
      </c>
    </row>
    <row r="266" spans="1:7" x14ac:dyDescent="0.45">
      <c r="A266" t="s">
        <v>44</v>
      </c>
      <c r="B266" t="s">
        <v>131</v>
      </c>
      <c r="C266">
        <v>2161</v>
      </c>
      <c r="D266">
        <v>56</v>
      </c>
      <c r="E266" s="3">
        <v>45240</v>
      </c>
      <c r="F266" t="s">
        <v>43</v>
      </c>
      <c r="G266">
        <v>38.590000000000003</v>
      </c>
    </row>
    <row r="267" spans="1:7" x14ac:dyDescent="0.45">
      <c r="A267" t="s">
        <v>41</v>
      </c>
      <c r="B267" t="s">
        <v>68</v>
      </c>
      <c r="C267">
        <v>2533</v>
      </c>
      <c r="D267">
        <v>50</v>
      </c>
      <c r="E267" s="3">
        <v>45339</v>
      </c>
      <c r="F267" t="s">
        <v>43</v>
      </c>
      <c r="G267">
        <v>50.66</v>
      </c>
    </row>
    <row r="268" spans="1:7" x14ac:dyDescent="0.45">
      <c r="A268" t="s">
        <v>56</v>
      </c>
      <c r="B268" t="s">
        <v>84</v>
      </c>
      <c r="C268">
        <v>4163</v>
      </c>
      <c r="D268">
        <v>63</v>
      </c>
      <c r="E268" s="3">
        <v>45279</v>
      </c>
      <c r="F268" t="s">
        <v>43</v>
      </c>
      <c r="G268">
        <v>66.08</v>
      </c>
    </row>
    <row r="269" spans="1:7" x14ac:dyDescent="0.45">
      <c r="A269" t="s">
        <v>56</v>
      </c>
      <c r="B269" t="s">
        <v>57</v>
      </c>
      <c r="C269">
        <v>5216</v>
      </c>
      <c r="D269">
        <v>79</v>
      </c>
      <c r="E269" s="3">
        <v>45409</v>
      </c>
      <c r="F269" t="s">
        <v>43</v>
      </c>
      <c r="G269">
        <v>66.03</v>
      </c>
    </row>
    <row r="270" spans="1:7" x14ac:dyDescent="0.45">
      <c r="A270" t="s">
        <v>44</v>
      </c>
      <c r="B270" t="s">
        <v>138</v>
      </c>
      <c r="C270">
        <v>2437</v>
      </c>
      <c r="D270">
        <v>42</v>
      </c>
      <c r="E270" s="3">
        <v>45395</v>
      </c>
      <c r="F270" t="s">
        <v>60</v>
      </c>
      <c r="G270">
        <v>58.02</v>
      </c>
    </row>
    <row r="271" spans="1:7" x14ac:dyDescent="0.45">
      <c r="A271" t="s">
        <v>44</v>
      </c>
      <c r="B271" t="s">
        <v>67</v>
      </c>
      <c r="C271">
        <v>4889</v>
      </c>
      <c r="D271">
        <v>58</v>
      </c>
      <c r="E271" s="3">
        <v>45254</v>
      </c>
      <c r="F271" t="s">
        <v>60</v>
      </c>
      <c r="G271">
        <v>84.29</v>
      </c>
    </row>
    <row r="272" spans="1:7" x14ac:dyDescent="0.45">
      <c r="A272" t="s">
        <v>44</v>
      </c>
      <c r="B272" t="s">
        <v>120</v>
      </c>
      <c r="C272">
        <v>2278</v>
      </c>
      <c r="D272">
        <v>55</v>
      </c>
      <c r="E272" s="3">
        <v>45319</v>
      </c>
      <c r="F272" t="s">
        <v>60</v>
      </c>
      <c r="G272">
        <v>41.42</v>
      </c>
    </row>
    <row r="273" spans="1:7" x14ac:dyDescent="0.45">
      <c r="A273" t="s">
        <v>51</v>
      </c>
      <c r="B273" t="s">
        <v>98</v>
      </c>
      <c r="C273">
        <v>3588</v>
      </c>
      <c r="D273">
        <v>62</v>
      </c>
      <c r="E273" s="3">
        <v>45256</v>
      </c>
      <c r="F273" t="s">
        <v>46</v>
      </c>
      <c r="G273">
        <v>57.87</v>
      </c>
    </row>
    <row r="274" spans="1:7" x14ac:dyDescent="0.45">
      <c r="A274" t="s">
        <v>44</v>
      </c>
      <c r="B274" t="s">
        <v>68</v>
      </c>
      <c r="C274">
        <v>2247</v>
      </c>
      <c r="D274">
        <v>25</v>
      </c>
      <c r="E274" s="3">
        <v>45386</v>
      </c>
      <c r="F274" t="s">
        <v>53</v>
      </c>
      <c r="G274">
        <v>89.88</v>
      </c>
    </row>
    <row r="275" spans="1:7" x14ac:dyDescent="0.45">
      <c r="A275" t="s">
        <v>44</v>
      </c>
      <c r="B275" t="s">
        <v>138</v>
      </c>
      <c r="C275">
        <v>4552</v>
      </c>
      <c r="D275">
        <v>31</v>
      </c>
      <c r="E275" s="3">
        <v>45321</v>
      </c>
      <c r="F275" t="s">
        <v>43</v>
      </c>
      <c r="G275">
        <v>146.84</v>
      </c>
    </row>
    <row r="276" spans="1:7" x14ac:dyDescent="0.45">
      <c r="A276" t="s">
        <v>66</v>
      </c>
      <c r="B276" t="s">
        <v>49</v>
      </c>
      <c r="C276">
        <v>6100</v>
      </c>
      <c r="D276">
        <v>57</v>
      </c>
      <c r="E276" s="3">
        <v>45360</v>
      </c>
      <c r="F276" t="s">
        <v>53</v>
      </c>
      <c r="G276">
        <v>107.02</v>
      </c>
    </row>
    <row r="277" spans="1:7" x14ac:dyDescent="0.45">
      <c r="A277" t="s">
        <v>44</v>
      </c>
      <c r="B277" t="s">
        <v>62</v>
      </c>
      <c r="C277">
        <v>6950</v>
      </c>
      <c r="D277">
        <v>69</v>
      </c>
      <c r="E277" s="3">
        <v>45334</v>
      </c>
      <c r="F277" t="s">
        <v>53</v>
      </c>
      <c r="G277">
        <v>100.72</v>
      </c>
    </row>
    <row r="278" spans="1:7" x14ac:dyDescent="0.45">
      <c r="A278" t="s">
        <v>51</v>
      </c>
      <c r="B278" t="s">
        <v>130</v>
      </c>
      <c r="C278">
        <v>4059</v>
      </c>
      <c r="D278">
        <v>60</v>
      </c>
      <c r="E278" s="3">
        <v>45339</v>
      </c>
      <c r="F278" t="s">
        <v>53</v>
      </c>
      <c r="G278">
        <v>67.650000000000006</v>
      </c>
    </row>
    <row r="279" spans="1:7" x14ac:dyDescent="0.45">
      <c r="A279" t="s">
        <v>56</v>
      </c>
      <c r="B279" t="s">
        <v>47</v>
      </c>
      <c r="C279">
        <v>3242</v>
      </c>
      <c r="D279">
        <v>34</v>
      </c>
      <c r="E279" s="3">
        <v>45346</v>
      </c>
      <c r="F279" t="s">
        <v>60</v>
      </c>
      <c r="G279">
        <v>95.35</v>
      </c>
    </row>
    <row r="280" spans="1:7" x14ac:dyDescent="0.45">
      <c r="A280" t="s">
        <v>41</v>
      </c>
      <c r="B280" t="s">
        <v>52</v>
      </c>
      <c r="C280">
        <v>4368</v>
      </c>
      <c r="D280">
        <v>62</v>
      </c>
      <c r="E280" s="3">
        <v>45292</v>
      </c>
      <c r="F280" t="s">
        <v>53</v>
      </c>
      <c r="G280">
        <v>70.45</v>
      </c>
    </row>
    <row r="281" spans="1:7" x14ac:dyDescent="0.45">
      <c r="A281" t="s">
        <v>51</v>
      </c>
      <c r="B281" t="s">
        <v>141</v>
      </c>
      <c r="C281">
        <v>3352</v>
      </c>
      <c r="D281">
        <v>69</v>
      </c>
      <c r="E281" s="3">
        <v>45377</v>
      </c>
      <c r="F281" t="s">
        <v>43</v>
      </c>
      <c r="G281">
        <v>48.58</v>
      </c>
    </row>
    <row r="282" spans="1:7" x14ac:dyDescent="0.45">
      <c r="A282" t="s">
        <v>56</v>
      </c>
      <c r="B282" t="s">
        <v>140</v>
      </c>
      <c r="C282">
        <v>6764</v>
      </c>
      <c r="D282">
        <v>18</v>
      </c>
      <c r="E282" s="3">
        <v>45404</v>
      </c>
      <c r="F282" t="s">
        <v>43</v>
      </c>
      <c r="G282">
        <v>375.78</v>
      </c>
    </row>
    <row r="283" spans="1:7" x14ac:dyDescent="0.45">
      <c r="A283" t="s">
        <v>51</v>
      </c>
      <c r="B283" t="s">
        <v>110</v>
      </c>
      <c r="C283">
        <v>2977</v>
      </c>
      <c r="D283">
        <v>49</v>
      </c>
      <c r="E283" s="3">
        <v>45316</v>
      </c>
      <c r="F283" t="s">
        <v>65</v>
      </c>
      <c r="G283">
        <v>60.76</v>
      </c>
    </row>
    <row r="284" spans="1:7" x14ac:dyDescent="0.45">
      <c r="A284" t="s">
        <v>51</v>
      </c>
      <c r="B284" t="s">
        <v>54</v>
      </c>
      <c r="C284">
        <v>1550</v>
      </c>
      <c r="D284">
        <v>38</v>
      </c>
      <c r="E284" s="3">
        <v>45349</v>
      </c>
      <c r="F284" t="s">
        <v>46</v>
      </c>
      <c r="G284">
        <v>40.79</v>
      </c>
    </row>
    <row r="285" spans="1:7" x14ac:dyDescent="0.45">
      <c r="A285" t="s">
        <v>56</v>
      </c>
      <c r="B285" t="s">
        <v>101</v>
      </c>
      <c r="C285">
        <v>4783</v>
      </c>
      <c r="D285">
        <v>23</v>
      </c>
      <c r="E285" s="3">
        <v>45389</v>
      </c>
      <c r="F285" t="s">
        <v>46</v>
      </c>
      <c r="G285">
        <v>207.96</v>
      </c>
    </row>
    <row r="286" spans="1:7" x14ac:dyDescent="0.45">
      <c r="A286" t="s">
        <v>66</v>
      </c>
      <c r="B286" t="s">
        <v>126</v>
      </c>
      <c r="C286">
        <v>5845</v>
      </c>
      <c r="D286">
        <v>42</v>
      </c>
      <c r="E286" s="3">
        <v>45370</v>
      </c>
      <c r="F286" t="s">
        <v>60</v>
      </c>
      <c r="G286">
        <v>139.16999999999999</v>
      </c>
    </row>
    <row r="287" spans="1:7" x14ac:dyDescent="0.45">
      <c r="A287" t="s">
        <v>44</v>
      </c>
      <c r="B287" t="s">
        <v>61</v>
      </c>
      <c r="C287">
        <v>4292</v>
      </c>
      <c r="D287">
        <v>35</v>
      </c>
      <c r="E287" s="3">
        <v>45404</v>
      </c>
      <c r="F287" t="s">
        <v>65</v>
      </c>
      <c r="G287">
        <v>122.63</v>
      </c>
    </row>
    <row r="288" spans="1:7" x14ac:dyDescent="0.45">
      <c r="A288" t="s">
        <v>51</v>
      </c>
      <c r="B288" t="s">
        <v>119</v>
      </c>
      <c r="C288">
        <v>4157</v>
      </c>
      <c r="D288">
        <v>25</v>
      </c>
      <c r="E288" s="3">
        <v>45329</v>
      </c>
      <c r="F288" t="s">
        <v>53</v>
      </c>
      <c r="G288">
        <v>166.28</v>
      </c>
    </row>
    <row r="289" spans="1:7" x14ac:dyDescent="0.45">
      <c r="A289" t="s">
        <v>41</v>
      </c>
      <c r="B289" t="s">
        <v>94</v>
      </c>
      <c r="C289">
        <v>6561</v>
      </c>
      <c r="D289">
        <v>21</v>
      </c>
      <c r="E289" s="3">
        <v>45313</v>
      </c>
      <c r="F289" t="s">
        <v>53</v>
      </c>
      <c r="G289">
        <v>312.43</v>
      </c>
    </row>
    <row r="290" spans="1:7" x14ac:dyDescent="0.45">
      <c r="A290" t="s">
        <v>51</v>
      </c>
      <c r="B290" t="s">
        <v>82</v>
      </c>
      <c r="C290">
        <v>6922</v>
      </c>
      <c r="D290">
        <v>69</v>
      </c>
      <c r="E290" s="3">
        <v>45392</v>
      </c>
      <c r="F290" t="s">
        <v>60</v>
      </c>
      <c r="G290">
        <v>100.32</v>
      </c>
    </row>
    <row r="291" spans="1:7" x14ac:dyDescent="0.45">
      <c r="A291" t="s">
        <v>56</v>
      </c>
      <c r="B291" t="s">
        <v>82</v>
      </c>
      <c r="C291">
        <v>4892</v>
      </c>
      <c r="D291">
        <v>49</v>
      </c>
      <c r="E291" s="3">
        <v>45407</v>
      </c>
      <c r="F291" t="s">
        <v>46</v>
      </c>
      <c r="G291">
        <v>99.84</v>
      </c>
    </row>
    <row r="292" spans="1:7" x14ac:dyDescent="0.45">
      <c r="A292" t="s">
        <v>56</v>
      </c>
      <c r="B292" t="s">
        <v>111</v>
      </c>
      <c r="C292">
        <v>4327</v>
      </c>
      <c r="D292">
        <v>70</v>
      </c>
      <c r="E292" s="3">
        <v>45337</v>
      </c>
      <c r="F292" t="s">
        <v>53</v>
      </c>
      <c r="G292">
        <v>61.81</v>
      </c>
    </row>
    <row r="293" spans="1:7" x14ac:dyDescent="0.45">
      <c r="A293" t="s">
        <v>51</v>
      </c>
      <c r="B293" t="s">
        <v>87</v>
      </c>
      <c r="C293">
        <v>6358</v>
      </c>
      <c r="D293">
        <v>77</v>
      </c>
      <c r="E293" s="3">
        <v>45317</v>
      </c>
      <c r="F293" t="s">
        <v>43</v>
      </c>
      <c r="G293">
        <v>82.57</v>
      </c>
    </row>
    <row r="294" spans="1:7" x14ac:dyDescent="0.45">
      <c r="A294" t="s">
        <v>51</v>
      </c>
      <c r="B294" t="s">
        <v>96</v>
      </c>
      <c r="C294">
        <v>3306</v>
      </c>
      <c r="D294">
        <v>65</v>
      </c>
      <c r="E294" s="3">
        <v>45405</v>
      </c>
      <c r="F294" t="s">
        <v>43</v>
      </c>
      <c r="G294">
        <v>50.86</v>
      </c>
    </row>
    <row r="295" spans="1:7" x14ac:dyDescent="0.45">
      <c r="A295" t="s">
        <v>66</v>
      </c>
      <c r="B295" t="s">
        <v>112</v>
      </c>
      <c r="C295">
        <v>3174</v>
      </c>
      <c r="D295">
        <v>53</v>
      </c>
      <c r="E295" s="3">
        <v>45261</v>
      </c>
      <c r="F295" t="s">
        <v>46</v>
      </c>
      <c r="G295">
        <v>59.89</v>
      </c>
    </row>
    <row r="296" spans="1:7" x14ac:dyDescent="0.45">
      <c r="A296" t="s">
        <v>41</v>
      </c>
      <c r="B296" t="s">
        <v>77</v>
      </c>
      <c r="C296">
        <v>3593</v>
      </c>
      <c r="D296">
        <v>52</v>
      </c>
      <c r="E296" s="3">
        <v>45375</v>
      </c>
      <c r="F296" t="s">
        <v>65</v>
      </c>
      <c r="G296">
        <v>69.099999999999994</v>
      </c>
    </row>
    <row r="297" spans="1:7" x14ac:dyDescent="0.45">
      <c r="A297" t="s">
        <v>66</v>
      </c>
      <c r="B297" t="s">
        <v>112</v>
      </c>
      <c r="C297">
        <v>5574</v>
      </c>
      <c r="D297">
        <v>70</v>
      </c>
      <c r="E297" s="3">
        <v>45398</v>
      </c>
      <c r="F297" t="s">
        <v>46</v>
      </c>
      <c r="G297">
        <v>79.63</v>
      </c>
    </row>
    <row r="298" spans="1:7" x14ac:dyDescent="0.45">
      <c r="A298" t="s">
        <v>41</v>
      </c>
      <c r="B298" t="s">
        <v>64</v>
      </c>
      <c r="C298">
        <v>5862</v>
      </c>
      <c r="D298">
        <v>44</v>
      </c>
      <c r="E298" s="3">
        <v>45323</v>
      </c>
      <c r="F298" t="s">
        <v>43</v>
      </c>
      <c r="G298">
        <v>133.22999999999999</v>
      </c>
    </row>
    <row r="299" spans="1:7" x14ac:dyDescent="0.45">
      <c r="A299" t="s">
        <v>56</v>
      </c>
      <c r="B299" t="s">
        <v>98</v>
      </c>
      <c r="C299">
        <v>4401</v>
      </c>
      <c r="D299">
        <v>24</v>
      </c>
      <c r="E299" s="3">
        <v>45318</v>
      </c>
      <c r="F299" t="s">
        <v>60</v>
      </c>
      <c r="G299">
        <v>183.38</v>
      </c>
    </row>
    <row r="300" spans="1:7" x14ac:dyDescent="0.45">
      <c r="A300" t="s">
        <v>66</v>
      </c>
      <c r="B300" t="s">
        <v>76</v>
      </c>
      <c r="C300">
        <v>1653</v>
      </c>
      <c r="D300">
        <v>73</v>
      </c>
      <c r="E300" s="3">
        <v>45281</v>
      </c>
      <c r="F300" t="s">
        <v>53</v>
      </c>
      <c r="G300">
        <v>22.64</v>
      </c>
    </row>
    <row r="301" spans="1:7" x14ac:dyDescent="0.45">
      <c r="A301" t="s">
        <v>51</v>
      </c>
      <c r="B301" t="s">
        <v>141</v>
      </c>
      <c r="C301">
        <v>5016</v>
      </c>
      <c r="D301">
        <v>66</v>
      </c>
      <c r="E301" s="3">
        <v>45376</v>
      </c>
      <c r="F301" t="s">
        <v>60</v>
      </c>
      <c r="G301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workbookViewId="0"/>
  </sheetViews>
  <sheetFormatPr defaultRowHeight="14.25" x14ac:dyDescent="0.45"/>
  <cols>
    <col min="1" max="1" width="21" customWidth="1"/>
    <col min="2" max="2" width="34" customWidth="1"/>
    <col min="3" max="3" width="12" customWidth="1"/>
    <col min="4" max="4" width="8" customWidth="1"/>
    <col min="5" max="5" width="14" customWidth="1"/>
    <col min="6" max="6" width="12" customWidth="1"/>
    <col min="7" max="7" width="15" customWidth="1"/>
  </cols>
  <sheetData>
    <row r="1" spans="1:7" ht="18" customHeight="1" x14ac:dyDescent="0.4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spans="1:7" x14ac:dyDescent="0.45">
      <c r="A2" t="str">
        <f>PROPER('Project Tracker'!A2)</f>
        <v>Marketing Campaign</v>
      </c>
      <c r="B2" t="str">
        <f>'Project Tracker'!B2</f>
        <v>Campbell-Clark</v>
      </c>
      <c r="C2" s="5">
        <f>'Project Tracker'!C2</f>
        <v>2339</v>
      </c>
      <c r="D2">
        <f>'Project Tracker'!D2</f>
        <v>26</v>
      </c>
      <c r="E2" s="6">
        <f>'Project Tracker'!E2</f>
        <v>45262</v>
      </c>
      <c r="F2" t="str">
        <f>PROPER('Project Tracker'!F2)</f>
        <v>Yes</v>
      </c>
      <c r="G2" s="5">
        <f>'Project Tracker'!G2</f>
        <v>89.96</v>
      </c>
    </row>
    <row r="3" spans="1:7" x14ac:dyDescent="0.45">
      <c r="A3" t="str">
        <f>PROPER('Project Tracker'!A3)</f>
        <v>Seo Audit</v>
      </c>
      <c r="B3" t="str">
        <f>'Project Tracker'!B3</f>
        <v>Guzman, Hoffman and Baldwin</v>
      </c>
      <c r="C3" s="5">
        <f>'Project Tracker'!C3</f>
        <v>1744</v>
      </c>
      <c r="D3">
        <f>'Project Tracker'!D3</f>
        <v>26</v>
      </c>
      <c r="E3" s="6">
        <f>'Project Tracker'!E3</f>
        <v>45374</v>
      </c>
      <c r="F3" t="str">
        <f>PROPER('Project Tracker'!F3)</f>
        <v>No</v>
      </c>
      <c r="G3" s="5">
        <f>'Project Tracker'!G3</f>
        <v>67.08</v>
      </c>
    </row>
    <row r="4" spans="1:7" x14ac:dyDescent="0.45">
      <c r="A4" t="str">
        <f>PROPER('Project Tracker'!A4)</f>
        <v>Marketing Campaign</v>
      </c>
      <c r="B4" t="str">
        <f>'Project Tracker'!B4</f>
        <v>Baxter Inc</v>
      </c>
      <c r="C4" s="5">
        <f>'Project Tracker'!C4</f>
        <v>6431</v>
      </c>
      <c r="D4">
        <f>'Project Tracker'!D4</f>
        <v>18</v>
      </c>
      <c r="E4" s="6">
        <f>'Project Tracker'!E4</f>
        <v>45316</v>
      </c>
      <c r="F4" t="str">
        <f>PROPER('Project Tracker'!F4)</f>
        <v>Yes</v>
      </c>
      <c r="G4" s="5">
        <f>'Project Tracker'!G4</f>
        <v>357.28</v>
      </c>
    </row>
    <row r="5" spans="1:7" x14ac:dyDescent="0.45">
      <c r="A5" t="str">
        <f>PROPER('Project Tracker'!A5)</f>
        <v>Marketing Campaign</v>
      </c>
      <c r="B5" t="str">
        <f>'Project Tracker'!B5</f>
        <v>Smith, Montoya and Evans</v>
      </c>
      <c r="C5" s="5">
        <f>'Project Tracker'!C5</f>
        <v>6823</v>
      </c>
      <c r="D5">
        <f>'Project Tracker'!D5</f>
        <v>68</v>
      </c>
      <c r="E5" s="6">
        <f>'Project Tracker'!E5</f>
        <v>45338</v>
      </c>
      <c r="F5" t="str">
        <f>PROPER('Project Tracker'!F5)</f>
        <v>No</v>
      </c>
      <c r="G5" s="5">
        <f>'Project Tracker'!G5</f>
        <v>100.34</v>
      </c>
    </row>
    <row r="6" spans="1:7" x14ac:dyDescent="0.45">
      <c r="A6" t="str">
        <f>PROPER('Project Tracker'!A6)</f>
        <v>Seo Audit</v>
      </c>
      <c r="B6" t="str">
        <f>'Project Tracker'!B6</f>
        <v>Daniels, Adkins and Brown</v>
      </c>
      <c r="C6" s="5">
        <f>'Project Tracker'!C6</f>
        <v>3778</v>
      </c>
      <c r="D6">
        <f>'Project Tracker'!D6</f>
        <v>15</v>
      </c>
      <c r="E6" s="6">
        <f>'Project Tracker'!E6</f>
        <v>45368</v>
      </c>
      <c r="F6" t="str">
        <f>PROPER('Project Tracker'!F6)</f>
        <v>No</v>
      </c>
      <c r="G6" s="5">
        <f>'Project Tracker'!G6</f>
        <v>251.87</v>
      </c>
    </row>
    <row r="7" spans="1:7" x14ac:dyDescent="0.45">
      <c r="A7" t="str">
        <f>PROPER('Project Tracker'!A7)</f>
        <v>Seo Audit</v>
      </c>
      <c r="B7" t="str">
        <f>'Project Tracker'!B7</f>
        <v>Allen-Allen</v>
      </c>
      <c r="C7" s="5">
        <f>'Project Tracker'!C7</f>
        <v>3776</v>
      </c>
      <c r="D7">
        <f>'Project Tracker'!D7</f>
        <v>34</v>
      </c>
      <c r="E7" s="6">
        <f>'Project Tracker'!E7</f>
        <v>45314</v>
      </c>
      <c r="F7" t="str">
        <f>PROPER('Project Tracker'!F7)</f>
        <v>No</v>
      </c>
      <c r="G7" s="5">
        <f>'Project Tracker'!G7</f>
        <v>111.06</v>
      </c>
    </row>
    <row r="8" spans="1:7" x14ac:dyDescent="0.45">
      <c r="A8" t="str">
        <f>PROPER('Project Tracker'!A8)</f>
        <v>Data Dashboard</v>
      </c>
      <c r="B8" t="str">
        <f>'Project Tracker'!B8</f>
        <v>Mcclure, Ward and Lee</v>
      </c>
      <c r="C8" s="5">
        <f>'Project Tracker'!C8</f>
        <v>2259</v>
      </c>
      <c r="D8">
        <f>'Project Tracker'!D8</f>
        <v>63</v>
      </c>
      <c r="E8" s="6">
        <f>'Project Tracker'!E8</f>
        <v>45339</v>
      </c>
      <c r="F8" t="str">
        <f>PROPER('Project Tracker'!F8)</f>
        <v>Yes</v>
      </c>
      <c r="G8" s="5">
        <f>'Project Tracker'!G8</f>
        <v>35.86</v>
      </c>
    </row>
    <row r="9" spans="1:7" x14ac:dyDescent="0.45">
      <c r="A9" t="str">
        <f>PROPER('Project Tracker'!A9)</f>
        <v>Data Dashboard</v>
      </c>
      <c r="B9" t="str">
        <f>'Project Tracker'!B9</f>
        <v>Arroyo, Miller and Tucker</v>
      </c>
      <c r="C9" s="5">
        <f>'Project Tracker'!C9</f>
        <v>6445</v>
      </c>
      <c r="D9">
        <f>'Project Tracker'!D9</f>
        <v>48</v>
      </c>
      <c r="E9" s="6">
        <f>'Project Tracker'!E9</f>
        <v>45232</v>
      </c>
      <c r="F9" t="str">
        <f>PROPER('Project Tracker'!F9)</f>
        <v>Yes</v>
      </c>
      <c r="G9" s="5">
        <f>'Project Tracker'!G9</f>
        <v>134.27000000000001</v>
      </c>
    </row>
    <row r="10" spans="1:7" x14ac:dyDescent="0.45">
      <c r="A10" t="str">
        <f>PROPER('Project Tracker'!A10)</f>
        <v>Seo Audit</v>
      </c>
      <c r="B10" t="str">
        <f>'Project Tracker'!B10</f>
        <v>Russell Group</v>
      </c>
      <c r="C10" s="5">
        <f>'Project Tracker'!C10</f>
        <v>2522</v>
      </c>
      <c r="D10">
        <f>'Project Tracker'!D10</f>
        <v>63</v>
      </c>
      <c r="E10" s="6">
        <f>'Project Tracker'!E10</f>
        <v>45252</v>
      </c>
      <c r="F10" t="str">
        <f>PROPER('Project Tracker'!F10)</f>
        <v>Yes</v>
      </c>
      <c r="G10" s="5">
        <f>'Project Tracker'!G10</f>
        <v>40.03</v>
      </c>
    </row>
    <row r="11" spans="1:7" x14ac:dyDescent="0.45">
      <c r="A11" t="str">
        <f>PROPER('Project Tracker'!A11)</f>
        <v>App Prototype</v>
      </c>
      <c r="B11" t="str">
        <f>'Project Tracker'!B11</f>
        <v>Baker, Mason and White</v>
      </c>
      <c r="C11" s="5">
        <f>'Project Tracker'!C11</f>
        <v>6649</v>
      </c>
      <c r="D11">
        <f>'Project Tracker'!D11</f>
        <v>61</v>
      </c>
      <c r="E11" s="6">
        <f>'Project Tracker'!E11</f>
        <v>45245</v>
      </c>
      <c r="F11" t="str">
        <f>PROPER('Project Tracker'!F11)</f>
        <v>Yes</v>
      </c>
      <c r="G11" s="5">
        <f>'Project Tracker'!G11</f>
        <v>109</v>
      </c>
    </row>
    <row r="12" spans="1:7" x14ac:dyDescent="0.45">
      <c r="A12" t="str">
        <f>PROPER('Project Tracker'!A12)</f>
        <v>Marketing Campaign</v>
      </c>
      <c r="B12" t="str">
        <f>'Project Tracker'!B12</f>
        <v>Turner, Riggs and Roman</v>
      </c>
      <c r="C12" s="5">
        <f>'Project Tracker'!C12</f>
        <v>2069</v>
      </c>
      <c r="D12">
        <f>'Project Tracker'!D12</f>
        <v>20</v>
      </c>
      <c r="E12" s="6">
        <f>'Project Tracker'!E12</f>
        <v>45402</v>
      </c>
      <c r="F12" t="str">
        <f>PROPER('Project Tracker'!F12)</f>
        <v>No</v>
      </c>
      <c r="G12" s="5">
        <f>'Project Tracker'!G12</f>
        <v>103.45</v>
      </c>
    </row>
    <row r="13" spans="1:7" x14ac:dyDescent="0.45">
      <c r="A13" t="str">
        <f>PROPER('Project Tracker'!A13)</f>
        <v>Data Dashboard</v>
      </c>
      <c r="B13" t="str">
        <f>'Project Tracker'!B13</f>
        <v>Blair PLC</v>
      </c>
      <c r="C13" s="5">
        <f>'Project Tracker'!C13</f>
        <v>3407</v>
      </c>
      <c r="D13">
        <f>'Project Tracker'!D13</f>
        <v>27</v>
      </c>
      <c r="E13" s="6">
        <f>'Project Tracker'!E13</f>
        <v>45365</v>
      </c>
      <c r="F13" t="str">
        <f>PROPER('Project Tracker'!F13)</f>
        <v>No</v>
      </c>
      <c r="G13" s="5">
        <f>'Project Tracker'!G13</f>
        <v>126.19</v>
      </c>
    </row>
    <row r="14" spans="1:7" x14ac:dyDescent="0.45">
      <c r="A14" t="str">
        <f>PROPER('Project Tracker'!A14)</f>
        <v>Data Dashboard</v>
      </c>
      <c r="B14" t="str">
        <f>'Project Tracker'!B14</f>
        <v>Lee-Davis</v>
      </c>
      <c r="C14" s="5">
        <f>'Project Tracker'!C14</f>
        <v>6707</v>
      </c>
      <c r="D14">
        <f>'Project Tracker'!D14</f>
        <v>61</v>
      </c>
      <c r="E14" s="6">
        <f>'Project Tracker'!E14</f>
        <v>45406</v>
      </c>
      <c r="F14" t="str">
        <f>PROPER('Project Tracker'!F14)</f>
        <v>No</v>
      </c>
      <c r="G14" s="5">
        <f>'Project Tracker'!G14</f>
        <v>109.95</v>
      </c>
    </row>
    <row r="15" spans="1:7" x14ac:dyDescent="0.45">
      <c r="A15" t="str">
        <f>PROPER('Project Tracker'!A15)</f>
        <v>Data Dashboard</v>
      </c>
      <c r="B15" t="str">
        <f>'Project Tracker'!B15</f>
        <v>Spence PLC</v>
      </c>
      <c r="C15" s="5">
        <f>'Project Tracker'!C15</f>
        <v>3216</v>
      </c>
      <c r="D15">
        <f>'Project Tracker'!D15</f>
        <v>49</v>
      </c>
      <c r="E15" s="6">
        <f>'Project Tracker'!E15</f>
        <v>45259</v>
      </c>
      <c r="F15" t="str">
        <f>PROPER('Project Tracker'!F15)</f>
        <v>Yes</v>
      </c>
      <c r="G15" s="5">
        <f>'Project Tracker'!G15</f>
        <v>65.63</v>
      </c>
    </row>
    <row r="16" spans="1:7" x14ac:dyDescent="0.45">
      <c r="A16" t="str">
        <f>PROPER('Project Tracker'!A16)</f>
        <v>App Prototype</v>
      </c>
      <c r="B16" t="str">
        <f>'Project Tracker'!B16</f>
        <v>Sandoval-Cunningham</v>
      </c>
      <c r="C16" s="5">
        <f>'Project Tracker'!C16</f>
        <v>2901</v>
      </c>
      <c r="D16">
        <f>'Project Tracker'!D16</f>
        <v>46</v>
      </c>
      <c r="E16" s="6">
        <f>'Project Tracker'!E16</f>
        <v>45336</v>
      </c>
      <c r="F16" t="str">
        <f>PROPER('Project Tracker'!F16)</f>
        <v>No</v>
      </c>
      <c r="G16" s="5">
        <f>'Project Tracker'!G16</f>
        <v>63.07</v>
      </c>
    </row>
    <row r="17" spans="1:7" x14ac:dyDescent="0.45">
      <c r="A17" t="str">
        <f>PROPER('Project Tracker'!A17)</f>
        <v>Seo Audit</v>
      </c>
      <c r="B17" t="str">
        <f>'Project Tracker'!B17</f>
        <v>Hickman Ltd</v>
      </c>
      <c r="C17" s="5">
        <f>'Project Tracker'!C17</f>
        <v>3711</v>
      </c>
      <c r="D17">
        <f>'Project Tracker'!D17</f>
        <v>43</v>
      </c>
      <c r="E17" s="6">
        <f>'Project Tracker'!E17</f>
        <v>45237</v>
      </c>
      <c r="F17" t="str">
        <f>PROPER('Project Tracker'!F17)</f>
        <v>Yes</v>
      </c>
      <c r="G17" s="5">
        <f>'Project Tracker'!G17</f>
        <v>86.3</v>
      </c>
    </row>
    <row r="18" spans="1:7" x14ac:dyDescent="0.45">
      <c r="A18" t="str">
        <f>PROPER('Project Tracker'!A18)</f>
        <v>Website Redesign</v>
      </c>
      <c r="B18" t="str">
        <f>'Project Tracker'!B18</f>
        <v>Snyder, Campos and Callahan</v>
      </c>
      <c r="C18" s="5">
        <f>'Project Tracker'!C18</f>
        <v>1762</v>
      </c>
      <c r="D18">
        <f>'Project Tracker'!D18</f>
        <v>55</v>
      </c>
      <c r="E18" s="6">
        <f>'Project Tracker'!E18</f>
        <v>45393</v>
      </c>
      <c r="F18" t="str">
        <f>PROPER('Project Tracker'!F18)</f>
        <v>No</v>
      </c>
      <c r="G18" s="5">
        <f>'Project Tracker'!G18</f>
        <v>32.04</v>
      </c>
    </row>
    <row r="19" spans="1:7" x14ac:dyDescent="0.45">
      <c r="A19" t="str">
        <f>PROPER('Project Tracker'!A19)</f>
        <v>Data Dashboard</v>
      </c>
      <c r="B19" t="str">
        <f>'Project Tracker'!B19</f>
        <v>Garcia-James</v>
      </c>
      <c r="C19" s="5">
        <f>'Project Tracker'!C19</f>
        <v>3228</v>
      </c>
      <c r="D19">
        <f>'Project Tracker'!D19</f>
        <v>55</v>
      </c>
      <c r="E19" s="6">
        <f>'Project Tracker'!E19</f>
        <v>45302</v>
      </c>
      <c r="F19" t="str">
        <f>PROPER('Project Tracker'!F19)</f>
        <v>No</v>
      </c>
      <c r="G19" s="5">
        <f>'Project Tracker'!G19</f>
        <v>58.69</v>
      </c>
    </row>
    <row r="20" spans="1:7" x14ac:dyDescent="0.45">
      <c r="A20" t="str">
        <f>PROPER('Project Tracker'!A20)</f>
        <v>Seo Audit</v>
      </c>
      <c r="B20" t="str">
        <f>'Project Tracker'!B20</f>
        <v>Brooks, Lam and Hayes</v>
      </c>
      <c r="C20" s="5">
        <f>'Project Tracker'!C20</f>
        <v>6766</v>
      </c>
      <c r="D20">
        <f>'Project Tracker'!D20</f>
        <v>73</v>
      </c>
      <c r="E20" s="6">
        <f>'Project Tracker'!E20</f>
        <v>45344</v>
      </c>
      <c r="F20" t="str">
        <f>PROPER('Project Tracker'!F20)</f>
        <v>No</v>
      </c>
      <c r="G20" s="5">
        <f>'Project Tracker'!G20</f>
        <v>92.68</v>
      </c>
    </row>
    <row r="21" spans="1:7" x14ac:dyDescent="0.45">
      <c r="A21" t="str">
        <f>PROPER('Project Tracker'!A21)</f>
        <v>Data Dashboard</v>
      </c>
      <c r="B21" t="str">
        <f>'Project Tracker'!B21</f>
        <v>Flowers, Martin and Kelly</v>
      </c>
      <c r="C21" s="5">
        <f>'Project Tracker'!C21</f>
        <v>3520</v>
      </c>
      <c r="D21">
        <f>'Project Tracker'!D21</f>
        <v>48</v>
      </c>
      <c r="E21" s="6">
        <f>'Project Tracker'!E21</f>
        <v>45338</v>
      </c>
      <c r="F21" t="str">
        <f>PROPER('Project Tracker'!F21)</f>
        <v>Yes</v>
      </c>
      <c r="G21" s="5">
        <f>'Project Tracker'!G21</f>
        <v>73.33</v>
      </c>
    </row>
    <row r="22" spans="1:7" x14ac:dyDescent="0.45">
      <c r="A22" t="str">
        <f>PROPER('Project Tracker'!A22)</f>
        <v>Seo Audit</v>
      </c>
      <c r="B22" t="str">
        <f>'Project Tracker'!B22</f>
        <v>Novak PLC</v>
      </c>
      <c r="C22" s="5">
        <f>'Project Tracker'!C22</f>
        <v>4771</v>
      </c>
      <c r="D22">
        <f>'Project Tracker'!D22</f>
        <v>61</v>
      </c>
      <c r="E22" s="6">
        <f>'Project Tracker'!E22</f>
        <v>45259</v>
      </c>
      <c r="F22" t="str">
        <f>PROPER('Project Tracker'!F22)</f>
        <v>No</v>
      </c>
      <c r="G22" s="5">
        <f>'Project Tracker'!G22</f>
        <v>78.209999999999994</v>
      </c>
    </row>
    <row r="23" spans="1:7" x14ac:dyDescent="0.45">
      <c r="A23" t="str">
        <f>PROPER('Project Tracker'!A23)</f>
        <v>Marketing Campaign</v>
      </c>
      <c r="B23" t="str">
        <f>'Project Tracker'!B23</f>
        <v>Morton-Chase</v>
      </c>
      <c r="C23" s="5">
        <f>'Project Tracker'!C23</f>
        <v>5542</v>
      </c>
      <c r="D23">
        <f>'Project Tracker'!D23</f>
        <v>26</v>
      </c>
      <c r="E23" s="6">
        <f>'Project Tracker'!E23</f>
        <v>45314</v>
      </c>
      <c r="F23" t="str">
        <f>PROPER('Project Tracker'!F23)</f>
        <v>Yes</v>
      </c>
      <c r="G23" s="5">
        <f>'Project Tracker'!G23</f>
        <v>213.15</v>
      </c>
    </row>
    <row r="24" spans="1:7" x14ac:dyDescent="0.45">
      <c r="A24" t="str">
        <f>PROPER('Project Tracker'!A24)</f>
        <v>Website Redesign</v>
      </c>
      <c r="B24" t="str">
        <f>'Project Tracker'!B24</f>
        <v>Reid, Ferguson and Sanchez</v>
      </c>
      <c r="C24" s="5">
        <f>'Project Tracker'!C24</f>
        <v>6640</v>
      </c>
      <c r="D24">
        <f>'Project Tracker'!D24</f>
        <v>35</v>
      </c>
      <c r="E24" s="6">
        <f>'Project Tracker'!E24</f>
        <v>45255</v>
      </c>
      <c r="F24" t="str">
        <f>PROPER('Project Tracker'!F24)</f>
        <v>No</v>
      </c>
      <c r="G24" s="5">
        <f>'Project Tracker'!G24</f>
        <v>189.71</v>
      </c>
    </row>
    <row r="25" spans="1:7" x14ac:dyDescent="0.45">
      <c r="A25" t="str">
        <f>PROPER('Project Tracker'!A25)</f>
        <v>App Prototype</v>
      </c>
      <c r="B25" t="str">
        <f>'Project Tracker'!B25</f>
        <v>Garcia-James</v>
      </c>
      <c r="C25" s="5">
        <f>'Project Tracker'!C25</f>
        <v>4652</v>
      </c>
      <c r="D25">
        <f>'Project Tracker'!D25</f>
        <v>63</v>
      </c>
      <c r="E25" s="6">
        <f>'Project Tracker'!E25</f>
        <v>45239</v>
      </c>
      <c r="F25" t="str">
        <f>PROPER('Project Tracker'!F25)</f>
        <v>Yes</v>
      </c>
      <c r="G25" s="5">
        <f>'Project Tracker'!G25</f>
        <v>73.84</v>
      </c>
    </row>
    <row r="26" spans="1:7" x14ac:dyDescent="0.45">
      <c r="A26" t="str">
        <f>PROPER('Project Tracker'!A26)</f>
        <v>Seo Audit</v>
      </c>
      <c r="B26" t="str">
        <f>'Project Tracker'!B26</f>
        <v>Novak and Sons</v>
      </c>
      <c r="C26" s="5">
        <f>'Project Tracker'!C26</f>
        <v>3559</v>
      </c>
      <c r="D26">
        <f>'Project Tracker'!D26</f>
        <v>16</v>
      </c>
      <c r="E26" s="6">
        <f>'Project Tracker'!E26</f>
        <v>45290</v>
      </c>
      <c r="F26" t="str">
        <f>PROPER('Project Tracker'!F26)</f>
        <v>Yes</v>
      </c>
      <c r="G26" s="5">
        <f>'Project Tracker'!G26</f>
        <v>222.44</v>
      </c>
    </row>
    <row r="27" spans="1:7" x14ac:dyDescent="0.45">
      <c r="A27" t="str">
        <f>PROPER('Project Tracker'!A27)</f>
        <v>App Prototype</v>
      </c>
      <c r="B27" t="str">
        <f>'Project Tracker'!B27</f>
        <v>Wagner-King</v>
      </c>
      <c r="C27" s="5">
        <f>'Project Tracker'!C27</f>
        <v>3685</v>
      </c>
      <c r="D27">
        <f>'Project Tracker'!D27</f>
        <v>58</v>
      </c>
      <c r="E27" s="6">
        <f>'Project Tracker'!E27</f>
        <v>45301</v>
      </c>
      <c r="F27" t="str">
        <f>PROPER('Project Tracker'!F27)</f>
        <v>Yes</v>
      </c>
      <c r="G27" s="5">
        <f>'Project Tracker'!G27</f>
        <v>63.53</v>
      </c>
    </row>
    <row r="28" spans="1:7" x14ac:dyDescent="0.45">
      <c r="A28" t="str">
        <f>PROPER('Project Tracker'!A28)</f>
        <v>Data Dashboard</v>
      </c>
      <c r="B28" t="str">
        <f>'Project Tracker'!B28</f>
        <v>Jones-Young</v>
      </c>
      <c r="C28" s="5">
        <f>'Project Tracker'!C28</f>
        <v>2795</v>
      </c>
      <c r="D28">
        <f>'Project Tracker'!D28</f>
        <v>73</v>
      </c>
      <c r="E28" s="6">
        <f>'Project Tracker'!E28</f>
        <v>45405</v>
      </c>
      <c r="F28" t="str">
        <f>PROPER('Project Tracker'!F28)</f>
        <v>Yes</v>
      </c>
      <c r="G28" s="5">
        <f>'Project Tracker'!G28</f>
        <v>38.29</v>
      </c>
    </row>
    <row r="29" spans="1:7" x14ac:dyDescent="0.45">
      <c r="A29" t="str">
        <f>PROPER('Project Tracker'!A29)</f>
        <v>Data Dashboard</v>
      </c>
      <c r="B29" t="str">
        <f>'Project Tracker'!B29</f>
        <v>Baxter Inc</v>
      </c>
      <c r="C29" s="5">
        <f>'Project Tracker'!C29</f>
        <v>2963</v>
      </c>
      <c r="D29">
        <f>'Project Tracker'!D29</f>
        <v>79</v>
      </c>
      <c r="E29" s="6">
        <f>'Project Tracker'!E29</f>
        <v>45385</v>
      </c>
      <c r="F29" t="str">
        <f>PROPER('Project Tracker'!F29)</f>
        <v>Yes</v>
      </c>
      <c r="G29" s="5">
        <f>'Project Tracker'!G29</f>
        <v>37.51</v>
      </c>
    </row>
    <row r="30" spans="1:7" x14ac:dyDescent="0.45">
      <c r="A30" t="str">
        <f>PROPER('Project Tracker'!A30)</f>
        <v>Data Dashboard</v>
      </c>
      <c r="B30" t="str">
        <f>'Project Tracker'!B30</f>
        <v>Sandoval-Cunningham</v>
      </c>
      <c r="C30" s="5">
        <f>'Project Tracker'!C30</f>
        <v>5658</v>
      </c>
      <c r="D30">
        <f>'Project Tracker'!D30</f>
        <v>40</v>
      </c>
      <c r="E30" s="6">
        <f>'Project Tracker'!E30</f>
        <v>45398</v>
      </c>
      <c r="F30" t="str">
        <f>PROPER('Project Tracker'!F30)</f>
        <v>No</v>
      </c>
      <c r="G30" s="5">
        <f>'Project Tracker'!G30</f>
        <v>141.44999999999999</v>
      </c>
    </row>
    <row r="31" spans="1:7" x14ac:dyDescent="0.45">
      <c r="A31" t="str">
        <f>PROPER('Project Tracker'!A31)</f>
        <v>Data Dashboard</v>
      </c>
      <c r="B31" t="str">
        <f>'Project Tracker'!B31</f>
        <v>Davis Group</v>
      </c>
      <c r="C31" s="5">
        <f>'Project Tracker'!C31</f>
        <v>2823</v>
      </c>
      <c r="D31">
        <f>'Project Tracker'!D31</f>
        <v>15</v>
      </c>
      <c r="E31" s="6">
        <f>'Project Tracker'!E31</f>
        <v>45238</v>
      </c>
      <c r="F31" t="str">
        <f>PROPER('Project Tracker'!F31)</f>
        <v>Yes</v>
      </c>
      <c r="G31" s="5">
        <f>'Project Tracker'!G31</f>
        <v>188.2</v>
      </c>
    </row>
    <row r="32" spans="1:7" x14ac:dyDescent="0.45">
      <c r="A32" t="str">
        <f>PROPER('Project Tracker'!A32)</f>
        <v>Data Dashboard</v>
      </c>
      <c r="B32" t="str">
        <f>'Project Tracker'!B32</f>
        <v>Wright and Sons</v>
      </c>
      <c r="C32" s="5">
        <f>'Project Tracker'!C32</f>
        <v>1659</v>
      </c>
      <c r="D32">
        <f>'Project Tracker'!D32</f>
        <v>29</v>
      </c>
      <c r="E32" s="6">
        <f>'Project Tracker'!E32</f>
        <v>45405</v>
      </c>
      <c r="F32" t="str">
        <f>PROPER('Project Tracker'!F32)</f>
        <v>Yes</v>
      </c>
      <c r="G32" s="5">
        <f>'Project Tracker'!G32</f>
        <v>57.21</v>
      </c>
    </row>
    <row r="33" spans="1:7" x14ac:dyDescent="0.45">
      <c r="A33" t="str">
        <f>PROPER('Project Tracker'!A33)</f>
        <v>Data Dashboard</v>
      </c>
      <c r="B33" t="str">
        <f>'Project Tracker'!B33</f>
        <v>Burton Ltd</v>
      </c>
      <c r="C33" s="5">
        <f>'Project Tracker'!C33</f>
        <v>1974</v>
      </c>
      <c r="D33">
        <f>'Project Tracker'!D33</f>
        <v>45</v>
      </c>
      <c r="E33" s="6">
        <f>'Project Tracker'!E33</f>
        <v>45300</v>
      </c>
      <c r="F33" t="str">
        <f>PROPER('Project Tracker'!F33)</f>
        <v>Yes</v>
      </c>
      <c r="G33" s="5">
        <f>'Project Tracker'!G33</f>
        <v>43.87</v>
      </c>
    </row>
    <row r="34" spans="1:7" x14ac:dyDescent="0.45">
      <c r="A34" t="str">
        <f>PROPER('Project Tracker'!A34)</f>
        <v>Website Redesign</v>
      </c>
      <c r="B34" t="str">
        <f>'Project Tracker'!B34</f>
        <v>Blair PLC</v>
      </c>
      <c r="C34" s="5">
        <f>'Project Tracker'!C34</f>
        <v>5481</v>
      </c>
      <c r="D34">
        <f>'Project Tracker'!D34</f>
        <v>23</v>
      </c>
      <c r="E34" s="6">
        <f>'Project Tracker'!E34</f>
        <v>45271</v>
      </c>
      <c r="F34" t="str">
        <f>PROPER('Project Tracker'!F34)</f>
        <v>Yes</v>
      </c>
      <c r="G34" s="5">
        <f>'Project Tracker'!G34</f>
        <v>238.3</v>
      </c>
    </row>
    <row r="35" spans="1:7" x14ac:dyDescent="0.45">
      <c r="A35" t="str">
        <f>PROPER('Project Tracker'!A35)</f>
        <v>Marketing Campaign</v>
      </c>
      <c r="B35" t="str">
        <f>'Project Tracker'!B35</f>
        <v>James Group</v>
      </c>
      <c r="C35" s="5">
        <f>'Project Tracker'!C35</f>
        <v>6904</v>
      </c>
      <c r="D35">
        <f>'Project Tracker'!D35</f>
        <v>75</v>
      </c>
      <c r="E35" s="6">
        <f>'Project Tracker'!E35</f>
        <v>45363</v>
      </c>
      <c r="F35" t="str">
        <f>PROPER('Project Tracker'!F35)</f>
        <v>Yes</v>
      </c>
      <c r="G35" s="5">
        <f>'Project Tracker'!G35</f>
        <v>92.05</v>
      </c>
    </row>
    <row r="36" spans="1:7" x14ac:dyDescent="0.45">
      <c r="A36" t="str">
        <f>PROPER('Project Tracker'!A36)</f>
        <v>Marketing Campaign</v>
      </c>
      <c r="B36" t="str">
        <f>'Project Tracker'!B36</f>
        <v>Frazier Inc</v>
      </c>
      <c r="C36" s="5">
        <f>'Project Tracker'!C36</f>
        <v>5822</v>
      </c>
      <c r="D36">
        <f>'Project Tracker'!D36</f>
        <v>69</v>
      </c>
      <c r="E36" s="6">
        <f>'Project Tracker'!E36</f>
        <v>45279</v>
      </c>
      <c r="F36" t="str">
        <f>PROPER('Project Tracker'!F36)</f>
        <v>No</v>
      </c>
      <c r="G36" s="5">
        <f>'Project Tracker'!G36</f>
        <v>84.38</v>
      </c>
    </row>
    <row r="37" spans="1:7" x14ac:dyDescent="0.45">
      <c r="A37" t="str">
        <f>PROPER('Project Tracker'!A37)</f>
        <v>App Prototype</v>
      </c>
      <c r="B37" t="str">
        <f>'Project Tracker'!B37</f>
        <v>Wagner-King</v>
      </c>
      <c r="C37" s="5">
        <f>'Project Tracker'!C37</f>
        <v>3147</v>
      </c>
      <c r="D37">
        <f>'Project Tracker'!D37</f>
        <v>54</v>
      </c>
      <c r="E37" s="6">
        <f>'Project Tracker'!E37</f>
        <v>45360</v>
      </c>
      <c r="F37" t="str">
        <f>PROPER('Project Tracker'!F37)</f>
        <v>No</v>
      </c>
      <c r="G37" s="5">
        <f>'Project Tracker'!G37</f>
        <v>58.28</v>
      </c>
    </row>
    <row r="38" spans="1:7" x14ac:dyDescent="0.45">
      <c r="A38" t="str">
        <f>PROPER('Project Tracker'!A38)</f>
        <v>Data Dashboard</v>
      </c>
      <c r="B38" t="str">
        <f>'Project Tracker'!B38</f>
        <v>Washington, Ryan and Cummings</v>
      </c>
      <c r="C38" s="5">
        <f>'Project Tracker'!C38</f>
        <v>5739</v>
      </c>
      <c r="D38">
        <f>'Project Tracker'!D38</f>
        <v>72</v>
      </c>
      <c r="E38" s="6">
        <f>'Project Tracker'!E38</f>
        <v>45250</v>
      </c>
      <c r="F38" t="str">
        <f>PROPER('Project Tracker'!F38)</f>
        <v>Yes</v>
      </c>
      <c r="G38" s="5">
        <f>'Project Tracker'!G38</f>
        <v>79.709999999999994</v>
      </c>
    </row>
    <row r="39" spans="1:7" x14ac:dyDescent="0.45">
      <c r="A39" t="str">
        <f>PROPER('Project Tracker'!A39)</f>
        <v>Marketing Campaign</v>
      </c>
      <c r="B39" t="str">
        <f>'Project Tracker'!B39</f>
        <v>Ross, Robinson and Bright</v>
      </c>
      <c r="C39" s="5">
        <f>'Project Tracker'!C39</f>
        <v>2024</v>
      </c>
      <c r="D39">
        <f>'Project Tracker'!D39</f>
        <v>58</v>
      </c>
      <c r="E39" s="6">
        <f>'Project Tracker'!E39</f>
        <v>45299</v>
      </c>
      <c r="F39" t="str">
        <f>PROPER('Project Tracker'!F39)</f>
        <v>Yes</v>
      </c>
      <c r="G39" s="5">
        <f>'Project Tracker'!G39</f>
        <v>34.9</v>
      </c>
    </row>
    <row r="40" spans="1:7" x14ac:dyDescent="0.45">
      <c r="A40" t="str">
        <f>PROPER('Project Tracker'!A40)</f>
        <v>App Prototype</v>
      </c>
      <c r="B40" t="str">
        <f>'Project Tracker'!B40</f>
        <v>Gray Group</v>
      </c>
      <c r="C40" s="5">
        <f>'Project Tracker'!C40</f>
        <v>3385</v>
      </c>
      <c r="D40">
        <f>'Project Tracker'!D40</f>
        <v>43</v>
      </c>
      <c r="E40" s="6">
        <f>'Project Tracker'!E40</f>
        <v>45382</v>
      </c>
      <c r="F40" t="str">
        <f>PROPER('Project Tracker'!F40)</f>
        <v>Yes</v>
      </c>
      <c r="G40" s="5">
        <f>'Project Tracker'!G40</f>
        <v>78.72</v>
      </c>
    </row>
    <row r="41" spans="1:7" x14ac:dyDescent="0.45">
      <c r="A41" t="str">
        <f>PROPER('Project Tracker'!A41)</f>
        <v>Website Redesign</v>
      </c>
      <c r="B41" t="str">
        <f>'Project Tracker'!B41</f>
        <v>Turner, Riggs and Roman</v>
      </c>
      <c r="C41" s="5">
        <f>'Project Tracker'!C41</f>
        <v>6669</v>
      </c>
      <c r="D41">
        <f>'Project Tracker'!D41</f>
        <v>22</v>
      </c>
      <c r="E41" s="6">
        <f>'Project Tracker'!E41</f>
        <v>45339</v>
      </c>
      <c r="F41" t="str">
        <f>PROPER('Project Tracker'!F41)</f>
        <v>No</v>
      </c>
      <c r="G41" s="5">
        <f>'Project Tracker'!G41</f>
        <v>303.14</v>
      </c>
    </row>
    <row r="42" spans="1:7" x14ac:dyDescent="0.45">
      <c r="A42" t="str">
        <f>PROPER('Project Tracker'!A42)</f>
        <v>Website Redesign</v>
      </c>
      <c r="B42" t="str">
        <f>'Project Tracker'!B42</f>
        <v>Guzman, Hoffman and Baldwin</v>
      </c>
      <c r="C42" s="5">
        <f>'Project Tracker'!C42</f>
        <v>4206</v>
      </c>
      <c r="D42">
        <f>'Project Tracker'!D42</f>
        <v>24</v>
      </c>
      <c r="E42" s="6">
        <f>'Project Tracker'!E42</f>
        <v>45402</v>
      </c>
      <c r="F42" t="str">
        <f>PROPER('Project Tracker'!F42)</f>
        <v>Yes</v>
      </c>
      <c r="G42" s="5">
        <f>'Project Tracker'!G42</f>
        <v>175.25</v>
      </c>
    </row>
    <row r="43" spans="1:7" x14ac:dyDescent="0.45">
      <c r="A43" t="str">
        <f>PROPER('Project Tracker'!A43)</f>
        <v>Marketing Campaign</v>
      </c>
      <c r="B43" t="str">
        <f>'Project Tracker'!B43</f>
        <v>Rodriguez-Graham</v>
      </c>
      <c r="C43" s="5">
        <f>'Project Tracker'!C43</f>
        <v>6980</v>
      </c>
      <c r="D43">
        <f>'Project Tracker'!D43</f>
        <v>77</v>
      </c>
      <c r="E43" s="6">
        <f>'Project Tracker'!E43</f>
        <v>45400</v>
      </c>
      <c r="F43" t="str">
        <f>PROPER('Project Tracker'!F43)</f>
        <v>No</v>
      </c>
      <c r="G43" s="5">
        <f>'Project Tracker'!G43</f>
        <v>90.65</v>
      </c>
    </row>
    <row r="44" spans="1:7" x14ac:dyDescent="0.45">
      <c r="A44" t="str">
        <f>PROPER('Project Tracker'!A44)</f>
        <v>App Prototype</v>
      </c>
      <c r="B44" t="str">
        <f>'Project Tracker'!B44</f>
        <v>James Group</v>
      </c>
      <c r="C44" s="5">
        <f>'Project Tracker'!C44</f>
        <v>6177</v>
      </c>
      <c r="D44">
        <f>'Project Tracker'!D44</f>
        <v>75</v>
      </c>
      <c r="E44" s="6">
        <f>'Project Tracker'!E44</f>
        <v>45309</v>
      </c>
      <c r="F44" t="str">
        <f>PROPER('Project Tracker'!F44)</f>
        <v>No</v>
      </c>
      <c r="G44" s="5">
        <f>'Project Tracker'!G44</f>
        <v>82.36</v>
      </c>
    </row>
    <row r="45" spans="1:7" x14ac:dyDescent="0.45">
      <c r="A45" t="str">
        <f>PROPER('Project Tracker'!A45)</f>
        <v>Seo Audit</v>
      </c>
      <c r="B45" t="str">
        <f>'Project Tracker'!B45</f>
        <v>Chapman and Sons</v>
      </c>
      <c r="C45" s="5">
        <f>'Project Tracker'!C45</f>
        <v>3059</v>
      </c>
      <c r="D45">
        <f>'Project Tracker'!D45</f>
        <v>27</v>
      </c>
      <c r="E45" s="6">
        <f>'Project Tracker'!E45</f>
        <v>45351</v>
      </c>
      <c r="F45" t="str">
        <f>PROPER('Project Tracker'!F45)</f>
        <v>Yes</v>
      </c>
      <c r="G45" s="5">
        <f>'Project Tracker'!G45</f>
        <v>113.3</v>
      </c>
    </row>
    <row r="46" spans="1:7" x14ac:dyDescent="0.45">
      <c r="A46" t="str">
        <f>PROPER('Project Tracker'!A46)</f>
        <v>Seo Audit</v>
      </c>
      <c r="B46" t="str">
        <f>'Project Tracker'!B46</f>
        <v>Spence PLC</v>
      </c>
      <c r="C46" s="5">
        <f>'Project Tracker'!C46</f>
        <v>4969</v>
      </c>
      <c r="D46">
        <f>'Project Tracker'!D46</f>
        <v>67</v>
      </c>
      <c r="E46" s="6">
        <f>'Project Tracker'!E46</f>
        <v>45376</v>
      </c>
      <c r="F46" t="str">
        <f>PROPER('Project Tracker'!F46)</f>
        <v>No</v>
      </c>
      <c r="G46" s="5">
        <f>'Project Tracker'!G46</f>
        <v>74.16</v>
      </c>
    </row>
    <row r="47" spans="1:7" x14ac:dyDescent="0.45">
      <c r="A47" t="str">
        <f>PROPER('Project Tracker'!A47)</f>
        <v>Website Redesign</v>
      </c>
      <c r="B47" t="str">
        <f>'Project Tracker'!B47</f>
        <v>Ferrell, Jones and Lewis</v>
      </c>
      <c r="C47" s="5">
        <f>'Project Tracker'!C47</f>
        <v>6853</v>
      </c>
      <c r="D47">
        <f>'Project Tracker'!D47</f>
        <v>27</v>
      </c>
      <c r="E47" s="6">
        <f>'Project Tracker'!E47</f>
        <v>45261</v>
      </c>
      <c r="F47" t="str">
        <f>PROPER('Project Tracker'!F47)</f>
        <v>Yes</v>
      </c>
      <c r="G47" s="5">
        <f>'Project Tracker'!G47</f>
        <v>253.81</v>
      </c>
    </row>
    <row r="48" spans="1:7" x14ac:dyDescent="0.45">
      <c r="A48" t="str">
        <f>PROPER('Project Tracker'!A48)</f>
        <v>Seo Audit</v>
      </c>
      <c r="B48" t="str">
        <f>'Project Tracker'!B48</f>
        <v>Newton and Sons</v>
      </c>
      <c r="C48" s="5">
        <f>'Project Tracker'!C48</f>
        <v>4279</v>
      </c>
      <c r="D48">
        <f>'Project Tracker'!D48</f>
        <v>28</v>
      </c>
      <c r="E48" s="6">
        <f>'Project Tracker'!E48</f>
        <v>45410</v>
      </c>
      <c r="F48" t="str">
        <f>PROPER('Project Tracker'!F48)</f>
        <v>No</v>
      </c>
      <c r="G48" s="5">
        <f>'Project Tracker'!G48</f>
        <v>152.82</v>
      </c>
    </row>
    <row r="49" spans="1:7" x14ac:dyDescent="0.45">
      <c r="A49" t="str">
        <f>PROPER('Project Tracker'!A49)</f>
        <v>Marketing Campaign</v>
      </c>
      <c r="B49" t="str">
        <f>'Project Tracker'!B49</f>
        <v>Walter, Edwards and Rios</v>
      </c>
      <c r="C49" s="5">
        <f>'Project Tracker'!C49</f>
        <v>5893</v>
      </c>
      <c r="D49">
        <f>'Project Tracker'!D49</f>
        <v>72</v>
      </c>
      <c r="E49" s="6">
        <f>'Project Tracker'!E49</f>
        <v>45411</v>
      </c>
      <c r="F49" t="str">
        <f>PROPER('Project Tracker'!F49)</f>
        <v>No</v>
      </c>
      <c r="G49" s="5">
        <f>'Project Tracker'!G49</f>
        <v>81.849999999999994</v>
      </c>
    </row>
    <row r="50" spans="1:7" x14ac:dyDescent="0.45">
      <c r="A50" t="str">
        <f>PROPER('Project Tracker'!A50)</f>
        <v>Seo Audit</v>
      </c>
      <c r="B50" t="str">
        <f>'Project Tracker'!B50</f>
        <v>Morales-Jones</v>
      </c>
      <c r="C50" s="5">
        <f>'Project Tracker'!C50</f>
        <v>3781</v>
      </c>
      <c r="D50">
        <f>'Project Tracker'!D50</f>
        <v>74</v>
      </c>
      <c r="E50" s="6">
        <f>'Project Tracker'!E50</f>
        <v>45276</v>
      </c>
      <c r="F50" t="str">
        <f>PROPER('Project Tracker'!F50)</f>
        <v>No</v>
      </c>
      <c r="G50" s="5">
        <f>'Project Tracker'!G50</f>
        <v>51.09</v>
      </c>
    </row>
    <row r="51" spans="1:7" x14ac:dyDescent="0.45">
      <c r="A51" t="str">
        <f>PROPER('Project Tracker'!A51)</f>
        <v>Website Redesign</v>
      </c>
      <c r="B51" t="str">
        <f>'Project Tracker'!B51</f>
        <v>Washington, Ryan and Cummings</v>
      </c>
      <c r="C51" s="5">
        <f>'Project Tracker'!C51</f>
        <v>6008</v>
      </c>
      <c r="D51">
        <f>'Project Tracker'!D51</f>
        <v>27</v>
      </c>
      <c r="E51" s="6">
        <f>'Project Tracker'!E51</f>
        <v>45398</v>
      </c>
      <c r="F51" t="str">
        <f>PROPER('Project Tracker'!F51)</f>
        <v>Yes</v>
      </c>
      <c r="G51" s="5">
        <f>'Project Tracker'!G51</f>
        <v>222.52</v>
      </c>
    </row>
    <row r="52" spans="1:7" x14ac:dyDescent="0.45">
      <c r="A52" t="str">
        <f>PROPER('Project Tracker'!A52)</f>
        <v>App Prototype</v>
      </c>
      <c r="B52" t="str">
        <f>'Project Tracker'!B52</f>
        <v>Doyle Ltd</v>
      </c>
      <c r="C52" s="5">
        <f>'Project Tracker'!C52</f>
        <v>2264</v>
      </c>
      <c r="D52">
        <f>'Project Tracker'!D52</f>
        <v>45</v>
      </c>
      <c r="E52" s="6">
        <f>'Project Tracker'!E52</f>
        <v>45262</v>
      </c>
      <c r="F52" t="str">
        <f>PROPER('Project Tracker'!F52)</f>
        <v>No</v>
      </c>
      <c r="G52" s="5">
        <f>'Project Tracker'!G52</f>
        <v>50.31</v>
      </c>
    </row>
    <row r="53" spans="1:7" x14ac:dyDescent="0.45">
      <c r="A53" t="str">
        <f>PROPER('Project Tracker'!A53)</f>
        <v>Seo Audit</v>
      </c>
      <c r="B53" t="str">
        <f>'Project Tracker'!B53</f>
        <v>Wright and Sons</v>
      </c>
      <c r="C53" s="5">
        <f>'Project Tracker'!C53</f>
        <v>5443</v>
      </c>
      <c r="D53">
        <f>'Project Tracker'!D53</f>
        <v>42</v>
      </c>
      <c r="E53" s="6">
        <f>'Project Tracker'!E53</f>
        <v>45386</v>
      </c>
      <c r="F53" t="str">
        <f>PROPER('Project Tracker'!F53)</f>
        <v>No</v>
      </c>
      <c r="G53" s="5">
        <f>'Project Tracker'!G53</f>
        <v>129.6</v>
      </c>
    </row>
    <row r="54" spans="1:7" x14ac:dyDescent="0.45">
      <c r="A54" t="str">
        <f>PROPER('Project Tracker'!A54)</f>
        <v>Website Redesign</v>
      </c>
      <c r="B54" t="str">
        <f>'Project Tracker'!B54</f>
        <v>Watts, Robinson and Nguyen</v>
      </c>
      <c r="C54" s="5">
        <f>'Project Tracker'!C54</f>
        <v>4604</v>
      </c>
      <c r="D54">
        <f>'Project Tracker'!D54</f>
        <v>15</v>
      </c>
      <c r="E54" s="6">
        <f>'Project Tracker'!E54</f>
        <v>45388</v>
      </c>
      <c r="F54" t="str">
        <f>PROPER('Project Tracker'!F54)</f>
        <v>No</v>
      </c>
      <c r="G54" s="5">
        <f>'Project Tracker'!G54</f>
        <v>306.93</v>
      </c>
    </row>
    <row r="55" spans="1:7" x14ac:dyDescent="0.45">
      <c r="A55" t="str">
        <f>PROPER('Project Tracker'!A55)</f>
        <v>Data Dashboard</v>
      </c>
      <c r="B55" t="str">
        <f>'Project Tracker'!B55</f>
        <v>Lee-Davis</v>
      </c>
      <c r="C55" s="5">
        <f>'Project Tracker'!C55</f>
        <v>3836</v>
      </c>
      <c r="D55">
        <f>'Project Tracker'!D55</f>
        <v>69</v>
      </c>
      <c r="E55" s="6">
        <f>'Project Tracker'!E55</f>
        <v>45265</v>
      </c>
      <c r="F55" t="str">
        <f>PROPER('Project Tracker'!F55)</f>
        <v>Yes</v>
      </c>
      <c r="G55" s="5">
        <f>'Project Tracker'!G55</f>
        <v>55.59</v>
      </c>
    </row>
    <row r="56" spans="1:7" x14ac:dyDescent="0.45">
      <c r="A56" t="str">
        <f>PROPER('Project Tracker'!A56)</f>
        <v>Seo Audit</v>
      </c>
      <c r="B56" t="str">
        <f>'Project Tracker'!B56</f>
        <v>Reid, Ferguson and Sanchez</v>
      </c>
      <c r="C56" s="5">
        <f>'Project Tracker'!C56</f>
        <v>3055</v>
      </c>
      <c r="D56">
        <f>'Project Tracker'!D56</f>
        <v>52</v>
      </c>
      <c r="E56" s="6">
        <f>'Project Tracker'!E56</f>
        <v>45402</v>
      </c>
      <c r="F56" t="str">
        <f>PROPER('Project Tracker'!F56)</f>
        <v>No</v>
      </c>
      <c r="G56" s="5">
        <f>'Project Tracker'!G56</f>
        <v>58.75</v>
      </c>
    </row>
    <row r="57" spans="1:7" x14ac:dyDescent="0.45">
      <c r="A57" t="str">
        <f>PROPER('Project Tracker'!A57)</f>
        <v>Website Redesign</v>
      </c>
      <c r="B57" t="str">
        <f>'Project Tracker'!B57</f>
        <v>Novak PLC</v>
      </c>
      <c r="C57" s="5">
        <f>'Project Tracker'!C57</f>
        <v>5941</v>
      </c>
      <c r="D57">
        <f>'Project Tracker'!D57</f>
        <v>22</v>
      </c>
      <c r="E57" s="6">
        <f>'Project Tracker'!E57</f>
        <v>45311</v>
      </c>
      <c r="F57" t="str">
        <f>PROPER('Project Tracker'!F57)</f>
        <v>Yes</v>
      </c>
      <c r="G57" s="5">
        <f>'Project Tracker'!G57</f>
        <v>270.05</v>
      </c>
    </row>
    <row r="58" spans="1:7" x14ac:dyDescent="0.45">
      <c r="A58" t="str">
        <f>PROPER('Project Tracker'!A58)</f>
        <v>Website Redesign</v>
      </c>
      <c r="B58" t="str">
        <f>'Project Tracker'!B58</f>
        <v>Blake and Sons</v>
      </c>
      <c r="C58" s="5">
        <f>'Project Tracker'!C58</f>
        <v>6285</v>
      </c>
      <c r="D58">
        <f>'Project Tracker'!D58</f>
        <v>76</v>
      </c>
      <c r="E58" s="6">
        <f>'Project Tracker'!E58</f>
        <v>45235</v>
      </c>
      <c r="F58" t="str">
        <f>PROPER('Project Tracker'!F58)</f>
        <v>Yes</v>
      </c>
      <c r="G58" s="5">
        <f>'Project Tracker'!G58</f>
        <v>82.7</v>
      </c>
    </row>
    <row r="59" spans="1:7" x14ac:dyDescent="0.45">
      <c r="A59" t="str">
        <f>PROPER('Project Tracker'!A59)</f>
        <v>App Prototype</v>
      </c>
      <c r="B59" t="str">
        <f>'Project Tracker'!B59</f>
        <v>Gray-Mayo</v>
      </c>
      <c r="C59" s="5">
        <f>'Project Tracker'!C59</f>
        <v>1965</v>
      </c>
      <c r="D59">
        <f>'Project Tracker'!D59</f>
        <v>80</v>
      </c>
      <c r="E59" s="6">
        <f>'Project Tracker'!E59</f>
        <v>45265</v>
      </c>
      <c r="F59" t="str">
        <f>PROPER('Project Tracker'!F59)</f>
        <v>Yes</v>
      </c>
      <c r="G59" s="5">
        <f>'Project Tracker'!G59</f>
        <v>24.56</v>
      </c>
    </row>
    <row r="60" spans="1:7" x14ac:dyDescent="0.45">
      <c r="A60" t="str">
        <f>PROPER('Project Tracker'!A60)</f>
        <v>Marketing Campaign</v>
      </c>
      <c r="B60" t="str">
        <f>'Project Tracker'!B60</f>
        <v>Garcia-James</v>
      </c>
      <c r="C60" s="5">
        <f>'Project Tracker'!C60</f>
        <v>6374</v>
      </c>
      <c r="D60">
        <f>'Project Tracker'!D60</f>
        <v>23</v>
      </c>
      <c r="E60" s="6">
        <f>'Project Tracker'!E60</f>
        <v>45374</v>
      </c>
      <c r="F60" t="str">
        <f>PROPER('Project Tracker'!F60)</f>
        <v>No</v>
      </c>
      <c r="G60" s="5">
        <f>'Project Tracker'!G60</f>
        <v>277.13</v>
      </c>
    </row>
    <row r="61" spans="1:7" x14ac:dyDescent="0.45">
      <c r="A61" t="str">
        <f>PROPER('Project Tracker'!A61)</f>
        <v>Seo Audit</v>
      </c>
      <c r="B61" t="str">
        <f>'Project Tracker'!B61</f>
        <v>Galloway-Wyatt</v>
      </c>
      <c r="C61" s="5">
        <f>'Project Tracker'!C61</f>
        <v>6166</v>
      </c>
      <c r="D61">
        <f>'Project Tracker'!D61</f>
        <v>46</v>
      </c>
      <c r="E61" s="6">
        <f>'Project Tracker'!E61</f>
        <v>45410</v>
      </c>
      <c r="F61" t="str">
        <f>PROPER('Project Tracker'!F61)</f>
        <v>Yes</v>
      </c>
      <c r="G61" s="5">
        <f>'Project Tracker'!G61</f>
        <v>134.04</v>
      </c>
    </row>
    <row r="62" spans="1:7" x14ac:dyDescent="0.45">
      <c r="A62" t="str">
        <f>PROPER('Project Tracker'!A62)</f>
        <v>App Prototype</v>
      </c>
      <c r="B62" t="str">
        <f>'Project Tracker'!B62</f>
        <v>Gardner, Robinson and Lawrence</v>
      </c>
      <c r="C62" s="5">
        <f>'Project Tracker'!C62</f>
        <v>6573</v>
      </c>
      <c r="D62">
        <f>'Project Tracker'!D62</f>
        <v>25</v>
      </c>
      <c r="E62" s="6">
        <f>'Project Tracker'!E62</f>
        <v>45295</v>
      </c>
      <c r="F62" t="str">
        <f>PROPER('Project Tracker'!F62)</f>
        <v>No</v>
      </c>
      <c r="G62" s="5">
        <f>'Project Tracker'!G62</f>
        <v>262.92</v>
      </c>
    </row>
    <row r="63" spans="1:7" x14ac:dyDescent="0.45">
      <c r="A63" t="str">
        <f>PROPER('Project Tracker'!A63)</f>
        <v>App Prototype</v>
      </c>
      <c r="B63" t="str">
        <f>'Project Tracker'!B63</f>
        <v>Henderson-Bernard</v>
      </c>
      <c r="C63" s="5">
        <f>'Project Tracker'!C63</f>
        <v>5782</v>
      </c>
      <c r="D63">
        <f>'Project Tracker'!D63</f>
        <v>55</v>
      </c>
      <c r="E63" s="6">
        <f>'Project Tracker'!E63</f>
        <v>45382</v>
      </c>
      <c r="F63" t="str">
        <f>PROPER('Project Tracker'!F63)</f>
        <v>Yes</v>
      </c>
      <c r="G63" s="5">
        <f>'Project Tracker'!G63</f>
        <v>105.13</v>
      </c>
    </row>
    <row r="64" spans="1:7" x14ac:dyDescent="0.45">
      <c r="A64" t="str">
        <f>PROPER('Project Tracker'!A64)</f>
        <v>Marketing Campaign</v>
      </c>
      <c r="B64" t="str">
        <f>'Project Tracker'!B64</f>
        <v>Smith PLC</v>
      </c>
      <c r="C64" s="5">
        <f>'Project Tracker'!C64</f>
        <v>4073</v>
      </c>
      <c r="D64">
        <f>'Project Tracker'!D64</f>
        <v>45</v>
      </c>
      <c r="E64" s="6">
        <f>'Project Tracker'!E64</f>
        <v>45411</v>
      </c>
      <c r="F64" t="str">
        <f>PROPER('Project Tracker'!F64)</f>
        <v>Yes</v>
      </c>
      <c r="G64" s="5">
        <f>'Project Tracker'!G64</f>
        <v>90.51</v>
      </c>
    </row>
    <row r="65" spans="1:7" x14ac:dyDescent="0.45">
      <c r="A65" t="str">
        <f>PROPER('Project Tracker'!A65)</f>
        <v>Seo Audit</v>
      </c>
      <c r="B65" t="str">
        <f>'Project Tracker'!B65</f>
        <v>James Group</v>
      </c>
      <c r="C65" s="5">
        <f>'Project Tracker'!C65</f>
        <v>6787</v>
      </c>
      <c r="D65">
        <f>'Project Tracker'!D65</f>
        <v>53</v>
      </c>
      <c r="E65" s="6">
        <f>'Project Tracker'!E65</f>
        <v>45310</v>
      </c>
      <c r="F65" t="str">
        <f>PROPER('Project Tracker'!F65)</f>
        <v>No</v>
      </c>
      <c r="G65" s="5">
        <f>'Project Tracker'!G65</f>
        <v>128.06</v>
      </c>
    </row>
    <row r="66" spans="1:7" x14ac:dyDescent="0.45">
      <c r="A66" t="str">
        <f>PROPER('Project Tracker'!A66)</f>
        <v>Data Dashboard</v>
      </c>
      <c r="B66" t="str">
        <f>'Project Tracker'!B66</f>
        <v>Wagner-King</v>
      </c>
      <c r="C66" s="5">
        <f>'Project Tracker'!C66</f>
        <v>2094</v>
      </c>
      <c r="D66">
        <f>'Project Tracker'!D66</f>
        <v>16</v>
      </c>
      <c r="E66" s="6">
        <f>'Project Tracker'!E66</f>
        <v>45386</v>
      </c>
      <c r="F66" t="str">
        <f>PROPER('Project Tracker'!F66)</f>
        <v>No</v>
      </c>
      <c r="G66" s="5">
        <f>'Project Tracker'!G66</f>
        <v>130.88</v>
      </c>
    </row>
    <row r="67" spans="1:7" x14ac:dyDescent="0.45">
      <c r="A67" t="str">
        <f>PROPER('Project Tracker'!A67)</f>
        <v>App Prototype</v>
      </c>
      <c r="B67" t="str">
        <f>'Project Tracker'!B67</f>
        <v>Henderson-Bernard</v>
      </c>
      <c r="C67" s="5">
        <f>'Project Tracker'!C67</f>
        <v>2319</v>
      </c>
      <c r="D67">
        <f>'Project Tracker'!D67</f>
        <v>24</v>
      </c>
      <c r="E67" s="6">
        <f>'Project Tracker'!E67</f>
        <v>45361</v>
      </c>
      <c r="F67" t="str">
        <f>PROPER('Project Tracker'!F67)</f>
        <v>Yes</v>
      </c>
      <c r="G67" s="5">
        <f>'Project Tracker'!G67</f>
        <v>96.62</v>
      </c>
    </row>
    <row r="68" spans="1:7" x14ac:dyDescent="0.45">
      <c r="A68" t="str">
        <f>PROPER('Project Tracker'!A68)</f>
        <v>Marketing Campaign</v>
      </c>
      <c r="B68" t="str">
        <f>'Project Tracker'!B68</f>
        <v>Baxter Inc</v>
      </c>
      <c r="C68" s="5">
        <f>'Project Tracker'!C68</f>
        <v>3672</v>
      </c>
      <c r="D68">
        <f>'Project Tracker'!D68</f>
        <v>31</v>
      </c>
      <c r="E68" s="6">
        <f>'Project Tracker'!E68</f>
        <v>45398</v>
      </c>
      <c r="F68" t="str">
        <f>PROPER('Project Tracker'!F68)</f>
        <v>Yes</v>
      </c>
      <c r="G68" s="5">
        <f>'Project Tracker'!G68</f>
        <v>118.45</v>
      </c>
    </row>
    <row r="69" spans="1:7" x14ac:dyDescent="0.45">
      <c r="A69" t="str">
        <f>PROPER('Project Tracker'!A69)</f>
        <v>Website Redesign</v>
      </c>
      <c r="B69" t="str">
        <f>'Project Tracker'!B69</f>
        <v>Carlson-Cruz</v>
      </c>
      <c r="C69" s="5">
        <f>'Project Tracker'!C69</f>
        <v>4527</v>
      </c>
      <c r="D69">
        <f>'Project Tracker'!D69</f>
        <v>51</v>
      </c>
      <c r="E69" s="6">
        <f>'Project Tracker'!E69</f>
        <v>45373</v>
      </c>
      <c r="F69" t="str">
        <f>PROPER('Project Tracker'!F69)</f>
        <v>No</v>
      </c>
      <c r="G69" s="5">
        <f>'Project Tracker'!G69</f>
        <v>88.76</v>
      </c>
    </row>
    <row r="70" spans="1:7" x14ac:dyDescent="0.45">
      <c r="A70" t="str">
        <f>PROPER('Project Tracker'!A70)</f>
        <v>Seo Audit</v>
      </c>
      <c r="B70" t="str">
        <f>'Project Tracker'!B70</f>
        <v>Hancock Inc</v>
      </c>
      <c r="C70" s="5">
        <f>'Project Tracker'!C70</f>
        <v>3978</v>
      </c>
      <c r="D70">
        <f>'Project Tracker'!D70</f>
        <v>16</v>
      </c>
      <c r="E70" s="6">
        <f>'Project Tracker'!E70</f>
        <v>45388</v>
      </c>
      <c r="F70" t="str">
        <f>PROPER('Project Tracker'!F70)</f>
        <v>Yes</v>
      </c>
      <c r="G70" s="5">
        <f>'Project Tracker'!G70</f>
        <v>248.62</v>
      </c>
    </row>
    <row r="71" spans="1:7" x14ac:dyDescent="0.45">
      <c r="A71" t="str">
        <f>PROPER('Project Tracker'!A71)</f>
        <v>Data Dashboard</v>
      </c>
      <c r="B71" t="str">
        <f>'Project Tracker'!B71</f>
        <v>Evans, Stewart and Walton</v>
      </c>
      <c r="C71" s="5">
        <f>'Project Tracker'!C71</f>
        <v>2348</v>
      </c>
      <c r="D71">
        <f>'Project Tracker'!D71</f>
        <v>32</v>
      </c>
      <c r="E71" s="6">
        <f>'Project Tracker'!E71</f>
        <v>45279</v>
      </c>
      <c r="F71" t="str">
        <f>PROPER('Project Tracker'!F71)</f>
        <v>Yes</v>
      </c>
      <c r="G71" s="5">
        <f>'Project Tracker'!G71</f>
        <v>73.38</v>
      </c>
    </row>
    <row r="72" spans="1:7" x14ac:dyDescent="0.45">
      <c r="A72" t="str">
        <f>PROPER('Project Tracker'!A72)</f>
        <v>Website Redesign</v>
      </c>
      <c r="B72" t="str">
        <f>'Project Tracker'!B72</f>
        <v>Mcclure, Ward and Lee</v>
      </c>
      <c r="C72" s="5">
        <f>'Project Tracker'!C72</f>
        <v>6032</v>
      </c>
      <c r="D72">
        <f>'Project Tracker'!D72</f>
        <v>34</v>
      </c>
      <c r="E72" s="6">
        <f>'Project Tracker'!E72</f>
        <v>45282</v>
      </c>
      <c r="F72" t="str">
        <f>PROPER('Project Tracker'!F72)</f>
        <v>Yes</v>
      </c>
      <c r="G72" s="5">
        <f>'Project Tracker'!G72</f>
        <v>177.41</v>
      </c>
    </row>
    <row r="73" spans="1:7" x14ac:dyDescent="0.45">
      <c r="A73" t="str">
        <f>PROPER('Project Tracker'!A73)</f>
        <v>Data Dashboard</v>
      </c>
      <c r="B73" t="str">
        <f>'Project Tracker'!B73</f>
        <v>Yu Inc</v>
      </c>
      <c r="C73" s="5">
        <f>'Project Tracker'!C73</f>
        <v>3225</v>
      </c>
      <c r="D73">
        <f>'Project Tracker'!D73</f>
        <v>58</v>
      </c>
      <c r="E73" s="6">
        <f>'Project Tracker'!E73</f>
        <v>45261</v>
      </c>
      <c r="F73" t="str">
        <f>PROPER('Project Tracker'!F73)</f>
        <v>No</v>
      </c>
      <c r="G73" s="5">
        <f>'Project Tracker'!G73</f>
        <v>55.6</v>
      </c>
    </row>
    <row r="74" spans="1:7" x14ac:dyDescent="0.45">
      <c r="A74" t="str">
        <f>PROPER('Project Tracker'!A74)</f>
        <v>Data Dashboard</v>
      </c>
      <c r="B74" t="str">
        <f>'Project Tracker'!B74</f>
        <v>Baxter Inc</v>
      </c>
      <c r="C74" s="5">
        <f>'Project Tracker'!C74</f>
        <v>5502</v>
      </c>
      <c r="D74">
        <f>'Project Tracker'!D74</f>
        <v>47</v>
      </c>
      <c r="E74" s="6">
        <f>'Project Tracker'!E74</f>
        <v>45383</v>
      </c>
      <c r="F74" t="str">
        <f>PROPER('Project Tracker'!F74)</f>
        <v>Yes</v>
      </c>
      <c r="G74" s="5">
        <f>'Project Tracker'!G74</f>
        <v>117.06</v>
      </c>
    </row>
    <row r="75" spans="1:7" x14ac:dyDescent="0.45">
      <c r="A75" t="str">
        <f>PROPER('Project Tracker'!A75)</f>
        <v>Website Redesign</v>
      </c>
      <c r="B75" t="str">
        <f>'Project Tracker'!B75</f>
        <v>Sandoval-Cunningham</v>
      </c>
      <c r="C75" s="5">
        <f>'Project Tracker'!C75</f>
        <v>4969</v>
      </c>
      <c r="D75">
        <f>'Project Tracker'!D75</f>
        <v>50</v>
      </c>
      <c r="E75" s="6">
        <f>'Project Tracker'!E75</f>
        <v>45367</v>
      </c>
      <c r="F75" t="str">
        <f>PROPER('Project Tracker'!F75)</f>
        <v>Yes</v>
      </c>
      <c r="G75" s="5">
        <f>'Project Tracker'!G75</f>
        <v>99.38</v>
      </c>
    </row>
    <row r="76" spans="1:7" x14ac:dyDescent="0.45">
      <c r="A76" t="str">
        <f>PROPER('Project Tracker'!A76)</f>
        <v>Website Redesign</v>
      </c>
      <c r="B76" t="str">
        <f>'Project Tracker'!B76</f>
        <v>Rodriguez LLC</v>
      </c>
      <c r="C76" s="5">
        <f>'Project Tracker'!C76</f>
        <v>2571</v>
      </c>
      <c r="D76">
        <f>'Project Tracker'!D76</f>
        <v>48</v>
      </c>
      <c r="E76" s="6">
        <f>'Project Tracker'!E76</f>
        <v>45251</v>
      </c>
      <c r="F76" t="str">
        <f>PROPER('Project Tracker'!F76)</f>
        <v>No</v>
      </c>
      <c r="G76" s="5">
        <f>'Project Tracker'!G76</f>
        <v>53.56</v>
      </c>
    </row>
    <row r="77" spans="1:7" x14ac:dyDescent="0.45">
      <c r="A77" t="str">
        <f>PROPER('Project Tracker'!A77)</f>
        <v>Seo Audit</v>
      </c>
      <c r="B77" t="str">
        <f>'Project Tracker'!B77</f>
        <v>Gray Group</v>
      </c>
      <c r="C77" s="5">
        <f>'Project Tracker'!C77</f>
        <v>5003</v>
      </c>
      <c r="D77">
        <f>'Project Tracker'!D77</f>
        <v>16</v>
      </c>
      <c r="E77" s="6">
        <f>'Project Tracker'!E77</f>
        <v>45305</v>
      </c>
      <c r="F77" t="str">
        <f>PROPER('Project Tracker'!F77)</f>
        <v>Yes</v>
      </c>
      <c r="G77" s="5">
        <f>'Project Tracker'!G77</f>
        <v>312.69</v>
      </c>
    </row>
    <row r="78" spans="1:7" x14ac:dyDescent="0.45">
      <c r="A78" t="str">
        <f>PROPER('Project Tracker'!A78)</f>
        <v>Website Redesign</v>
      </c>
      <c r="B78" t="str">
        <f>'Project Tracker'!B78</f>
        <v>Suarez LLC</v>
      </c>
      <c r="C78" s="5">
        <f>'Project Tracker'!C78</f>
        <v>2721</v>
      </c>
      <c r="D78">
        <f>'Project Tracker'!D78</f>
        <v>19</v>
      </c>
      <c r="E78" s="6">
        <f>'Project Tracker'!E78</f>
        <v>45400</v>
      </c>
      <c r="F78" t="str">
        <f>PROPER('Project Tracker'!F78)</f>
        <v>Yes</v>
      </c>
      <c r="G78" s="5">
        <f>'Project Tracker'!G78</f>
        <v>143.21</v>
      </c>
    </row>
    <row r="79" spans="1:7" x14ac:dyDescent="0.45">
      <c r="A79" t="str">
        <f>PROPER('Project Tracker'!A79)</f>
        <v>App Prototype</v>
      </c>
      <c r="B79" t="str">
        <f>'Project Tracker'!B79</f>
        <v>Gray Group</v>
      </c>
      <c r="C79" s="5">
        <f>'Project Tracker'!C79</f>
        <v>2713</v>
      </c>
      <c r="D79">
        <f>'Project Tracker'!D79</f>
        <v>70</v>
      </c>
      <c r="E79" s="6">
        <f>'Project Tracker'!E79</f>
        <v>45238</v>
      </c>
      <c r="F79" t="str">
        <f>PROPER('Project Tracker'!F79)</f>
        <v>No</v>
      </c>
      <c r="G79" s="5">
        <f>'Project Tracker'!G79</f>
        <v>38.76</v>
      </c>
    </row>
    <row r="80" spans="1:7" x14ac:dyDescent="0.45">
      <c r="A80" t="str">
        <f>PROPER('Project Tracker'!A80)</f>
        <v>Website Redesign</v>
      </c>
      <c r="B80" t="str">
        <f>'Project Tracker'!B80</f>
        <v>Romero, Gonzalez and Brooks</v>
      </c>
      <c r="C80" s="5">
        <f>'Project Tracker'!C80</f>
        <v>4487</v>
      </c>
      <c r="D80">
        <f>'Project Tracker'!D80</f>
        <v>20</v>
      </c>
      <c r="E80" s="6">
        <f>'Project Tracker'!E80</f>
        <v>45397</v>
      </c>
      <c r="F80" t="str">
        <f>PROPER('Project Tracker'!F80)</f>
        <v>Yes</v>
      </c>
      <c r="G80" s="5">
        <f>'Project Tracker'!G80</f>
        <v>224.35</v>
      </c>
    </row>
    <row r="81" spans="1:7" x14ac:dyDescent="0.45">
      <c r="A81" t="str">
        <f>PROPER('Project Tracker'!A81)</f>
        <v>Marketing Campaign</v>
      </c>
      <c r="B81" t="str">
        <f>'Project Tracker'!B81</f>
        <v>Anderson-Bailey</v>
      </c>
      <c r="C81" s="5">
        <f>'Project Tracker'!C81</f>
        <v>3544</v>
      </c>
      <c r="D81">
        <f>'Project Tracker'!D81</f>
        <v>28</v>
      </c>
      <c r="E81" s="6">
        <f>'Project Tracker'!E81</f>
        <v>45322</v>
      </c>
      <c r="F81" t="str">
        <f>PROPER('Project Tracker'!F81)</f>
        <v>Yes</v>
      </c>
      <c r="G81" s="5">
        <f>'Project Tracker'!G81</f>
        <v>126.57</v>
      </c>
    </row>
    <row r="82" spans="1:7" x14ac:dyDescent="0.45">
      <c r="A82" t="str">
        <f>PROPER('Project Tracker'!A82)</f>
        <v>App Prototype</v>
      </c>
      <c r="B82" t="str">
        <f>'Project Tracker'!B82</f>
        <v>Chapman and Sons</v>
      </c>
      <c r="C82" s="5">
        <f>'Project Tracker'!C82</f>
        <v>6584</v>
      </c>
      <c r="D82">
        <f>'Project Tracker'!D82</f>
        <v>34</v>
      </c>
      <c r="E82" s="6">
        <f>'Project Tracker'!E82</f>
        <v>45274</v>
      </c>
      <c r="F82" t="str">
        <f>PROPER('Project Tracker'!F82)</f>
        <v>No</v>
      </c>
      <c r="G82" s="5">
        <f>'Project Tracker'!G82</f>
        <v>193.65</v>
      </c>
    </row>
    <row r="83" spans="1:7" x14ac:dyDescent="0.45">
      <c r="A83" t="str">
        <f>PROPER('Project Tracker'!A83)</f>
        <v>Marketing Campaign</v>
      </c>
      <c r="B83" t="str">
        <f>'Project Tracker'!B83</f>
        <v>Perez Inc</v>
      </c>
      <c r="C83" s="5">
        <f>'Project Tracker'!C83</f>
        <v>4877</v>
      </c>
      <c r="D83">
        <f>'Project Tracker'!D83</f>
        <v>18</v>
      </c>
      <c r="E83" s="6">
        <f>'Project Tracker'!E83</f>
        <v>45269</v>
      </c>
      <c r="F83" t="str">
        <f>PROPER('Project Tracker'!F83)</f>
        <v>No</v>
      </c>
      <c r="G83" s="5">
        <f>'Project Tracker'!G83</f>
        <v>270.94</v>
      </c>
    </row>
    <row r="84" spans="1:7" x14ac:dyDescent="0.45">
      <c r="A84" t="str">
        <f>PROPER('Project Tracker'!A84)</f>
        <v>Data Dashboard</v>
      </c>
      <c r="B84" t="str">
        <f>'Project Tracker'!B84</f>
        <v>Chapman and Sons</v>
      </c>
      <c r="C84" s="5">
        <f>'Project Tracker'!C84</f>
        <v>6987</v>
      </c>
      <c r="D84">
        <f>'Project Tracker'!D84</f>
        <v>46</v>
      </c>
      <c r="E84" s="6">
        <f>'Project Tracker'!E84</f>
        <v>45389</v>
      </c>
      <c r="F84" t="str">
        <f>PROPER('Project Tracker'!F84)</f>
        <v>Yes</v>
      </c>
      <c r="G84" s="5">
        <f>'Project Tracker'!G84</f>
        <v>151.88999999999999</v>
      </c>
    </row>
    <row r="85" spans="1:7" x14ac:dyDescent="0.45">
      <c r="A85" t="str">
        <f>PROPER('Project Tracker'!A85)</f>
        <v>Marketing Campaign</v>
      </c>
      <c r="B85" t="str">
        <f>'Project Tracker'!B85</f>
        <v>Moore-Bass</v>
      </c>
      <c r="C85" s="5">
        <f>'Project Tracker'!C85</f>
        <v>2385</v>
      </c>
      <c r="D85">
        <f>'Project Tracker'!D85</f>
        <v>63</v>
      </c>
      <c r="E85" s="6">
        <f>'Project Tracker'!E85</f>
        <v>45409</v>
      </c>
      <c r="F85" t="str">
        <f>PROPER('Project Tracker'!F85)</f>
        <v>Yes</v>
      </c>
      <c r="G85" s="5">
        <f>'Project Tracker'!G85</f>
        <v>37.86</v>
      </c>
    </row>
    <row r="86" spans="1:7" x14ac:dyDescent="0.45">
      <c r="A86" t="str">
        <f>PROPER('Project Tracker'!A86)</f>
        <v>Seo Audit</v>
      </c>
      <c r="B86" t="str">
        <f>'Project Tracker'!B86</f>
        <v>Ross, Robinson and Bright</v>
      </c>
      <c r="C86" s="5">
        <f>'Project Tracker'!C86</f>
        <v>3134</v>
      </c>
      <c r="D86">
        <f>'Project Tracker'!D86</f>
        <v>73</v>
      </c>
      <c r="E86" s="6">
        <f>'Project Tracker'!E86</f>
        <v>45320</v>
      </c>
      <c r="F86" t="str">
        <f>PROPER('Project Tracker'!F86)</f>
        <v>Yes</v>
      </c>
      <c r="G86" s="5">
        <f>'Project Tracker'!G86</f>
        <v>42.93</v>
      </c>
    </row>
    <row r="87" spans="1:7" x14ac:dyDescent="0.45">
      <c r="A87" t="str">
        <f>PROPER('Project Tracker'!A87)</f>
        <v>Data Dashboard</v>
      </c>
      <c r="B87" t="str">
        <f>'Project Tracker'!B87</f>
        <v>Snyder, Campos and Callahan</v>
      </c>
      <c r="C87" s="5">
        <f>'Project Tracker'!C87</f>
        <v>3326</v>
      </c>
      <c r="D87">
        <f>'Project Tracker'!D87</f>
        <v>18</v>
      </c>
      <c r="E87" s="6">
        <f>'Project Tracker'!E87</f>
        <v>45298</v>
      </c>
      <c r="F87" t="str">
        <f>PROPER('Project Tracker'!F87)</f>
        <v>No</v>
      </c>
      <c r="G87" s="5">
        <f>'Project Tracker'!G87</f>
        <v>184.78</v>
      </c>
    </row>
    <row r="88" spans="1:7" x14ac:dyDescent="0.45">
      <c r="A88" t="str">
        <f>PROPER('Project Tracker'!A88)</f>
        <v>Seo Audit</v>
      </c>
      <c r="B88" t="str">
        <f>'Project Tracker'!B88</f>
        <v>Rodriguez LLC</v>
      </c>
      <c r="C88" s="5">
        <f>'Project Tracker'!C88</f>
        <v>3782</v>
      </c>
      <c r="D88">
        <f>'Project Tracker'!D88</f>
        <v>23</v>
      </c>
      <c r="E88" s="6">
        <f>'Project Tracker'!E88</f>
        <v>45290</v>
      </c>
      <c r="F88" t="str">
        <f>PROPER('Project Tracker'!F88)</f>
        <v>Yes</v>
      </c>
      <c r="G88" s="5">
        <f>'Project Tracker'!G88</f>
        <v>164.43</v>
      </c>
    </row>
    <row r="89" spans="1:7" x14ac:dyDescent="0.45">
      <c r="A89" t="str">
        <f>PROPER('Project Tracker'!A89)</f>
        <v>Data Dashboard</v>
      </c>
      <c r="B89" t="str">
        <f>'Project Tracker'!B89</f>
        <v>Donovan-Harris</v>
      </c>
      <c r="C89" s="5">
        <f>'Project Tracker'!C89</f>
        <v>5673</v>
      </c>
      <c r="D89">
        <f>'Project Tracker'!D89</f>
        <v>66</v>
      </c>
      <c r="E89" s="6">
        <f>'Project Tracker'!E89</f>
        <v>45390</v>
      </c>
      <c r="F89" t="str">
        <f>PROPER('Project Tracker'!F89)</f>
        <v>Yes</v>
      </c>
      <c r="G89" s="5">
        <f>'Project Tracker'!G89</f>
        <v>85.95</v>
      </c>
    </row>
    <row r="90" spans="1:7" x14ac:dyDescent="0.45">
      <c r="A90" t="str">
        <f>PROPER('Project Tracker'!A90)</f>
        <v>Data Dashboard</v>
      </c>
      <c r="B90" t="str">
        <f>'Project Tracker'!B90</f>
        <v>Davis and Sons</v>
      </c>
      <c r="C90" s="5">
        <f>'Project Tracker'!C90</f>
        <v>2444</v>
      </c>
      <c r="D90">
        <f>'Project Tracker'!D90</f>
        <v>48</v>
      </c>
      <c r="E90" s="6">
        <f>'Project Tracker'!E90</f>
        <v>45385</v>
      </c>
      <c r="F90" t="str">
        <f>PROPER('Project Tracker'!F90)</f>
        <v>No</v>
      </c>
      <c r="G90" s="5">
        <f>'Project Tracker'!G90</f>
        <v>50.92</v>
      </c>
    </row>
    <row r="91" spans="1:7" x14ac:dyDescent="0.45">
      <c r="A91" t="str">
        <f>PROPER('Project Tracker'!A91)</f>
        <v>App Prototype</v>
      </c>
      <c r="B91" t="str">
        <f>'Project Tracker'!B91</f>
        <v>Frazier Inc</v>
      </c>
      <c r="C91" s="5">
        <f>'Project Tracker'!C91</f>
        <v>1813</v>
      </c>
      <c r="D91">
        <f>'Project Tracker'!D91</f>
        <v>28</v>
      </c>
      <c r="E91" s="6">
        <f>'Project Tracker'!E91</f>
        <v>45400</v>
      </c>
      <c r="F91" t="str">
        <f>PROPER('Project Tracker'!F91)</f>
        <v>Yes</v>
      </c>
      <c r="G91" s="5">
        <f>'Project Tracker'!G91</f>
        <v>64.75</v>
      </c>
    </row>
    <row r="92" spans="1:7" x14ac:dyDescent="0.45">
      <c r="A92" t="str">
        <f>PROPER('Project Tracker'!A92)</f>
        <v>Seo Audit</v>
      </c>
      <c r="B92" t="str">
        <f>'Project Tracker'!B92</f>
        <v>Arroyo, Miller and Tucker</v>
      </c>
      <c r="C92" s="5">
        <f>'Project Tracker'!C92</f>
        <v>4069</v>
      </c>
      <c r="D92">
        <f>'Project Tracker'!D92</f>
        <v>70</v>
      </c>
      <c r="E92" s="6">
        <f>'Project Tracker'!E92</f>
        <v>45275</v>
      </c>
      <c r="F92" t="str">
        <f>PROPER('Project Tracker'!F92)</f>
        <v>Yes</v>
      </c>
      <c r="G92" s="5">
        <f>'Project Tracker'!G92</f>
        <v>58.13</v>
      </c>
    </row>
    <row r="93" spans="1:7" x14ac:dyDescent="0.45">
      <c r="A93" t="str">
        <f>PROPER('Project Tracker'!A93)</f>
        <v>App Prototype</v>
      </c>
      <c r="B93" t="str">
        <f>'Project Tracker'!B93</f>
        <v>Williams and Sons</v>
      </c>
      <c r="C93" s="5">
        <f>'Project Tracker'!C93</f>
        <v>4655</v>
      </c>
      <c r="D93">
        <f>'Project Tracker'!D93</f>
        <v>39</v>
      </c>
      <c r="E93" s="6">
        <f>'Project Tracker'!E93</f>
        <v>45274</v>
      </c>
      <c r="F93" t="str">
        <f>PROPER('Project Tracker'!F93)</f>
        <v>Yes</v>
      </c>
      <c r="G93" s="5">
        <f>'Project Tracker'!G93</f>
        <v>119.36</v>
      </c>
    </row>
    <row r="94" spans="1:7" x14ac:dyDescent="0.45">
      <c r="A94" t="str">
        <f>PROPER('Project Tracker'!A94)</f>
        <v>Website Redesign</v>
      </c>
      <c r="B94" t="str">
        <f>'Project Tracker'!B94</f>
        <v>Turner, Riggs and Roman</v>
      </c>
      <c r="C94" s="5">
        <f>'Project Tracker'!C94</f>
        <v>5072</v>
      </c>
      <c r="D94">
        <f>'Project Tracker'!D94</f>
        <v>15</v>
      </c>
      <c r="E94" s="6">
        <f>'Project Tracker'!E94</f>
        <v>45235</v>
      </c>
      <c r="F94" t="str">
        <f>PROPER('Project Tracker'!F94)</f>
        <v>Yes</v>
      </c>
      <c r="G94" s="5">
        <f>'Project Tracker'!G94</f>
        <v>338.13</v>
      </c>
    </row>
    <row r="95" spans="1:7" x14ac:dyDescent="0.45">
      <c r="A95" t="str">
        <f>PROPER('Project Tracker'!A95)</f>
        <v>App Prototype</v>
      </c>
      <c r="B95" t="str">
        <f>'Project Tracker'!B95</f>
        <v>Anderson-Bailey</v>
      </c>
      <c r="C95" s="5">
        <f>'Project Tracker'!C95</f>
        <v>6993</v>
      </c>
      <c r="D95">
        <f>'Project Tracker'!D95</f>
        <v>40</v>
      </c>
      <c r="E95" s="6">
        <f>'Project Tracker'!E95</f>
        <v>45359</v>
      </c>
      <c r="F95" t="str">
        <f>PROPER('Project Tracker'!F95)</f>
        <v>Yes</v>
      </c>
      <c r="G95" s="5">
        <f>'Project Tracker'!G95</f>
        <v>174.82</v>
      </c>
    </row>
    <row r="96" spans="1:7" x14ac:dyDescent="0.45">
      <c r="A96" t="str">
        <f>PROPER('Project Tracker'!A96)</f>
        <v>Seo Audit</v>
      </c>
      <c r="B96" t="str">
        <f>'Project Tracker'!B96</f>
        <v>Garcia-James</v>
      </c>
      <c r="C96" s="5">
        <f>'Project Tracker'!C96</f>
        <v>6941</v>
      </c>
      <c r="D96">
        <f>'Project Tracker'!D96</f>
        <v>57</v>
      </c>
      <c r="E96" s="6">
        <f>'Project Tracker'!E96</f>
        <v>45268</v>
      </c>
      <c r="F96" t="str">
        <f>PROPER('Project Tracker'!F96)</f>
        <v>Yes</v>
      </c>
      <c r="G96" s="5">
        <f>'Project Tracker'!G96</f>
        <v>121.77</v>
      </c>
    </row>
    <row r="97" spans="1:7" x14ac:dyDescent="0.45">
      <c r="A97" t="str">
        <f>PROPER('Project Tracker'!A97)</f>
        <v>Data Dashboard</v>
      </c>
      <c r="B97" t="str">
        <f>'Project Tracker'!B97</f>
        <v>Evans, Stewart and Walton</v>
      </c>
      <c r="C97" s="5">
        <f>'Project Tracker'!C97</f>
        <v>2520</v>
      </c>
      <c r="D97">
        <f>'Project Tracker'!D97</f>
        <v>53</v>
      </c>
      <c r="E97" s="6">
        <f>'Project Tracker'!E97</f>
        <v>45308</v>
      </c>
      <c r="F97" t="str">
        <f>PROPER('Project Tracker'!F97)</f>
        <v>Yes</v>
      </c>
      <c r="G97" s="5">
        <f>'Project Tracker'!G97</f>
        <v>47.55</v>
      </c>
    </row>
    <row r="98" spans="1:7" x14ac:dyDescent="0.45">
      <c r="A98" t="str">
        <f>PROPER('Project Tracker'!A98)</f>
        <v>Data Dashboard</v>
      </c>
      <c r="B98" t="str">
        <f>'Project Tracker'!B98</f>
        <v>Smith PLC</v>
      </c>
      <c r="C98" s="5">
        <f>'Project Tracker'!C98</f>
        <v>4845</v>
      </c>
      <c r="D98">
        <f>'Project Tracker'!D98</f>
        <v>56</v>
      </c>
      <c r="E98" s="6">
        <f>'Project Tracker'!E98</f>
        <v>45294</v>
      </c>
      <c r="F98" t="str">
        <f>PROPER('Project Tracker'!F98)</f>
        <v>No</v>
      </c>
      <c r="G98" s="5">
        <f>'Project Tracker'!G98</f>
        <v>86.52</v>
      </c>
    </row>
    <row r="99" spans="1:7" x14ac:dyDescent="0.45">
      <c r="A99" t="str">
        <f>PROPER('Project Tracker'!A99)</f>
        <v>Data Dashboard</v>
      </c>
      <c r="B99" t="str">
        <f>'Project Tracker'!B99</f>
        <v>Gray Group</v>
      </c>
      <c r="C99" s="5">
        <f>'Project Tracker'!C99</f>
        <v>2542</v>
      </c>
      <c r="D99">
        <f>'Project Tracker'!D99</f>
        <v>39</v>
      </c>
      <c r="E99" s="6">
        <f>'Project Tracker'!E99</f>
        <v>45285</v>
      </c>
      <c r="F99" t="str">
        <f>PROPER('Project Tracker'!F99)</f>
        <v>No</v>
      </c>
      <c r="G99" s="5">
        <f>'Project Tracker'!G99</f>
        <v>65.180000000000007</v>
      </c>
    </row>
    <row r="100" spans="1:7" x14ac:dyDescent="0.45">
      <c r="A100" t="str">
        <f>PROPER('Project Tracker'!A100)</f>
        <v>Seo Audit</v>
      </c>
      <c r="B100" t="str">
        <f>'Project Tracker'!B100</f>
        <v>Ferrell, Jones and Lewis</v>
      </c>
      <c r="C100" s="5">
        <f>'Project Tracker'!C100</f>
        <v>2925</v>
      </c>
      <c r="D100">
        <f>'Project Tracker'!D100</f>
        <v>53</v>
      </c>
      <c r="E100" s="6">
        <f>'Project Tracker'!E100</f>
        <v>45398</v>
      </c>
      <c r="F100" t="str">
        <f>PROPER('Project Tracker'!F100)</f>
        <v>No</v>
      </c>
      <c r="G100" s="5">
        <f>'Project Tracker'!G100</f>
        <v>55.19</v>
      </c>
    </row>
    <row r="101" spans="1:7" x14ac:dyDescent="0.45">
      <c r="A101" t="str">
        <f>PROPER('Project Tracker'!A101)</f>
        <v>App Prototype</v>
      </c>
      <c r="B101" t="str">
        <f>'Project Tracker'!B101</f>
        <v>Rodriguez, Figueroa and Sanchez</v>
      </c>
      <c r="C101" s="5">
        <f>'Project Tracker'!C101</f>
        <v>3989</v>
      </c>
      <c r="D101">
        <f>'Project Tracker'!D101</f>
        <v>51</v>
      </c>
      <c r="E101" s="6">
        <f>'Project Tracker'!E101</f>
        <v>45244</v>
      </c>
      <c r="F101" t="str">
        <f>PROPER('Project Tracker'!F101)</f>
        <v>No</v>
      </c>
      <c r="G101" s="5">
        <f>'Project Tracker'!G101</f>
        <v>78.22</v>
      </c>
    </row>
    <row r="102" spans="1:7" x14ac:dyDescent="0.45">
      <c r="A102" t="str">
        <f>PROPER('Project Tracker'!A102)</f>
        <v>Seo Audit</v>
      </c>
      <c r="B102" t="str">
        <f>'Project Tracker'!B102</f>
        <v>Novak PLC</v>
      </c>
      <c r="C102" s="5">
        <f>'Project Tracker'!C102</f>
        <v>6469</v>
      </c>
      <c r="D102">
        <f>'Project Tracker'!D102</f>
        <v>56</v>
      </c>
      <c r="E102" s="6">
        <f>'Project Tracker'!E102</f>
        <v>45381</v>
      </c>
      <c r="F102" t="str">
        <f>PROPER('Project Tracker'!F102)</f>
        <v>No</v>
      </c>
      <c r="G102" s="5">
        <f>'Project Tracker'!G102</f>
        <v>115.52</v>
      </c>
    </row>
    <row r="103" spans="1:7" x14ac:dyDescent="0.45">
      <c r="A103" t="str">
        <f>PROPER('Project Tracker'!A103)</f>
        <v>Seo Audit</v>
      </c>
      <c r="B103" t="str">
        <f>'Project Tracker'!B103</f>
        <v>Washington, Ryan and Cummings</v>
      </c>
      <c r="C103" s="5">
        <f>'Project Tracker'!C103</f>
        <v>3250</v>
      </c>
      <c r="D103">
        <f>'Project Tracker'!D103</f>
        <v>80</v>
      </c>
      <c r="E103" s="6">
        <f>'Project Tracker'!E103</f>
        <v>45285</v>
      </c>
      <c r="F103" t="str">
        <f>PROPER('Project Tracker'!F103)</f>
        <v>No</v>
      </c>
      <c r="G103" s="5">
        <f>'Project Tracker'!G103</f>
        <v>40.619999999999997</v>
      </c>
    </row>
    <row r="104" spans="1:7" x14ac:dyDescent="0.45">
      <c r="A104" t="str">
        <f>PROPER('Project Tracker'!A104)</f>
        <v>Marketing Campaign</v>
      </c>
      <c r="B104" t="str">
        <f>'Project Tracker'!B104</f>
        <v>Evans, Stewart and Walton</v>
      </c>
      <c r="C104" s="5">
        <f>'Project Tracker'!C104</f>
        <v>2194</v>
      </c>
      <c r="D104">
        <f>'Project Tracker'!D104</f>
        <v>51</v>
      </c>
      <c r="E104" s="6">
        <f>'Project Tracker'!E104</f>
        <v>45299</v>
      </c>
      <c r="F104" t="str">
        <f>PROPER('Project Tracker'!F104)</f>
        <v>Yes</v>
      </c>
      <c r="G104" s="5">
        <f>'Project Tracker'!G104</f>
        <v>43.02</v>
      </c>
    </row>
    <row r="105" spans="1:7" x14ac:dyDescent="0.45">
      <c r="A105" t="str">
        <f>PROPER('Project Tracker'!A105)</f>
        <v>App Prototype</v>
      </c>
      <c r="B105" t="str">
        <f>'Project Tracker'!B105</f>
        <v>Rodriguez LLC</v>
      </c>
      <c r="C105" s="5">
        <f>'Project Tracker'!C105</f>
        <v>2265</v>
      </c>
      <c r="D105">
        <f>'Project Tracker'!D105</f>
        <v>45</v>
      </c>
      <c r="E105" s="6">
        <f>'Project Tracker'!E105</f>
        <v>45355</v>
      </c>
      <c r="F105" t="str">
        <f>PROPER('Project Tracker'!F105)</f>
        <v>Yes</v>
      </c>
      <c r="G105" s="5">
        <f>'Project Tracker'!G105</f>
        <v>50.33</v>
      </c>
    </row>
    <row r="106" spans="1:7" x14ac:dyDescent="0.45">
      <c r="A106" t="str">
        <f>PROPER('Project Tracker'!A106)</f>
        <v>Marketing Campaign</v>
      </c>
      <c r="B106" t="str">
        <f>'Project Tracker'!B106</f>
        <v>Wilkerson-Day</v>
      </c>
      <c r="C106" s="5">
        <f>'Project Tracker'!C106</f>
        <v>2707</v>
      </c>
      <c r="D106">
        <f>'Project Tracker'!D106</f>
        <v>18</v>
      </c>
      <c r="E106" s="6">
        <f>'Project Tracker'!E106</f>
        <v>45329</v>
      </c>
      <c r="F106" t="str">
        <f>PROPER('Project Tracker'!F106)</f>
        <v>Yes</v>
      </c>
      <c r="G106" s="5">
        <f>'Project Tracker'!G106</f>
        <v>150.38999999999999</v>
      </c>
    </row>
    <row r="107" spans="1:7" x14ac:dyDescent="0.45">
      <c r="A107" t="str">
        <f>PROPER('Project Tracker'!A107)</f>
        <v>Marketing Campaign</v>
      </c>
      <c r="B107" t="str">
        <f>'Project Tracker'!B107</f>
        <v>Brown, Valdez and Lucas</v>
      </c>
      <c r="C107" s="5">
        <f>'Project Tracker'!C107</f>
        <v>6507</v>
      </c>
      <c r="D107">
        <f>'Project Tracker'!D107</f>
        <v>24</v>
      </c>
      <c r="E107" s="6">
        <f>'Project Tracker'!E107</f>
        <v>45308</v>
      </c>
      <c r="F107" t="str">
        <f>PROPER('Project Tracker'!F107)</f>
        <v>No</v>
      </c>
      <c r="G107" s="5">
        <f>'Project Tracker'!G107</f>
        <v>271.12</v>
      </c>
    </row>
    <row r="108" spans="1:7" x14ac:dyDescent="0.45">
      <c r="A108" t="str">
        <f>PROPER('Project Tracker'!A108)</f>
        <v>Seo Audit</v>
      </c>
      <c r="B108" t="str">
        <f>'Project Tracker'!B108</f>
        <v>Sanchez, Wheeler and Harvey</v>
      </c>
      <c r="C108" s="5">
        <f>'Project Tracker'!C108</f>
        <v>6215</v>
      </c>
      <c r="D108">
        <f>'Project Tracker'!D108</f>
        <v>39</v>
      </c>
      <c r="E108" s="6">
        <f>'Project Tracker'!E108</f>
        <v>45362</v>
      </c>
      <c r="F108" t="str">
        <f>PROPER('Project Tracker'!F108)</f>
        <v>No</v>
      </c>
      <c r="G108" s="5">
        <f>'Project Tracker'!G108</f>
        <v>159.36000000000001</v>
      </c>
    </row>
    <row r="109" spans="1:7" x14ac:dyDescent="0.45">
      <c r="A109" t="str">
        <f>PROPER('Project Tracker'!A109)</f>
        <v>Seo Audit</v>
      </c>
      <c r="B109" t="str">
        <f>'Project Tracker'!B109</f>
        <v>Walker LLC</v>
      </c>
      <c r="C109" s="5">
        <f>'Project Tracker'!C109</f>
        <v>3498</v>
      </c>
      <c r="D109">
        <f>'Project Tracker'!D109</f>
        <v>33</v>
      </c>
      <c r="E109" s="6">
        <f>'Project Tracker'!E109</f>
        <v>45394</v>
      </c>
      <c r="F109" t="str">
        <f>PROPER('Project Tracker'!F109)</f>
        <v>Yes</v>
      </c>
      <c r="G109" s="5">
        <f>'Project Tracker'!G109</f>
        <v>106</v>
      </c>
    </row>
    <row r="110" spans="1:7" x14ac:dyDescent="0.45">
      <c r="A110" t="str">
        <f>PROPER('Project Tracker'!A110)</f>
        <v>Website Redesign</v>
      </c>
      <c r="B110" t="str">
        <f>'Project Tracker'!B110</f>
        <v>Walsh LLC</v>
      </c>
      <c r="C110" s="5">
        <f>'Project Tracker'!C110</f>
        <v>4982</v>
      </c>
      <c r="D110">
        <f>'Project Tracker'!D110</f>
        <v>43</v>
      </c>
      <c r="E110" s="6">
        <f>'Project Tracker'!E110</f>
        <v>45335</v>
      </c>
      <c r="F110" t="str">
        <f>PROPER('Project Tracker'!F110)</f>
        <v>No</v>
      </c>
      <c r="G110" s="5">
        <f>'Project Tracker'!G110</f>
        <v>115.86</v>
      </c>
    </row>
    <row r="111" spans="1:7" x14ac:dyDescent="0.45">
      <c r="A111" t="str">
        <f>PROPER('Project Tracker'!A111)</f>
        <v>App Prototype</v>
      </c>
      <c r="B111" t="str">
        <f>'Project Tracker'!B111</f>
        <v>Gomez-Jenkins</v>
      </c>
      <c r="C111" s="5">
        <f>'Project Tracker'!C111</f>
        <v>1911</v>
      </c>
      <c r="D111">
        <f>'Project Tracker'!D111</f>
        <v>46</v>
      </c>
      <c r="E111" s="6">
        <f>'Project Tracker'!E111</f>
        <v>45295</v>
      </c>
      <c r="F111" t="str">
        <f>PROPER('Project Tracker'!F111)</f>
        <v>Yes</v>
      </c>
      <c r="G111" s="5">
        <f>'Project Tracker'!G111</f>
        <v>41.54</v>
      </c>
    </row>
    <row r="112" spans="1:7" x14ac:dyDescent="0.45">
      <c r="A112" t="str">
        <f>PROPER('Project Tracker'!A112)</f>
        <v>Seo Audit</v>
      </c>
      <c r="B112" t="str">
        <f>'Project Tracker'!B112</f>
        <v>Flowers, Martin and Kelly</v>
      </c>
      <c r="C112" s="5">
        <f>'Project Tracker'!C112</f>
        <v>5306</v>
      </c>
      <c r="D112">
        <f>'Project Tracker'!D112</f>
        <v>55</v>
      </c>
      <c r="E112" s="6">
        <f>'Project Tracker'!E112</f>
        <v>45236</v>
      </c>
      <c r="F112" t="str">
        <f>PROPER('Project Tracker'!F112)</f>
        <v>No</v>
      </c>
      <c r="G112" s="5">
        <f>'Project Tracker'!G112</f>
        <v>96.47</v>
      </c>
    </row>
    <row r="113" spans="1:7" x14ac:dyDescent="0.45">
      <c r="A113" t="str">
        <f>PROPER('Project Tracker'!A113)</f>
        <v>App Prototype</v>
      </c>
      <c r="B113" t="str">
        <f>'Project Tracker'!B113</f>
        <v>Garcia, Humphrey and Baker</v>
      </c>
      <c r="C113" s="5">
        <f>'Project Tracker'!C113</f>
        <v>5635</v>
      </c>
      <c r="D113">
        <f>'Project Tracker'!D113</f>
        <v>69</v>
      </c>
      <c r="E113" s="6">
        <f>'Project Tracker'!E113</f>
        <v>45253</v>
      </c>
      <c r="F113" t="str">
        <f>PROPER('Project Tracker'!F113)</f>
        <v>Yes</v>
      </c>
      <c r="G113" s="5">
        <f>'Project Tracker'!G113</f>
        <v>81.67</v>
      </c>
    </row>
    <row r="114" spans="1:7" x14ac:dyDescent="0.45">
      <c r="A114" t="str">
        <f>PROPER('Project Tracker'!A114)</f>
        <v>Seo Audit</v>
      </c>
      <c r="B114" t="str">
        <f>'Project Tracker'!B114</f>
        <v>Gray-Mayo</v>
      </c>
      <c r="C114" s="5">
        <f>'Project Tracker'!C114</f>
        <v>5388</v>
      </c>
      <c r="D114">
        <f>'Project Tracker'!D114</f>
        <v>72</v>
      </c>
      <c r="E114" s="6">
        <f>'Project Tracker'!E114</f>
        <v>45401</v>
      </c>
      <c r="F114" t="str">
        <f>PROPER('Project Tracker'!F114)</f>
        <v>Yes</v>
      </c>
      <c r="G114" s="5">
        <f>'Project Tracker'!G114</f>
        <v>74.83</v>
      </c>
    </row>
    <row r="115" spans="1:7" x14ac:dyDescent="0.45">
      <c r="A115" t="str">
        <f>PROPER('Project Tracker'!A115)</f>
        <v>Marketing Campaign</v>
      </c>
      <c r="B115" t="str">
        <f>'Project Tracker'!B115</f>
        <v>Sandoval-Cunningham</v>
      </c>
      <c r="C115" s="5">
        <f>'Project Tracker'!C115</f>
        <v>3771</v>
      </c>
      <c r="D115">
        <f>'Project Tracker'!D115</f>
        <v>77</v>
      </c>
      <c r="E115" s="6">
        <f>'Project Tracker'!E115</f>
        <v>45281</v>
      </c>
      <c r="F115" t="str">
        <f>PROPER('Project Tracker'!F115)</f>
        <v>No</v>
      </c>
      <c r="G115" s="5">
        <f>'Project Tracker'!G115</f>
        <v>48.97</v>
      </c>
    </row>
    <row r="116" spans="1:7" x14ac:dyDescent="0.45">
      <c r="A116" t="str">
        <f>PROPER('Project Tracker'!A116)</f>
        <v>Data Dashboard</v>
      </c>
      <c r="B116" t="str">
        <f>'Project Tracker'!B116</f>
        <v>Washington, Ryan and Cummings</v>
      </c>
      <c r="C116" s="5">
        <f>'Project Tracker'!C116</f>
        <v>2134</v>
      </c>
      <c r="D116">
        <f>'Project Tracker'!D116</f>
        <v>51</v>
      </c>
      <c r="E116" s="6">
        <f>'Project Tracker'!E116</f>
        <v>45265</v>
      </c>
      <c r="F116" t="str">
        <f>PROPER('Project Tracker'!F116)</f>
        <v>No</v>
      </c>
      <c r="G116" s="5">
        <f>'Project Tracker'!G116</f>
        <v>41.84</v>
      </c>
    </row>
    <row r="117" spans="1:7" x14ac:dyDescent="0.45">
      <c r="A117" t="str">
        <f>PROPER('Project Tracker'!A117)</f>
        <v>Data Dashboard</v>
      </c>
      <c r="B117" t="str">
        <f>'Project Tracker'!B117</f>
        <v>Rodriguez LLC</v>
      </c>
      <c r="C117" s="5">
        <f>'Project Tracker'!C117</f>
        <v>4119</v>
      </c>
      <c r="D117">
        <f>'Project Tracker'!D117</f>
        <v>25</v>
      </c>
      <c r="E117" s="6">
        <f>'Project Tracker'!E117</f>
        <v>45343</v>
      </c>
      <c r="F117" t="str">
        <f>PROPER('Project Tracker'!F117)</f>
        <v>No</v>
      </c>
      <c r="G117" s="5">
        <f>'Project Tracker'!G117</f>
        <v>164.76</v>
      </c>
    </row>
    <row r="118" spans="1:7" x14ac:dyDescent="0.45">
      <c r="A118" t="str">
        <f>PROPER('Project Tracker'!A118)</f>
        <v>Marketing Campaign</v>
      </c>
      <c r="B118" t="str">
        <f>'Project Tracker'!B118</f>
        <v>Snyder, Campos and Callahan</v>
      </c>
      <c r="C118" s="5">
        <f>'Project Tracker'!C118</f>
        <v>4637</v>
      </c>
      <c r="D118">
        <f>'Project Tracker'!D118</f>
        <v>34</v>
      </c>
      <c r="E118" s="6">
        <f>'Project Tracker'!E118</f>
        <v>45282</v>
      </c>
      <c r="F118" t="str">
        <f>PROPER('Project Tracker'!F118)</f>
        <v>No</v>
      </c>
      <c r="G118" s="5">
        <f>'Project Tracker'!G118</f>
        <v>136.38</v>
      </c>
    </row>
    <row r="119" spans="1:7" x14ac:dyDescent="0.45">
      <c r="A119" t="str">
        <f>PROPER('Project Tracker'!A119)</f>
        <v>Website Redesign</v>
      </c>
      <c r="B119" t="str">
        <f>'Project Tracker'!B119</f>
        <v>Robinson, Jones and Welch</v>
      </c>
      <c r="C119" s="5">
        <f>'Project Tracker'!C119</f>
        <v>4839</v>
      </c>
      <c r="D119">
        <f>'Project Tracker'!D119</f>
        <v>57</v>
      </c>
      <c r="E119" s="6">
        <f>'Project Tracker'!E119</f>
        <v>45238</v>
      </c>
      <c r="F119" t="str">
        <f>PROPER('Project Tracker'!F119)</f>
        <v>Yes</v>
      </c>
      <c r="G119" s="5">
        <f>'Project Tracker'!G119</f>
        <v>84.89</v>
      </c>
    </row>
    <row r="120" spans="1:7" x14ac:dyDescent="0.45">
      <c r="A120" t="str">
        <f>PROPER('Project Tracker'!A120)</f>
        <v>Seo Audit</v>
      </c>
      <c r="B120" t="str">
        <f>'Project Tracker'!B120</f>
        <v>Robinson, Jones and Welch</v>
      </c>
      <c r="C120" s="5">
        <f>'Project Tracker'!C120</f>
        <v>2010</v>
      </c>
      <c r="D120">
        <f>'Project Tracker'!D120</f>
        <v>41</v>
      </c>
      <c r="E120" s="6">
        <f>'Project Tracker'!E120</f>
        <v>45252</v>
      </c>
      <c r="F120" t="str">
        <f>PROPER('Project Tracker'!F120)</f>
        <v>No</v>
      </c>
      <c r="G120" s="5">
        <f>'Project Tracker'!G120</f>
        <v>49.02</v>
      </c>
    </row>
    <row r="121" spans="1:7" x14ac:dyDescent="0.45">
      <c r="A121" t="str">
        <f>PROPER('Project Tracker'!A121)</f>
        <v>Seo Audit</v>
      </c>
      <c r="B121" t="str">
        <f>'Project Tracker'!B121</f>
        <v>Williams-Cook</v>
      </c>
      <c r="C121" s="5">
        <f>'Project Tracker'!C121</f>
        <v>6284</v>
      </c>
      <c r="D121">
        <f>'Project Tracker'!D121</f>
        <v>17</v>
      </c>
      <c r="E121" s="6">
        <f>'Project Tracker'!E121</f>
        <v>45346</v>
      </c>
      <c r="F121" t="str">
        <f>PROPER('Project Tracker'!F121)</f>
        <v>Yes</v>
      </c>
      <c r="G121" s="5">
        <f>'Project Tracker'!G121</f>
        <v>369.65</v>
      </c>
    </row>
    <row r="122" spans="1:7" x14ac:dyDescent="0.45">
      <c r="A122" t="str">
        <f>PROPER('Project Tracker'!A122)</f>
        <v>Seo Audit</v>
      </c>
      <c r="B122" t="str">
        <f>'Project Tracker'!B122</f>
        <v>Powell LLC</v>
      </c>
      <c r="C122" s="5">
        <f>'Project Tracker'!C122</f>
        <v>1548</v>
      </c>
      <c r="D122">
        <f>'Project Tracker'!D122</f>
        <v>60</v>
      </c>
      <c r="E122" s="6">
        <f>'Project Tracker'!E122</f>
        <v>45315</v>
      </c>
      <c r="F122" t="str">
        <f>PROPER('Project Tracker'!F122)</f>
        <v>Yes</v>
      </c>
      <c r="G122" s="5">
        <f>'Project Tracker'!G122</f>
        <v>25.8</v>
      </c>
    </row>
    <row r="123" spans="1:7" x14ac:dyDescent="0.45">
      <c r="A123" t="str">
        <f>PROPER('Project Tracker'!A123)</f>
        <v>Seo Audit</v>
      </c>
      <c r="B123" t="str">
        <f>'Project Tracker'!B123</f>
        <v>Robinson, Jones and Welch</v>
      </c>
      <c r="C123" s="5">
        <f>'Project Tracker'!C123</f>
        <v>5909</v>
      </c>
      <c r="D123">
        <f>'Project Tracker'!D123</f>
        <v>43</v>
      </c>
      <c r="E123" s="6">
        <f>'Project Tracker'!E123</f>
        <v>45298</v>
      </c>
      <c r="F123" t="str">
        <f>PROPER('Project Tracker'!F123)</f>
        <v>No</v>
      </c>
      <c r="G123" s="5">
        <f>'Project Tracker'!G123</f>
        <v>137.41999999999999</v>
      </c>
    </row>
    <row r="124" spans="1:7" x14ac:dyDescent="0.45">
      <c r="A124" t="str">
        <f>PROPER('Project Tracker'!A124)</f>
        <v>Marketing Campaign</v>
      </c>
      <c r="B124" t="str">
        <f>'Project Tracker'!B124</f>
        <v>Dyer, Potter and Mack</v>
      </c>
      <c r="C124" s="5">
        <f>'Project Tracker'!C124</f>
        <v>5070</v>
      </c>
      <c r="D124">
        <f>'Project Tracker'!D124</f>
        <v>77</v>
      </c>
      <c r="E124" s="6">
        <f>'Project Tracker'!E124</f>
        <v>45372</v>
      </c>
      <c r="F124" t="str">
        <f>PROPER('Project Tracker'!F124)</f>
        <v>Yes</v>
      </c>
      <c r="G124" s="5">
        <f>'Project Tracker'!G124</f>
        <v>65.84</v>
      </c>
    </row>
    <row r="125" spans="1:7" x14ac:dyDescent="0.45">
      <c r="A125" t="str">
        <f>PROPER('Project Tracker'!A125)</f>
        <v>Seo Audit</v>
      </c>
      <c r="B125" t="str">
        <f>'Project Tracker'!B125</f>
        <v>Allen-Allen</v>
      </c>
      <c r="C125" s="5">
        <f>'Project Tracker'!C125</f>
        <v>6979</v>
      </c>
      <c r="D125">
        <f>'Project Tracker'!D125</f>
        <v>66</v>
      </c>
      <c r="E125" s="6">
        <f>'Project Tracker'!E125</f>
        <v>45383</v>
      </c>
      <c r="F125" t="str">
        <f>PROPER('Project Tracker'!F125)</f>
        <v>No</v>
      </c>
      <c r="G125" s="5">
        <f>'Project Tracker'!G125</f>
        <v>105.74</v>
      </c>
    </row>
    <row r="126" spans="1:7" x14ac:dyDescent="0.45">
      <c r="A126" t="str">
        <f>PROPER('Project Tracker'!A126)</f>
        <v>Seo Audit</v>
      </c>
      <c r="B126" t="str">
        <f>'Project Tracker'!B126</f>
        <v>James Group</v>
      </c>
      <c r="C126" s="5">
        <f>'Project Tracker'!C126</f>
        <v>6597</v>
      </c>
      <c r="D126">
        <f>'Project Tracker'!D126</f>
        <v>18</v>
      </c>
      <c r="E126" s="6">
        <f>'Project Tracker'!E126</f>
        <v>45291</v>
      </c>
      <c r="F126" t="str">
        <f>PROPER('Project Tracker'!F126)</f>
        <v>No</v>
      </c>
      <c r="G126" s="5">
        <f>'Project Tracker'!G126</f>
        <v>366.5</v>
      </c>
    </row>
    <row r="127" spans="1:7" x14ac:dyDescent="0.45">
      <c r="A127" t="str">
        <f>PROPER('Project Tracker'!A127)</f>
        <v>App Prototype</v>
      </c>
      <c r="B127" t="str">
        <f>'Project Tracker'!B127</f>
        <v>Henderson-Bernard</v>
      </c>
      <c r="C127" s="5">
        <f>'Project Tracker'!C127</f>
        <v>6931</v>
      </c>
      <c r="D127">
        <f>'Project Tracker'!D127</f>
        <v>18</v>
      </c>
      <c r="E127" s="6">
        <f>'Project Tracker'!E127</f>
        <v>45315</v>
      </c>
      <c r="F127" t="str">
        <f>PROPER('Project Tracker'!F127)</f>
        <v>Yes</v>
      </c>
      <c r="G127" s="5">
        <f>'Project Tracker'!G127</f>
        <v>385.06</v>
      </c>
    </row>
    <row r="128" spans="1:7" x14ac:dyDescent="0.45">
      <c r="A128" t="str">
        <f>PROPER('Project Tracker'!A128)</f>
        <v>Seo Audit</v>
      </c>
      <c r="B128" t="str">
        <f>'Project Tracker'!B128</f>
        <v>Flowers, Martin and Kelly</v>
      </c>
      <c r="C128" s="5">
        <f>'Project Tracker'!C128</f>
        <v>5282</v>
      </c>
      <c r="D128">
        <f>'Project Tracker'!D128</f>
        <v>38</v>
      </c>
      <c r="E128" s="6">
        <f>'Project Tracker'!E128</f>
        <v>45348</v>
      </c>
      <c r="F128" t="str">
        <f>PROPER('Project Tracker'!F128)</f>
        <v>Yes</v>
      </c>
      <c r="G128" s="5">
        <f>'Project Tracker'!G128</f>
        <v>139</v>
      </c>
    </row>
    <row r="129" spans="1:7" x14ac:dyDescent="0.45">
      <c r="A129" t="str">
        <f>PROPER('Project Tracker'!A129)</f>
        <v>Data Dashboard</v>
      </c>
      <c r="B129" t="str">
        <f>'Project Tracker'!B129</f>
        <v>Hickman Ltd</v>
      </c>
      <c r="C129" s="5">
        <f>'Project Tracker'!C129</f>
        <v>4181</v>
      </c>
      <c r="D129">
        <f>'Project Tracker'!D129</f>
        <v>42</v>
      </c>
      <c r="E129" s="6">
        <f>'Project Tracker'!E129</f>
        <v>45330</v>
      </c>
      <c r="F129" t="str">
        <f>PROPER('Project Tracker'!F129)</f>
        <v>No</v>
      </c>
      <c r="G129" s="5">
        <f>'Project Tracker'!G129</f>
        <v>99.55</v>
      </c>
    </row>
    <row r="130" spans="1:7" x14ac:dyDescent="0.45">
      <c r="A130" t="str">
        <f>PROPER('Project Tracker'!A130)</f>
        <v>Data Dashboard</v>
      </c>
      <c r="B130" t="str">
        <f>'Project Tracker'!B130</f>
        <v>Allen-Allen</v>
      </c>
      <c r="C130" s="5">
        <f>'Project Tracker'!C130</f>
        <v>4605</v>
      </c>
      <c r="D130">
        <f>'Project Tracker'!D130</f>
        <v>50</v>
      </c>
      <c r="E130" s="6">
        <f>'Project Tracker'!E130</f>
        <v>45253</v>
      </c>
      <c r="F130" t="str">
        <f>PROPER('Project Tracker'!F130)</f>
        <v>No</v>
      </c>
      <c r="G130" s="5">
        <f>'Project Tracker'!G130</f>
        <v>92.1</v>
      </c>
    </row>
    <row r="131" spans="1:7" x14ac:dyDescent="0.45">
      <c r="A131" t="str">
        <f>PROPER('Project Tracker'!A131)</f>
        <v>Data Dashboard</v>
      </c>
      <c r="B131" t="str">
        <f>'Project Tracker'!B131</f>
        <v>Blair PLC</v>
      </c>
      <c r="C131" s="5">
        <f>'Project Tracker'!C131</f>
        <v>5352</v>
      </c>
      <c r="D131">
        <f>'Project Tracker'!D131</f>
        <v>17</v>
      </c>
      <c r="E131" s="6">
        <f>'Project Tracker'!E131</f>
        <v>45305</v>
      </c>
      <c r="F131" t="str">
        <f>PROPER('Project Tracker'!F131)</f>
        <v>Yes</v>
      </c>
      <c r="G131" s="5">
        <f>'Project Tracker'!G131</f>
        <v>314.82</v>
      </c>
    </row>
    <row r="132" spans="1:7" x14ac:dyDescent="0.45">
      <c r="A132" t="str">
        <f>PROPER('Project Tracker'!A132)</f>
        <v>Website Redesign</v>
      </c>
      <c r="B132" t="str">
        <f>'Project Tracker'!B132</f>
        <v>Arroyo, Miller and Tucker</v>
      </c>
      <c r="C132" s="5">
        <f>'Project Tracker'!C132</f>
        <v>3336</v>
      </c>
      <c r="D132">
        <f>'Project Tracker'!D132</f>
        <v>23</v>
      </c>
      <c r="E132" s="6">
        <f>'Project Tracker'!E132</f>
        <v>45405</v>
      </c>
      <c r="F132" t="str">
        <f>PROPER('Project Tracker'!F132)</f>
        <v>Yes</v>
      </c>
      <c r="G132" s="5">
        <f>'Project Tracker'!G132</f>
        <v>145.04</v>
      </c>
    </row>
    <row r="133" spans="1:7" x14ac:dyDescent="0.45">
      <c r="A133" t="str">
        <f>PROPER('Project Tracker'!A133)</f>
        <v>Website Redesign</v>
      </c>
      <c r="B133" t="str">
        <f>'Project Tracker'!B133</f>
        <v>Carlson-Cruz</v>
      </c>
      <c r="C133" s="5">
        <f>'Project Tracker'!C133</f>
        <v>3133</v>
      </c>
      <c r="D133">
        <f>'Project Tracker'!D133</f>
        <v>17</v>
      </c>
      <c r="E133" s="6">
        <f>'Project Tracker'!E133</f>
        <v>45342</v>
      </c>
      <c r="F133" t="str">
        <f>PROPER('Project Tracker'!F133)</f>
        <v>Yes</v>
      </c>
      <c r="G133" s="5">
        <f>'Project Tracker'!G133</f>
        <v>184.29</v>
      </c>
    </row>
    <row r="134" spans="1:7" x14ac:dyDescent="0.45">
      <c r="A134" t="str">
        <f>PROPER('Project Tracker'!A134)</f>
        <v>Marketing Campaign</v>
      </c>
      <c r="B134" t="str">
        <f>'Project Tracker'!B134</f>
        <v>Burton Ltd</v>
      </c>
      <c r="C134" s="5">
        <f>'Project Tracker'!C134</f>
        <v>2534</v>
      </c>
      <c r="D134">
        <f>'Project Tracker'!D134</f>
        <v>75</v>
      </c>
      <c r="E134" s="6">
        <f>'Project Tracker'!E134</f>
        <v>45267</v>
      </c>
      <c r="F134" t="str">
        <f>PROPER('Project Tracker'!F134)</f>
        <v>Yes</v>
      </c>
      <c r="G134" s="5">
        <f>'Project Tracker'!G134</f>
        <v>33.79</v>
      </c>
    </row>
    <row r="135" spans="1:7" x14ac:dyDescent="0.45">
      <c r="A135" t="str">
        <f>PROPER('Project Tracker'!A135)</f>
        <v>App Prototype</v>
      </c>
      <c r="B135" t="str">
        <f>'Project Tracker'!B135</f>
        <v>Hoffman, Baker and Richards</v>
      </c>
      <c r="C135" s="5">
        <f>'Project Tracker'!C135</f>
        <v>5309</v>
      </c>
      <c r="D135">
        <f>'Project Tracker'!D135</f>
        <v>47</v>
      </c>
      <c r="E135" s="6">
        <f>'Project Tracker'!E135</f>
        <v>45280</v>
      </c>
      <c r="F135" t="str">
        <f>PROPER('Project Tracker'!F135)</f>
        <v>Yes</v>
      </c>
      <c r="G135" s="5">
        <f>'Project Tracker'!G135</f>
        <v>112.96</v>
      </c>
    </row>
    <row r="136" spans="1:7" x14ac:dyDescent="0.45">
      <c r="A136" t="str">
        <f>PROPER('Project Tracker'!A136)</f>
        <v>Marketing Campaign</v>
      </c>
      <c r="B136" t="str">
        <f>'Project Tracker'!B136</f>
        <v>Yu Inc</v>
      </c>
      <c r="C136" s="5">
        <f>'Project Tracker'!C136</f>
        <v>6474</v>
      </c>
      <c r="D136">
        <f>'Project Tracker'!D136</f>
        <v>29</v>
      </c>
      <c r="E136" s="6">
        <f>'Project Tracker'!E136</f>
        <v>45239</v>
      </c>
      <c r="F136" t="str">
        <f>PROPER('Project Tracker'!F136)</f>
        <v>No</v>
      </c>
      <c r="G136" s="5">
        <f>'Project Tracker'!G136</f>
        <v>223.24</v>
      </c>
    </row>
    <row r="137" spans="1:7" x14ac:dyDescent="0.45">
      <c r="A137" t="str">
        <f>PROPER('Project Tracker'!A137)</f>
        <v>Data Dashboard</v>
      </c>
      <c r="B137" t="str">
        <f>'Project Tracker'!B137</f>
        <v>Mcclure, Ward and Lee</v>
      </c>
      <c r="C137" s="5">
        <f>'Project Tracker'!C137</f>
        <v>6240</v>
      </c>
      <c r="D137">
        <f>'Project Tracker'!D137</f>
        <v>18</v>
      </c>
      <c r="E137" s="6">
        <f>'Project Tracker'!E137</f>
        <v>45368</v>
      </c>
      <c r="F137" t="str">
        <f>PROPER('Project Tracker'!F137)</f>
        <v>Yes</v>
      </c>
      <c r="G137" s="5">
        <f>'Project Tracker'!G137</f>
        <v>346.67</v>
      </c>
    </row>
    <row r="138" spans="1:7" x14ac:dyDescent="0.45">
      <c r="A138" t="str">
        <f>PROPER('Project Tracker'!A138)</f>
        <v>App Prototype</v>
      </c>
      <c r="B138" t="str">
        <f>'Project Tracker'!B138</f>
        <v>Ferrell, Jones and Lewis</v>
      </c>
      <c r="C138" s="5">
        <f>'Project Tracker'!C138</f>
        <v>4574</v>
      </c>
      <c r="D138">
        <f>'Project Tracker'!D138</f>
        <v>65</v>
      </c>
      <c r="E138" s="6">
        <f>'Project Tracker'!E138</f>
        <v>45315</v>
      </c>
      <c r="F138" t="str">
        <f>PROPER('Project Tracker'!F138)</f>
        <v>No</v>
      </c>
      <c r="G138" s="5">
        <f>'Project Tracker'!G138</f>
        <v>70.37</v>
      </c>
    </row>
    <row r="139" spans="1:7" x14ac:dyDescent="0.45">
      <c r="A139" t="str">
        <f>PROPER('Project Tracker'!A139)</f>
        <v>Website Redesign</v>
      </c>
      <c r="B139" t="str">
        <f>'Project Tracker'!B139</f>
        <v>Daniels, Adkins and Brown</v>
      </c>
      <c r="C139" s="5">
        <f>'Project Tracker'!C139</f>
        <v>6638</v>
      </c>
      <c r="D139">
        <f>'Project Tracker'!D139</f>
        <v>46</v>
      </c>
      <c r="E139" s="6">
        <f>'Project Tracker'!E139</f>
        <v>45231</v>
      </c>
      <c r="F139" t="str">
        <f>PROPER('Project Tracker'!F139)</f>
        <v>Yes</v>
      </c>
      <c r="G139" s="5">
        <f>'Project Tracker'!G139</f>
        <v>144.30000000000001</v>
      </c>
    </row>
    <row r="140" spans="1:7" x14ac:dyDescent="0.45">
      <c r="A140" t="str">
        <f>PROPER('Project Tracker'!A140)</f>
        <v>Data Dashboard</v>
      </c>
      <c r="B140" t="str">
        <f>'Project Tracker'!B140</f>
        <v>Anderson-Bailey</v>
      </c>
      <c r="C140" s="5">
        <f>'Project Tracker'!C140</f>
        <v>6418</v>
      </c>
      <c r="D140">
        <f>'Project Tracker'!D140</f>
        <v>30</v>
      </c>
      <c r="E140" s="6">
        <f>'Project Tracker'!E140</f>
        <v>45331</v>
      </c>
      <c r="F140" t="str">
        <f>PROPER('Project Tracker'!F140)</f>
        <v>Yes</v>
      </c>
      <c r="G140" s="5">
        <f>'Project Tracker'!G140</f>
        <v>213.93</v>
      </c>
    </row>
    <row r="141" spans="1:7" x14ac:dyDescent="0.45">
      <c r="A141" t="str">
        <f>PROPER('Project Tracker'!A141)</f>
        <v>Website Redesign</v>
      </c>
      <c r="B141" t="str">
        <f>'Project Tracker'!B141</f>
        <v>Arroyo, Miller and Tucker</v>
      </c>
      <c r="C141" s="5">
        <f>'Project Tracker'!C141</f>
        <v>5864</v>
      </c>
      <c r="D141">
        <f>'Project Tracker'!D141</f>
        <v>69</v>
      </c>
      <c r="E141" s="6">
        <f>'Project Tracker'!E141</f>
        <v>45410</v>
      </c>
      <c r="F141" t="str">
        <f>PROPER('Project Tracker'!F141)</f>
        <v>Yes</v>
      </c>
      <c r="G141" s="5">
        <f>'Project Tracker'!G141</f>
        <v>84.99</v>
      </c>
    </row>
    <row r="142" spans="1:7" x14ac:dyDescent="0.45">
      <c r="A142" t="str">
        <f>PROPER('Project Tracker'!A142)</f>
        <v>Website Redesign</v>
      </c>
      <c r="B142" t="str">
        <f>'Project Tracker'!B142</f>
        <v>Baxter Inc</v>
      </c>
      <c r="C142" s="5">
        <f>'Project Tracker'!C142</f>
        <v>6804</v>
      </c>
      <c r="D142">
        <f>'Project Tracker'!D142</f>
        <v>58</v>
      </c>
      <c r="E142" s="6">
        <f>'Project Tracker'!E142</f>
        <v>45387</v>
      </c>
      <c r="F142" t="str">
        <f>PROPER('Project Tracker'!F142)</f>
        <v>Yes</v>
      </c>
      <c r="G142" s="5">
        <f>'Project Tracker'!G142</f>
        <v>117.31</v>
      </c>
    </row>
    <row r="143" spans="1:7" x14ac:dyDescent="0.45">
      <c r="A143" t="str">
        <f>PROPER('Project Tracker'!A143)</f>
        <v>Seo Audit</v>
      </c>
      <c r="B143" t="str">
        <f>'Project Tracker'!B143</f>
        <v>Wright and Sons</v>
      </c>
      <c r="C143" s="5">
        <f>'Project Tracker'!C143</f>
        <v>2364</v>
      </c>
      <c r="D143">
        <f>'Project Tracker'!D143</f>
        <v>70</v>
      </c>
      <c r="E143" s="6">
        <f>'Project Tracker'!E143</f>
        <v>45335</v>
      </c>
      <c r="F143" t="str">
        <f>PROPER('Project Tracker'!F143)</f>
        <v>Yes</v>
      </c>
      <c r="G143" s="5">
        <f>'Project Tracker'!G143</f>
        <v>33.770000000000003</v>
      </c>
    </row>
    <row r="144" spans="1:7" x14ac:dyDescent="0.45">
      <c r="A144" t="str">
        <f>PROPER('Project Tracker'!A144)</f>
        <v>Seo Audit</v>
      </c>
      <c r="B144" t="str">
        <f>'Project Tracker'!B144</f>
        <v>Turner, Riggs and Roman</v>
      </c>
      <c r="C144" s="5">
        <f>'Project Tracker'!C144</f>
        <v>2753</v>
      </c>
      <c r="D144">
        <f>'Project Tracker'!D144</f>
        <v>70</v>
      </c>
      <c r="E144" s="6">
        <f>'Project Tracker'!E144</f>
        <v>45364</v>
      </c>
      <c r="F144" t="str">
        <f>PROPER('Project Tracker'!F144)</f>
        <v>No</v>
      </c>
      <c r="G144" s="5">
        <f>'Project Tracker'!G144</f>
        <v>39.33</v>
      </c>
    </row>
    <row r="145" spans="1:7" x14ac:dyDescent="0.45">
      <c r="A145" t="str">
        <f>PROPER('Project Tracker'!A145)</f>
        <v>App Prototype</v>
      </c>
      <c r="B145" t="str">
        <f>'Project Tracker'!B145</f>
        <v>Edwards, Baker and Anderson</v>
      </c>
      <c r="C145" s="5">
        <f>'Project Tracker'!C145</f>
        <v>3712</v>
      </c>
      <c r="D145">
        <f>'Project Tracker'!D145</f>
        <v>76</v>
      </c>
      <c r="E145" s="6">
        <f>'Project Tracker'!E145</f>
        <v>45370</v>
      </c>
      <c r="F145" t="str">
        <f>PROPER('Project Tracker'!F145)</f>
        <v>No</v>
      </c>
      <c r="G145" s="5">
        <f>'Project Tracker'!G145</f>
        <v>48.84</v>
      </c>
    </row>
    <row r="146" spans="1:7" x14ac:dyDescent="0.45">
      <c r="A146" t="str">
        <f>PROPER('Project Tracker'!A146)</f>
        <v>Seo Audit</v>
      </c>
      <c r="B146" t="str">
        <f>'Project Tracker'!B146</f>
        <v>Newton and Sons</v>
      </c>
      <c r="C146" s="5">
        <f>'Project Tracker'!C146</f>
        <v>6353</v>
      </c>
      <c r="D146">
        <f>'Project Tracker'!D146</f>
        <v>49</v>
      </c>
      <c r="E146" s="6">
        <f>'Project Tracker'!E146</f>
        <v>45375</v>
      </c>
      <c r="F146" t="str">
        <f>PROPER('Project Tracker'!F146)</f>
        <v>Yes</v>
      </c>
      <c r="G146" s="5">
        <f>'Project Tracker'!G146</f>
        <v>129.65</v>
      </c>
    </row>
    <row r="147" spans="1:7" x14ac:dyDescent="0.45">
      <c r="A147" t="str">
        <f>PROPER('Project Tracker'!A147)</f>
        <v>Marketing Campaign</v>
      </c>
      <c r="B147" t="str">
        <f>'Project Tracker'!B147</f>
        <v>Dudley Group</v>
      </c>
      <c r="C147" s="5">
        <f>'Project Tracker'!C147</f>
        <v>3784</v>
      </c>
      <c r="D147">
        <f>'Project Tracker'!D147</f>
        <v>72</v>
      </c>
      <c r="E147" s="6">
        <f>'Project Tracker'!E147</f>
        <v>45374</v>
      </c>
      <c r="F147" t="str">
        <f>PROPER('Project Tracker'!F147)</f>
        <v>No</v>
      </c>
      <c r="G147" s="5">
        <f>'Project Tracker'!G147</f>
        <v>52.56</v>
      </c>
    </row>
    <row r="148" spans="1:7" x14ac:dyDescent="0.45">
      <c r="A148" t="str">
        <f>PROPER('Project Tracker'!A148)</f>
        <v>Seo Audit</v>
      </c>
      <c r="B148" t="str">
        <f>'Project Tracker'!B148</f>
        <v>Henderson-Bernard</v>
      </c>
      <c r="C148" s="5">
        <f>'Project Tracker'!C148</f>
        <v>6499</v>
      </c>
      <c r="D148">
        <f>'Project Tracker'!D148</f>
        <v>63</v>
      </c>
      <c r="E148" s="6">
        <f>'Project Tracker'!E148</f>
        <v>45361</v>
      </c>
      <c r="F148" t="str">
        <f>PROPER('Project Tracker'!F148)</f>
        <v>Yes</v>
      </c>
      <c r="G148" s="5">
        <f>'Project Tracker'!G148</f>
        <v>103.16</v>
      </c>
    </row>
    <row r="149" spans="1:7" x14ac:dyDescent="0.45">
      <c r="A149" t="str">
        <f>PROPER('Project Tracker'!A149)</f>
        <v>Website Redesign</v>
      </c>
      <c r="B149" t="str">
        <f>'Project Tracker'!B149</f>
        <v>West, Henderson and Ramirez</v>
      </c>
      <c r="C149" s="5">
        <f>'Project Tracker'!C149</f>
        <v>4162</v>
      </c>
      <c r="D149">
        <f>'Project Tracker'!D149</f>
        <v>38</v>
      </c>
      <c r="E149" s="6">
        <f>'Project Tracker'!E149</f>
        <v>45269</v>
      </c>
      <c r="F149" t="str">
        <f>PROPER('Project Tracker'!F149)</f>
        <v>No</v>
      </c>
      <c r="G149" s="5">
        <f>'Project Tracker'!G149</f>
        <v>109.53</v>
      </c>
    </row>
    <row r="150" spans="1:7" x14ac:dyDescent="0.45">
      <c r="A150" t="str">
        <f>PROPER('Project Tracker'!A150)</f>
        <v>Marketing Campaign</v>
      </c>
      <c r="B150" t="str">
        <f>'Project Tracker'!B150</f>
        <v>Spence PLC</v>
      </c>
      <c r="C150" s="5">
        <f>'Project Tracker'!C150</f>
        <v>3616</v>
      </c>
      <c r="D150">
        <f>'Project Tracker'!D150</f>
        <v>58</v>
      </c>
      <c r="E150" s="6">
        <f>'Project Tracker'!E150</f>
        <v>45301</v>
      </c>
      <c r="F150" t="str">
        <f>PROPER('Project Tracker'!F150)</f>
        <v>Yes</v>
      </c>
      <c r="G150" s="5">
        <f>'Project Tracker'!G150</f>
        <v>62.34</v>
      </c>
    </row>
    <row r="151" spans="1:7" x14ac:dyDescent="0.45">
      <c r="A151" t="str">
        <f>PROPER('Project Tracker'!A151)</f>
        <v>App Prototype</v>
      </c>
      <c r="B151" t="str">
        <f>'Project Tracker'!B151</f>
        <v>Moore-Bass</v>
      </c>
      <c r="C151" s="5">
        <f>'Project Tracker'!C151</f>
        <v>3763</v>
      </c>
      <c r="D151">
        <f>'Project Tracker'!D151</f>
        <v>16</v>
      </c>
      <c r="E151" s="6">
        <f>'Project Tracker'!E151</f>
        <v>45314</v>
      </c>
      <c r="F151" t="str">
        <f>PROPER('Project Tracker'!F151)</f>
        <v>Yes</v>
      </c>
      <c r="G151" s="5">
        <f>'Project Tracker'!G151</f>
        <v>235.19</v>
      </c>
    </row>
    <row r="152" spans="1:7" x14ac:dyDescent="0.45">
      <c r="A152" t="str">
        <f>PROPER('Project Tracker'!A152)</f>
        <v>Marketing Campaign</v>
      </c>
      <c r="B152" t="str">
        <f>'Project Tracker'!B152</f>
        <v>Blair PLC</v>
      </c>
      <c r="C152" s="5">
        <f>'Project Tracker'!C152</f>
        <v>3477</v>
      </c>
      <c r="D152">
        <f>'Project Tracker'!D152</f>
        <v>67</v>
      </c>
      <c r="E152" s="6">
        <f>'Project Tracker'!E152</f>
        <v>45244</v>
      </c>
      <c r="F152" t="str">
        <f>PROPER('Project Tracker'!F152)</f>
        <v>No</v>
      </c>
      <c r="G152" s="5">
        <f>'Project Tracker'!G152</f>
        <v>51.9</v>
      </c>
    </row>
    <row r="153" spans="1:7" x14ac:dyDescent="0.45">
      <c r="A153" t="str">
        <f>PROPER('Project Tracker'!A153)</f>
        <v>App Prototype</v>
      </c>
      <c r="B153" t="str">
        <f>'Project Tracker'!B153</f>
        <v>Davis Group</v>
      </c>
      <c r="C153" s="5">
        <f>'Project Tracker'!C153</f>
        <v>3468</v>
      </c>
      <c r="D153">
        <f>'Project Tracker'!D153</f>
        <v>75</v>
      </c>
      <c r="E153" s="6">
        <f>'Project Tracker'!E153</f>
        <v>45359</v>
      </c>
      <c r="F153" t="str">
        <f>PROPER('Project Tracker'!F153)</f>
        <v>No</v>
      </c>
      <c r="G153" s="5">
        <f>'Project Tracker'!G153</f>
        <v>46.24</v>
      </c>
    </row>
    <row r="154" spans="1:7" x14ac:dyDescent="0.45">
      <c r="A154" t="str">
        <f>PROPER('Project Tracker'!A154)</f>
        <v>Seo Audit</v>
      </c>
      <c r="B154" t="str">
        <f>'Project Tracker'!B154</f>
        <v>Mcclain, Miller and Henderson</v>
      </c>
      <c r="C154" s="5">
        <f>'Project Tracker'!C154</f>
        <v>2262</v>
      </c>
      <c r="D154">
        <f>'Project Tracker'!D154</f>
        <v>52</v>
      </c>
      <c r="E154" s="6">
        <f>'Project Tracker'!E154</f>
        <v>45409</v>
      </c>
      <c r="F154" t="str">
        <f>PROPER('Project Tracker'!F154)</f>
        <v>No</v>
      </c>
      <c r="G154" s="5">
        <f>'Project Tracker'!G154</f>
        <v>43.5</v>
      </c>
    </row>
    <row r="155" spans="1:7" x14ac:dyDescent="0.45">
      <c r="A155" t="str">
        <f>PROPER('Project Tracker'!A155)</f>
        <v>Seo Audit</v>
      </c>
      <c r="B155" t="str">
        <f>'Project Tracker'!B155</f>
        <v>Suarez LLC</v>
      </c>
      <c r="C155" s="5">
        <f>'Project Tracker'!C155</f>
        <v>3493</v>
      </c>
      <c r="D155">
        <f>'Project Tracker'!D155</f>
        <v>54</v>
      </c>
      <c r="E155" s="6">
        <f>'Project Tracker'!E155</f>
        <v>45295</v>
      </c>
      <c r="F155" t="str">
        <f>PROPER('Project Tracker'!F155)</f>
        <v>Yes</v>
      </c>
      <c r="G155" s="5">
        <f>'Project Tracker'!G155</f>
        <v>64.69</v>
      </c>
    </row>
    <row r="156" spans="1:7" x14ac:dyDescent="0.45">
      <c r="A156" t="str">
        <f>PROPER('Project Tracker'!A156)</f>
        <v>Data Dashboard</v>
      </c>
      <c r="B156" t="str">
        <f>'Project Tracker'!B156</f>
        <v>Brown, Valdez and Lucas</v>
      </c>
      <c r="C156" s="5">
        <f>'Project Tracker'!C156</f>
        <v>6034</v>
      </c>
      <c r="D156">
        <f>'Project Tracker'!D156</f>
        <v>59</v>
      </c>
      <c r="E156" s="6">
        <f>'Project Tracker'!E156</f>
        <v>45352</v>
      </c>
      <c r="F156" t="str">
        <f>PROPER('Project Tracker'!F156)</f>
        <v>No</v>
      </c>
      <c r="G156" s="5">
        <f>'Project Tracker'!G156</f>
        <v>102.27</v>
      </c>
    </row>
    <row r="157" spans="1:7" x14ac:dyDescent="0.45">
      <c r="A157" t="str">
        <f>PROPER('Project Tracker'!A157)</f>
        <v>App Prototype</v>
      </c>
      <c r="B157" t="str">
        <f>'Project Tracker'!B157</f>
        <v>Rodriguez LLC</v>
      </c>
      <c r="C157" s="5">
        <f>'Project Tracker'!C157</f>
        <v>4382</v>
      </c>
      <c r="D157">
        <f>'Project Tracker'!D157</f>
        <v>73</v>
      </c>
      <c r="E157" s="6">
        <f>'Project Tracker'!E157</f>
        <v>45291</v>
      </c>
      <c r="F157" t="str">
        <f>PROPER('Project Tracker'!F157)</f>
        <v>Yes</v>
      </c>
      <c r="G157" s="5">
        <f>'Project Tracker'!G157</f>
        <v>60.03</v>
      </c>
    </row>
    <row r="158" spans="1:7" x14ac:dyDescent="0.45">
      <c r="A158" t="str">
        <f>PROPER('Project Tracker'!A158)</f>
        <v>Data Dashboard</v>
      </c>
      <c r="B158" t="str">
        <f>'Project Tracker'!B158</f>
        <v>Ferrell, Rice and Maddox</v>
      </c>
      <c r="C158" s="5">
        <f>'Project Tracker'!C158</f>
        <v>3388</v>
      </c>
      <c r="D158">
        <f>'Project Tracker'!D158</f>
        <v>30</v>
      </c>
      <c r="E158" s="6">
        <f>'Project Tracker'!E158</f>
        <v>45359</v>
      </c>
      <c r="F158" t="str">
        <f>PROPER('Project Tracker'!F158)</f>
        <v>No</v>
      </c>
      <c r="G158" s="5">
        <f>'Project Tracker'!G158</f>
        <v>112.93</v>
      </c>
    </row>
    <row r="159" spans="1:7" x14ac:dyDescent="0.45">
      <c r="A159" t="str">
        <f>PROPER('Project Tracker'!A159)</f>
        <v>Data Dashboard</v>
      </c>
      <c r="B159" t="str">
        <f>'Project Tracker'!B159</f>
        <v>Galloway-Wyatt</v>
      </c>
      <c r="C159" s="5">
        <f>'Project Tracker'!C159</f>
        <v>5889</v>
      </c>
      <c r="D159">
        <f>'Project Tracker'!D159</f>
        <v>38</v>
      </c>
      <c r="E159" s="6">
        <f>'Project Tracker'!E159</f>
        <v>45395</v>
      </c>
      <c r="F159" t="str">
        <f>PROPER('Project Tracker'!F159)</f>
        <v>No</v>
      </c>
      <c r="G159" s="5">
        <f>'Project Tracker'!G159</f>
        <v>154.97</v>
      </c>
    </row>
    <row r="160" spans="1:7" x14ac:dyDescent="0.45">
      <c r="A160" t="str">
        <f>PROPER('Project Tracker'!A160)</f>
        <v>Marketing Campaign</v>
      </c>
      <c r="B160" t="str">
        <f>'Project Tracker'!B160</f>
        <v>Campbell-Clark</v>
      </c>
      <c r="C160" s="5">
        <f>'Project Tracker'!C160</f>
        <v>5466</v>
      </c>
      <c r="D160">
        <f>'Project Tracker'!D160</f>
        <v>50</v>
      </c>
      <c r="E160" s="6">
        <f>'Project Tracker'!E160</f>
        <v>45255</v>
      </c>
      <c r="F160" t="str">
        <f>PROPER('Project Tracker'!F160)</f>
        <v>Yes</v>
      </c>
      <c r="G160" s="5">
        <f>'Project Tracker'!G160</f>
        <v>109.32</v>
      </c>
    </row>
    <row r="161" spans="1:7" x14ac:dyDescent="0.45">
      <c r="A161" t="str">
        <f>PROPER('Project Tracker'!A161)</f>
        <v>App Prototype</v>
      </c>
      <c r="B161" t="str">
        <f>'Project Tracker'!B161</f>
        <v>Woods, Calhoun and Schmidt</v>
      </c>
      <c r="C161" s="5">
        <f>'Project Tracker'!C161</f>
        <v>3818</v>
      </c>
      <c r="D161">
        <f>'Project Tracker'!D161</f>
        <v>27</v>
      </c>
      <c r="E161" s="6">
        <f>'Project Tracker'!E161</f>
        <v>45370</v>
      </c>
      <c r="F161" t="str">
        <f>PROPER('Project Tracker'!F161)</f>
        <v>No</v>
      </c>
      <c r="G161" s="5">
        <f>'Project Tracker'!G161</f>
        <v>141.41</v>
      </c>
    </row>
    <row r="162" spans="1:7" x14ac:dyDescent="0.45">
      <c r="A162" t="str">
        <f>PROPER('Project Tracker'!A162)</f>
        <v>Data Dashboard</v>
      </c>
      <c r="B162" t="str">
        <f>'Project Tracker'!B162</f>
        <v>Snyder, Campos and Callahan</v>
      </c>
      <c r="C162" s="5">
        <f>'Project Tracker'!C162</f>
        <v>4456</v>
      </c>
      <c r="D162">
        <f>'Project Tracker'!D162</f>
        <v>37</v>
      </c>
      <c r="E162" s="6">
        <f>'Project Tracker'!E162</f>
        <v>45405</v>
      </c>
      <c r="F162" t="str">
        <f>PROPER('Project Tracker'!F162)</f>
        <v>Yes</v>
      </c>
      <c r="G162" s="5">
        <f>'Project Tracker'!G162</f>
        <v>120.43</v>
      </c>
    </row>
    <row r="163" spans="1:7" x14ac:dyDescent="0.45">
      <c r="A163" t="str">
        <f>PROPER('Project Tracker'!A163)</f>
        <v>Website Redesign</v>
      </c>
      <c r="B163" t="str">
        <f>'Project Tracker'!B163</f>
        <v>Turner, Riggs and Roman</v>
      </c>
      <c r="C163" s="5">
        <f>'Project Tracker'!C163</f>
        <v>5875</v>
      </c>
      <c r="D163">
        <f>'Project Tracker'!D163</f>
        <v>31</v>
      </c>
      <c r="E163" s="6">
        <f>'Project Tracker'!E163</f>
        <v>45289</v>
      </c>
      <c r="F163" t="str">
        <f>PROPER('Project Tracker'!F163)</f>
        <v>Yes</v>
      </c>
      <c r="G163" s="5">
        <f>'Project Tracker'!G163</f>
        <v>189.52</v>
      </c>
    </row>
    <row r="164" spans="1:7" x14ac:dyDescent="0.45">
      <c r="A164" t="str">
        <f>PROPER('Project Tracker'!A164)</f>
        <v>Website Redesign</v>
      </c>
      <c r="B164" t="str">
        <f>'Project Tracker'!B164</f>
        <v>Blake and Sons</v>
      </c>
      <c r="C164" s="5">
        <f>'Project Tracker'!C164</f>
        <v>6033</v>
      </c>
      <c r="D164">
        <f>'Project Tracker'!D164</f>
        <v>52</v>
      </c>
      <c r="E164" s="6">
        <f>'Project Tracker'!E164</f>
        <v>45329</v>
      </c>
      <c r="F164" t="str">
        <f>PROPER('Project Tracker'!F164)</f>
        <v>No</v>
      </c>
      <c r="G164" s="5">
        <f>'Project Tracker'!G164</f>
        <v>116.02</v>
      </c>
    </row>
    <row r="165" spans="1:7" x14ac:dyDescent="0.45">
      <c r="A165" t="str">
        <f>PROPER('Project Tracker'!A165)</f>
        <v>Seo Audit</v>
      </c>
      <c r="B165" t="str">
        <f>'Project Tracker'!B165</f>
        <v>Mcclure, Ward and Lee</v>
      </c>
      <c r="C165" s="5">
        <f>'Project Tracker'!C165</f>
        <v>1600</v>
      </c>
      <c r="D165">
        <f>'Project Tracker'!D165</f>
        <v>51</v>
      </c>
      <c r="E165" s="6">
        <f>'Project Tracker'!E165</f>
        <v>45291</v>
      </c>
      <c r="F165" t="str">
        <f>PROPER('Project Tracker'!F165)</f>
        <v>No</v>
      </c>
      <c r="G165" s="5">
        <f>'Project Tracker'!G165</f>
        <v>31.37</v>
      </c>
    </row>
    <row r="166" spans="1:7" x14ac:dyDescent="0.45">
      <c r="A166" t="str">
        <f>PROPER('Project Tracker'!A166)</f>
        <v>Seo Audit</v>
      </c>
      <c r="B166" t="str">
        <f>'Project Tracker'!B166</f>
        <v>Washington, Ryan and Cummings</v>
      </c>
      <c r="C166" s="5">
        <f>'Project Tracker'!C166</f>
        <v>4291</v>
      </c>
      <c r="D166">
        <f>'Project Tracker'!D166</f>
        <v>38</v>
      </c>
      <c r="E166" s="6">
        <f>'Project Tracker'!E166</f>
        <v>45360</v>
      </c>
      <c r="F166" t="str">
        <f>PROPER('Project Tracker'!F166)</f>
        <v>Yes</v>
      </c>
      <c r="G166" s="5">
        <f>'Project Tracker'!G166</f>
        <v>112.92</v>
      </c>
    </row>
    <row r="167" spans="1:7" x14ac:dyDescent="0.45">
      <c r="A167" t="str">
        <f>PROPER('Project Tracker'!A167)</f>
        <v>Data Dashboard</v>
      </c>
      <c r="B167" t="str">
        <f>'Project Tracker'!B167</f>
        <v>Powell LLC</v>
      </c>
      <c r="C167" s="5">
        <f>'Project Tracker'!C167</f>
        <v>2434</v>
      </c>
      <c r="D167">
        <f>'Project Tracker'!D167</f>
        <v>23</v>
      </c>
      <c r="E167" s="6">
        <f>'Project Tracker'!E167</f>
        <v>45310</v>
      </c>
      <c r="F167" t="str">
        <f>PROPER('Project Tracker'!F167)</f>
        <v>No</v>
      </c>
      <c r="G167" s="5">
        <f>'Project Tracker'!G167</f>
        <v>105.83</v>
      </c>
    </row>
    <row r="168" spans="1:7" x14ac:dyDescent="0.45">
      <c r="A168" t="str">
        <f>PROPER('Project Tracker'!A168)</f>
        <v>Seo Audit</v>
      </c>
      <c r="B168" t="str">
        <f>'Project Tracker'!B168</f>
        <v>Abbott-Munoz</v>
      </c>
      <c r="C168" s="5">
        <f>'Project Tracker'!C168</f>
        <v>6226</v>
      </c>
      <c r="D168">
        <f>'Project Tracker'!D168</f>
        <v>21</v>
      </c>
      <c r="E168" s="6">
        <f>'Project Tracker'!E168</f>
        <v>45294</v>
      </c>
      <c r="F168" t="str">
        <f>PROPER('Project Tracker'!F168)</f>
        <v>No</v>
      </c>
      <c r="G168" s="5">
        <f>'Project Tracker'!G168</f>
        <v>296.48</v>
      </c>
    </row>
    <row r="169" spans="1:7" x14ac:dyDescent="0.45">
      <c r="A169" t="str">
        <f>PROPER('Project Tracker'!A169)</f>
        <v>Marketing Campaign</v>
      </c>
      <c r="B169" t="str">
        <f>'Project Tracker'!B169</f>
        <v>Henderson-Bernard</v>
      </c>
      <c r="C169" s="5">
        <f>'Project Tracker'!C169</f>
        <v>3989</v>
      </c>
      <c r="D169">
        <f>'Project Tracker'!D169</f>
        <v>25</v>
      </c>
      <c r="E169" s="6">
        <f>'Project Tracker'!E169</f>
        <v>45309</v>
      </c>
      <c r="F169" t="str">
        <f>PROPER('Project Tracker'!F169)</f>
        <v>No</v>
      </c>
      <c r="G169" s="5">
        <f>'Project Tracker'!G169</f>
        <v>159.56</v>
      </c>
    </row>
    <row r="170" spans="1:7" x14ac:dyDescent="0.45">
      <c r="A170" t="str">
        <f>PROPER('Project Tracker'!A170)</f>
        <v>Website Redesign</v>
      </c>
      <c r="B170" t="str">
        <f>'Project Tracker'!B170</f>
        <v>House-Glover</v>
      </c>
      <c r="C170" s="5">
        <f>'Project Tracker'!C170</f>
        <v>4909</v>
      </c>
      <c r="D170">
        <f>'Project Tracker'!D170</f>
        <v>43</v>
      </c>
      <c r="E170" s="6">
        <f>'Project Tracker'!E170</f>
        <v>45366</v>
      </c>
      <c r="F170" t="str">
        <f>PROPER('Project Tracker'!F170)</f>
        <v>Yes</v>
      </c>
      <c r="G170" s="5">
        <f>'Project Tracker'!G170</f>
        <v>114.16</v>
      </c>
    </row>
    <row r="171" spans="1:7" x14ac:dyDescent="0.45">
      <c r="A171" t="str">
        <f>PROPER('Project Tracker'!A171)</f>
        <v>Seo Audit</v>
      </c>
      <c r="B171" t="str">
        <f>'Project Tracker'!B171</f>
        <v>Johnston, Sanchez and Kennedy</v>
      </c>
      <c r="C171" s="5">
        <f>'Project Tracker'!C171</f>
        <v>5126</v>
      </c>
      <c r="D171">
        <f>'Project Tracker'!D171</f>
        <v>53</v>
      </c>
      <c r="E171" s="6">
        <f>'Project Tracker'!E171</f>
        <v>45288</v>
      </c>
      <c r="F171" t="str">
        <f>PROPER('Project Tracker'!F171)</f>
        <v>Yes</v>
      </c>
      <c r="G171" s="5">
        <f>'Project Tracker'!G171</f>
        <v>96.72</v>
      </c>
    </row>
    <row r="172" spans="1:7" x14ac:dyDescent="0.45">
      <c r="A172" t="str">
        <f>PROPER('Project Tracker'!A172)</f>
        <v>Seo Audit</v>
      </c>
      <c r="B172" t="str">
        <f>'Project Tracker'!B172</f>
        <v>Romero, Gonzalez and Brooks</v>
      </c>
      <c r="C172" s="5">
        <f>'Project Tracker'!C172</f>
        <v>6158</v>
      </c>
      <c r="D172">
        <f>'Project Tracker'!D172</f>
        <v>22</v>
      </c>
      <c r="E172" s="6">
        <f>'Project Tracker'!E172</f>
        <v>45338</v>
      </c>
      <c r="F172" t="str">
        <f>PROPER('Project Tracker'!F172)</f>
        <v>Yes</v>
      </c>
      <c r="G172" s="5">
        <f>'Project Tracker'!G172</f>
        <v>279.91000000000003</v>
      </c>
    </row>
    <row r="173" spans="1:7" x14ac:dyDescent="0.45">
      <c r="A173" t="str">
        <f>PROPER('Project Tracker'!A173)</f>
        <v>Website Redesign</v>
      </c>
      <c r="B173" t="str">
        <f>'Project Tracker'!B173</f>
        <v>Davis Group</v>
      </c>
      <c r="C173" s="5">
        <f>'Project Tracker'!C173</f>
        <v>3202</v>
      </c>
      <c r="D173">
        <f>'Project Tracker'!D173</f>
        <v>42</v>
      </c>
      <c r="E173" s="6">
        <f>'Project Tracker'!E173</f>
        <v>45255</v>
      </c>
      <c r="F173" t="str">
        <f>PROPER('Project Tracker'!F173)</f>
        <v>Yes</v>
      </c>
      <c r="G173" s="5">
        <f>'Project Tracker'!G173</f>
        <v>76.239999999999995</v>
      </c>
    </row>
    <row r="174" spans="1:7" x14ac:dyDescent="0.45">
      <c r="A174" t="str">
        <f>PROPER('Project Tracker'!A174)</f>
        <v>Website Redesign</v>
      </c>
      <c r="B174" t="str">
        <f>'Project Tracker'!B174</f>
        <v>Gray-Mayo</v>
      </c>
      <c r="C174" s="5">
        <f>'Project Tracker'!C174</f>
        <v>3464</v>
      </c>
      <c r="D174">
        <f>'Project Tracker'!D174</f>
        <v>37</v>
      </c>
      <c r="E174" s="6">
        <f>'Project Tracker'!E174</f>
        <v>45268</v>
      </c>
      <c r="F174" t="str">
        <f>PROPER('Project Tracker'!F174)</f>
        <v>Yes</v>
      </c>
      <c r="G174" s="5">
        <f>'Project Tracker'!G174</f>
        <v>93.62</v>
      </c>
    </row>
    <row r="175" spans="1:7" x14ac:dyDescent="0.45">
      <c r="A175" t="str">
        <f>PROPER('Project Tracker'!A175)</f>
        <v>Website Redesign</v>
      </c>
      <c r="B175" t="str">
        <f>'Project Tracker'!B175</f>
        <v>Gray-Mayo</v>
      </c>
      <c r="C175" s="5">
        <f>'Project Tracker'!C175</f>
        <v>1521</v>
      </c>
      <c r="D175">
        <f>'Project Tracker'!D175</f>
        <v>67</v>
      </c>
      <c r="E175" s="6">
        <f>'Project Tracker'!E175</f>
        <v>45312</v>
      </c>
      <c r="F175" t="str">
        <f>PROPER('Project Tracker'!F175)</f>
        <v>No</v>
      </c>
      <c r="G175" s="5">
        <f>'Project Tracker'!G175</f>
        <v>22.7</v>
      </c>
    </row>
    <row r="176" spans="1:7" x14ac:dyDescent="0.45">
      <c r="A176" t="str">
        <f>PROPER('Project Tracker'!A176)</f>
        <v>App Prototype</v>
      </c>
      <c r="B176" t="str">
        <f>'Project Tracker'!B176</f>
        <v>Brown, Valdez and Lucas</v>
      </c>
      <c r="C176" s="5">
        <f>'Project Tracker'!C176</f>
        <v>3885</v>
      </c>
      <c r="D176">
        <f>'Project Tracker'!D176</f>
        <v>19</v>
      </c>
      <c r="E176" s="6">
        <f>'Project Tracker'!E176</f>
        <v>45360</v>
      </c>
      <c r="F176" t="str">
        <f>PROPER('Project Tracker'!F176)</f>
        <v>No</v>
      </c>
      <c r="G176" s="5">
        <f>'Project Tracker'!G176</f>
        <v>204.47</v>
      </c>
    </row>
    <row r="177" spans="1:7" x14ac:dyDescent="0.45">
      <c r="A177" t="str">
        <f>PROPER('Project Tracker'!A177)</f>
        <v>Data Dashboard</v>
      </c>
      <c r="B177" t="str">
        <f>'Project Tracker'!B177</f>
        <v>Turner, Riggs and Roman</v>
      </c>
      <c r="C177" s="5">
        <f>'Project Tracker'!C177</f>
        <v>3816</v>
      </c>
      <c r="D177">
        <f>'Project Tracker'!D177</f>
        <v>73</v>
      </c>
      <c r="E177" s="6">
        <f>'Project Tracker'!E177</f>
        <v>45304</v>
      </c>
      <c r="F177" t="str">
        <f>PROPER('Project Tracker'!F177)</f>
        <v>Yes</v>
      </c>
      <c r="G177" s="5">
        <f>'Project Tracker'!G177</f>
        <v>52.27</v>
      </c>
    </row>
    <row r="178" spans="1:7" x14ac:dyDescent="0.45">
      <c r="A178" t="str">
        <f>PROPER('Project Tracker'!A178)</f>
        <v>Marketing Campaign</v>
      </c>
      <c r="B178" t="str">
        <f>'Project Tracker'!B178</f>
        <v>Frazier Inc</v>
      </c>
      <c r="C178" s="5">
        <f>'Project Tracker'!C178</f>
        <v>6620</v>
      </c>
      <c r="D178">
        <f>'Project Tracker'!D178</f>
        <v>40</v>
      </c>
      <c r="E178" s="6">
        <f>'Project Tracker'!E178</f>
        <v>45362</v>
      </c>
      <c r="F178" t="str">
        <f>PROPER('Project Tracker'!F178)</f>
        <v>No</v>
      </c>
      <c r="G178" s="5">
        <f>'Project Tracker'!G178</f>
        <v>165.5</v>
      </c>
    </row>
    <row r="179" spans="1:7" x14ac:dyDescent="0.45">
      <c r="A179" t="str">
        <f>PROPER('Project Tracker'!A179)</f>
        <v>Website Redesign</v>
      </c>
      <c r="B179" t="str">
        <f>'Project Tracker'!B179</f>
        <v>Hancock Inc</v>
      </c>
      <c r="C179" s="5">
        <f>'Project Tracker'!C179</f>
        <v>3341</v>
      </c>
      <c r="D179">
        <f>'Project Tracker'!D179</f>
        <v>34</v>
      </c>
      <c r="E179" s="6">
        <f>'Project Tracker'!E179</f>
        <v>45376</v>
      </c>
      <c r="F179" t="str">
        <f>PROPER('Project Tracker'!F179)</f>
        <v>Yes</v>
      </c>
      <c r="G179" s="5">
        <f>'Project Tracker'!G179</f>
        <v>98.26</v>
      </c>
    </row>
    <row r="180" spans="1:7" x14ac:dyDescent="0.45">
      <c r="A180" t="str">
        <f>PROPER('Project Tracker'!A180)</f>
        <v>Marketing Campaign</v>
      </c>
      <c r="B180" t="str">
        <f>'Project Tracker'!B180</f>
        <v>Abbott-Munoz</v>
      </c>
      <c r="C180" s="5">
        <f>'Project Tracker'!C180</f>
        <v>1988</v>
      </c>
      <c r="D180">
        <f>'Project Tracker'!D180</f>
        <v>36</v>
      </c>
      <c r="E180" s="6">
        <f>'Project Tracker'!E180</f>
        <v>45406</v>
      </c>
      <c r="F180" t="str">
        <f>PROPER('Project Tracker'!F180)</f>
        <v>Yes</v>
      </c>
      <c r="G180" s="5">
        <f>'Project Tracker'!G180</f>
        <v>55.22</v>
      </c>
    </row>
    <row r="181" spans="1:7" x14ac:dyDescent="0.45">
      <c r="A181" t="str">
        <f>PROPER('Project Tracker'!A181)</f>
        <v>App Prototype</v>
      </c>
      <c r="B181" t="str">
        <f>'Project Tracker'!B181</f>
        <v>Harris-Walters</v>
      </c>
      <c r="C181" s="5">
        <f>'Project Tracker'!C181</f>
        <v>6162</v>
      </c>
      <c r="D181">
        <f>'Project Tracker'!D181</f>
        <v>51</v>
      </c>
      <c r="E181" s="6">
        <f>'Project Tracker'!E181</f>
        <v>45264</v>
      </c>
      <c r="F181" t="str">
        <f>PROPER('Project Tracker'!F181)</f>
        <v>No</v>
      </c>
      <c r="G181" s="5">
        <f>'Project Tracker'!G181</f>
        <v>120.82</v>
      </c>
    </row>
    <row r="182" spans="1:7" x14ac:dyDescent="0.45">
      <c r="A182" t="str">
        <f>PROPER('Project Tracker'!A182)</f>
        <v>Website Redesign</v>
      </c>
      <c r="B182" t="str">
        <f>'Project Tracker'!B182</f>
        <v>Gomez-Jenkins</v>
      </c>
      <c r="C182" s="5">
        <f>'Project Tracker'!C182</f>
        <v>3991</v>
      </c>
      <c r="D182">
        <f>'Project Tracker'!D182</f>
        <v>66</v>
      </c>
      <c r="E182" s="6">
        <f>'Project Tracker'!E182</f>
        <v>45350</v>
      </c>
      <c r="F182" t="str">
        <f>PROPER('Project Tracker'!F182)</f>
        <v>Yes</v>
      </c>
      <c r="G182" s="5">
        <f>'Project Tracker'!G182</f>
        <v>60.47</v>
      </c>
    </row>
    <row r="183" spans="1:7" x14ac:dyDescent="0.45">
      <c r="A183" t="str">
        <f>PROPER('Project Tracker'!A183)</f>
        <v>App Prototype</v>
      </c>
      <c r="B183" t="str">
        <f>'Project Tracker'!B183</f>
        <v>Hancock Inc</v>
      </c>
      <c r="C183" s="5">
        <f>'Project Tracker'!C183</f>
        <v>5545</v>
      </c>
      <c r="D183">
        <f>'Project Tracker'!D183</f>
        <v>71</v>
      </c>
      <c r="E183" s="6">
        <f>'Project Tracker'!E183</f>
        <v>45341</v>
      </c>
      <c r="F183" t="str">
        <f>PROPER('Project Tracker'!F183)</f>
        <v>Yes</v>
      </c>
      <c r="G183" s="5">
        <f>'Project Tracker'!G183</f>
        <v>78.099999999999994</v>
      </c>
    </row>
    <row r="184" spans="1:7" x14ac:dyDescent="0.45">
      <c r="A184" t="str">
        <f>PROPER('Project Tracker'!A184)</f>
        <v>App Prototype</v>
      </c>
      <c r="B184" t="str">
        <f>'Project Tracker'!B184</f>
        <v>Gardner, Robinson and Lawrence</v>
      </c>
      <c r="C184" s="5">
        <f>'Project Tracker'!C184</f>
        <v>5039</v>
      </c>
      <c r="D184">
        <f>'Project Tracker'!D184</f>
        <v>56</v>
      </c>
      <c r="E184" s="6">
        <f>'Project Tracker'!E184</f>
        <v>45289</v>
      </c>
      <c r="F184" t="str">
        <f>PROPER('Project Tracker'!F184)</f>
        <v>Yes</v>
      </c>
      <c r="G184" s="5">
        <f>'Project Tracker'!G184</f>
        <v>89.98</v>
      </c>
    </row>
    <row r="185" spans="1:7" x14ac:dyDescent="0.45">
      <c r="A185" t="str">
        <f>PROPER('Project Tracker'!A185)</f>
        <v>Data Dashboard</v>
      </c>
      <c r="B185" t="str">
        <f>'Project Tracker'!B185</f>
        <v>Davis and Sons</v>
      </c>
      <c r="C185" s="5">
        <f>'Project Tracker'!C185</f>
        <v>2248</v>
      </c>
      <c r="D185">
        <f>'Project Tracker'!D185</f>
        <v>44</v>
      </c>
      <c r="E185" s="6">
        <f>'Project Tracker'!E185</f>
        <v>45309</v>
      </c>
      <c r="F185" t="str">
        <f>PROPER('Project Tracker'!F185)</f>
        <v>Yes</v>
      </c>
      <c r="G185" s="5">
        <f>'Project Tracker'!G185</f>
        <v>51.09</v>
      </c>
    </row>
    <row r="186" spans="1:7" x14ac:dyDescent="0.45">
      <c r="A186" t="str">
        <f>PROPER('Project Tracker'!A186)</f>
        <v>App Prototype</v>
      </c>
      <c r="B186" t="str">
        <f>'Project Tracker'!B186</f>
        <v>Mcclain, Miller and Henderson</v>
      </c>
      <c r="C186" s="5">
        <f>'Project Tracker'!C186</f>
        <v>3707</v>
      </c>
      <c r="D186">
        <f>'Project Tracker'!D186</f>
        <v>20</v>
      </c>
      <c r="E186" s="6">
        <f>'Project Tracker'!E186</f>
        <v>45337</v>
      </c>
      <c r="F186" t="str">
        <f>PROPER('Project Tracker'!F186)</f>
        <v>No</v>
      </c>
      <c r="G186" s="5">
        <f>'Project Tracker'!G186</f>
        <v>185.35</v>
      </c>
    </row>
    <row r="187" spans="1:7" x14ac:dyDescent="0.45">
      <c r="A187" t="str">
        <f>PROPER('Project Tracker'!A187)</f>
        <v>Seo Audit</v>
      </c>
      <c r="B187" t="str">
        <f>'Project Tracker'!B187</f>
        <v>Williams PLC</v>
      </c>
      <c r="C187" s="5">
        <f>'Project Tracker'!C187</f>
        <v>6837</v>
      </c>
      <c r="D187">
        <f>'Project Tracker'!D187</f>
        <v>71</v>
      </c>
      <c r="E187" s="6">
        <f>'Project Tracker'!E187</f>
        <v>45392</v>
      </c>
      <c r="F187" t="str">
        <f>PROPER('Project Tracker'!F187)</f>
        <v>Yes</v>
      </c>
      <c r="G187" s="5">
        <f>'Project Tracker'!G187</f>
        <v>96.3</v>
      </c>
    </row>
    <row r="188" spans="1:7" x14ac:dyDescent="0.45">
      <c r="A188" t="str">
        <f>PROPER('Project Tracker'!A188)</f>
        <v>Marketing Campaign</v>
      </c>
      <c r="B188" t="str">
        <f>'Project Tracker'!B188</f>
        <v>Novak PLC</v>
      </c>
      <c r="C188" s="5">
        <f>'Project Tracker'!C188</f>
        <v>5070</v>
      </c>
      <c r="D188">
        <f>'Project Tracker'!D188</f>
        <v>77</v>
      </c>
      <c r="E188" s="6">
        <f>'Project Tracker'!E188</f>
        <v>45231</v>
      </c>
      <c r="F188" t="str">
        <f>PROPER('Project Tracker'!F188)</f>
        <v>Yes</v>
      </c>
      <c r="G188" s="5">
        <f>'Project Tracker'!G188</f>
        <v>65.84</v>
      </c>
    </row>
    <row r="189" spans="1:7" x14ac:dyDescent="0.45">
      <c r="A189" t="str">
        <f>PROPER('Project Tracker'!A189)</f>
        <v>Seo Audit</v>
      </c>
      <c r="B189" t="str">
        <f>'Project Tracker'!B189</f>
        <v>Arroyo, Miller and Tucker</v>
      </c>
      <c r="C189" s="5">
        <f>'Project Tracker'!C189</f>
        <v>4845</v>
      </c>
      <c r="D189">
        <f>'Project Tracker'!D189</f>
        <v>57</v>
      </c>
      <c r="E189" s="6">
        <f>'Project Tracker'!E189</f>
        <v>45290</v>
      </c>
      <c r="F189" t="str">
        <f>PROPER('Project Tracker'!F189)</f>
        <v>Yes</v>
      </c>
      <c r="G189" s="5">
        <f>'Project Tracker'!G189</f>
        <v>85</v>
      </c>
    </row>
    <row r="190" spans="1:7" x14ac:dyDescent="0.45">
      <c r="A190" t="str">
        <f>PROPER('Project Tracker'!A190)</f>
        <v>Website Redesign</v>
      </c>
      <c r="B190" t="str">
        <f>'Project Tracker'!B190</f>
        <v>Gray-Mayo</v>
      </c>
      <c r="C190" s="5">
        <f>'Project Tracker'!C190</f>
        <v>4201</v>
      </c>
      <c r="D190">
        <f>'Project Tracker'!D190</f>
        <v>67</v>
      </c>
      <c r="E190" s="6">
        <f>'Project Tracker'!E190</f>
        <v>45286</v>
      </c>
      <c r="F190" t="str">
        <f>PROPER('Project Tracker'!F190)</f>
        <v>No</v>
      </c>
      <c r="G190" s="5">
        <f>'Project Tracker'!G190</f>
        <v>62.7</v>
      </c>
    </row>
    <row r="191" spans="1:7" x14ac:dyDescent="0.45">
      <c r="A191" t="str">
        <f>PROPER('Project Tracker'!A191)</f>
        <v>Data Dashboard</v>
      </c>
      <c r="B191" t="str">
        <f>'Project Tracker'!B191</f>
        <v>Evans, Stewart and Walton</v>
      </c>
      <c r="C191" s="5">
        <f>'Project Tracker'!C191</f>
        <v>4780</v>
      </c>
      <c r="D191">
        <f>'Project Tracker'!D191</f>
        <v>19</v>
      </c>
      <c r="E191" s="6">
        <f>'Project Tracker'!E191</f>
        <v>45271</v>
      </c>
      <c r="F191" t="str">
        <f>PROPER('Project Tracker'!F191)</f>
        <v>No</v>
      </c>
      <c r="G191" s="5">
        <f>'Project Tracker'!G191</f>
        <v>251.58</v>
      </c>
    </row>
    <row r="192" spans="1:7" x14ac:dyDescent="0.45">
      <c r="A192" t="str">
        <f>PROPER('Project Tracker'!A192)</f>
        <v>Website Redesign</v>
      </c>
      <c r="B192" t="str">
        <f>'Project Tracker'!B192</f>
        <v>Ryan PLC</v>
      </c>
      <c r="C192" s="5">
        <f>'Project Tracker'!C192</f>
        <v>3567</v>
      </c>
      <c r="D192">
        <f>'Project Tracker'!D192</f>
        <v>56</v>
      </c>
      <c r="E192" s="6">
        <f>'Project Tracker'!E192</f>
        <v>45314</v>
      </c>
      <c r="F192" t="str">
        <f>PROPER('Project Tracker'!F192)</f>
        <v>Yes</v>
      </c>
      <c r="G192" s="5">
        <f>'Project Tracker'!G192</f>
        <v>63.7</v>
      </c>
    </row>
    <row r="193" spans="1:7" x14ac:dyDescent="0.45">
      <c r="A193" t="str">
        <f>PROPER('Project Tracker'!A193)</f>
        <v>Seo Audit</v>
      </c>
      <c r="B193" t="str">
        <f>'Project Tracker'!B193</f>
        <v>Morton-Chase</v>
      </c>
      <c r="C193" s="5">
        <f>'Project Tracker'!C193</f>
        <v>1509</v>
      </c>
      <c r="D193">
        <f>'Project Tracker'!D193</f>
        <v>74</v>
      </c>
      <c r="E193" s="6">
        <f>'Project Tracker'!E193</f>
        <v>45383</v>
      </c>
      <c r="F193" t="str">
        <f>PROPER('Project Tracker'!F193)</f>
        <v>No</v>
      </c>
      <c r="G193" s="5">
        <f>'Project Tracker'!G193</f>
        <v>20.39</v>
      </c>
    </row>
    <row r="194" spans="1:7" x14ac:dyDescent="0.45">
      <c r="A194" t="str">
        <f>PROPER('Project Tracker'!A194)</f>
        <v>Website Redesign</v>
      </c>
      <c r="B194" t="str">
        <f>'Project Tracker'!B194</f>
        <v>Walter, Edwards and Rios</v>
      </c>
      <c r="C194" s="5">
        <f>'Project Tracker'!C194</f>
        <v>5747</v>
      </c>
      <c r="D194">
        <f>'Project Tracker'!D194</f>
        <v>61</v>
      </c>
      <c r="E194" s="6">
        <f>'Project Tracker'!E194</f>
        <v>45343</v>
      </c>
      <c r="F194" t="str">
        <f>PROPER('Project Tracker'!F194)</f>
        <v>Yes</v>
      </c>
      <c r="G194" s="5">
        <f>'Project Tracker'!G194</f>
        <v>94.21</v>
      </c>
    </row>
    <row r="195" spans="1:7" x14ac:dyDescent="0.45">
      <c r="A195" t="str">
        <f>PROPER('Project Tracker'!A195)</f>
        <v>Seo Audit</v>
      </c>
      <c r="B195" t="str">
        <f>'Project Tracker'!B195</f>
        <v>Sanchez, Wheeler and Harvey</v>
      </c>
      <c r="C195" s="5">
        <f>'Project Tracker'!C195</f>
        <v>5121</v>
      </c>
      <c r="D195">
        <f>'Project Tracker'!D195</f>
        <v>21</v>
      </c>
      <c r="E195" s="6">
        <f>'Project Tracker'!E195</f>
        <v>45348</v>
      </c>
      <c r="F195" t="str">
        <f>PROPER('Project Tracker'!F195)</f>
        <v>No</v>
      </c>
      <c r="G195" s="5">
        <f>'Project Tracker'!G195</f>
        <v>243.86</v>
      </c>
    </row>
    <row r="196" spans="1:7" x14ac:dyDescent="0.45">
      <c r="A196" t="str">
        <f>PROPER('Project Tracker'!A196)</f>
        <v>Data Dashboard</v>
      </c>
      <c r="B196" t="str">
        <f>'Project Tracker'!B196</f>
        <v>Gray Group</v>
      </c>
      <c r="C196" s="5">
        <f>'Project Tracker'!C196</f>
        <v>2573</v>
      </c>
      <c r="D196">
        <f>'Project Tracker'!D196</f>
        <v>51</v>
      </c>
      <c r="E196" s="6">
        <f>'Project Tracker'!E196</f>
        <v>45358</v>
      </c>
      <c r="F196" t="str">
        <f>PROPER('Project Tracker'!F196)</f>
        <v>No</v>
      </c>
      <c r="G196" s="5">
        <f>'Project Tracker'!G196</f>
        <v>50.45</v>
      </c>
    </row>
    <row r="197" spans="1:7" x14ac:dyDescent="0.45">
      <c r="A197" t="str">
        <f>PROPER('Project Tracker'!A197)</f>
        <v>Seo Audit</v>
      </c>
      <c r="B197" t="str">
        <f>'Project Tracker'!B197</f>
        <v>Galloway-Wyatt</v>
      </c>
      <c r="C197" s="5">
        <f>'Project Tracker'!C197</f>
        <v>1736</v>
      </c>
      <c r="D197">
        <f>'Project Tracker'!D197</f>
        <v>45</v>
      </c>
      <c r="E197" s="6">
        <f>'Project Tracker'!E197</f>
        <v>45293</v>
      </c>
      <c r="F197" t="str">
        <f>PROPER('Project Tracker'!F197)</f>
        <v>No</v>
      </c>
      <c r="G197" s="5">
        <f>'Project Tracker'!G197</f>
        <v>38.58</v>
      </c>
    </row>
    <row r="198" spans="1:7" x14ac:dyDescent="0.45">
      <c r="A198" t="str">
        <f>PROPER('Project Tracker'!A198)</f>
        <v>Data Dashboard</v>
      </c>
      <c r="B198" t="str">
        <f>'Project Tracker'!B198</f>
        <v>Gray Group</v>
      </c>
      <c r="C198" s="5">
        <f>'Project Tracker'!C198</f>
        <v>1612</v>
      </c>
      <c r="D198">
        <f>'Project Tracker'!D198</f>
        <v>67</v>
      </c>
      <c r="E198" s="6">
        <f>'Project Tracker'!E198</f>
        <v>45321</v>
      </c>
      <c r="F198" t="str">
        <f>PROPER('Project Tracker'!F198)</f>
        <v>Yes</v>
      </c>
      <c r="G198" s="5">
        <f>'Project Tracker'!G198</f>
        <v>24.06</v>
      </c>
    </row>
    <row r="199" spans="1:7" x14ac:dyDescent="0.45">
      <c r="A199" t="str">
        <f>PROPER('Project Tracker'!A199)</f>
        <v>Marketing Campaign</v>
      </c>
      <c r="B199" t="str">
        <f>'Project Tracker'!B199</f>
        <v>Williams and Sons</v>
      </c>
      <c r="C199" s="5">
        <f>'Project Tracker'!C199</f>
        <v>5280</v>
      </c>
      <c r="D199">
        <f>'Project Tracker'!D199</f>
        <v>30</v>
      </c>
      <c r="E199" s="6">
        <f>'Project Tracker'!E199</f>
        <v>45316</v>
      </c>
      <c r="F199" t="str">
        <f>PROPER('Project Tracker'!F199)</f>
        <v>No</v>
      </c>
      <c r="G199" s="5">
        <f>'Project Tracker'!G199</f>
        <v>176</v>
      </c>
    </row>
    <row r="200" spans="1:7" x14ac:dyDescent="0.45">
      <c r="A200" t="str">
        <f>PROPER('Project Tracker'!A200)</f>
        <v>Seo Audit</v>
      </c>
      <c r="B200" t="str">
        <f>'Project Tracker'!B200</f>
        <v>Smith, Montoya and Evans</v>
      </c>
      <c r="C200" s="5">
        <f>'Project Tracker'!C200</f>
        <v>3890</v>
      </c>
      <c r="D200">
        <f>'Project Tracker'!D200</f>
        <v>80</v>
      </c>
      <c r="E200" s="6">
        <f>'Project Tracker'!E200</f>
        <v>45316</v>
      </c>
      <c r="F200" t="str">
        <f>PROPER('Project Tracker'!F200)</f>
        <v>Yes</v>
      </c>
      <c r="G200" s="5">
        <f>'Project Tracker'!G200</f>
        <v>48.62</v>
      </c>
    </row>
    <row r="201" spans="1:7" x14ac:dyDescent="0.45">
      <c r="A201" t="str">
        <f>PROPER('Project Tracker'!A201)</f>
        <v>Seo Audit</v>
      </c>
      <c r="B201" t="str">
        <f>'Project Tracker'!B201</f>
        <v>Powell LLC</v>
      </c>
      <c r="C201" s="5">
        <f>'Project Tracker'!C201</f>
        <v>5368</v>
      </c>
      <c r="D201">
        <f>'Project Tracker'!D201</f>
        <v>46</v>
      </c>
      <c r="E201" s="6">
        <f>'Project Tracker'!E201</f>
        <v>45362</v>
      </c>
      <c r="F201" t="str">
        <f>PROPER('Project Tracker'!F201)</f>
        <v>No</v>
      </c>
      <c r="G201" s="5">
        <f>'Project Tracker'!G201</f>
        <v>116.7</v>
      </c>
    </row>
    <row r="202" spans="1:7" x14ac:dyDescent="0.45">
      <c r="A202" t="str">
        <f>PROPER('Project Tracker'!A202)</f>
        <v>App Prototype</v>
      </c>
      <c r="B202" t="str">
        <f>'Project Tracker'!B202</f>
        <v>Adams, Zuniga and Wong</v>
      </c>
      <c r="C202" s="5">
        <f>'Project Tracker'!C202</f>
        <v>4642</v>
      </c>
      <c r="D202">
        <f>'Project Tracker'!D202</f>
        <v>39</v>
      </c>
      <c r="E202" s="6">
        <f>'Project Tracker'!E202</f>
        <v>45272</v>
      </c>
      <c r="F202" t="str">
        <f>PROPER('Project Tracker'!F202)</f>
        <v>Yes</v>
      </c>
      <c r="G202" s="5">
        <f>'Project Tracker'!G202</f>
        <v>119.03</v>
      </c>
    </row>
    <row r="203" spans="1:7" x14ac:dyDescent="0.45">
      <c r="A203" t="str">
        <f>PROPER('Project Tracker'!A203)</f>
        <v>App Prototype</v>
      </c>
      <c r="B203" t="str">
        <f>'Project Tracker'!B203</f>
        <v>Harris-Walters</v>
      </c>
      <c r="C203" s="5">
        <f>'Project Tracker'!C203</f>
        <v>2618</v>
      </c>
      <c r="D203">
        <f>'Project Tracker'!D203</f>
        <v>23</v>
      </c>
      <c r="E203" s="6">
        <f>'Project Tracker'!E203</f>
        <v>45330</v>
      </c>
      <c r="F203" t="str">
        <f>PROPER('Project Tracker'!F203)</f>
        <v>Yes</v>
      </c>
      <c r="G203" s="5">
        <f>'Project Tracker'!G203</f>
        <v>113.83</v>
      </c>
    </row>
    <row r="204" spans="1:7" x14ac:dyDescent="0.45">
      <c r="A204" t="str">
        <f>PROPER('Project Tracker'!A204)</f>
        <v>Seo Audit</v>
      </c>
      <c r="B204" t="str">
        <f>'Project Tracker'!B204</f>
        <v>Allen-Allen</v>
      </c>
      <c r="C204" s="5">
        <f>'Project Tracker'!C204</f>
        <v>5659</v>
      </c>
      <c r="D204">
        <f>'Project Tracker'!D204</f>
        <v>49</v>
      </c>
      <c r="E204" s="6">
        <f>'Project Tracker'!E204</f>
        <v>45322</v>
      </c>
      <c r="F204" t="str">
        <f>PROPER('Project Tracker'!F204)</f>
        <v>Yes</v>
      </c>
      <c r="G204" s="5">
        <f>'Project Tracker'!G204</f>
        <v>115.49</v>
      </c>
    </row>
    <row r="205" spans="1:7" x14ac:dyDescent="0.45">
      <c r="A205" t="str">
        <f>PROPER('Project Tracker'!A205)</f>
        <v>Data Dashboard</v>
      </c>
      <c r="B205" t="str">
        <f>'Project Tracker'!B205</f>
        <v>Garcia, Humphrey and Baker</v>
      </c>
      <c r="C205" s="5">
        <f>'Project Tracker'!C205</f>
        <v>3945</v>
      </c>
      <c r="D205">
        <f>'Project Tracker'!D205</f>
        <v>77</v>
      </c>
      <c r="E205" s="6">
        <f>'Project Tracker'!E205</f>
        <v>45385</v>
      </c>
      <c r="F205" t="str">
        <f>PROPER('Project Tracker'!F205)</f>
        <v>No</v>
      </c>
      <c r="G205" s="5">
        <f>'Project Tracker'!G205</f>
        <v>51.23</v>
      </c>
    </row>
    <row r="206" spans="1:7" x14ac:dyDescent="0.45">
      <c r="A206" t="str">
        <f>PROPER('Project Tracker'!A206)</f>
        <v>Seo Audit</v>
      </c>
      <c r="B206" t="str">
        <f>'Project Tracker'!B206</f>
        <v>Russell Group</v>
      </c>
      <c r="C206" s="5">
        <f>'Project Tracker'!C206</f>
        <v>5467</v>
      </c>
      <c r="D206">
        <f>'Project Tracker'!D206</f>
        <v>59</v>
      </c>
      <c r="E206" s="6">
        <f>'Project Tracker'!E206</f>
        <v>45405</v>
      </c>
      <c r="F206" t="str">
        <f>PROPER('Project Tracker'!F206)</f>
        <v>Yes</v>
      </c>
      <c r="G206" s="5">
        <f>'Project Tracker'!G206</f>
        <v>92.66</v>
      </c>
    </row>
    <row r="207" spans="1:7" x14ac:dyDescent="0.45">
      <c r="A207" t="str">
        <f>PROPER('Project Tracker'!A207)</f>
        <v>App Prototype</v>
      </c>
      <c r="B207" t="str">
        <f>'Project Tracker'!B207</f>
        <v>Davis Group</v>
      </c>
      <c r="C207" s="5">
        <f>'Project Tracker'!C207</f>
        <v>5951</v>
      </c>
      <c r="D207">
        <f>'Project Tracker'!D207</f>
        <v>63</v>
      </c>
      <c r="E207" s="6">
        <f>'Project Tracker'!E207</f>
        <v>45385</v>
      </c>
      <c r="F207" t="str">
        <f>PROPER('Project Tracker'!F207)</f>
        <v>No</v>
      </c>
      <c r="G207" s="5">
        <f>'Project Tracker'!G207</f>
        <v>94.46</v>
      </c>
    </row>
    <row r="208" spans="1:7" x14ac:dyDescent="0.45">
      <c r="A208" t="str">
        <f>PROPER('Project Tracker'!A208)</f>
        <v>Data Dashboard</v>
      </c>
      <c r="B208" t="str">
        <f>'Project Tracker'!B208</f>
        <v>Walter, Edwards and Rios</v>
      </c>
      <c r="C208" s="5">
        <f>'Project Tracker'!C208</f>
        <v>3456</v>
      </c>
      <c r="D208">
        <f>'Project Tracker'!D208</f>
        <v>64</v>
      </c>
      <c r="E208" s="6">
        <f>'Project Tracker'!E208</f>
        <v>45373</v>
      </c>
      <c r="F208" t="str">
        <f>PROPER('Project Tracker'!F208)</f>
        <v>No</v>
      </c>
      <c r="G208" s="5">
        <f>'Project Tracker'!G208</f>
        <v>54</v>
      </c>
    </row>
    <row r="209" spans="1:7" x14ac:dyDescent="0.45">
      <c r="A209" t="str">
        <f>PROPER('Project Tracker'!A209)</f>
        <v>Seo Audit</v>
      </c>
      <c r="B209" t="str">
        <f>'Project Tracker'!B209</f>
        <v>Gardner, Robinson and Lawrence</v>
      </c>
      <c r="C209" s="5">
        <f>'Project Tracker'!C209</f>
        <v>4106</v>
      </c>
      <c r="D209">
        <f>'Project Tracker'!D209</f>
        <v>75</v>
      </c>
      <c r="E209" s="6">
        <f>'Project Tracker'!E209</f>
        <v>45263</v>
      </c>
      <c r="F209" t="str">
        <f>PROPER('Project Tracker'!F209)</f>
        <v>No</v>
      </c>
      <c r="G209" s="5">
        <f>'Project Tracker'!G209</f>
        <v>54.75</v>
      </c>
    </row>
    <row r="210" spans="1:7" x14ac:dyDescent="0.45">
      <c r="A210" t="str">
        <f>PROPER('Project Tracker'!A210)</f>
        <v>Seo Audit</v>
      </c>
      <c r="B210" t="str">
        <f>'Project Tracker'!B210</f>
        <v>Evans, Stewart and Walton</v>
      </c>
      <c r="C210" s="5">
        <f>'Project Tracker'!C210</f>
        <v>6841</v>
      </c>
      <c r="D210">
        <f>'Project Tracker'!D210</f>
        <v>34</v>
      </c>
      <c r="E210" s="6">
        <f>'Project Tracker'!E210</f>
        <v>45358</v>
      </c>
      <c r="F210" t="str">
        <f>PROPER('Project Tracker'!F210)</f>
        <v>No</v>
      </c>
      <c r="G210" s="5">
        <f>'Project Tracker'!G210</f>
        <v>201.21</v>
      </c>
    </row>
    <row r="211" spans="1:7" x14ac:dyDescent="0.45">
      <c r="A211" t="str">
        <f>PROPER('Project Tracker'!A211)</f>
        <v>Website Redesign</v>
      </c>
      <c r="B211" t="str">
        <f>'Project Tracker'!B211</f>
        <v>James Group</v>
      </c>
      <c r="C211" s="5">
        <f>'Project Tracker'!C211</f>
        <v>5614</v>
      </c>
      <c r="D211">
        <f>'Project Tracker'!D211</f>
        <v>57</v>
      </c>
      <c r="E211" s="6">
        <f>'Project Tracker'!E211</f>
        <v>45247</v>
      </c>
      <c r="F211" t="str">
        <f>PROPER('Project Tracker'!F211)</f>
        <v>Yes</v>
      </c>
      <c r="G211" s="5">
        <f>'Project Tracker'!G211</f>
        <v>98.49</v>
      </c>
    </row>
    <row r="212" spans="1:7" x14ac:dyDescent="0.45">
      <c r="A212" t="str">
        <f>PROPER('Project Tracker'!A212)</f>
        <v>Seo Audit</v>
      </c>
      <c r="B212" t="str">
        <f>'Project Tracker'!B212</f>
        <v>Arnold Ltd</v>
      </c>
      <c r="C212" s="5">
        <f>'Project Tracker'!C212</f>
        <v>5808</v>
      </c>
      <c r="D212">
        <f>'Project Tracker'!D212</f>
        <v>73</v>
      </c>
      <c r="E212" s="6">
        <f>'Project Tracker'!E212</f>
        <v>45286</v>
      </c>
      <c r="F212" t="str">
        <f>PROPER('Project Tracker'!F212)</f>
        <v>Yes</v>
      </c>
      <c r="G212" s="5">
        <f>'Project Tracker'!G212</f>
        <v>79.56</v>
      </c>
    </row>
    <row r="213" spans="1:7" x14ac:dyDescent="0.45">
      <c r="A213" t="str">
        <f>PROPER('Project Tracker'!A213)</f>
        <v>Marketing Campaign</v>
      </c>
      <c r="B213" t="str">
        <f>'Project Tracker'!B213</f>
        <v>Chapman and Sons</v>
      </c>
      <c r="C213" s="5">
        <f>'Project Tracker'!C213</f>
        <v>6863</v>
      </c>
      <c r="D213">
        <f>'Project Tracker'!D213</f>
        <v>34</v>
      </c>
      <c r="E213" s="6">
        <f>'Project Tracker'!E213</f>
        <v>45331</v>
      </c>
      <c r="F213" t="str">
        <f>PROPER('Project Tracker'!F213)</f>
        <v>Yes</v>
      </c>
      <c r="G213" s="5">
        <f>'Project Tracker'!G213</f>
        <v>201.85</v>
      </c>
    </row>
    <row r="214" spans="1:7" x14ac:dyDescent="0.45">
      <c r="A214" t="str">
        <f>PROPER('Project Tracker'!A214)</f>
        <v>Seo Audit</v>
      </c>
      <c r="B214" t="str">
        <f>'Project Tracker'!B214</f>
        <v>Frazier Inc</v>
      </c>
      <c r="C214" s="5">
        <f>'Project Tracker'!C214</f>
        <v>4273</v>
      </c>
      <c r="D214">
        <f>'Project Tracker'!D214</f>
        <v>65</v>
      </c>
      <c r="E214" s="6">
        <f>'Project Tracker'!E214</f>
        <v>45359</v>
      </c>
      <c r="F214" t="str">
        <f>PROPER('Project Tracker'!F214)</f>
        <v>Yes</v>
      </c>
      <c r="G214" s="5">
        <f>'Project Tracker'!G214</f>
        <v>65.739999999999995</v>
      </c>
    </row>
    <row r="215" spans="1:7" x14ac:dyDescent="0.45">
      <c r="A215" t="str">
        <f>PROPER('Project Tracker'!A215)</f>
        <v>Data Dashboard</v>
      </c>
      <c r="B215" t="str">
        <f>'Project Tracker'!B215</f>
        <v>Ferrell, Jones and Lewis</v>
      </c>
      <c r="C215" s="5">
        <f>'Project Tracker'!C215</f>
        <v>5871</v>
      </c>
      <c r="D215">
        <f>'Project Tracker'!D215</f>
        <v>63</v>
      </c>
      <c r="E215" s="6">
        <f>'Project Tracker'!E215</f>
        <v>45353</v>
      </c>
      <c r="F215" t="str">
        <f>PROPER('Project Tracker'!F215)</f>
        <v>Yes</v>
      </c>
      <c r="G215" s="5">
        <f>'Project Tracker'!G215</f>
        <v>93.19</v>
      </c>
    </row>
    <row r="216" spans="1:7" x14ac:dyDescent="0.45">
      <c r="A216" t="str">
        <f>PROPER('Project Tracker'!A216)</f>
        <v>Seo Audit</v>
      </c>
      <c r="B216" t="str">
        <f>'Project Tracker'!B216</f>
        <v>Hancock Inc</v>
      </c>
      <c r="C216" s="5">
        <f>'Project Tracker'!C216</f>
        <v>1794</v>
      </c>
      <c r="D216">
        <f>'Project Tracker'!D216</f>
        <v>23</v>
      </c>
      <c r="E216" s="6">
        <f>'Project Tracker'!E216</f>
        <v>45351</v>
      </c>
      <c r="F216" t="str">
        <f>PROPER('Project Tracker'!F216)</f>
        <v>No</v>
      </c>
      <c r="G216" s="5">
        <f>'Project Tracker'!G216</f>
        <v>78</v>
      </c>
    </row>
    <row r="217" spans="1:7" x14ac:dyDescent="0.45">
      <c r="A217" t="str">
        <f>PROPER('Project Tracker'!A217)</f>
        <v>Data Dashboard</v>
      </c>
      <c r="B217" t="str">
        <f>'Project Tracker'!B217</f>
        <v>Snyder, Campos and Callahan</v>
      </c>
      <c r="C217" s="5">
        <f>'Project Tracker'!C217</f>
        <v>2240</v>
      </c>
      <c r="D217">
        <f>'Project Tracker'!D217</f>
        <v>70</v>
      </c>
      <c r="E217" s="6">
        <f>'Project Tracker'!E217</f>
        <v>45296</v>
      </c>
      <c r="F217" t="str">
        <f>PROPER('Project Tracker'!F217)</f>
        <v>Yes</v>
      </c>
      <c r="G217" s="5">
        <f>'Project Tracker'!G217</f>
        <v>32</v>
      </c>
    </row>
    <row r="218" spans="1:7" x14ac:dyDescent="0.45">
      <c r="A218" t="str">
        <f>PROPER('Project Tracker'!A218)</f>
        <v>Website Redesign</v>
      </c>
      <c r="B218" t="str">
        <f>'Project Tracker'!B218</f>
        <v>Washington, Ryan and Cummings</v>
      </c>
      <c r="C218" s="5">
        <f>'Project Tracker'!C218</f>
        <v>2862</v>
      </c>
      <c r="D218">
        <f>'Project Tracker'!D218</f>
        <v>53</v>
      </c>
      <c r="E218" s="6">
        <f>'Project Tracker'!E218</f>
        <v>45249</v>
      </c>
      <c r="F218" t="str">
        <f>PROPER('Project Tracker'!F218)</f>
        <v>Yes</v>
      </c>
      <c r="G218" s="5">
        <f>'Project Tracker'!G218</f>
        <v>54</v>
      </c>
    </row>
    <row r="219" spans="1:7" x14ac:dyDescent="0.45">
      <c r="A219" t="str">
        <f>PROPER('Project Tracker'!A219)</f>
        <v>Website Redesign</v>
      </c>
      <c r="B219" t="str">
        <f>'Project Tracker'!B219</f>
        <v>George Group</v>
      </c>
      <c r="C219" s="5">
        <f>'Project Tracker'!C219</f>
        <v>1959</v>
      </c>
      <c r="D219">
        <f>'Project Tracker'!D219</f>
        <v>52</v>
      </c>
      <c r="E219" s="6">
        <f>'Project Tracker'!E219</f>
        <v>45389</v>
      </c>
      <c r="F219" t="str">
        <f>PROPER('Project Tracker'!F219)</f>
        <v>Yes</v>
      </c>
      <c r="G219" s="5">
        <f>'Project Tracker'!G219</f>
        <v>37.67</v>
      </c>
    </row>
    <row r="220" spans="1:7" x14ac:dyDescent="0.45">
      <c r="A220" t="str">
        <f>PROPER('Project Tracker'!A220)</f>
        <v>Data Dashboard</v>
      </c>
      <c r="B220" t="str">
        <f>'Project Tracker'!B220</f>
        <v>Jones-Young</v>
      </c>
      <c r="C220" s="5">
        <f>'Project Tracker'!C220</f>
        <v>2692</v>
      </c>
      <c r="D220">
        <f>'Project Tracker'!D220</f>
        <v>46</v>
      </c>
      <c r="E220" s="6">
        <f>'Project Tracker'!E220</f>
        <v>45376</v>
      </c>
      <c r="F220" t="str">
        <f>PROPER('Project Tracker'!F220)</f>
        <v>Yes</v>
      </c>
      <c r="G220" s="5">
        <f>'Project Tracker'!G220</f>
        <v>58.52</v>
      </c>
    </row>
    <row r="221" spans="1:7" x14ac:dyDescent="0.45">
      <c r="A221" t="str">
        <f>PROPER('Project Tracker'!A221)</f>
        <v>Seo Audit</v>
      </c>
      <c r="B221" t="str">
        <f>'Project Tracker'!B221</f>
        <v>Henderson-Bernard</v>
      </c>
      <c r="C221" s="5">
        <f>'Project Tracker'!C221</f>
        <v>2975</v>
      </c>
      <c r="D221">
        <f>'Project Tracker'!D221</f>
        <v>36</v>
      </c>
      <c r="E221" s="6">
        <f>'Project Tracker'!E221</f>
        <v>45276</v>
      </c>
      <c r="F221" t="str">
        <f>PROPER('Project Tracker'!F221)</f>
        <v>No</v>
      </c>
      <c r="G221" s="5">
        <f>'Project Tracker'!G221</f>
        <v>82.64</v>
      </c>
    </row>
    <row r="222" spans="1:7" x14ac:dyDescent="0.45">
      <c r="A222" t="str">
        <f>PROPER('Project Tracker'!A222)</f>
        <v>Website Redesign</v>
      </c>
      <c r="B222" t="str">
        <f>'Project Tracker'!B222</f>
        <v>Jones Inc</v>
      </c>
      <c r="C222" s="5">
        <f>'Project Tracker'!C222</f>
        <v>4633</v>
      </c>
      <c r="D222">
        <f>'Project Tracker'!D222</f>
        <v>45</v>
      </c>
      <c r="E222" s="6">
        <f>'Project Tracker'!E222</f>
        <v>45361</v>
      </c>
      <c r="F222" t="str">
        <f>PROPER('Project Tracker'!F222)</f>
        <v>No</v>
      </c>
      <c r="G222" s="5">
        <f>'Project Tracker'!G222</f>
        <v>102.96</v>
      </c>
    </row>
    <row r="223" spans="1:7" x14ac:dyDescent="0.45">
      <c r="A223" t="str">
        <f>PROPER('Project Tracker'!A223)</f>
        <v>App Prototype</v>
      </c>
      <c r="B223" t="str">
        <f>'Project Tracker'!B223</f>
        <v>Adams, Zuniga and Wong</v>
      </c>
      <c r="C223" s="5">
        <f>'Project Tracker'!C223</f>
        <v>3402</v>
      </c>
      <c r="D223">
        <f>'Project Tracker'!D223</f>
        <v>74</v>
      </c>
      <c r="E223" s="6">
        <f>'Project Tracker'!E223</f>
        <v>45291</v>
      </c>
      <c r="F223" t="str">
        <f>PROPER('Project Tracker'!F223)</f>
        <v>Yes</v>
      </c>
      <c r="G223" s="5">
        <f>'Project Tracker'!G223</f>
        <v>45.97</v>
      </c>
    </row>
    <row r="224" spans="1:7" x14ac:dyDescent="0.45">
      <c r="A224" t="str">
        <f>PROPER('Project Tracker'!A224)</f>
        <v>Seo Audit</v>
      </c>
      <c r="B224" t="str">
        <f>'Project Tracker'!B224</f>
        <v>Ferrell, Rice and Maddox</v>
      </c>
      <c r="C224" s="5">
        <f>'Project Tracker'!C224</f>
        <v>6962</v>
      </c>
      <c r="D224">
        <f>'Project Tracker'!D224</f>
        <v>16</v>
      </c>
      <c r="E224" s="6">
        <f>'Project Tracker'!E224</f>
        <v>45274</v>
      </c>
      <c r="F224" t="str">
        <f>PROPER('Project Tracker'!F224)</f>
        <v>No</v>
      </c>
      <c r="G224" s="5">
        <f>'Project Tracker'!G224</f>
        <v>435.12</v>
      </c>
    </row>
    <row r="225" spans="1:7" x14ac:dyDescent="0.45">
      <c r="A225" t="str">
        <f>PROPER('Project Tracker'!A225)</f>
        <v>Data Dashboard</v>
      </c>
      <c r="B225" t="str">
        <f>'Project Tracker'!B225</f>
        <v>Ferrell, Jones and Lewis</v>
      </c>
      <c r="C225" s="5">
        <f>'Project Tracker'!C225</f>
        <v>5977</v>
      </c>
      <c r="D225">
        <f>'Project Tracker'!D225</f>
        <v>35</v>
      </c>
      <c r="E225" s="6">
        <f>'Project Tracker'!E225</f>
        <v>45387</v>
      </c>
      <c r="F225" t="str">
        <f>PROPER('Project Tracker'!F225)</f>
        <v>Yes</v>
      </c>
      <c r="G225" s="5">
        <f>'Project Tracker'!G225</f>
        <v>170.77</v>
      </c>
    </row>
    <row r="226" spans="1:7" x14ac:dyDescent="0.45">
      <c r="A226" t="str">
        <f>PROPER('Project Tracker'!A226)</f>
        <v>Seo Audit</v>
      </c>
      <c r="B226" t="str">
        <f>'Project Tracker'!B226</f>
        <v>Arroyo, Miller and Tucker</v>
      </c>
      <c r="C226" s="5">
        <f>'Project Tracker'!C226</f>
        <v>6313</v>
      </c>
      <c r="D226">
        <f>'Project Tracker'!D226</f>
        <v>53</v>
      </c>
      <c r="E226" s="6">
        <f>'Project Tracker'!E226</f>
        <v>45269</v>
      </c>
      <c r="F226" t="str">
        <f>PROPER('Project Tracker'!F226)</f>
        <v>No</v>
      </c>
      <c r="G226" s="5">
        <f>'Project Tracker'!G226</f>
        <v>119.11</v>
      </c>
    </row>
    <row r="227" spans="1:7" x14ac:dyDescent="0.45">
      <c r="A227" t="str">
        <f>PROPER('Project Tracker'!A227)</f>
        <v>Data Dashboard</v>
      </c>
      <c r="B227" t="str">
        <f>'Project Tracker'!B227</f>
        <v>Lee-Davis</v>
      </c>
      <c r="C227" s="5">
        <f>'Project Tracker'!C227</f>
        <v>3974</v>
      </c>
      <c r="D227">
        <f>'Project Tracker'!D227</f>
        <v>40</v>
      </c>
      <c r="E227" s="6">
        <f>'Project Tracker'!E227</f>
        <v>45259</v>
      </c>
      <c r="F227" t="str">
        <f>PROPER('Project Tracker'!F227)</f>
        <v>No</v>
      </c>
      <c r="G227" s="5">
        <f>'Project Tracker'!G227</f>
        <v>99.35</v>
      </c>
    </row>
    <row r="228" spans="1:7" x14ac:dyDescent="0.45">
      <c r="A228" t="str">
        <f>PROPER('Project Tracker'!A228)</f>
        <v>Seo Audit</v>
      </c>
      <c r="B228" t="str">
        <f>'Project Tracker'!B228</f>
        <v>Mcclure, Ward and Lee</v>
      </c>
      <c r="C228" s="5">
        <f>'Project Tracker'!C228</f>
        <v>3443</v>
      </c>
      <c r="D228">
        <f>'Project Tracker'!D228</f>
        <v>63</v>
      </c>
      <c r="E228" s="6">
        <f>'Project Tracker'!E228</f>
        <v>45235</v>
      </c>
      <c r="F228" t="str">
        <f>PROPER('Project Tracker'!F228)</f>
        <v>Yes</v>
      </c>
      <c r="G228" s="5">
        <f>'Project Tracker'!G228</f>
        <v>54.65</v>
      </c>
    </row>
    <row r="229" spans="1:7" x14ac:dyDescent="0.45">
      <c r="A229" t="str">
        <f>PROPER('Project Tracker'!A229)</f>
        <v>Data Dashboard</v>
      </c>
      <c r="B229" t="str">
        <f>'Project Tracker'!B229</f>
        <v>Stanley, Tucker and Lee</v>
      </c>
      <c r="C229" s="5">
        <f>'Project Tracker'!C229</f>
        <v>3923</v>
      </c>
      <c r="D229">
        <f>'Project Tracker'!D229</f>
        <v>52</v>
      </c>
      <c r="E229" s="6">
        <f>'Project Tracker'!E229</f>
        <v>45239</v>
      </c>
      <c r="F229" t="str">
        <f>PROPER('Project Tracker'!F229)</f>
        <v>Yes</v>
      </c>
      <c r="G229" s="5">
        <f>'Project Tracker'!G229</f>
        <v>75.44</v>
      </c>
    </row>
    <row r="230" spans="1:7" x14ac:dyDescent="0.45">
      <c r="A230" t="str">
        <f>PROPER('Project Tracker'!A230)</f>
        <v>Seo Audit</v>
      </c>
      <c r="B230" t="str">
        <f>'Project Tracker'!B230</f>
        <v>Rodriguez-Graham</v>
      </c>
      <c r="C230" s="5">
        <f>'Project Tracker'!C230</f>
        <v>1566</v>
      </c>
      <c r="D230">
        <f>'Project Tracker'!D230</f>
        <v>21</v>
      </c>
      <c r="E230" s="6">
        <f>'Project Tracker'!E230</f>
        <v>45278</v>
      </c>
      <c r="F230" t="str">
        <f>PROPER('Project Tracker'!F230)</f>
        <v>Yes</v>
      </c>
      <c r="G230" s="5">
        <f>'Project Tracker'!G230</f>
        <v>74.569999999999993</v>
      </c>
    </row>
    <row r="231" spans="1:7" x14ac:dyDescent="0.45">
      <c r="A231" t="str">
        <f>PROPER('Project Tracker'!A231)</f>
        <v>Seo Audit</v>
      </c>
      <c r="B231" t="str">
        <f>'Project Tracker'!B231</f>
        <v>Smith-Bowen</v>
      </c>
      <c r="C231" s="5">
        <f>'Project Tracker'!C231</f>
        <v>3385</v>
      </c>
      <c r="D231">
        <f>'Project Tracker'!D231</f>
        <v>60</v>
      </c>
      <c r="E231" s="6">
        <f>'Project Tracker'!E231</f>
        <v>45323</v>
      </c>
      <c r="F231" t="str">
        <f>PROPER('Project Tracker'!F231)</f>
        <v>No</v>
      </c>
      <c r="G231" s="5">
        <f>'Project Tracker'!G231</f>
        <v>56.42</v>
      </c>
    </row>
    <row r="232" spans="1:7" x14ac:dyDescent="0.45">
      <c r="A232" t="str">
        <f>PROPER('Project Tracker'!A232)</f>
        <v>Marketing Campaign</v>
      </c>
      <c r="B232" t="str">
        <f>'Project Tracker'!B232</f>
        <v>Hensley, Powell and David</v>
      </c>
      <c r="C232" s="5">
        <f>'Project Tracker'!C232</f>
        <v>3553</v>
      </c>
      <c r="D232">
        <f>'Project Tracker'!D232</f>
        <v>32</v>
      </c>
      <c r="E232" s="6">
        <f>'Project Tracker'!E232</f>
        <v>45349</v>
      </c>
      <c r="F232" t="str">
        <f>PROPER('Project Tracker'!F232)</f>
        <v>Yes</v>
      </c>
      <c r="G232" s="5">
        <f>'Project Tracker'!G232</f>
        <v>111.03</v>
      </c>
    </row>
    <row r="233" spans="1:7" x14ac:dyDescent="0.45">
      <c r="A233" t="str">
        <f>PROPER('Project Tracker'!A233)</f>
        <v>Website Redesign</v>
      </c>
      <c r="B233" t="str">
        <f>'Project Tracker'!B233</f>
        <v>Romero, Gonzalez and Brooks</v>
      </c>
      <c r="C233" s="5">
        <f>'Project Tracker'!C233</f>
        <v>5111</v>
      </c>
      <c r="D233">
        <f>'Project Tracker'!D233</f>
        <v>19</v>
      </c>
      <c r="E233" s="6">
        <f>'Project Tracker'!E233</f>
        <v>45396</v>
      </c>
      <c r="F233" t="str">
        <f>PROPER('Project Tracker'!F233)</f>
        <v>Yes</v>
      </c>
      <c r="G233" s="5">
        <f>'Project Tracker'!G233</f>
        <v>269</v>
      </c>
    </row>
    <row r="234" spans="1:7" x14ac:dyDescent="0.45">
      <c r="A234" t="str">
        <f>PROPER('Project Tracker'!A234)</f>
        <v>Data Dashboard</v>
      </c>
      <c r="B234" t="str">
        <f>'Project Tracker'!B234</f>
        <v>Newton and Sons</v>
      </c>
      <c r="C234" s="5">
        <f>'Project Tracker'!C234</f>
        <v>2576</v>
      </c>
      <c r="D234">
        <f>'Project Tracker'!D234</f>
        <v>26</v>
      </c>
      <c r="E234" s="6">
        <f>'Project Tracker'!E234</f>
        <v>45380</v>
      </c>
      <c r="F234" t="str">
        <f>PROPER('Project Tracker'!F234)</f>
        <v>Yes</v>
      </c>
      <c r="G234" s="5">
        <f>'Project Tracker'!G234</f>
        <v>99.08</v>
      </c>
    </row>
    <row r="235" spans="1:7" x14ac:dyDescent="0.45">
      <c r="A235" t="str">
        <f>PROPER('Project Tracker'!A235)</f>
        <v>Data Dashboard</v>
      </c>
      <c r="B235" t="str">
        <f>'Project Tracker'!B235</f>
        <v>Harris-Walters</v>
      </c>
      <c r="C235" s="5">
        <f>'Project Tracker'!C235</f>
        <v>4903</v>
      </c>
      <c r="D235">
        <f>'Project Tracker'!D235</f>
        <v>37</v>
      </c>
      <c r="E235" s="6">
        <f>'Project Tracker'!E235</f>
        <v>45245</v>
      </c>
      <c r="F235" t="str">
        <f>PROPER('Project Tracker'!F235)</f>
        <v>No</v>
      </c>
      <c r="G235" s="5">
        <f>'Project Tracker'!G235</f>
        <v>132.51</v>
      </c>
    </row>
    <row r="236" spans="1:7" x14ac:dyDescent="0.45">
      <c r="A236" t="str">
        <f>PROPER('Project Tracker'!A236)</f>
        <v>Marketing Campaign</v>
      </c>
      <c r="B236" t="str">
        <f>'Project Tracker'!B236</f>
        <v>Hancock Inc</v>
      </c>
      <c r="C236" s="5">
        <f>'Project Tracker'!C236</f>
        <v>4497</v>
      </c>
      <c r="D236">
        <f>'Project Tracker'!D236</f>
        <v>79</v>
      </c>
      <c r="E236" s="6">
        <f>'Project Tracker'!E236</f>
        <v>45319</v>
      </c>
      <c r="F236" t="str">
        <f>PROPER('Project Tracker'!F236)</f>
        <v>Yes</v>
      </c>
      <c r="G236" s="5">
        <f>'Project Tracker'!G236</f>
        <v>56.92</v>
      </c>
    </row>
    <row r="237" spans="1:7" x14ac:dyDescent="0.45">
      <c r="A237" t="str">
        <f>PROPER('Project Tracker'!A237)</f>
        <v>Marketing Campaign</v>
      </c>
      <c r="B237" t="str">
        <f>'Project Tracker'!B237</f>
        <v>Ferrell, Rice and Maddox</v>
      </c>
      <c r="C237" s="5">
        <f>'Project Tracker'!C237</f>
        <v>5447</v>
      </c>
      <c r="D237">
        <f>'Project Tracker'!D237</f>
        <v>52</v>
      </c>
      <c r="E237" s="6">
        <f>'Project Tracker'!E237</f>
        <v>45311</v>
      </c>
      <c r="F237" t="str">
        <f>PROPER('Project Tracker'!F237)</f>
        <v>Yes</v>
      </c>
      <c r="G237" s="5">
        <f>'Project Tracker'!G237</f>
        <v>104.75</v>
      </c>
    </row>
    <row r="238" spans="1:7" x14ac:dyDescent="0.45">
      <c r="A238" t="str">
        <f>PROPER('Project Tracker'!A238)</f>
        <v>Website Redesign</v>
      </c>
      <c r="B238" t="str">
        <f>'Project Tracker'!B238</f>
        <v>Gomez-Jenkins</v>
      </c>
      <c r="C238" s="5">
        <f>'Project Tracker'!C238</f>
        <v>2116</v>
      </c>
      <c r="D238">
        <f>'Project Tracker'!D238</f>
        <v>33</v>
      </c>
      <c r="E238" s="6">
        <f>'Project Tracker'!E238</f>
        <v>45403</v>
      </c>
      <c r="F238" t="str">
        <f>PROPER('Project Tracker'!F238)</f>
        <v>No</v>
      </c>
      <c r="G238" s="5">
        <f>'Project Tracker'!G238</f>
        <v>64.12</v>
      </c>
    </row>
    <row r="239" spans="1:7" x14ac:dyDescent="0.45">
      <c r="A239" t="str">
        <f>PROPER('Project Tracker'!A239)</f>
        <v>Seo Audit</v>
      </c>
      <c r="B239" t="str">
        <f>'Project Tracker'!B239</f>
        <v>House-Glover</v>
      </c>
      <c r="C239" s="5">
        <f>'Project Tracker'!C239</f>
        <v>4496</v>
      </c>
      <c r="D239">
        <f>'Project Tracker'!D239</f>
        <v>26</v>
      </c>
      <c r="E239" s="6">
        <f>'Project Tracker'!E239</f>
        <v>45353</v>
      </c>
      <c r="F239" t="str">
        <f>PROPER('Project Tracker'!F239)</f>
        <v>No</v>
      </c>
      <c r="G239" s="5">
        <f>'Project Tracker'!G239</f>
        <v>172.92</v>
      </c>
    </row>
    <row r="240" spans="1:7" x14ac:dyDescent="0.45">
      <c r="A240" t="str">
        <f>PROPER('Project Tracker'!A240)</f>
        <v>Website Redesign</v>
      </c>
      <c r="B240" t="str">
        <f>'Project Tracker'!B240</f>
        <v>Frazier Inc</v>
      </c>
      <c r="C240" s="5">
        <f>'Project Tracker'!C240</f>
        <v>5895</v>
      </c>
      <c r="D240">
        <f>'Project Tracker'!D240</f>
        <v>30</v>
      </c>
      <c r="E240" s="6">
        <f>'Project Tracker'!E240</f>
        <v>45342</v>
      </c>
      <c r="F240" t="str">
        <f>PROPER('Project Tracker'!F240)</f>
        <v>No</v>
      </c>
      <c r="G240" s="5">
        <f>'Project Tracker'!G240</f>
        <v>196.5</v>
      </c>
    </row>
    <row r="241" spans="1:7" x14ac:dyDescent="0.45">
      <c r="A241" t="str">
        <f>PROPER('Project Tracker'!A241)</f>
        <v>Data Dashboard</v>
      </c>
      <c r="B241" t="str">
        <f>'Project Tracker'!B241</f>
        <v>Ferrell, Jones and Lewis</v>
      </c>
      <c r="C241" s="5">
        <f>'Project Tracker'!C241</f>
        <v>3647</v>
      </c>
      <c r="D241">
        <f>'Project Tracker'!D241</f>
        <v>63</v>
      </c>
      <c r="E241" s="6">
        <f>'Project Tracker'!E241</f>
        <v>45268</v>
      </c>
      <c r="F241" t="str">
        <f>PROPER('Project Tracker'!F241)</f>
        <v>Yes</v>
      </c>
      <c r="G241" s="5">
        <f>'Project Tracker'!G241</f>
        <v>57.89</v>
      </c>
    </row>
    <row r="242" spans="1:7" x14ac:dyDescent="0.45">
      <c r="A242" t="str">
        <f>PROPER('Project Tracker'!A242)</f>
        <v>Website Redesign</v>
      </c>
      <c r="B242" t="str">
        <f>'Project Tracker'!B242</f>
        <v>Ferrell, Jones and Lewis</v>
      </c>
      <c r="C242" s="5">
        <f>'Project Tracker'!C242</f>
        <v>3415</v>
      </c>
      <c r="D242">
        <f>'Project Tracker'!D242</f>
        <v>75</v>
      </c>
      <c r="E242" s="6">
        <f>'Project Tracker'!E242</f>
        <v>45370</v>
      </c>
      <c r="F242" t="str">
        <f>PROPER('Project Tracker'!F242)</f>
        <v>Yes</v>
      </c>
      <c r="G242" s="5">
        <f>'Project Tracker'!G242</f>
        <v>45.53</v>
      </c>
    </row>
    <row r="243" spans="1:7" x14ac:dyDescent="0.45">
      <c r="A243" t="str">
        <f>PROPER('Project Tracker'!A243)</f>
        <v>App Prototype</v>
      </c>
      <c r="B243" t="str">
        <f>'Project Tracker'!B243</f>
        <v>House-Glover</v>
      </c>
      <c r="C243" s="5">
        <f>'Project Tracker'!C243</f>
        <v>4187</v>
      </c>
      <c r="D243">
        <f>'Project Tracker'!D243</f>
        <v>43</v>
      </c>
      <c r="E243" s="6">
        <f>'Project Tracker'!E243</f>
        <v>45366</v>
      </c>
      <c r="F243" t="str">
        <f>PROPER('Project Tracker'!F243)</f>
        <v>Yes</v>
      </c>
      <c r="G243" s="5">
        <f>'Project Tracker'!G243</f>
        <v>97.37</v>
      </c>
    </row>
    <row r="244" spans="1:7" x14ac:dyDescent="0.45">
      <c r="A244" t="str">
        <f>PROPER('Project Tracker'!A244)</f>
        <v>Seo Audit</v>
      </c>
      <c r="B244" t="str">
        <f>'Project Tracker'!B244</f>
        <v>Moore-Bass</v>
      </c>
      <c r="C244" s="5">
        <f>'Project Tracker'!C244</f>
        <v>3975</v>
      </c>
      <c r="D244">
        <f>'Project Tracker'!D244</f>
        <v>67</v>
      </c>
      <c r="E244" s="6">
        <f>'Project Tracker'!E244</f>
        <v>45305</v>
      </c>
      <c r="F244" t="str">
        <f>PROPER('Project Tracker'!F244)</f>
        <v>Yes</v>
      </c>
      <c r="G244" s="5">
        <f>'Project Tracker'!G244</f>
        <v>59.33</v>
      </c>
    </row>
    <row r="245" spans="1:7" x14ac:dyDescent="0.45">
      <c r="A245" t="str">
        <f>PROPER('Project Tracker'!A245)</f>
        <v>Marketing Campaign</v>
      </c>
      <c r="B245" t="str">
        <f>'Project Tracker'!B245</f>
        <v>Gardner, Robinson and Lawrence</v>
      </c>
      <c r="C245" s="5">
        <f>'Project Tracker'!C245</f>
        <v>1804</v>
      </c>
      <c r="D245">
        <f>'Project Tracker'!D245</f>
        <v>53</v>
      </c>
      <c r="E245" s="6">
        <f>'Project Tracker'!E245</f>
        <v>45326</v>
      </c>
      <c r="F245" t="str">
        <f>PROPER('Project Tracker'!F245)</f>
        <v>No</v>
      </c>
      <c r="G245" s="5">
        <f>'Project Tracker'!G245</f>
        <v>34.04</v>
      </c>
    </row>
    <row r="246" spans="1:7" x14ac:dyDescent="0.45">
      <c r="A246" t="str">
        <f>PROPER('Project Tracker'!A246)</f>
        <v>Website Redesign</v>
      </c>
      <c r="B246" t="str">
        <f>'Project Tracker'!B246</f>
        <v>Arnold Ltd</v>
      </c>
      <c r="C246" s="5">
        <f>'Project Tracker'!C246</f>
        <v>3423</v>
      </c>
      <c r="D246">
        <f>'Project Tracker'!D246</f>
        <v>32</v>
      </c>
      <c r="E246" s="6">
        <f>'Project Tracker'!E246</f>
        <v>45308</v>
      </c>
      <c r="F246" t="str">
        <f>PROPER('Project Tracker'!F246)</f>
        <v>No</v>
      </c>
      <c r="G246" s="5">
        <f>'Project Tracker'!G246</f>
        <v>106.97</v>
      </c>
    </row>
    <row r="247" spans="1:7" x14ac:dyDescent="0.45">
      <c r="A247" t="str">
        <f>PROPER('Project Tracker'!A247)</f>
        <v>Seo Audit</v>
      </c>
      <c r="B247" t="str">
        <f>'Project Tracker'!B247</f>
        <v>Martin, Rose and Obrien</v>
      </c>
      <c r="C247" s="5">
        <f>'Project Tracker'!C247</f>
        <v>6992</v>
      </c>
      <c r="D247">
        <f>'Project Tracker'!D247</f>
        <v>68</v>
      </c>
      <c r="E247" s="6">
        <f>'Project Tracker'!E247</f>
        <v>45278</v>
      </c>
      <c r="F247" t="str">
        <f>PROPER('Project Tracker'!F247)</f>
        <v>Yes</v>
      </c>
      <c r="G247" s="5">
        <f>'Project Tracker'!G247</f>
        <v>102.82</v>
      </c>
    </row>
    <row r="248" spans="1:7" x14ac:dyDescent="0.45">
      <c r="A248" t="str">
        <f>PROPER('Project Tracker'!A248)</f>
        <v>Marketing Campaign</v>
      </c>
      <c r="B248" t="str">
        <f>'Project Tracker'!B248</f>
        <v>Robinson, Jones and Welch</v>
      </c>
      <c r="C248" s="5">
        <f>'Project Tracker'!C248</f>
        <v>6865</v>
      </c>
      <c r="D248">
        <f>'Project Tracker'!D248</f>
        <v>27</v>
      </c>
      <c r="E248" s="6">
        <f>'Project Tracker'!E248</f>
        <v>45259</v>
      </c>
      <c r="F248" t="str">
        <f>PROPER('Project Tracker'!F248)</f>
        <v>No</v>
      </c>
      <c r="G248" s="5">
        <f>'Project Tracker'!G248</f>
        <v>254.26</v>
      </c>
    </row>
    <row r="249" spans="1:7" x14ac:dyDescent="0.45">
      <c r="A249" t="str">
        <f>PROPER('Project Tracker'!A249)</f>
        <v>App Prototype</v>
      </c>
      <c r="B249" t="str">
        <f>'Project Tracker'!B249</f>
        <v>Chapman and Sons</v>
      </c>
      <c r="C249" s="5">
        <f>'Project Tracker'!C249</f>
        <v>3791</v>
      </c>
      <c r="D249">
        <f>'Project Tracker'!D249</f>
        <v>19</v>
      </c>
      <c r="E249" s="6">
        <f>'Project Tracker'!E249</f>
        <v>45358</v>
      </c>
      <c r="F249" t="str">
        <f>PROPER('Project Tracker'!F249)</f>
        <v>Yes</v>
      </c>
      <c r="G249" s="5">
        <f>'Project Tracker'!G249</f>
        <v>199.53</v>
      </c>
    </row>
    <row r="250" spans="1:7" x14ac:dyDescent="0.45">
      <c r="A250" t="str">
        <f>PROPER('Project Tracker'!A250)</f>
        <v>Marketing Campaign</v>
      </c>
      <c r="B250" t="str">
        <f>'Project Tracker'!B250</f>
        <v>Washington, Ryan and Cummings</v>
      </c>
      <c r="C250" s="5">
        <f>'Project Tracker'!C250</f>
        <v>5142</v>
      </c>
      <c r="D250">
        <f>'Project Tracker'!D250</f>
        <v>45</v>
      </c>
      <c r="E250" s="6">
        <f>'Project Tracker'!E250</f>
        <v>45364</v>
      </c>
      <c r="F250" t="str">
        <f>PROPER('Project Tracker'!F250)</f>
        <v>Yes</v>
      </c>
      <c r="G250" s="5">
        <f>'Project Tracker'!G250</f>
        <v>114.27</v>
      </c>
    </row>
    <row r="251" spans="1:7" x14ac:dyDescent="0.45">
      <c r="A251" t="str">
        <f>PROPER('Project Tracker'!A251)</f>
        <v>Website Redesign</v>
      </c>
      <c r="B251" t="str">
        <f>'Project Tracker'!B251</f>
        <v>Anderson-Bailey</v>
      </c>
      <c r="C251" s="5">
        <f>'Project Tracker'!C251</f>
        <v>4509</v>
      </c>
      <c r="D251">
        <f>'Project Tracker'!D251</f>
        <v>60</v>
      </c>
      <c r="E251" s="6">
        <f>'Project Tracker'!E251</f>
        <v>45232</v>
      </c>
      <c r="F251" t="str">
        <f>PROPER('Project Tracker'!F251)</f>
        <v>Yes</v>
      </c>
      <c r="G251" s="5">
        <f>'Project Tracker'!G251</f>
        <v>75.150000000000006</v>
      </c>
    </row>
    <row r="252" spans="1:7" x14ac:dyDescent="0.45">
      <c r="A252" t="str">
        <f>PROPER('Project Tracker'!A252)</f>
        <v>Seo Audit</v>
      </c>
      <c r="B252" t="str">
        <f>'Project Tracker'!B252</f>
        <v>Rodriguez-Graham</v>
      </c>
      <c r="C252" s="5">
        <f>'Project Tracker'!C252</f>
        <v>3054</v>
      </c>
      <c r="D252">
        <f>'Project Tracker'!D252</f>
        <v>30</v>
      </c>
      <c r="E252" s="6">
        <f>'Project Tracker'!E252</f>
        <v>45404</v>
      </c>
      <c r="F252" t="str">
        <f>PROPER('Project Tracker'!F252)</f>
        <v>No</v>
      </c>
      <c r="G252" s="5">
        <f>'Project Tracker'!G252</f>
        <v>101.8</v>
      </c>
    </row>
    <row r="253" spans="1:7" x14ac:dyDescent="0.45">
      <c r="A253" t="str">
        <f>PROPER('Project Tracker'!A253)</f>
        <v>Website Redesign</v>
      </c>
      <c r="B253" t="str">
        <f>'Project Tracker'!B253</f>
        <v>Evans, Stewart and Walton</v>
      </c>
      <c r="C253" s="5">
        <f>'Project Tracker'!C253</f>
        <v>3237</v>
      </c>
      <c r="D253">
        <f>'Project Tracker'!D253</f>
        <v>17</v>
      </c>
      <c r="E253" s="6">
        <f>'Project Tracker'!E253</f>
        <v>45376</v>
      </c>
      <c r="F253" t="str">
        <f>PROPER('Project Tracker'!F253)</f>
        <v>Yes</v>
      </c>
      <c r="G253" s="5">
        <f>'Project Tracker'!G253</f>
        <v>190.41</v>
      </c>
    </row>
    <row r="254" spans="1:7" x14ac:dyDescent="0.45">
      <c r="A254" t="str">
        <f>PROPER('Project Tracker'!A254)</f>
        <v>Data Dashboard</v>
      </c>
      <c r="B254" t="str">
        <f>'Project Tracker'!B254</f>
        <v>Carlson-Cruz</v>
      </c>
      <c r="C254" s="5">
        <f>'Project Tracker'!C254</f>
        <v>2531</v>
      </c>
      <c r="D254">
        <f>'Project Tracker'!D254</f>
        <v>41</v>
      </c>
      <c r="E254" s="6">
        <f>'Project Tracker'!E254</f>
        <v>45398</v>
      </c>
      <c r="F254" t="str">
        <f>PROPER('Project Tracker'!F254)</f>
        <v>Yes</v>
      </c>
      <c r="G254" s="5">
        <f>'Project Tracker'!G254</f>
        <v>61.73</v>
      </c>
    </row>
    <row r="255" spans="1:7" x14ac:dyDescent="0.45">
      <c r="A255" t="str">
        <f>PROPER('Project Tracker'!A255)</f>
        <v>App Prototype</v>
      </c>
      <c r="B255" t="str">
        <f>'Project Tracker'!B255</f>
        <v>Baker and Sons</v>
      </c>
      <c r="C255" s="5">
        <f>'Project Tracker'!C255</f>
        <v>6303</v>
      </c>
      <c r="D255">
        <f>'Project Tracker'!D255</f>
        <v>42</v>
      </c>
      <c r="E255" s="6">
        <f>'Project Tracker'!E255</f>
        <v>45380</v>
      </c>
      <c r="F255" t="str">
        <f>PROPER('Project Tracker'!F255)</f>
        <v>No</v>
      </c>
      <c r="G255" s="5">
        <f>'Project Tracker'!G255</f>
        <v>150.07</v>
      </c>
    </row>
    <row r="256" spans="1:7" x14ac:dyDescent="0.45">
      <c r="A256" t="str">
        <f>PROPER('Project Tracker'!A256)</f>
        <v>Data Dashboard</v>
      </c>
      <c r="B256" t="str">
        <f>'Project Tracker'!B256</f>
        <v>Walsh LLC</v>
      </c>
      <c r="C256" s="5">
        <f>'Project Tracker'!C256</f>
        <v>2708</v>
      </c>
      <c r="D256">
        <f>'Project Tracker'!D256</f>
        <v>15</v>
      </c>
      <c r="E256" s="6">
        <f>'Project Tracker'!E256</f>
        <v>45402</v>
      </c>
      <c r="F256" t="str">
        <f>PROPER('Project Tracker'!F256)</f>
        <v>Yes</v>
      </c>
      <c r="G256" s="5">
        <f>'Project Tracker'!G256</f>
        <v>180.53</v>
      </c>
    </row>
    <row r="257" spans="1:7" x14ac:dyDescent="0.45">
      <c r="A257" t="str">
        <f>PROPER('Project Tracker'!A257)</f>
        <v>Marketing Campaign</v>
      </c>
      <c r="B257" t="str">
        <f>'Project Tracker'!B257</f>
        <v>James Group</v>
      </c>
      <c r="C257" s="5">
        <f>'Project Tracker'!C257</f>
        <v>5925</v>
      </c>
      <c r="D257">
        <f>'Project Tracker'!D257</f>
        <v>47</v>
      </c>
      <c r="E257" s="6">
        <f>'Project Tracker'!E257</f>
        <v>45251</v>
      </c>
      <c r="F257" t="str">
        <f>PROPER('Project Tracker'!F257)</f>
        <v>No</v>
      </c>
      <c r="G257" s="5">
        <f>'Project Tracker'!G257</f>
        <v>126.06</v>
      </c>
    </row>
    <row r="258" spans="1:7" x14ac:dyDescent="0.45">
      <c r="A258" t="str">
        <f>PROPER('Project Tracker'!A258)</f>
        <v>Website Redesign</v>
      </c>
      <c r="B258" t="str">
        <f>'Project Tracker'!B258</f>
        <v>Evans, Stewart and Walton</v>
      </c>
      <c r="C258" s="5">
        <f>'Project Tracker'!C258</f>
        <v>1711</v>
      </c>
      <c r="D258">
        <f>'Project Tracker'!D258</f>
        <v>31</v>
      </c>
      <c r="E258" s="6">
        <f>'Project Tracker'!E258</f>
        <v>45382</v>
      </c>
      <c r="F258" t="str">
        <f>PROPER('Project Tracker'!F258)</f>
        <v>Yes</v>
      </c>
      <c r="G258" s="5">
        <f>'Project Tracker'!G258</f>
        <v>55.19</v>
      </c>
    </row>
    <row r="259" spans="1:7" x14ac:dyDescent="0.45">
      <c r="A259" t="str">
        <f>PROPER('Project Tracker'!A259)</f>
        <v>Data Dashboard</v>
      </c>
      <c r="B259" t="str">
        <f>'Project Tracker'!B259</f>
        <v>Burton Ltd</v>
      </c>
      <c r="C259" s="5">
        <f>'Project Tracker'!C259</f>
        <v>6323</v>
      </c>
      <c r="D259">
        <f>'Project Tracker'!D259</f>
        <v>56</v>
      </c>
      <c r="E259" s="6">
        <f>'Project Tracker'!E259</f>
        <v>45313</v>
      </c>
      <c r="F259" t="str">
        <f>PROPER('Project Tracker'!F259)</f>
        <v>Yes</v>
      </c>
      <c r="G259" s="5">
        <f>'Project Tracker'!G259</f>
        <v>112.91</v>
      </c>
    </row>
    <row r="260" spans="1:7" x14ac:dyDescent="0.45">
      <c r="A260" t="str">
        <f>PROPER('Project Tracker'!A260)</f>
        <v>Marketing Campaign</v>
      </c>
      <c r="B260" t="str">
        <f>'Project Tracker'!B260</f>
        <v>Frazier Inc</v>
      </c>
      <c r="C260" s="5">
        <f>'Project Tracker'!C260</f>
        <v>1929</v>
      </c>
      <c r="D260">
        <f>'Project Tracker'!D260</f>
        <v>31</v>
      </c>
      <c r="E260" s="6">
        <f>'Project Tracker'!E260</f>
        <v>45273</v>
      </c>
      <c r="F260" t="str">
        <f>PROPER('Project Tracker'!F260)</f>
        <v>No</v>
      </c>
      <c r="G260" s="5">
        <f>'Project Tracker'!G260</f>
        <v>62.23</v>
      </c>
    </row>
    <row r="261" spans="1:7" x14ac:dyDescent="0.45">
      <c r="A261" t="str">
        <f>PROPER('Project Tracker'!A261)</f>
        <v>App Prototype</v>
      </c>
      <c r="B261" t="str">
        <f>'Project Tracker'!B261</f>
        <v>Williams and Sons</v>
      </c>
      <c r="C261" s="5">
        <f>'Project Tracker'!C261</f>
        <v>2020</v>
      </c>
      <c r="D261">
        <f>'Project Tracker'!D261</f>
        <v>75</v>
      </c>
      <c r="E261" s="6">
        <f>'Project Tracker'!E261</f>
        <v>45265</v>
      </c>
      <c r="F261" t="str">
        <f>PROPER('Project Tracker'!F261)</f>
        <v>No</v>
      </c>
      <c r="G261" s="5">
        <f>'Project Tracker'!G261</f>
        <v>26.93</v>
      </c>
    </row>
    <row r="262" spans="1:7" x14ac:dyDescent="0.45">
      <c r="A262" t="str">
        <f>PROPER('Project Tracker'!A262)</f>
        <v>Data Dashboard</v>
      </c>
      <c r="B262" t="str">
        <f>'Project Tracker'!B262</f>
        <v>Morton-Chase</v>
      </c>
      <c r="C262" s="5">
        <f>'Project Tracker'!C262</f>
        <v>6363</v>
      </c>
      <c r="D262">
        <f>'Project Tracker'!D262</f>
        <v>28</v>
      </c>
      <c r="E262" s="6">
        <f>'Project Tracker'!E262</f>
        <v>45387</v>
      </c>
      <c r="F262" t="str">
        <f>PROPER('Project Tracker'!F262)</f>
        <v>No</v>
      </c>
      <c r="G262" s="5">
        <f>'Project Tracker'!G262</f>
        <v>227.25</v>
      </c>
    </row>
    <row r="263" spans="1:7" x14ac:dyDescent="0.45">
      <c r="A263" t="str">
        <f>PROPER('Project Tracker'!A263)</f>
        <v>App Prototype</v>
      </c>
      <c r="B263" t="str">
        <f>'Project Tracker'!B263</f>
        <v>Ross, Robinson and Bright</v>
      </c>
      <c r="C263" s="5">
        <f>'Project Tracker'!C263</f>
        <v>6538</v>
      </c>
      <c r="D263">
        <f>'Project Tracker'!D263</f>
        <v>20</v>
      </c>
      <c r="E263" s="6">
        <f>'Project Tracker'!E263</f>
        <v>45366</v>
      </c>
      <c r="F263" t="str">
        <f>PROPER('Project Tracker'!F263)</f>
        <v>Yes</v>
      </c>
      <c r="G263" s="5">
        <f>'Project Tracker'!G263</f>
        <v>326.89999999999998</v>
      </c>
    </row>
    <row r="264" spans="1:7" x14ac:dyDescent="0.45">
      <c r="A264" t="str">
        <f>PROPER('Project Tracker'!A264)</f>
        <v>Data Dashboard</v>
      </c>
      <c r="B264" t="str">
        <f>'Project Tracker'!B264</f>
        <v>Lee-Davis</v>
      </c>
      <c r="C264" s="5">
        <f>'Project Tracker'!C264</f>
        <v>6770</v>
      </c>
      <c r="D264">
        <f>'Project Tracker'!D264</f>
        <v>18</v>
      </c>
      <c r="E264" s="6">
        <f>'Project Tracker'!E264</f>
        <v>45331</v>
      </c>
      <c r="F264" t="str">
        <f>PROPER('Project Tracker'!F264)</f>
        <v>Yes</v>
      </c>
      <c r="G264" s="5">
        <f>'Project Tracker'!G264</f>
        <v>376.11</v>
      </c>
    </row>
    <row r="265" spans="1:7" x14ac:dyDescent="0.45">
      <c r="A265" t="str">
        <f>PROPER('Project Tracker'!A265)</f>
        <v>Seo Audit</v>
      </c>
      <c r="B265" t="str">
        <f>'Project Tracker'!B265</f>
        <v>Walker LLC</v>
      </c>
      <c r="C265" s="5">
        <f>'Project Tracker'!C265</f>
        <v>4992</v>
      </c>
      <c r="D265">
        <f>'Project Tracker'!D265</f>
        <v>28</v>
      </c>
      <c r="E265" s="6">
        <f>'Project Tracker'!E265</f>
        <v>45321</v>
      </c>
      <c r="F265" t="str">
        <f>PROPER('Project Tracker'!F265)</f>
        <v>No</v>
      </c>
      <c r="G265" s="5">
        <f>'Project Tracker'!G265</f>
        <v>178.29</v>
      </c>
    </row>
    <row r="266" spans="1:7" x14ac:dyDescent="0.45">
      <c r="A266" t="str">
        <f>PROPER('Project Tracker'!A266)</f>
        <v>Seo Audit</v>
      </c>
      <c r="B266" t="str">
        <f>'Project Tracker'!B266</f>
        <v>Abbott-Munoz</v>
      </c>
      <c r="C266" s="5">
        <f>'Project Tracker'!C266</f>
        <v>2161</v>
      </c>
      <c r="D266">
        <f>'Project Tracker'!D266</f>
        <v>56</v>
      </c>
      <c r="E266" s="6">
        <f>'Project Tracker'!E266</f>
        <v>45240</v>
      </c>
      <c r="F266" t="str">
        <f>PROPER('Project Tracker'!F266)</f>
        <v>Yes</v>
      </c>
      <c r="G266" s="5">
        <f>'Project Tracker'!G266</f>
        <v>38.590000000000003</v>
      </c>
    </row>
    <row r="267" spans="1:7" x14ac:dyDescent="0.45">
      <c r="A267" t="str">
        <f>PROPER('Project Tracker'!A267)</f>
        <v>Marketing Campaign</v>
      </c>
      <c r="B267" t="str">
        <f>'Project Tracker'!B267</f>
        <v>Garcia-James</v>
      </c>
      <c r="C267" s="5">
        <f>'Project Tracker'!C267</f>
        <v>2533</v>
      </c>
      <c r="D267">
        <f>'Project Tracker'!D267</f>
        <v>50</v>
      </c>
      <c r="E267" s="6">
        <f>'Project Tracker'!E267</f>
        <v>45339</v>
      </c>
      <c r="F267" t="str">
        <f>PROPER('Project Tracker'!F267)</f>
        <v>Yes</v>
      </c>
      <c r="G267" s="5">
        <f>'Project Tracker'!G267</f>
        <v>50.66</v>
      </c>
    </row>
    <row r="268" spans="1:7" x14ac:dyDescent="0.45">
      <c r="A268" t="str">
        <f>PROPER('Project Tracker'!A268)</f>
        <v>App Prototype</v>
      </c>
      <c r="B268" t="str">
        <f>'Project Tracker'!B268</f>
        <v>Gray Group</v>
      </c>
      <c r="C268" s="5">
        <f>'Project Tracker'!C268</f>
        <v>4163</v>
      </c>
      <c r="D268">
        <f>'Project Tracker'!D268</f>
        <v>63</v>
      </c>
      <c r="E268" s="6">
        <f>'Project Tracker'!E268</f>
        <v>45279</v>
      </c>
      <c r="F268" t="str">
        <f>PROPER('Project Tracker'!F268)</f>
        <v>Yes</v>
      </c>
      <c r="G268" s="5">
        <f>'Project Tracker'!G268</f>
        <v>66.08</v>
      </c>
    </row>
    <row r="269" spans="1:7" x14ac:dyDescent="0.45">
      <c r="A269" t="str">
        <f>PROPER('Project Tracker'!A269)</f>
        <v>App Prototype</v>
      </c>
      <c r="B269" t="str">
        <f>'Project Tracker'!B269</f>
        <v>Baker, Mason and White</v>
      </c>
      <c r="C269" s="5">
        <f>'Project Tracker'!C269</f>
        <v>5216</v>
      </c>
      <c r="D269">
        <f>'Project Tracker'!D269</f>
        <v>79</v>
      </c>
      <c r="E269" s="6">
        <f>'Project Tracker'!E269</f>
        <v>45409</v>
      </c>
      <c r="F269" t="str">
        <f>PROPER('Project Tracker'!F269)</f>
        <v>Yes</v>
      </c>
      <c r="G269" s="5">
        <f>'Project Tracker'!G269</f>
        <v>66.03</v>
      </c>
    </row>
    <row r="270" spans="1:7" x14ac:dyDescent="0.45">
      <c r="A270" t="str">
        <f>PROPER('Project Tracker'!A270)</f>
        <v>Seo Audit</v>
      </c>
      <c r="B270" t="str">
        <f>'Project Tracker'!B270</f>
        <v>Arnold Ltd</v>
      </c>
      <c r="C270" s="5">
        <f>'Project Tracker'!C270</f>
        <v>2437</v>
      </c>
      <c r="D270">
        <f>'Project Tracker'!D270</f>
        <v>42</v>
      </c>
      <c r="E270" s="6">
        <f>'Project Tracker'!E270</f>
        <v>45395</v>
      </c>
      <c r="F270" t="str">
        <f>PROPER('Project Tracker'!F270)</f>
        <v>No</v>
      </c>
      <c r="G270" s="5">
        <f>'Project Tracker'!G270</f>
        <v>58.02</v>
      </c>
    </row>
    <row r="271" spans="1:7" x14ac:dyDescent="0.45">
      <c r="A271" t="str">
        <f>PROPER('Project Tracker'!A271)</f>
        <v>Seo Audit</v>
      </c>
      <c r="B271" t="str">
        <f>'Project Tracker'!B271</f>
        <v>Snyder, Campos and Callahan</v>
      </c>
      <c r="C271" s="5">
        <f>'Project Tracker'!C271</f>
        <v>4889</v>
      </c>
      <c r="D271">
        <f>'Project Tracker'!D271</f>
        <v>58</v>
      </c>
      <c r="E271" s="6">
        <f>'Project Tracker'!E271</f>
        <v>45254</v>
      </c>
      <c r="F271" t="str">
        <f>PROPER('Project Tracker'!F271)</f>
        <v>No</v>
      </c>
      <c r="G271" s="5">
        <f>'Project Tracker'!G271</f>
        <v>84.29</v>
      </c>
    </row>
    <row r="272" spans="1:7" x14ac:dyDescent="0.45">
      <c r="A272" t="str">
        <f>PROPER('Project Tracker'!A272)</f>
        <v>Seo Audit</v>
      </c>
      <c r="B272" t="str">
        <f>'Project Tracker'!B272</f>
        <v>Robinson, Jones and Welch</v>
      </c>
      <c r="C272" s="5">
        <f>'Project Tracker'!C272</f>
        <v>2278</v>
      </c>
      <c r="D272">
        <f>'Project Tracker'!D272</f>
        <v>55</v>
      </c>
      <c r="E272" s="6">
        <f>'Project Tracker'!E272</f>
        <v>45319</v>
      </c>
      <c r="F272" t="str">
        <f>PROPER('Project Tracker'!F272)</f>
        <v>No</v>
      </c>
      <c r="G272" s="5">
        <f>'Project Tracker'!G272</f>
        <v>41.42</v>
      </c>
    </row>
    <row r="273" spans="1:7" x14ac:dyDescent="0.45">
      <c r="A273" t="str">
        <f>PROPER('Project Tracker'!A273)</f>
        <v>Data Dashboard</v>
      </c>
      <c r="B273" t="str">
        <f>'Project Tracker'!B273</f>
        <v>Smith PLC</v>
      </c>
      <c r="C273" s="5">
        <f>'Project Tracker'!C273</f>
        <v>3588</v>
      </c>
      <c r="D273">
        <f>'Project Tracker'!D273</f>
        <v>62</v>
      </c>
      <c r="E273" s="6">
        <f>'Project Tracker'!E273</f>
        <v>45256</v>
      </c>
      <c r="F273" t="str">
        <f>PROPER('Project Tracker'!F273)</f>
        <v>No</v>
      </c>
      <c r="G273" s="5">
        <f>'Project Tracker'!G273</f>
        <v>57.87</v>
      </c>
    </row>
    <row r="274" spans="1:7" x14ac:dyDescent="0.45">
      <c r="A274" t="str">
        <f>PROPER('Project Tracker'!A274)</f>
        <v>Seo Audit</v>
      </c>
      <c r="B274" t="str">
        <f>'Project Tracker'!B274</f>
        <v>Garcia-James</v>
      </c>
      <c r="C274" s="5">
        <f>'Project Tracker'!C274</f>
        <v>2247</v>
      </c>
      <c r="D274">
        <f>'Project Tracker'!D274</f>
        <v>25</v>
      </c>
      <c r="E274" s="6">
        <f>'Project Tracker'!E274</f>
        <v>45386</v>
      </c>
      <c r="F274" t="str">
        <f>PROPER('Project Tracker'!F274)</f>
        <v>Yes</v>
      </c>
      <c r="G274" s="5">
        <f>'Project Tracker'!G274</f>
        <v>89.88</v>
      </c>
    </row>
    <row r="275" spans="1:7" x14ac:dyDescent="0.45">
      <c r="A275" t="str">
        <f>PROPER('Project Tracker'!A275)</f>
        <v>Seo Audit</v>
      </c>
      <c r="B275" t="str">
        <f>'Project Tracker'!B275</f>
        <v>Arnold Ltd</v>
      </c>
      <c r="C275" s="5">
        <f>'Project Tracker'!C275</f>
        <v>4552</v>
      </c>
      <c r="D275">
        <f>'Project Tracker'!D275</f>
        <v>31</v>
      </c>
      <c r="E275" s="6">
        <f>'Project Tracker'!E275</f>
        <v>45321</v>
      </c>
      <c r="F275" t="str">
        <f>PROPER('Project Tracker'!F275)</f>
        <v>Yes</v>
      </c>
      <c r="G275" s="5">
        <f>'Project Tracker'!G275</f>
        <v>146.84</v>
      </c>
    </row>
    <row r="276" spans="1:7" x14ac:dyDescent="0.45">
      <c r="A276" t="str">
        <f>PROPER('Project Tracker'!A276)</f>
        <v>Website Redesign</v>
      </c>
      <c r="B276" t="str">
        <f>'Project Tracker'!B276</f>
        <v>Daniels, Adkins and Brown</v>
      </c>
      <c r="C276" s="5">
        <f>'Project Tracker'!C276</f>
        <v>6100</v>
      </c>
      <c r="D276">
        <f>'Project Tracker'!D276</f>
        <v>57</v>
      </c>
      <c r="E276" s="6">
        <f>'Project Tracker'!E276</f>
        <v>45360</v>
      </c>
      <c r="F276" t="str">
        <f>PROPER('Project Tracker'!F276)</f>
        <v>Yes</v>
      </c>
      <c r="G276" s="5">
        <f>'Project Tracker'!G276</f>
        <v>107.02</v>
      </c>
    </row>
    <row r="277" spans="1:7" x14ac:dyDescent="0.45">
      <c r="A277" t="str">
        <f>PROPER('Project Tracker'!A277)</f>
        <v>Seo Audit</v>
      </c>
      <c r="B277" t="str">
        <f>'Project Tracker'!B277</f>
        <v>Spence PLC</v>
      </c>
      <c r="C277" s="5">
        <f>'Project Tracker'!C277</f>
        <v>6950</v>
      </c>
      <c r="D277">
        <f>'Project Tracker'!D277</f>
        <v>69</v>
      </c>
      <c r="E277" s="6">
        <f>'Project Tracker'!E277</f>
        <v>45334</v>
      </c>
      <c r="F277" t="str">
        <f>PROPER('Project Tracker'!F277)</f>
        <v>Yes</v>
      </c>
      <c r="G277" s="5">
        <f>'Project Tracker'!G277</f>
        <v>100.72</v>
      </c>
    </row>
    <row r="278" spans="1:7" x14ac:dyDescent="0.45">
      <c r="A278" t="str">
        <f>PROPER('Project Tracker'!A278)</f>
        <v>Data Dashboard</v>
      </c>
      <c r="B278" t="str">
        <f>'Project Tracker'!B278</f>
        <v>Woods, Calhoun and Schmidt</v>
      </c>
      <c r="C278" s="5">
        <f>'Project Tracker'!C278</f>
        <v>4059</v>
      </c>
      <c r="D278">
        <f>'Project Tracker'!D278</f>
        <v>60</v>
      </c>
      <c r="E278" s="6">
        <f>'Project Tracker'!E278</f>
        <v>45339</v>
      </c>
      <c r="F278" t="str">
        <f>PROPER('Project Tracker'!F278)</f>
        <v>Yes</v>
      </c>
      <c r="G278" s="5">
        <f>'Project Tracker'!G278</f>
        <v>67.650000000000006</v>
      </c>
    </row>
    <row r="279" spans="1:7" x14ac:dyDescent="0.45">
      <c r="A279" t="str">
        <f>PROPER('Project Tracker'!A279)</f>
        <v>App Prototype</v>
      </c>
      <c r="B279" t="str">
        <f>'Project Tracker'!B279</f>
        <v>Baxter Inc</v>
      </c>
      <c r="C279" s="5">
        <f>'Project Tracker'!C279</f>
        <v>3242</v>
      </c>
      <c r="D279">
        <f>'Project Tracker'!D279</f>
        <v>34</v>
      </c>
      <c r="E279" s="6">
        <f>'Project Tracker'!E279</f>
        <v>45346</v>
      </c>
      <c r="F279" t="str">
        <f>PROPER('Project Tracker'!F279)</f>
        <v>No</v>
      </c>
      <c r="G279" s="5">
        <f>'Project Tracker'!G279</f>
        <v>95.35</v>
      </c>
    </row>
    <row r="280" spans="1:7" x14ac:dyDescent="0.45">
      <c r="A280" t="str">
        <f>PROPER('Project Tracker'!A280)</f>
        <v>Marketing Campaign</v>
      </c>
      <c r="B280" t="str">
        <f>'Project Tracker'!B280</f>
        <v>Mcclure, Ward and Lee</v>
      </c>
      <c r="C280" s="5">
        <f>'Project Tracker'!C280</f>
        <v>4368</v>
      </c>
      <c r="D280">
        <f>'Project Tracker'!D280</f>
        <v>62</v>
      </c>
      <c r="E280" s="6">
        <f>'Project Tracker'!E280</f>
        <v>45292</v>
      </c>
      <c r="F280" t="str">
        <f>PROPER('Project Tracker'!F280)</f>
        <v>Yes</v>
      </c>
      <c r="G280" s="5">
        <f>'Project Tracker'!G280</f>
        <v>70.45</v>
      </c>
    </row>
    <row r="281" spans="1:7" x14ac:dyDescent="0.45">
      <c r="A281" t="str">
        <f>PROPER('Project Tracker'!A281)</f>
        <v>Data Dashboard</v>
      </c>
      <c r="B281" t="str">
        <f>'Project Tracker'!B281</f>
        <v>Stanley, Tucker and Lee</v>
      </c>
      <c r="C281" s="5">
        <f>'Project Tracker'!C281</f>
        <v>3352</v>
      </c>
      <c r="D281">
        <f>'Project Tracker'!D281</f>
        <v>69</v>
      </c>
      <c r="E281" s="6">
        <f>'Project Tracker'!E281</f>
        <v>45377</v>
      </c>
      <c r="F281" t="str">
        <f>PROPER('Project Tracker'!F281)</f>
        <v>Yes</v>
      </c>
      <c r="G281" s="5">
        <f>'Project Tracker'!G281</f>
        <v>48.58</v>
      </c>
    </row>
    <row r="282" spans="1:7" x14ac:dyDescent="0.45">
      <c r="A282" t="str">
        <f>PROPER('Project Tracker'!A282)</f>
        <v>App Prototype</v>
      </c>
      <c r="B282" t="str">
        <f>'Project Tracker'!B282</f>
        <v>Jones Inc</v>
      </c>
      <c r="C282" s="5">
        <f>'Project Tracker'!C282</f>
        <v>6764</v>
      </c>
      <c r="D282">
        <f>'Project Tracker'!D282</f>
        <v>18</v>
      </c>
      <c r="E282" s="6">
        <f>'Project Tracker'!E282</f>
        <v>45404</v>
      </c>
      <c r="F282" t="str">
        <f>PROPER('Project Tracker'!F282)</f>
        <v>Yes</v>
      </c>
      <c r="G282" s="5">
        <f>'Project Tracker'!G282</f>
        <v>375.78</v>
      </c>
    </row>
    <row r="283" spans="1:7" x14ac:dyDescent="0.45">
      <c r="A283" t="str">
        <f>PROPER('Project Tracker'!A283)</f>
        <v>Data Dashboard</v>
      </c>
      <c r="B283" t="str">
        <f>'Project Tracker'!B283</f>
        <v>Davis and Sons</v>
      </c>
      <c r="C283" s="5">
        <f>'Project Tracker'!C283</f>
        <v>2977</v>
      </c>
      <c r="D283">
        <f>'Project Tracker'!D283</f>
        <v>49</v>
      </c>
      <c r="E283" s="6">
        <f>'Project Tracker'!E283</f>
        <v>45316</v>
      </c>
      <c r="F283" t="str">
        <f>PROPER('Project Tracker'!F283)</f>
        <v>Yes</v>
      </c>
      <c r="G283" s="5">
        <f>'Project Tracker'!G283</f>
        <v>60.76</v>
      </c>
    </row>
    <row r="284" spans="1:7" x14ac:dyDescent="0.45">
      <c r="A284" t="str">
        <f>PROPER('Project Tracker'!A284)</f>
        <v>Data Dashboard</v>
      </c>
      <c r="B284" t="str">
        <f>'Project Tracker'!B284</f>
        <v>Arroyo, Miller and Tucker</v>
      </c>
      <c r="C284" s="5">
        <f>'Project Tracker'!C284</f>
        <v>1550</v>
      </c>
      <c r="D284">
        <f>'Project Tracker'!D284</f>
        <v>38</v>
      </c>
      <c r="E284" s="6">
        <f>'Project Tracker'!E284</f>
        <v>45349</v>
      </c>
      <c r="F284" t="str">
        <f>PROPER('Project Tracker'!F284)</f>
        <v>No</v>
      </c>
      <c r="G284" s="5">
        <f>'Project Tracker'!G284</f>
        <v>40.79</v>
      </c>
    </row>
    <row r="285" spans="1:7" x14ac:dyDescent="0.45">
      <c r="A285" t="str">
        <f>PROPER('Project Tracker'!A285)</f>
        <v>App Prototype</v>
      </c>
      <c r="B285" t="str">
        <f>'Project Tracker'!B285</f>
        <v>Evans, Stewart and Walton</v>
      </c>
      <c r="C285" s="5">
        <f>'Project Tracker'!C285</f>
        <v>4783</v>
      </c>
      <c r="D285">
        <f>'Project Tracker'!D285</f>
        <v>23</v>
      </c>
      <c r="E285" s="6">
        <f>'Project Tracker'!E285</f>
        <v>45389</v>
      </c>
      <c r="F285" t="str">
        <f>PROPER('Project Tracker'!F285)</f>
        <v>No</v>
      </c>
      <c r="G285" s="5">
        <f>'Project Tracker'!G285</f>
        <v>207.96</v>
      </c>
    </row>
    <row r="286" spans="1:7" x14ac:dyDescent="0.45">
      <c r="A286" t="str">
        <f>PROPER('Project Tracker'!A286)</f>
        <v>Website Redesign</v>
      </c>
      <c r="B286" t="str">
        <f>'Project Tracker'!B286</f>
        <v>Dudley Group</v>
      </c>
      <c r="C286" s="5">
        <f>'Project Tracker'!C286</f>
        <v>5845</v>
      </c>
      <c r="D286">
        <f>'Project Tracker'!D286</f>
        <v>42</v>
      </c>
      <c r="E286" s="6">
        <f>'Project Tracker'!E286</f>
        <v>45370</v>
      </c>
      <c r="F286" t="str">
        <f>PROPER('Project Tracker'!F286)</f>
        <v>No</v>
      </c>
      <c r="G286" s="5">
        <f>'Project Tracker'!G286</f>
        <v>139.16999999999999</v>
      </c>
    </row>
    <row r="287" spans="1:7" x14ac:dyDescent="0.45">
      <c r="A287" t="str">
        <f>PROPER('Project Tracker'!A287)</f>
        <v>Seo Audit</v>
      </c>
      <c r="B287" t="str">
        <f>'Project Tracker'!B287</f>
        <v>Lee-Davis</v>
      </c>
      <c r="C287" s="5">
        <f>'Project Tracker'!C287</f>
        <v>4292</v>
      </c>
      <c r="D287">
        <f>'Project Tracker'!D287</f>
        <v>35</v>
      </c>
      <c r="E287" s="6">
        <f>'Project Tracker'!E287</f>
        <v>45404</v>
      </c>
      <c r="F287" t="str">
        <f>PROPER('Project Tracker'!F287)</f>
        <v>Yes</v>
      </c>
      <c r="G287" s="5">
        <f>'Project Tracker'!G287</f>
        <v>122.63</v>
      </c>
    </row>
    <row r="288" spans="1:7" x14ac:dyDescent="0.45">
      <c r="A288" t="str">
        <f>PROPER('Project Tracker'!A288)</f>
        <v>Data Dashboard</v>
      </c>
      <c r="B288" t="str">
        <f>'Project Tracker'!B288</f>
        <v>Garcia, Humphrey and Baker</v>
      </c>
      <c r="C288" s="5">
        <f>'Project Tracker'!C288</f>
        <v>4157</v>
      </c>
      <c r="D288">
        <f>'Project Tracker'!D288</f>
        <v>25</v>
      </c>
      <c r="E288" s="6">
        <f>'Project Tracker'!E288</f>
        <v>45329</v>
      </c>
      <c r="F288" t="str">
        <f>PROPER('Project Tracker'!F288)</f>
        <v>Yes</v>
      </c>
      <c r="G288" s="5">
        <f>'Project Tracker'!G288</f>
        <v>166.28</v>
      </c>
    </row>
    <row r="289" spans="1:7" x14ac:dyDescent="0.45">
      <c r="A289" t="str">
        <f>PROPER('Project Tracker'!A289)</f>
        <v>Marketing Campaign</v>
      </c>
      <c r="B289" t="str">
        <f>'Project Tracker'!B289</f>
        <v>Gray-Mayo</v>
      </c>
      <c r="C289" s="5">
        <f>'Project Tracker'!C289</f>
        <v>6561</v>
      </c>
      <c r="D289">
        <f>'Project Tracker'!D289</f>
        <v>21</v>
      </c>
      <c r="E289" s="6">
        <f>'Project Tracker'!E289</f>
        <v>45313</v>
      </c>
      <c r="F289" t="str">
        <f>PROPER('Project Tracker'!F289)</f>
        <v>Yes</v>
      </c>
      <c r="G289" s="5">
        <f>'Project Tracker'!G289</f>
        <v>312.43</v>
      </c>
    </row>
    <row r="290" spans="1:7" x14ac:dyDescent="0.45">
      <c r="A290" t="str">
        <f>PROPER('Project Tracker'!A290)</f>
        <v>Data Dashboard</v>
      </c>
      <c r="B290" t="str">
        <f>'Project Tracker'!B290</f>
        <v>Washington, Ryan and Cummings</v>
      </c>
      <c r="C290" s="5">
        <f>'Project Tracker'!C290</f>
        <v>6922</v>
      </c>
      <c r="D290">
        <f>'Project Tracker'!D290</f>
        <v>69</v>
      </c>
      <c r="E290" s="6">
        <f>'Project Tracker'!E290</f>
        <v>45392</v>
      </c>
      <c r="F290" t="str">
        <f>PROPER('Project Tracker'!F290)</f>
        <v>No</v>
      </c>
      <c r="G290" s="5">
        <f>'Project Tracker'!G290</f>
        <v>100.32</v>
      </c>
    </row>
    <row r="291" spans="1:7" x14ac:dyDescent="0.45">
      <c r="A291" t="str">
        <f>PROPER('Project Tracker'!A291)</f>
        <v>App Prototype</v>
      </c>
      <c r="B291" t="str">
        <f>'Project Tracker'!B291</f>
        <v>Washington, Ryan and Cummings</v>
      </c>
      <c r="C291" s="5">
        <f>'Project Tracker'!C291</f>
        <v>4892</v>
      </c>
      <c r="D291">
        <f>'Project Tracker'!D291</f>
        <v>49</v>
      </c>
      <c r="E291" s="6">
        <f>'Project Tracker'!E291</f>
        <v>45407</v>
      </c>
      <c r="F291" t="str">
        <f>PROPER('Project Tracker'!F291)</f>
        <v>No</v>
      </c>
      <c r="G291" s="5">
        <f>'Project Tracker'!G291</f>
        <v>99.84</v>
      </c>
    </row>
    <row r="292" spans="1:7" x14ac:dyDescent="0.45">
      <c r="A292" t="str">
        <f>PROPER('Project Tracker'!A292)</f>
        <v>App Prototype</v>
      </c>
      <c r="B292" t="str">
        <f>'Project Tracker'!B292</f>
        <v>Williams and Sons</v>
      </c>
      <c r="C292" s="5">
        <f>'Project Tracker'!C292</f>
        <v>4327</v>
      </c>
      <c r="D292">
        <f>'Project Tracker'!D292</f>
        <v>70</v>
      </c>
      <c r="E292" s="6">
        <f>'Project Tracker'!E292</f>
        <v>45337</v>
      </c>
      <c r="F292" t="str">
        <f>PROPER('Project Tracker'!F292)</f>
        <v>Yes</v>
      </c>
      <c r="G292" s="5">
        <f>'Project Tracker'!G292</f>
        <v>61.81</v>
      </c>
    </row>
    <row r="293" spans="1:7" x14ac:dyDescent="0.45">
      <c r="A293" t="str">
        <f>PROPER('Project Tracker'!A293)</f>
        <v>Data Dashboard</v>
      </c>
      <c r="B293" t="str">
        <f>'Project Tracker'!B293</f>
        <v>Ferrell, Jones and Lewis</v>
      </c>
      <c r="C293" s="5">
        <f>'Project Tracker'!C293</f>
        <v>6358</v>
      </c>
      <c r="D293">
        <f>'Project Tracker'!D293</f>
        <v>77</v>
      </c>
      <c r="E293" s="6">
        <f>'Project Tracker'!E293</f>
        <v>45317</v>
      </c>
      <c r="F293" t="str">
        <f>PROPER('Project Tracker'!F293)</f>
        <v>Yes</v>
      </c>
      <c r="G293" s="5">
        <f>'Project Tracker'!G293</f>
        <v>82.57</v>
      </c>
    </row>
    <row r="294" spans="1:7" x14ac:dyDescent="0.45">
      <c r="A294" t="str">
        <f>PROPER('Project Tracker'!A294)</f>
        <v>Data Dashboard</v>
      </c>
      <c r="B294" t="str">
        <f>'Project Tracker'!B294</f>
        <v>Gardner, Robinson and Lawrence</v>
      </c>
      <c r="C294" s="5">
        <f>'Project Tracker'!C294</f>
        <v>3306</v>
      </c>
      <c r="D294">
        <f>'Project Tracker'!D294</f>
        <v>65</v>
      </c>
      <c r="E294" s="6">
        <f>'Project Tracker'!E294</f>
        <v>45405</v>
      </c>
      <c r="F294" t="str">
        <f>PROPER('Project Tracker'!F294)</f>
        <v>Yes</v>
      </c>
      <c r="G294" s="5">
        <f>'Project Tracker'!G294</f>
        <v>50.86</v>
      </c>
    </row>
    <row r="295" spans="1:7" x14ac:dyDescent="0.45">
      <c r="A295" t="str">
        <f>PROPER('Project Tracker'!A295)</f>
        <v>Website Redesign</v>
      </c>
      <c r="B295" t="str">
        <f>'Project Tracker'!B295</f>
        <v>Rodriguez, Figueroa and Sanchez</v>
      </c>
      <c r="C295" s="5">
        <f>'Project Tracker'!C295</f>
        <v>3174</v>
      </c>
      <c r="D295">
        <f>'Project Tracker'!D295</f>
        <v>53</v>
      </c>
      <c r="E295" s="6">
        <f>'Project Tracker'!E295</f>
        <v>45261</v>
      </c>
      <c r="F295" t="str">
        <f>PROPER('Project Tracker'!F295)</f>
        <v>No</v>
      </c>
      <c r="G295" s="5">
        <f>'Project Tracker'!G295</f>
        <v>59.89</v>
      </c>
    </row>
    <row r="296" spans="1:7" x14ac:dyDescent="0.45">
      <c r="A296" t="str">
        <f>PROPER('Project Tracker'!A296)</f>
        <v>Marketing Campaign</v>
      </c>
      <c r="B296" t="str">
        <f>'Project Tracker'!B296</f>
        <v>Davis Group</v>
      </c>
      <c r="C296" s="5">
        <f>'Project Tracker'!C296</f>
        <v>3593</v>
      </c>
      <c r="D296">
        <f>'Project Tracker'!D296</f>
        <v>52</v>
      </c>
      <c r="E296" s="6">
        <f>'Project Tracker'!E296</f>
        <v>45375</v>
      </c>
      <c r="F296" t="str">
        <f>PROPER('Project Tracker'!F296)</f>
        <v>Yes</v>
      </c>
      <c r="G296" s="5">
        <f>'Project Tracker'!G296</f>
        <v>69.099999999999994</v>
      </c>
    </row>
    <row r="297" spans="1:7" x14ac:dyDescent="0.45">
      <c r="A297" t="str">
        <f>PROPER('Project Tracker'!A297)</f>
        <v>Website Redesign</v>
      </c>
      <c r="B297" t="str">
        <f>'Project Tracker'!B297</f>
        <v>Rodriguez, Figueroa and Sanchez</v>
      </c>
      <c r="C297" s="5">
        <f>'Project Tracker'!C297</f>
        <v>5574</v>
      </c>
      <c r="D297">
        <f>'Project Tracker'!D297</f>
        <v>70</v>
      </c>
      <c r="E297" s="6">
        <f>'Project Tracker'!E297</f>
        <v>45398</v>
      </c>
      <c r="F297" t="str">
        <f>PROPER('Project Tracker'!F297)</f>
        <v>No</v>
      </c>
      <c r="G297" s="5">
        <f>'Project Tracker'!G297</f>
        <v>79.63</v>
      </c>
    </row>
    <row r="298" spans="1:7" x14ac:dyDescent="0.45">
      <c r="A298" t="str">
        <f>PROPER('Project Tracker'!A298)</f>
        <v>Marketing Campaign</v>
      </c>
      <c r="B298" t="str">
        <f>'Project Tracker'!B298</f>
        <v>Hickman Ltd</v>
      </c>
      <c r="C298" s="5">
        <f>'Project Tracker'!C298</f>
        <v>5862</v>
      </c>
      <c r="D298">
        <f>'Project Tracker'!D298</f>
        <v>44</v>
      </c>
      <c r="E298" s="6">
        <f>'Project Tracker'!E298</f>
        <v>45323</v>
      </c>
      <c r="F298" t="str">
        <f>PROPER('Project Tracker'!F298)</f>
        <v>Yes</v>
      </c>
      <c r="G298" s="5">
        <f>'Project Tracker'!G298</f>
        <v>133.22999999999999</v>
      </c>
    </row>
    <row r="299" spans="1:7" x14ac:dyDescent="0.45">
      <c r="A299" t="str">
        <f>PROPER('Project Tracker'!A299)</f>
        <v>App Prototype</v>
      </c>
      <c r="B299" t="str">
        <f>'Project Tracker'!B299</f>
        <v>Smith PLC</v>
      </c>
      <c r="C299" s="5">
        <f>'Project Tracker'!C299</f>
        <v>4401</v>
      </c>
      <c r="D299">
        <f>'Project Tracker'!D299</f>
        <v>24</v>
      </c>
      <c r="E299" s="6">
        <f>'Project Tracker'!E299</f>
        <v>45318</v>
      </c>
      <c r="F299" t="str">
        <f>PROPER('Project Tracker'!F299)</f>
        <v>No</v>
      </c>
      <c r="G299" s="5">
        <f>'Project Tracker'!G299</f>
        <v>183.38</v>
      </c>
    </row>
    <row r="300" spans="1:7" x14ac:dyDescent="0.45">
      <c r="A300" t="str">
        <f>PROPER('Project Tracker'!A300)</f>
        <v>Website Redesign</v>
      </c>
      <c r="B300" t="str">
        <f>'Project Tracker'!B300</f>
        <v>Jones-Young</v>
      </c>
      <c r="C300" s="5">
        <f>'Project Tracker'!C300</f>
        <v>1653</v>
      </c>
      <c r="D300">
        <f>'Project Tracker'!D300</f>
        <v>73</v>
      </c>
      <c r="E300" s="6">
        <f>'Project Tracker'!E300</f>
        <v>45281</v>
      </c>
      <c r="F300" t="str">
        <f>PROPER('Project Tracker'!F300)</f>
        <v>Yes</v>
      </c>
      <c r="G300" s="5">
        <f>'Project Tracker'!G300</f>
        <v>22.64</v>
      </c>
    </row>
    <row r="301" spans="1:7" x14ac:dyDescent="0.45">
      <c r="A301" t="str">
        <f>PROPER('Project Tracker'!A301)</f>
        <v>Data Dashboard</v>
      </c>
      <c r="B301" t="str">
        <f>'Project Tracker'!B301</f>
        <v>Stanley, Tucker and Lee</v>
      </c>
      <c r="C301" s="5">
        <f>'Project Tracker'!C301</f>
        <v>5016</v>
      </c>
      <c r="D301">
        <f>'Project Tracker'!D301</f>
        <v>66</v>
      </c>
      <c r="E301" s="6">
        <f>'Project Tracker'!E301</f>
        <v>45376</v>
      </c>
      <c r="F301" t="str">
        <f>PROPER('Project Tracker'!F301)</f>
        <v>No</v>
      </c>
      <c r="G301" s="5">
        <f>'Project Tracker'!G301</f>
        <v>76</v>
      </c>
    </row>
  </sheetData>
  <conditionalFormatting sqref="A2:G301">
    <cfRule type="expression" dxfId="0" priority="1">
      <formula>$G2&lt;75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 Notes</vt:lpstr>
      <vt:lpstr>Instructions</vt:lpstr>
      <vt:lpstr>Project Tracker</vt:lpstr>
      <vt:lpstr>Project Tracker (Solved)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2025-07-19T20:03:48Z</dcterms:created>
  <dcterms:modified xsi:type="dcterms:W3CDTF">2026-07-06T13:46:09Z</dcterms:modified>
</cp:coreProperties>
</file>