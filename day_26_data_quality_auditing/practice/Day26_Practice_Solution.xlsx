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26_data_quality_auditing\practice\"/>
    </mc:Choice>
  </mc:AlternateContent>
  <xr:revisionPtr revIDLastSave="0" documentId="13_ncr:1_{F06382CF-1FDD-4D17-B0A4-7E02F69965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Returns Audit" sheetId="3" r:id="rId3"/>
    <sheet name="Returns Audit (Solved)" sheetId="4" r:id="rId4"/>
    <sheet name="Data Quality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01" i="4" l="1"/>
  <c r="Q2501" i="4" s="1"/>
  <c r="O2501" i="4"/>
  <c r="N2501" i="4"/>
  <c r="M2501" i="4"/>
  <c r="L2501" i="4"/>
  <c r="K2501" i="4"/>
  <c r="J2501" i="4"/>
  <c r="P2500" i="4"/>
  <c r="Q2500" i="4" s="1"/>
  <c r="O2500" i="4"/>
  <c r="N2500" i="4"/>
  <c r="M2500" i="4"/>
  <c r="L2500" i="4"/>
  <c r="K2500" i="4"/>
  <c r="J2500" i="4"/>
  <c r="P2499" i="4"/>
  <c r="Q2499" i="4" s="1"/>
  <c r="O2499" i="4"/>
  <c r="N2499" i="4"/>
  <c r="M2499" i="4"/>
  <c r="L2499" i="4"/>
  <c r="K2499" i="4"/>
  <c r="J2499" i="4"/>
  <c r="P2498" i="4"/>
  <c r="Q2498" i="4" s="1"/>
  <c r="O2498" i="4"/>
  <c r="N2498" i="4"/>
  <c r="M2498" i="4"/>
  <c r="L2498" i="4"/>
  <c r="K2498" i="4"/>
  <c r="J2498" i="4"/>
  <c r="P2497" i="4"/>
  <c r="Q2497" i="4" s="1"/>
  <c r="O2497" i="4"/>
  <c r="N2497" i="4"/>
  <c r="M2497" i="4"/>
  <c r="L2497" i="4"/>
  <c r="K2497" i="4"/>
  <c r="J2497" i="4"/>
  <c r="P2496" i="4"/>
  <c r="Q2496" i="4" s="1"/>
  <c r="O2496" i="4"/>
  <c r="N2496" i="4"/>
  <c r="M2496" i="4"/>
  <c r="L2496" i="4"/>
  <c r="K2496" i="4"/>
  <c r="J2496" i="4"/>
  <c r="P2495" i="4"/>
  <c r="Q2495" i="4" s="1"/>
  <c r="O2495" i="4"/>
  <c r="N2495" i="4"/>
  <c r="M2495" i="4"/>
  <c r="L2495" i="4"/>
  <c r="K2495" i="4"/>
  <c r="J2495" i="4"/>
  <c r="P2494" i="4"/>
  <c r="Q2494" i="4" s="1"/>
  <c r="O2494" i="4"/>
  <c r="N2494" i="4"/>
  <c r="M2494" i="4"/>
  <c r="L2494" i="4"/>
  <c r="K2494" i="4"/>
  <c r="J2494" i="4"/>
  <c r="Q2493" i="4"/>
  <c r="P2493" i="4"/>
  <c r="O2493" i="4"/>
  <c r="N2493" i="4"/>
  <c r="M2493" i="4"/>
  <c r="L2493" i="4"/>
  <c r="K2493" i="4"/>
  <c r="J2493" i="4"/>
  <c r="P2492" i="4"/>
  <c r="Q2492" i="4" s="1"/>
  <c r="O2492" i="4"/>
  <c r="N2492" i="4"/>
  <c r="M2492" i="4"/>
  <c r="L2492" i="4"/>
  <c r="K2492" i="4"/>
  <c r="J2492" i="4"/>
  <c r="P2491" i="4"/>
  <c r="Q2491" i="4" s="1"/>
  <c r="O2491" i="4"/>
  <c r="N2491" i="4"/>
  <c r="M2491" i="4"/>
  <c r="L2491" i="4"/>
  <c r="K2491" i="4"/>
  <c r="J2491" i="4"/>
  <c r="P2490" i="4"/>
  <c r="Q2490" i="4" s="1"/>
  <c r="O2490" i="4"/>
  <c r="N2490" i="4"/>
  <c r="M2490" i="4"/>
  <c r="L2490" i="4"/>
  <c r="K2490" i="4"/>
  <c r="J2490" i="4"/>
  <c r="P2489" i="4"/>
  <c r="Q2489" i="4" s="1"/>
  <c r="O2489" i="4"/>
  <c r="N2489" i="4"/>
  <c r="M2489" i="4"/>
  <c r="L2489" i="4"/>
  <c r="K2489" i="4"/>
  <c r="J2489" i="4"/>
  <c r="Q2488" i="4"/>
  <c r="P2488" i="4"/>
  <c r="O2488" i="4"/>
  <c r="N2488" i="4"/>
  <c r="M2488" i="4"/>
  <c r="L2488" i="4"/>
  <c r="K2488" i="4"/>
  <c r="J2488" i="4"/>
  <c r="P2487" i="4"/>
  <c r="Q2487" i="4" s="1"/>
  <c r="O2487" i="4"/>
  <c r="N2487" i="4"/>
  <c r="M2487" i="4"/>
  <c r="L2487" i="4"/>
  <c r="K2487" i="4"/>
  <c r="J2487" i="4"/>
  <c r="P2486" i="4"/>
  <c r="Q2486" i="4" s="1"/>
  <c r="O2486" i="4"/>
  <c r="N2486" i="4"/>
  <c r="M2486" i="4"/>
  <c r="L2486" i="4"/>
  <c r="K2486" i="4"/>
  <c r="J2486" i="4"/>
  <c r="P2485" i="4"/>
  <c r="Q2485" i="4" s="1"/>
  <c r="O2485" i="4"/>
  <c r="N2485" i="4"/>
  <c r="M2485" i="4"/>
  <c r="L2485" i="4"/>
  <c r="K2485" i="4"/>
  <c r="J2485" i="4"/>
  <c r="P2484" i="4"/>
  <c r="Q2484" i="4" s="1"/>
  <c r="O2484" i="4"/>
  <c r="N2484" i="4"/>
  <c r="M2484" i="4"/>
  <c r="L2484" i="4"/>
  <c r="K2484" i="4"/>
  <c r="J2484" i="4"/>
  <c r="P2483" i="4"/>
  <c r="Q2483" i="4" s="1"/>
  <c r="O2483" i="4"/>
  <c r="N2483" i="4"/>
  <c r="M2483" i="4"/>
  <c r="L2483" i="4"/>
  <c r="K2483" i="4"/>
  <c r="J2483" i="4"/>
  <c r="P2482" i="4"/>
  <c r="Q2482" i="4" s="1"/>
  <c r="O2482" i="4"/>
  <c r="N2482" i="4"/>
  <c r="M2482" i="4"/>
  <c r="L2482" i="4"/>
  <c r="K2482" i="4"/>
  <c r="J2482" i="4"/>
  <c r="P2481" i="4"/>
  <c r="Q2481" i="4" s="1"/>
  <c r="O2481" i="4"/>
  <c r="N2481" i="4"/>
  <c r="M2481" i="4"/>
  <c r="L2481" i="4"/>
  <c r="K2481" i="4"/>
  <c r="J2481" i="4"/>
  <c r="P2480" i="4"/>
  <c r="Q2480" i="4" s="1"/>
  <c r="O2480" i="4"/>
  <c r="N2480" i="4"/>
  <c r="M2480" i="4"/>
  <c r="L2480" i="4"/>
  <c r="K2480" i="4"/>
  <c r="J2480" i="4"/>
  <c r="P2479" i="4"/>
  <c r="Q2479" i="4" s="1"/>
  <c r="O2479" i="4"/>
  <c r="N2479" i="4"/>
  <c r="M2479" i="4"/>
  <c r="L2479" i="4"/>
  <c r="K2479" i="4"/>
  <c r="J2479" i="4"/>
  <c r="P2478" i="4"/>
  <c r="Q2478" i="4" s="1"/>
  <c r="O2478" i="4"/>
  <c r="N2478" i="4"/>
  <c r="M2478" i="4"/>
  <c r="L2478" i="4"/>
  <c r="K2478" i="4"/>
  <c r="J2478" i="4"/>
  <c r="P2477" i="4"/>
  <c r="Q2477" i="4" s="1"/>
  <c r="O2477" i="4"/>
  <c r="N2477" i="4"/>
  <c r="M2477" i="4"/>
  <c r="L2477" i="4"/>
  <c r="K2477" i="4"/>
  <c r="J2477" i="4"/>
  <c r="P2476" i="4"/>
  <c r="Q2476" i="4" s="1"/>
  <c r="O2476" i="4"/>
  <c r="N2476" i="4"/>
  <c r="M2476" i="4"/>
  <c r="L2476" i="4"/>
  <c r="K2476" i="4"/>
  <c r="J2476" i="4"/>
  <c r="P2475" i="4"/>
  <c r="Q2475" i="4" s="1"/>
  <c r="O2475" i="4"/>
  <c r="N2475" i="4"/>
  <c r="M2475" i="4"/>
  <c r="L2475" i="4"/>
  <c r="K2475" i="4"/>
  <c r="J2475" i="4"/>
  <c r="P2474" i="4"/>
  <c r="Q2474" i="4" s="1"/>
  <c r="O2474" i="4"/>
  <c r="N2474" i="4"/>
  <c r="M2474" i="4"/>
  <c r="L2474" i="4"/>
  <c r="K2474" i="4"/>
  <c r="J2474" i="4"/>
  <c r="P2473" i="4"/>
  <c r="Q2473" i="4" s="1"/>
  <c r="O2473" i="4"/>
  <c r="N2473" i="4"/>
  <c r="M2473" i="4"/>
  <c r="L2473" i="4"/>
  <c r="K2473" i="4"/>
  <c r="J2473" i="4"/>
  <c r="Q2472" i="4"/>
  <c r="P2472" i="4"/>
  <c r="O2472" i="4"/>
  <c r="N2472" i="4"/>
  <c r="M2472" i="4"/>
  <c r="L2472" i="4"/>
  <c r="K2472" i="4"/>
  <c r="J2472" i="4"/>
  <c r="Q2471" i="4"/>
  <c r="P2471" i="4"/>
  <c r="O2471" i="4"/>
  <c r="N2471" i="4"/>
  <c r="M2471" i="4"/>
  <c r="L2471" i="4"/>
  <c r="K2471" i="4"/>
  <c r="J2471" i="4"/>
  <c r="P2470" i="4"/>
  <c r="Q2470" i="4" s="1"/>
  <c r="O2470" i="4"/>
  <c r="N2470" i="4"/>
  <c r="M2470" i="4"/>
  <c r="L2470" i="4"/>
  <c r="K2470" i="4"/>
  <c r="J2470" i="4"/>
  <c r="P2469" i="4"/>
  <c r="Q2469" i="4" s="1"/>
  <c r="O2469" i="4"/>
  <c r="N2469" i="4"/>
  <c r="M2469" i="4"/>
  <c r="L2469" i="4"/>
  <c r="K2469" i="4"/>
  <c r="J2469" i="4"/>
  <c r="P2468" i="4"/>
  <c r="Q2468" i="4" s="1"/>
  <c r="O2468" i="4"/>
  <c r="N2468" i="4"/>
  <c r="M2468" i="4"/>
  <c r="L2468" i="4"/>
  <c r="K2468" i="4"/>
  <c r="J2468" i="4"/>
  <c r="P2467" i="4"/>
  <c r="Q2467" i="4" s="1"/>
  <c r="O2467" i="4"/>
  <c r="N2467" i="4"/>
  <c r="M2467" i="4"/>
  <c r="L2467" i="4"/>
  <c r="K2467" i="4"/>
  <c r="J2467" i="4"/>
  <c r="P2466" i="4"/>
  <c r="Q2466" i="4" s="1"/>
  <c r="O2466" i="4"/>
  <c r="N2466" i="4"/>
  <c r="M2466" i="4"/>
  <c r="L2466" i="4"/>
  <c r="K2466" i="4"/>
  <c r="J2466" i="4"/>
  <c r="P2465" i="4"/>
  <c r="Q2465" i="4" s="1"/>
  <c r="O2465" i="4"/>
  <c r="N2465" i="4"/>
  <c r="M2465" i="4"/>
  <c r="L2465" i="4"/>
  <c r="K2465" i="4"/>
  <c r="J2465" i="4"/>
  <c r="P2464" i="4"/>
  <c r="Q2464" i="4" s="1"/>
  <c r="O2464" i="4"/>
  <c r="N2464" i="4"/>
  <c r="M2464" i="4"/>
  <c r="L2464" i="4"/>
  <c r="K2464" i="4"/>
  <c r="J2464" i="4"/>
  <c r="P2463" i="4"/>
  <c r="Q2463" i="4" s="1"/>
  <c r="O2463" i="4"/>
  <c r="N2463" i="4"/>
  <c r="M2463" i="4"/>
  <c r="L2463" i="4"/>
  <c r="K2463" i="4"/>
  <c r="J2463" i="4"/>
  <c r="P2462" i="4"/>
  <c r="Q2462" i="4" s="1"/>
  <c r="O2462" i="4"/>
  <c r="N2462" i="4"/>
  <c r="M2462" i="4"/>
  <c r="L2462" i="4"/>
  <c r="K2462" i="4"/>
  <c r="J2462" i="4"/>
  <c r="P2461" i="4"/>
  <c r="Q2461" i="4" s="1"/>
  <c r="O2461" i="4"/>
  <c r="N2461" i="4"/>
  <c r="M2461" i="4"/>
  <c r="L2461" i="4"/>
  <c r="K2461" i="4"/>
  <c r="J2461" i="4"/>
  <c r="P2460" i="4"/>
  <c r="Q2460" i="4" s="1"/>
  <c r="O2460" i="4"/>
  <c r="N2460" i="4"/>
  <c r="M2460" i="4"/>
  <c r="L2460" i="4"/>
  <c r="K2460" i="4"/>
  <c r="J2460" i="4"/>
  <c r="P2459" i="4"/>
  <c r="Q2459" i="4" s="1"/>
  <c r="O2459" i="4"/>
  <c r="N2459" i="4"/>
  <c r="M2459" i="4"/>
  <c r="L2459" i="4"/>
  <c r="K2459" i="4"/>
  <c r="J2459" i="4"/>
  <c r="P2458" i="4"/>
  <c r="Q2458" i="4" s="1"/>
  <c r="O2458" i="4"/>
  <c r="N2458" i="4"/>
  <c r="M2458" i="4"/>
  <c r="L2458" i="4"/>
  <c r="K2458" i="4"/>
  <c r="J2458" i="4"/>
  <c r="P2457" i="4"/>
  <c r="Q2457" i="4" s="1"/>
  <c r="O2457" i="4"/>
  <c r="N2457" i="4"/>
  <c r="M2457" i="4"/>
  <c r="L2457" i="4"/>
  <c r="K2457" i="4"/>
  <c r="J2457" i="4"/>
  <c r="P2456" i="4"/>
  <c r="Q2456" i="4" s="1"/>
  <c r="O2456" i="4"/>
  <c r="N2456" i="4"/>
  <c r="M2456" i="4"/>
  <c r="L2456" i="4"/>
  <c r="K2456" i="4"/>
  <c r="J2456" i="4"/>
  <c r="P2455" i="4"/>
  <c r="Q2455" i="4" s="1"/>
  <c r="O2455" i="4"/>
  <c r="N2455" i="4"/>
  <c r="M2455" i="4"/>
  <c r="L2455" i="4"/>
  <c r="K2455" i="4"/>
  <c r="J2455" i="4"/>
  <c r="P2454" i="4"/>
  <c r="Q2454" i="4" s="1"/>
  <c r="O2454" i="4"/>
  <c r="N2454" i="4"/>
  <c r="M2454" i="4"/>
  <c r="L2454" i="4"/>
  <c r="K2454" i="4"/>
  <c r="J2454" i="4"/>
  <c r="P2453" i="4"/>
  <c r="Q2453" i="4" s="1"/>
  <c r="O2453" i="4"/>
  <c r="N2453" i="4"/>
  <c r="M2453" i="4"/>
  <c r="L2453" i="4"/>
  <c r="K2453" i="4"/>
  <c r="J2453" i="4"/>
  <c r="P2452" i="4"/>
  <c r="Q2452" i="4" s="1"/>
  <c r="O2452" i="4"/>
  <c r="N2452" i="4"/>
  <c r="M2452" i="4"/>
  <c r="L2452" i="4"/>
  <c r="K2452" i="4"/>
  <c r="J2452" i="4"/>
  <c r="P2451" i="4"/>
  <c r="Q2451" i="4" s="1"/>
  <c r="O2451" i="4"/>
  <c r="N2451" i="4"/>
  <c r="M2451" i="4"/>
  <c r="L2451" i="4"/>
  <c r="K2451" i="4"/>
  <c r="J2451" i="4"/>
  <c r="P2450" i="4"/>
  <c r="Q2450" i="4" s="1"/>
  <c r="O2450" i="4"/>
  <c r="N2450" i="4"/>
  <c r="M2450" i="4"/>
  <c r="L2450" i="4"/>
  <c r="K2450" i="4"/>
  <c r="J2450" i="4"/>
  <c r="P2449" i="4"/>
  <c r="Q2449" i="4" s="1"/>
  <c r="O2449" i="4"/>
  <c r="N2449" i="4"/>
  <c r="M2449" i="4"/>
  <c r="L2449" i="4"/>
  <c r="K2449" i="4"/>
  <c r="J2449" i="4"/>
  <c r="P2448" i="4"/>
  <c r="Q2448" i="4" s="1"/>
  <c r="O2448" i="4"/>
  <c r="N2448" i="4"/>
  <c r="M2448" i="4"/>
  <c r="L2448" i="4"/>
  <c r="K2448" i="4"/>
  <c r="J2448" i="4"/>
  <c r="P2447" i="4"/>
  <c r="Q2447" i="4" s="1"/>
  <c r="O2447" i="4"/>
  <c r="N2447" i="4"/>
  <c r="M2447" i="4"/>
  <c r="L2447" i="4"/>
  <c r="K2447" i="4"/>
  <c r="J2447" i="4"/>
  <c r="P2446" i="4"/>
  <c r="Q2446" i="4" s="1"/>
  <c r="O2446" i="4"/>
  <c r="N2446" i="4"/>
  <c r="M2446" i="4"/>
  <c r="L2446" i="4"/>
  <c r="K2446" i="4"/>
  <c r="J2446" i="4"/>
  <c r="P2445" i="4"/>
  <c r="Q2445" i="4" s="1"/>
  <c r="O2445" i="4"/>
  <c r="N2445" i="4"/>
  <c r="M2445" i="4"/>
  <c r="L2445" i="4"/>
  <c r="K2445" i="4"/>
  <c r="J2445" i="4"/>
  <c r="P2444" i="4"/>
  <c r="Q2444" i="4" s="1"/>
  <c r="O2444" i="4"/>
  <c r="N2444" i="4"/>
  <c r="M2444" i="4"/>
  <c r="L2444" i="4"/>
  <c r="K2444" i="4"/>
  <c r="J2444" i="4"/>
  <c r="P2443" i="4"/>
  <c r="Q2443" i="4" s="1"/>
  <c r="O2443" i="4"/>
  <c r="N2443" i="4"/>
  <c r="M2443" i="4"/>
  <c r="L2443" i="4"/>
  <c r="K2443" i="4"/>
  <c r="J2443" i="4"/>
  <c r="P2442" i="4"/>
  <c r="Q2442" i="4" s="1"/>
  <c r="O2442" i="4"/>
  <c r="N2442" i="4"/>
  <c r="M2442" i="4"/>
  <c r="L2442" i="4"/>
  <c r="K2442" i="4"/>
  <c r="J2442" i="4"/>
  <c r="P2441" i="4"/>
  <c r="Q2441" i="4" s="1"/>
  <c r="O2441" i="4"/>
  <c r="N2441" i="4"/>
  <c r="M2441" i="4"/>
  <c r="L2441" i="4"/>
  <c r="K2441" i="4"/>
  <c r="J2441" i="4"/>
  <c r="P2440" i="4"/>
  <c r="Q2440" i="4" s="1"/>
  <c r="O2440" i="4"/>
  <c r="N2440" i="4"/>
  <c r="M2440" i="4"/>
  <c r="L2440" i="4"/>
  <c r="K2440" i="4"/>
  <c r="J2440" i="4"/>
  <c r="P2439" i="4"/>
  <c r="Q2439" i="4" s="1"/>
  <c r="O2439" i="4"/>
  <c r="N2439" i="4"/>
  <c r="M2439" i="4"/>
  <c r="L2439" i="4"/>
  <c r="K2439" i="4"/>
  <c r="J2439" i="4"/>
  <c r="P2438" i="4"/>
  <c r="Q2438" i="4" s="1"/>
  <c r="O2438" i="4"/>
  <c r="N2438" i="4"/>
  <c r="M2438" i="4"/>
  <c r="L2438" i="4"/>
  <c r="K2438" i="4"/>
  <c r="J2438" i="4"/>
  <c r="Q2437" i="4"/>
  <c r="P2437" i="4"/>
  <c r="O2437" i="4"/>
  <c r="N2437" i="4"/>
  <c r="M2437" i="4"/>
  <c r="L2437" i="4"/>
  <c r="K2437" i="4"/>
  <c r="J2437" i="4"/>
  <c r="P2436" i="4"/>
  <c r="Q2436" i="4" s="1"/>
  <c r="O2436" i="4"/>
  <c r="N2436" i="4"/>
  <c r="M2436" i="4"/>
  <c r="L2436" i="4"/>
  <c r="K2436" i="4"/>
  <c r="J2436" i="4"/>
  <c r="P2435" i="4"/>
  <c r="Q2435" i="4" s="1"/>
  <c r="O2435" i="4"/>
  <c r="N2435" i="4"/>
  <c r="M2435" i="4"/>
  <c r="L2435" i="4"/>
  <c r="K2435" i="4"/>
  <c r="J2435" i="4"/>
  <c r="P2434" i="4"/>
  <c r="Q2434" i="4" s="1"/>
  <c r="O2434" i="4"/>
  <c r="N2434" i="4"/>
  <c r="M2434" i="4"/>
  <c r="L2434" i="4"/>
  <c r="K2434" i="4"/>
  <c r="J2434" i="4"/>
  <c r="P2433" i="4"/>
  <c r="Q2433" i="4" s="1"/>
  <c r="O2433" i="4"/>
  <c r="N2433" i="4"/>
  <c r="M2433" i="4"/>
  <c r="L2433" i="4"/>
  <c r="K2433" i="4"/>
  <c r="J2433" i="4"/>
  <c r="P2432" i="4"/>
  <c r="Q2432" i="4" s="1"/>
  <c r="O2432" i="4"/>
  <c r="N2432" i="4"/>
  <c r="M2432" i="4"/>
  <c r="L2432" i="4"/>
  <c r="K2432" i="4"/>
  <c r="J2432" i="4"/>
  <c r="P2431" i="4"/>
  <c r="Q2431" i="4" s="1"/>
  <c r="O2431" i="4"/>
  <c r="N2431" i="4"/>
  <c r="M2431" i="4"/>
  <c r="L2431" i="4"/>
  <c r="K2431" i="4"/>
  <c r="J2431" i="4"/>
  <c r="P2430" i="4"/>
  <c r="Q2430" i="4" s="1"/>
  <c r="O2430" i="4"/>
  <c r="N2430" i="4"/>
  <c r="M2430" i="4"/>
  <c r="L2430" i="4"/>
  <c r="K2430" i="4"/>
  <c r="J2430" i="4"/>
  <c r="P2429" i="4"/>
  <c r="Q2429" i="4" s="1"/>
  <c r="O2429" i="4"/>
  <c r="N2429" i="4"/>
  <c r="M2429" i="4"/>
  <c r="L2429" i="4"/>
  <c r="K2429" i="4"/>
  <c r="J2429" i="4"/>
  <c r="P2428" i="4"/>
  <c r="Q2428" i="4" s="1"/>
  <c r="O2428" i="4"/>
  <c r="N2428" i="4"/>
  <c r="M2428" i="4"/>
  <c r="L2428" i="4"/>
  <c r="K2428" i="4"/>
  <c r="J2428" i="4"/>
  <c r="P2427" i="4"/>
  <c r="Q2427" i="4" s="1"/>
  <c r="O2427" i="4"/>
  <c r="N2427" i="4"/>
  <c r="M2427" i="4"/>
  <c r="L2427" i="4"/>
  <c r="K2427" i="4"/>
  <c r="J2427" i="4"/>
  <c r="P2426" i="4"/>
  <c r="Q2426" i="4" s="1"/>
  <c r="O2426" i="4"/>
  <c r="N2426" i="4"/>
  <c r="M2426" i="4"/>
  <c r="L2426" i="4"/>
  <c r="K2426" i="4"/>
  <c r="J2426" i="4"/>
  <c r="P2425" i="4"/>
  <c r="Q2425" i="4" s="1"/>
  <c r="O2425" i="4"/>
  <c r="N2425" i="4"/>
  <c r="M2425" i="4"/>
  <c r="L2425" i="4"/>
  <c r="K2425" i="4"/>
  <c r="J2425" i="4"/>
  <c r="P2424" i="4"/>
  <c r="Q2424" i="4" s="1"/>
  <c r="O2424" i="4"/>
  <c r="N2424" i="4"/>
  <c r="M2424" i="4"/>
  <c r="L2424" i="4"/>
  <c r="K2424" i="4"/>
  <c r="J2424" i="4"/>
  <c r="P2423" i="4"/>
  <c r="Q2423" i="4" s="1"/>
  <c r="O2423" i="4"/>
  <c r="N2423" i="4"/>
  <c r="M2423" i="4"/>
  <c r="L2423" i="4"/>
  <c r="K2423" i="4"/>
  <c r="J2423" i="4"/>
  <c r="P2422" i="4"/>
  <c r="Q2422" i="4" s="1"/>
  <c r="O2422" i="4"/>
  <c r="N2422" i="4"/>
  <c r="M2422" i="4"/>
  <c r="L2422" i="4"/>
  <c r="K2422" i="4"/>
  <c r="J2422" i="4"/>
  <c r="P2421" i="4"/>
  <c r="Q2421" i="4" s="1"/>
  <c r="O2421" i="4"/>
  <c r="N2421" i="4"/>
  <c r="M2421" i="4"/>
  <c r="L2421" i="4"/>
  <c r="K2421" i="4"/>
  <c r="J2421" i="4"/>
  <c r="P2420" i="4"/>
  <c r="Q2420" i="4" s="1"/>
  <c r="O2420" i="4"/>
  <c r="N2420" i="4"/>
  <c r="M2420" i="4"/>
  <c r="L2420" i="4"/>
  <c r="K2420" i="4"/>
  <c r="J2420" i="4"/>
  <c r="P2419" i="4"/>
  <c r="Q2419" i="4" s="1"/>
  <c r="O2419" i="4"/>
  <c r="N2419" i="4"/>
  <c r="M2419" i="4"/>
  <c r="L2419" i="4"/>
  <c r="K2419" i="4"/>
  <c r="J2419" i="4"/>
  <c r="P2418" i="4"/>
  <c r="Q2418" i="4" s="1"/>
  <c r="O2418" i="4"/>
  <c r="N2418" i="4"/>
  <c r="M2418" i="4"/>
  <c r="L2418" i="4"/>
  <c r="K2418" i="4"/>
  <c r="J2418" i="4"/>
  <c r="P2417" i="4"/>
  <c r="Q2417" i="4" s="1"/>
  <c r="O2417" i="4"/>
  <c r="N2417" i="4"/>
  <c r="M2417" i="4"/>
  <c r="L2417" i="4"/>
  <c r="K2417" i="4"/>
  <c r="J2417" i="4"/>
  <c r="P2416" i="4"/>
  <c r="Q2416" i="4" s="1"/>
  <c r="O2416" i="4"/>
  <c r="N2416" i="4"/>
  <c r="M2416" i="4"/>
  <c r="L2416" i="4"/>
  <c r="K2416" i="4"/>
  <c r="J2416" i="4"/>
  <c r="P2415" i="4"/>
  <c r="Q2415" i="4" s="1"/>
  <c r="O2415" i="4"/>
  <c r="N2415" i="4"/>
  <c r="M2415" i="4"/>
  <c r="L2415" i="4"/>
  <c r="K2415" i="4"/>
  <c r="J2415" i="4"/>
  <c r="P2414" i="4"/>
  <c r="Q2414" i="4" s="1"/>
  <c r="O2414" i="4"/>
  <c r="N2414" i="4"/>
  <c r="M2414" i="4"/>
  <c r="L2414" i="4"/>
  <c r="K2414" i="4"/>
  <c r="J2414" i="4"/>
  <c r="P2413" i="4"/>
  <c r="Q2413" i="4" s="1"/>
  <c r="O2413" i="4"/>
  <c r="N2413" i="4"/>
  <c r="M2413" i="4"/>
  <c r="L2413" i="4"/>
  <c r="K2413" i="4"/>
  <c r="J2413" i="4"/>
  <c r="P2412" i="4"/>
  <c r="Q2412" i="4" s="1"/>
  <c r="O2412" i="4"/>
  <c r="N2412" i="4"/>
  <c r="M2412" i="4"/>
  <c r="L2412" i="4"/>
  <c r="K2412" i="4"/>
  <c r="J2412" i="4"/>
  <c r="P2411" i="4"/>
  <c r="Q2411" i="4" s="1"/>
  <c r="O2411" i="4"/>
  <c r="N2411" i="4"/>
  <c r="M2411" i="4"/>
  <c r="L2411" i="4"/>
  <c r="K2411" i="4"/>
  <c r="J2411" i="4"/>
  <c r="P2410" i="4"/>
  <c r="Q2410" i="4" s="1"/>
  <c r="O2410" i="4"/>
  <c r="N2410" i="4"/>
  <c r="M2410" i="4"/>
  <c r="L2410" i="4"/>
  <c r="K2410" i="4"/>
  <c r="J2410" i="4"/>
  <c r="P2409" i="4"/>
  <c r="Q2409" i="4" s="1"/>
  <c r="O2409" i="4"/>
  <c r="N2409" i="4"/>
  <c r="M2409" i="4"/>
  <c r="L2409" i="4"/>
  <c r="K2409" i="4"/>
  <c r="J2409" i="4"/>
  <c r="Q2408" i="4"/>
  <c r="P2408" i="4"/>
  <c r="O2408" i="4"/>
  <c r="N2408" i="4"/>
  <c r="M2408" i="4"/>
  <c r="L2408" i="4"/>
  <c r="K2408" i="4"/>
  <c r="J2408" i="4"/>
  <c r="P2407" i="4"/>
  <c r="Q2407" i="4" s="1"/>
  <c r="O2407" i="4"/>
  <c r="N2407" i="4"/>
  <c r="M2407" i="4"/>
  <c r="L2407" i="4"/>
  <c r="K2407" i="4"/>
  <c r="J2407" i="4"/>
  <c r="Q2406" i="4"/>
  <c r="P2406" i="4"/>
  <c r="O2406" i="4"/>
  <c r="N2406" i="4"/>
  <c r="M2406" i="4"/>
  <c r="L2406" i="4"/>
  <c r="K2406" i="4"/>
  <c r="J2406" i="4"/>
  <c r="P2405" i="4"/>
  <c r="Q2405" i="4" s="1"/>
  <c r="O2405" i="4"/>
  <c r="N2405" i="4"/>
  <c r="M2405" i="4"/>
  <c r="L2405" i="4"/>
  <c r="K2405" i="4"/>
  <c r="J2405" i="4"/>
  <c r="P2404" i="4"/>
  <c r="Q2404" i="4" s="1"/>
  <c r="O2404" i="4"/>
  <c r="N2404" i="4"/>
  <c r="M2404" i="4"/>
  <c r="L2404" i="4"/>
  <c r="K2404" i="4"/>
  <c r="J2404" i="4"/>
  <c r="P2403" i="4"/>
  <c r="Q2403" i="4" s="1"/>
  <c r="O2403" i="4"/>
  <c r="N2403" i="4"/>
  <c r="M2403" i="4"/>
  <c r="L2403" i="4"/>
  <c r="K2403" i="4"/>
  <c r="J2403" i="4"/>
  <c r="P2402" i="4"/>
  <c r="Q2402" i="4" s="1"/>
  <c r="O2402" i="4"/>
  <c r="N2402" i="4"/>
  <c r="M2402" i="4"/>
  <c r="L2402" i="4"/>
  <c r="K2402" i="4"/>
  <c r="J2402" i="4"/>
  <c r="Q2401" i="4"/>
  <c r="P2401" i="4"/>
  <c r="O2401" i="4"/>
  <c r="N2401" i="4"/>
  <c r="M2401" i="4"/>
  <c r="L2401" i="4"/>
  <c r="K2401" i="4"/>
  <c r="J2401" i="4"/>
  <c r="P2400" i="4"/>
  <c r="Q2400" i="4" s="1"/>
  <c r="O2400" i="4"/>
  <c r="N2400" i="4"/>
  <c r="M2400" i="4"/>
  <c r="L2400" i="4"/>
  <c r="K2400" i="4"/>
  <c r="J2400" i="4"/>
  <c r="P2399" i="4"/>
  <c r="Q2399" i="4" s="1"/>
  <c r="O2399" i="4"/>
  <c r="N2399" i="4"/>
  <c r="M2399" i="4"/>
  <c r="L2399" i="4"/>
  <c r="K2399" i="4"/>
  <c r="J2399" i="4"/>
  <c r="P2398" i="4"/>
  <c r="Q2398" i="4" s="1"/>
  <c r="O2398" i="4"/>
  <c r="N2398" i="4"/>
  <c r="M2398" i="4"/>
  <c r="L2398" i="4"/>
  <c r="K2398" i="4"/>
  <c r="J2398" i="4"/>
  <c r="P2397" i="4"/>
  <c r="Q2397" i="4" s="1"/>
  <c r="O2397" i="4"/>
  <c r="N2397" i="4"/>
  <c r="M2397" i="4"/>
  <c r="L2397" i="4"/>
  <c r="K2397" i="4"/>
  <c r="J2397" i="4"/>
  <c r="P2396" i="4"/>
  <c r="Q2396" i="4" s="1"/>
  <c r="O2396" i="4"/>
  <c r="N2396" i="4"/>
  <c r="M2396" i="4"/>
  <c r="L2396" i="4"/>
  <c r="K2396" i="4"/>
  <c r="J2396" i="4"/>
  <c r="P2395" i="4"/>
  <c r="Q2395" i="4" s="1"/>
  <c r="O2395" i="4"/>
  <c r="N2395" i="4"/>
  <c r="M2395" i="4"/>
  <c r="L2395" i="4"/>
  <c r="K2395" i="4"/>
  <c r="J2395" i="4"/>
  <c r="P2394" i="4"/>
  <c r="Q2394" i="4" s="1"/>
  <c r="O2394" i="4"/>
  <c r="N2394" i="4"/>
  <c r="M2394" i="4"/>
  <c r="L2394" i="4"/>
  <c r="K2394" i="4"/>
  <c r="J2394" i="4"/>
  <c r="P2393" i="4"/>
  <c r="Q2393" i="4" s="1"/>
  <c r="O2393" i="4"/>
  <c r="N2393" i="4"/>
  <c r="M2393" i="4"/>
  <c r="L2393" i="4"/>
  <c r="K2393" i="4"/>
  <c r="J2393" i="4"/>
  <c r="P2392" i="4"/>
  <c r="Q2392" i="4" s="1"/>
  <c r="O2392" i="4"/>
  <c r="N2392" i="4"/>
  <c r="M2392" i="4"/>
  <c r="L2392" i="4"/>
  <c r="K2392" i="4"/>
  <c r="J2392" i="4"/>
  <c r="P2391" i="4"/>
  <c r="Q2391" i="4" s="1"/>
  <c r="O2391" i="4"/>
  <c r="N2391" i="4"/>
  <c r="M2391" i="4"/>
  <c r="L2391" i="4"/>
  <c r="K2391" i="4"/>
  <c r="J2391" i="4"/>
  <c r="P2390" i="4"/>
  <c r="Q2390" i="4" s="1"/>
  <c r="O2390" i="4"/>
  <c r="N2390" i="4"/>
  <c r="M2390" i="4"/>
  <c r="L2390" i="4"/>
  <c r="K2390" i="4"/>
  <c r="J2390" i="4"/>
  <c r="P2389" i="4"/>
  <c r="Q2389" i="4" s="1"/>
  <c r="O2389" i="4"/>
  <c r="N2389" i="4"/>
  <c r="M2389" i="4"/>
  <c r="L2389" i="4"/>
  <c r="K2389" i="4"/>
  <c r="J2389" i="4"/>
  <c r="P2388" i="4"/>
  <c r="Q2388" i="4" s="1"/>
  <c r="O2388" i="4"/>
  <c r="N2388" i="4"/>
  <c r="M2388" i="4"/>
  <c r="L2388" i="4"/>
  <c r="K2388" i="4"/>
  <c r="J2388" i="4"/>
  <c r="P2387" i="4"/>
  <c r="Q2387" i="4" s="1"/>
  <c r="O2387" i="4"/>
  <c r="N2387" i="4"/>
  <c r="M2387" i="4"/>
  <c r="L2387" i="4"/>
  <c r="K2387" i="4"/>
  <c r="J2387" i="4"/>
  <c r="P2386" i="4"/>
  <c r="Q2386" i="4" s="1"/>
  <c r="O2386" i="4"/>
  <c r="N2386" i="4"/>
  <c r="M2386" i="4"/>
  <c r="L2386" i="4"/>
  <c r="K2386" i="4"/>
  <c r="J2386" i="4"/>
  <c r="P2385" i="4"/>
  <c r="Q2385" i="4" s="1"/>
  <c r="O2385" i="4"/>
  <c r="N2385" i="4"/>
  <c r="M2385" i="4"/>
  <c r="L2385" i="4"/>
  <c r="K2385" i="4"/>
  <c r="J2385" i="4"/>
  <c r="P2384" i="4"/>
  <c r="Q2384" i="4" s="1"/>
  <c r="O2384" i="4"/>
  <c r="N2384" i="4"/>
  <c r="M2384" i="4"/>
  <c r="L2384" i="4"/>
  <c r="K2384" i="4"/>
  <c r="J2384" i="4"/>
  <c r="P2383" i="4"/>
  <c r="Q2383" i="4" s="1"/>
  <c r="O2383" i="4"/>
  <c r="N2383" i="4"/>
  <c r="M2383" i="4"/>
  <c r="L2383" i="4"/>
  <c r="K2383" i="4"/>
  <c r="J2383" i="4"/>
  <c r="P2382" i="4"/>
  <c r="Q2382" i="4" s="1"/>
  <c r="O2382" i="4"/>
  <c r="N2382" i="4"/>
  <c r="M2382" i="4"/>
  <c r="L2382" i="4"/>
  <c r="K2382" i="4"/>
  <c r="J2382" i="4"/>
  <c r="P2381" i="4"/>
  <c r="Q2381" i="4" s="1"/>
  <c r="O2381" i="4"/>
  <c r="N2381" i="4"/>
  <c r="M2381" i="4"/>
  <c r="L2381" i="4"/>
  <c r="K2381" i="4"/>
  <c r="J2381" i="4"/>
  <c r="P2380" i="4"/>
  <c r="Q2380" i="4" s="1"/>
  <c r="O2380" i="4"/>
  <c r="N2380" i="4"/>
  <c r="M2380" i="4"/>
  <c r="L2380" i="4"/>
  <c r="K2380" i="4"/>
  <c r="J2380" i="4"/>
  <c r="P2379" i="4"/>
  <c r="Q2379" i="4" s="1"/>
  <c r="O2379" i="4"/>
  <c r="N2379" i="4"/>
  <c r="M2379" i="4"/>
  <c r="L2379" i="4"/>
  <c r="K2379" i="4"/>
  <c r="J2379" i="4"/>
  <c r="P2378" i="4"/>
  <c r="Q2378" i="4" s="1"/>
  <c r="O2378" i="4"/>
  <c r="N2378" i="4"/>
  <c r="M2378" i="4"/>
  <c r="L2378" i="4"/>
  <c r="K2378" i="4"/>
  <c r="J2378" i="4"/>
  <c r="P2377" i="4"/>
  <c r="Q2377" i="4" s="1"/>
  <c r="O2377" i="4"/>
  <c r="N2377" i="4"/>
  <c r="M2377" i="4"/>
  <c r="L2377" i="4"/>
  <c r="K2377" i="4"/>
  <c r="J2377" i="4"/>
  <c r="P2376" i="4"/>
  <c r="Q2376" i="4" s="1"/>
  <c r="O2376" i="4"/>
  <c r="N2376" i="4"/>
  <c r="M2376" i="4"/>
  <c r="L2376" i="4"/>
  <c r="K2376" i="4"/>
  <c r="J2376" i="4"/>
  <c r="P2375" i="4"/>
  <c r="Q2375" i="4" s="1"/>
  <c r="O2375" i="4"/>
  <c r="N2375" i="4"/>
  <c r="M2375" i="4"/>
  <c r="L2375" i="4"/>
  <c r="K2375" i="4"/>
  <c r="J2375" i="4"/>
  <c r="P2374" i="4"/>
  <c r="Q2374" i="4" s="1"/>
  <c r="O2374" i="4"/>
  <c r="N2374" i="4"/>
  <c r="M2374" i="4"/>
  <c r="L2374" i="4"/>
  <c r="K2374" i="4"/>
  <c r="J2374" i="4"/>
  <c r="P2373" i="4"/>
  <c r="Q2373" i="4" s="1"/>
  <c r="O2373" i="4"/>
  <c r="N2373" i="4"/>
  <c r="M2373" i="4"/>
  <c r="L2373" i="4"/>
  <c r="K2373" i="4"/>
  <c r="J2373" i="4"/>
  <c r="P2372" i="4"/>
  <c r="Q2372" i="4" s="1"/>
  <c r="O2372" i="4"/>
  <c r="N2372" i="4"/>
  <c r="M2372" i="4"/>
  <c r="L2372" i="4"/>
  <c r="K2372" i="4"/>
  <c r="J2372" i="4"/>
  <c r="P2371" i="4"/>
  <c r="Q2371" i="4" s="1"/>
  <c r="O2371" i="4"/>
  <c r="N2371" i="4"/>
  <c r="M2371" i="4"/>
  <c r="L2371" i="4"/>
  <c r="K2371" i="4"/>
  <c r="J2371" i="4"/>
  <c r="P2370" i="4"/>
  <c r="Q2370" i="4" s="1"/>
  <c r="O2370" i="4"/>
  <c r="N2370" i="4"/>
  <c r="M2370" i="4"/>
  <c r="L2370" i="4"/>
  <c r="K2370" i="4"/>
  <c r="J2370" i="4"/>
  <c r="P2369" i="4"/>
  <c r="Q2369" i="4" s="1"/>
  <c r="O2369" i="4"/>
  <c r="N2369" i="4"/>
  <c r="M2369" i="4"/>
  <c r="L2369" i="4"/>
  <c r="K2369" i="4"/>
  <c r="J2369" i="4"/>
  <c r="P2368" i="4"/>
  <c r="Q2368" i="4" s="1"/>
  <c r="O2368" i="4"/>
  <c r="N2368" i="4"/>
  <c r="M2368" i="4"/>
  <c r="L2368" i="4"/>
  <c r="K2368" i="4"/>
  <c r="J2368" i="4"/>
  <c r="P2367" i="4"/>
  <c r="Q2367" i="4" s="1"/>
  <c r="O2367" i="4"/>
  <c r="N2367" i="4"/>
  <c r="M2367" i="4"/>
  <c r="L2367" i="4"/>
  <c r="K2367" i="4"/>
  <c r="J2367" i="4"/>
  <c r="P2366" i="4"/>
  <c r="Q2366" i="4" s="1"/>
  <c r="O2366" i="4"/>
  <c r="N2366" i="4"/>
  <c r="M2366" i="4"/>
  <c r="L2366" i="4"/>
  <c r="K2366" i="4"/>
  <c r="J2366" i="4"/>
  <c r="P2365" i="4"/>
  <c r="Q2365" i="4" s="1"/>
  <c r="O2365" i="4"/>
  <c r="N2365" i="4"/>
  <c r="M2365" i="4"/>
  <c r="L2365" i="4"/>
  <c r="K2365" i="4"/>
  <c r="J2365" i="4"/>
  <c r="P2364" i="4"/>
  <c r="Q2364" i="4" s="1"/>
  <c r="O2364" i="4"/>
  <c r="N2364" i="4"/>
  <c r="M2364" i="4"/>
  <c r="L2364" i="4"/>
  <c r="K2364" i="4"/>
  <c r="J2364" i="4"/>
  <c r="P2363" i="4"/>
  <c r="Q2363" i="4" s="1"/>
  <c r="O2363" i="4"/>
  <c r="N2363" i="4"/>
  <c r="M2363" i="4"/>
  <c r="L2363" i="4"/>
  <c r="K2363" i="4"/>
  <c r="J2363" i="4"/>
  <c r="P2362" i="4"/>
  <c r="Q2362" i="4" s="1"/>
  <c r="O2362" i="4"/>
  <c r="N2362" i="4"/>
  <c r="M2362" i="4"/>
  <c r="L2362" i="4"/>
  <c r="K2362" i="4"/>
  <c r="J2362" i="4"/>
  <c r="P2361" i="4"/>
  <c r="Q2361" i="4" s="1"/>
  <c r="O2361" i="4"/>
  <c r="N2361" i="4"/>
  <c r="M2361" i="4"/>
  <c r="L2361" i="4"/>
  <c r="K2361" i="4"/>
  <c r="J2361" i="4"/>
  <c r="P2360" i="4"/>
  <c r="Q2360" i="4" s="1"/>
  <c r="O2360" i="4"/>
  <c r="N2360" i="4"/>
  <c r="M2360" i="4"/>
  <c r="L2360" i="4"/>
  <c r="K2360" i="4"/>
  <c r="J2360" i="4"/>
  <c r="P2359" i="4"/>
  <c r="Q2359" i="4" s="1"/>
  <c r="O2359" i="4"/>
  <c r="N2359" i="4"/>
  <c r="M2359" i="4"/>
  <c r="L2359" i="4"/>
  <c r="K2359" i="4"/>
  <c r="J2359" i="4"/>
  <c r="P2358" i="4"/>
  <c r="Q2358" i="4" s="1"/>
  <c r="O2358" i="4"/>
  <c r="N2358" i="4"/>
  <c r="M2358" i="4"/>
  <c r="L2358" i="4"/>
  <c r="K2358" i="4"/>
  <c r="J2358" i="4"/>
  <c r="P2357" i="4"/>
  <c r="Q2357" i="4" s="1"/>
  <c r="O2357" i="4"/>
  <c r="N2357" i="4"/>
  <c r="M2357" i="4"/>
  <c r="L2357" i="4"/>
  <c r="K2357" i="4"/>
  <c r="J2357" i="4"/>
  <c r="P2356" i="4"/>
  <c r="Q2356" i="4" s="1"/>
  <c r="O2356" i="4"/>
  <c r="N2356" i="4"/>
  <c r="M2356" i="4"/>
  <c r="L2356" i="4"/>
  <c r="K2356" i="4"/>
  <c r="J2356" i="4"/>
  <c r="P2355" i="4"/>
  <c r="Q2355" i="4" s="1"/>
  <c r="O2355" i="4"/>
  <c r="N2355" i="4"/>
  <c r="M2355" i="4"/>
  <c r="L2355" i="4"/>
  <c r="K2355" i="4"/>
  <c r="J2355" i="4"/>
  <c r="P2354" i="4"/>
  <c r="Q2354" i="4" s="1"/>
  <c r="O2354" i="4"/>
  <c r="N2354" i="4"/>
  <c r="M2354" i="4"/>
  <c r="L2354" i="4"/>
  <c r="K2354" i="4"/>
  <c r="J2354" i="4"/>
  <c r="P2353" i="4"/>
  <c r="Q2353" i="4" s="1"/>
  <c r="O2353" i="4"/>
  <c r="N2353" i="4"/>
  <c r="M2353" i="4"/>
  <c r="L2353" i="4"/>
  <c r="K2353" i="4"/>
  <c r="J2353" i="4"/>
  <c r="P2352" i="4"/>
  <c r="Q2352" i="4" s="1"/>
  <c r="O2352" i="4"/>
  <c r="N2352" i="4"/>
  <c r="M2352" i="4"/>
  <c r="L2352" i="4"/>
  <c r="K2352" i="4"/>
  <c r="J2352" i="4"/>
  <c r="P2351" i="4"/>
  <c r="Q2351" i="4" s="1"/>
  <c r="O2351" i="4"/>
  <c r="N2351" i="4"/>
  <c r="M2351" i="4"/>
  <c r="L2351" i="4"/>
  <c r="K2351" i="4"/>
  <c r="J2351" i="4"/>
  <c r="Q2350" i="4"/>
  <c r="P2350" i="4"/>
  <c r="O2350" i="4"/>
  <c r="N2350" i="4"/>
  <c r="M2350" i="4"/>
  <c r="L2350" i="4"/>
  <c r="K2350" i="4"/>
  <c r="J2350" i="4"/>
  <c r="P2349" i="4"/>
  <c r="Q2349" i="4" s="1"/>
  <c r="O2349" i="4"/>
  <c r="N2349" i="4"/>
  <c r="M2349" i="4"/>
  <c r="L2349" i="4"/>
  <c r="K2349" i="4"/>
  <c r="J2349" i="4"/>
  <c r="P2348" i="4"/>
  <c r="Q2348" i="4" s="1"/>
  <c r="O2348" i="4"/>
  <c r="N2348" i="4"/>
  <c r="M2348" i="4"/>
  <c r="L2348" i="4"/>
  <c r="K2348" i="4"/>
  <c r="J2348" i="4"/>
  <c r="P2347" i="4"/>
  <c r="Q2347" i="4" s="1"/>
  <c r="O2347" i="4"/>
  <c r="N2347" i="4"/>
  <c r="M2347" i="4"/>
  <c r="L2347" i="4"/>
  <c r="K2347" i="4"/>
  <c r="J2347" i="4"/>
  <c r="P2346" i="4"/>
  <c r="Q2346" i="4" s="1"/>
  <c r="O2346" i="4"/>
  <c r="N2346" i="4"/>
  <c r="M2346" i="4"/>
  <c r="L2346" i="4"/>
  <c r="K2346" i="4"/>
  <c r="J2346" i="4"/>
  <c r="P2345" i="4"/>
  <c r="Q2345" i="4" s="1"/>
  <c r="O2345" i="4"/>
  <c r="N2345" i="4"/>
  <c r="M2345" i="4"/>
  <c r="L2345" i="4"/>
  <c r="K2345" i="4"/>
  <c r="J2345" i="4"/>
  <c r="P2344" i="4"/>
  <c r="Q2344" i="4" s="1"/>
  <c r="O2344" i="4"/>
  <c r="N2344" i="4"/>
  <c r="M2344" i="4"/>
  <c r="L2344" i="4"/>
  <c r="K2344" i="4"/>
  <c r="J2344" i="4"/>
  <c r="P2343" i="4"/>
  <c r="Q2343" i="4" s="1"/>
  <c r="O2343" i="4"/>
  <c r="N2343" i="4"/>
  <c r="M2343" i="4"/>
  <c r="L2343" i="4"/>
  <c r="K2343" i="4"/>
  <c r="J2343" i="4"/>
  <c r="P2342" i="4"/>
  <c r="Q2342" i="4" s="1"/>
  <c r="O2342" i="4"/>
  <c r="N2342" i="4"/>
  <c r="M2342" i="4"/>
  <c r="L2342" i="4"/>
  <c r="K2342" i="4"/>
  <c r="J2342" i="4"/>
  <c r="P2341" i="4"/>
  <c r="Q2341" i="4" s="1"/>
  <c r="O2341" i="4"/>
  <c r="N2341" i="4"/>
  <c r="M2341" i="4"/>
  <c r="L2341" i="4"/>
  <c r="K2341" i="4"/>
  <c r="J2341" i="4"/>
  <c r="P2340" i="4"/>
  <c r="Q2340" i="4" s="1"/>
  <c r="O2340" i="4"/>
  <c r="N2340" i="4"/>
  <c r="M2340" i="4"/>
  <c r="L2340" i="4"/>
  <c r="K2340" i="4"/>
  <c r="J2340" i="4"/>
  <c r="P2339" i="4"/>
  <c r="Q2339" i="4" s="1"/>
  <c r="O2339" i="4"/>
  <c r="N2339" i="4"/>
  <c r="M2339" i="4"/>
  <c r="L2339" i="4"/>
  <c r="K2339" i="4"/>
  <c r="J2339" i="4"/>
  <c r="P2338" i="4"/>
  <c r="Q2338" i="4" s="1"/>
  <c r="O2338" i="4"/>
  <c r="N2338" i="4"/>
  <c r="M2338" i="4"/>
  <c r="L2338" i="4"/>
  <c r="K2338" i="4"/>
  <c r="J2338" i="4"/>
  <c r="P2337" i="4"/>
  <c r="Q2337" i="4" s="1"/>
  <c r="O2337" i="4"/>
  <c r="N2337" i="4"/>
  <c r="M2337" i="4"/>
  <c r="L2337" i="4"/>
  <c r="K2337" i="4"/>
  <c r="J2337" i="4"/>
  <c r="P2336" i="4"/>
  <c r="Q2336" i="4" s="1"/>
  <c r="O2336" i="4"/>
  <c r="N2336" i="4"/>
  <c r="M2336" i="4"/>
  <c r="L2336" i="4"/>
  <c r="K2336" i="4"/>
  <c r="J2336" i="4"/>
  <c r="P2335" i="4"/>
  <c r="Q2335" i="4" s="1"/>
  <c r="O2335" i="4"/>
  <c r="N2335" i="4"/>
  <c r="M2335" i="4"/>
  <c r="L2335" i="4"/>
  <c r="K2335" i="4"/>
  <c r="J2335" i="4"/>
  <c r="P2334" i="4"/>
  <c r="Q2334" i="4" s="1"/>
  <c r="O2334" i="4"/>
  <c r="N2334" i="4"/>
  <c r="M2334" i="4"/>
  <c r="L2334" i="4"/>
  <c r="K2334" i="4"/>
  <c r="J2334" i="4"/>
  <c r="P2333" i="4"/>
  <c r="Q2333" i="4" s="1"/>
  <c r="O2333" i="4"/>
  <c r="N2333" i="4"/>
  <c r="M2333" i="4"/>
  <c r="L2333" i="4"/>
  <c r="K2333" i="4"/>
  <c r="J2333" i="4"/>
  <c r="P2332" i="4"/>
  <c r="Q2332" i="4" s="1"/>
  <c r="O2332" i="4"/>
  <c r="N2332" i="4"/>
  <c r="M2332" i="4"/>
  <c r="L2332" i="4"/>
  <c r="K2332" i="4"/>
  <c r="J2332" i="4"/>
  <c r="P2331" i="4"/>
  <c r="Q2331" i="4" s="1"/>
  <c r="O2331" i="4"/>
  <c r="N2331" i="4"/>
  <c r="M2331" i="4"/>
  <c r="L2331" i="4"/>
  <c r="K2331" i="4"/>
  <c r="J2331" i="4"/>
  <c r="P2330" i="4"/>
  <c r="Q2330" i="4" s="1"/>
  <c r="O2330" i="4"/>
  <c r="N2330" i="4"/>
  <c r="M2330" i="4"/>
  <c r="L2330" i="4"/>
  <c r="K2330" i="4"/>
  <c r="J2330" i="4"/>
  <c r="P2329" i="4"/>
  <c r="Q2329" i="4" s="1"/>
  <c r="O2329" i="4"/>
  <c r="N2329" i="4"/>
  <c r="M2329" i="4"/>
  <c r="L2329" i="4"/>
  <c r="K2329" i="4"/>
  <c r="J2329" i="4"/>
  <c r="P2328" i="4"/>
  <c r="Q2328" i="4" s="1"/>
  <c r="O2328" i="4"/>
  <c r="N2328" i="4"/>
  <c r="M2328" i="4"/>
  <c r="L2328" i="4"/>
  <c r="K2328" i="4"/>
  <c r="J2328" i="4"/>
  <c r="P2327" i="4"/>
  <c r="Q2327" i="4" s="1"/>
  <c r="O2327" i="4"/>
  <c r="N2327" i="4"/>
  <c r="M2327" i="4"/>
  <c r="L2327" i="4"/>
  <c r="K2327" i="4"/>
  <c r="J2327" i="4"/>
  <c r="P2326" i="4"/>
  <c r="Q2326" i="4" s="1"/>
  <c r="O2326" i="4"/>
  <c r="N2326" i="4"/>
  <c r="M2326" i="4"/>
  <c r="L2326" i="4"/>
  <c r="K2326" i="4"/>
  <c r="J2326" i="4"/>
  <c r="P2325" i="4"/>
  <c r="Q2325" i="4" s="1"/>
  <c r="O2325" i="4"/>
  <c r="N2325" i="4"/>
  <c r="M2325" i="4"/>
  <c r="L2325" i="4"/>
  <c r="K2325" i="4"/>
  <c r="J2325" i="4"/>
  <c r="P2324" i="4"/>
  <c r="Q2324" i="4" s="1"/>
  <c r="O2324" i="4"/>
  <c r="N2324" i="4"/>
  <c r="M2324" i="4"/>
  <c r="L2324" i="4"/>
  <c r="K2324" i="4"/>
  <c r="J2324" i="4"/>
  <c r="P2323" i="4"/>
  <c r="Q2323" i="4" s="1"/>
  <c r="O2323" i="4"/>
  <c r="N2323" i="4"/>
  <c r="M2323" i="4"/>
  <c r="L2323" i="4"/>
  <c r="K2323" i="4"/>
  <c r="J2323" i="4"/>
  <c r="P2322" i="4"/>
  <c r="Q2322" i="4" s="1"/>
  <c r="O2322" i="4"/>
  <c r="N2322" i="4"/>
  <c r="M2322" i="4"/>
  <c r="L2322" i="4"/>
  <c r="K2322" i="4"/>
  <c r="J2322" i="4"/>
  <c r="P2321" i="4"/>
  <c r="Q2321" i="4" s="1"/>
  <c r="O2321" i="4"/>
  <c r="N2321" i="4"/>
  <c r="M2321" i="4"/>
  <c r="L2321" i="4"/>
  <c r="K2321" i="4"/>
  <c r="J2321" i="4"/>
  <c r="P2320" i="4"/>
  <c r="Q2320" i="4" s="1"/>
  <c r="O2320" i="4"/>
  <c r="N2320" i="4"/>
  <c r="M2320" i="4"/>
  <c r="L2320" i="4"/>
  <c r="K2320" i="4"/>
  <c r="J2320" i="4"/>
  <c r="P2319" i="4"/>
  <c r="Q2319" i="4" s="1"/>
  <c r="O2319" i="4"/>
  <c r="N2319" i="4"/>
  <c r="M2319" i="4"/>
  <c r="L2319" i="4"/>
  <c r="K2319" i="4"/>
  <c r="J2319" i="4"/>
  <c r="P2318" i="4"/>
  <c r="Q2318" i="4" s="1"/>
  <c r="O2318" i="4"/>
  <c r="N2318" i="4"/>
  <c r="M2318" i="4"/>
  <c r="L2318" i="4"/>
  <c r="K2318" i="4"/>
  <c r="J2318" i="4"/>
  <c r="P2317" i="4"/>
  <c r="Q2317" i="4" s="1"/>
  <c r="O2317" i="4"/>
  <c r="N2317" i="4"/>
  <c r="M2317" i="4"/>
  <c r="L2317" i="4"/>
  <c r="K2317" i="4"/>
  <c r="J2317" i="4"/>
  <c r="P2316" i="4"/>
  <c r="Q2316" i="4" s="1"/>
  <c r="O2316" i="4"/>
  <c r="N2316" i="4"/>
  <c r="M2316" i="4"/>
  <c r="L2316" i="4"/>
  <c r="K2316" i="4"/>
  <c r="J2316" i="4"/>
  <c r="P2315" i="4"/>
  <c r="Q2315" i="4" s="1"/>
  <c r="O2315" i="4"/>
  <c r="N2315" i="4"/>
  <c r="M2315" i="4"/>
  <c r="L2315" i="4"/>
  <c r="K2315" i="4"/>
  <c r="J2315" i="4"/>
  <c r="P2314" i="4"/>
  <c r="Q2314" i="4" s="1"/>
  <c r="O2314" i="4"/>
  <c r="N2314" i="4"/>
  <c r="M2314" i="4"/>
  <c r="L2314" i="4"/>
  <c r="K2314" i="4"/>
  <c r="J2314" i="4"/>
  <c r="P2313" i="4"/>
  <c r="Q2313" i="4" s="1"/>
  <c r="O2313" i="4"/>
  <c r="N2313" i="4"/>
  <c r="M2313" i="4"/>
  <c r="L2313" i="4"/>
  <c r="K2313" i="4"/>
  <c r="J2313" i="4"/>
  <c r="P2312" i="4"/>
  <c r="Q2312" i="4" s="1"/>
  <c r="O2312" i="4"/>
  <c r="N2312" i="4"/>
  <c r="M2312" i="4"/>
  <c r="L2312" i="4"/>
  <c r="K2312" i="4"/>
  <c r="J2312" i="4"/>
  <c r="P2311" i="4"/>
  <c r="Q2311" i="4" s="1"/>
  <c r="O2311" i="4"/>
  <c r="N2311" i="4"/>
  <c r="M2311" i="4"/>
  <c r="L2311" i="4"/>
  <c r="K2311" i="4"/>
  <c r="J2311" i="4"/>
  <c r="P2310" i="4"/>
  <c r="Q2310" i="4" s="1"/>
  <c r="O2310" i="4"/>
  <c r="N2310" i="4"/>
  <c r="M2310" i="4"/>
  <c r="L2310" i="4"/>
  <c r="K2310" i="4"/>
  <c r="J2310" i="4"/>
  <c r="P2309" i="4"/>
  <c r="Q2309" i="4" s="1"/>
  <c r="O2309" i="4"/>
  <c r="N2309" i="4"/>
  <c r="M2309" i="4"/>
  <c r="L2309" i="4"/>
  <c r="K2309" i="4"/>
  <c r="J2309" i="4"/>
  <c r="P2308" i="4"/>
  <c r="Q2308" i="4" s="1"/>
  <c r="O2308" i="4"/>
  <c r="N2308" i="4"/>
  <c r="M2308" i="4"/>
  <c r="L2308" i="4"/>
  <c r="K2308" i="4"/>
  <c r="J2308" i="4"/>
  <c r="P2307" i="4"/>
  <c r="Q2307" i="4" s="1"/>
  <c r="O2307" i="4"/>
  <c r="N2307" i="4"/>
  <c r="M2307" i="4"/>
  <c r="L2307" i="4"/>
  <c r="K2307" i="4"/>
  <c r="J2307" i="4"/>
  <c r="P2306" i="4"/>
  <c r="Q2306" i="4" s="1"/>
  <c r="O2306" i="4"/>
  <c r="N2306" i="4"/>
  <c r="M2306" i="4"/>
  <c r="L2306" i="4"/>
  <c r="K2306" i="4"/>
  <c r="J2306" i="4"/>
  <c r="P2305" i="4"/>
  <c r="Q2305" i="4" s="1"/>
  <c r="O2305" i="4"/>
  <c r="N2305" i="4"/>
  <c r="M2305" i="4"/>
  <c r="L2305" i="4"/>
  <c r="K2305" i="4"/>
  <c r="J2305" i="4"/>
  <c r="P2304" i="4"/>
  <c r="Q2304" i="4" s="1"/>
  <c r="O2304" i="4"/>
  <c r="N2304" i="4"/>
  <c r="M2304" i="4"/>
  <c r="L2304" i="4"/>
  <c r="K2304" i="4"/>
  <c r="J2304" i="4"/>
  <c r="P2303" i="4"/>
  <c r="Q2303" i="4" s="1"/>
  <c r="O2303" i="4"/>
  <c r="N2303" i="4"/>
  <c r="M2303" i="4"/>
  <c r="L2303" i="4"/>
  <c r="K2303" i="4"/>
  <c r="J2303" i="4"/>
  <c r="P2302" i="4"/>
  <c r="Q2302" i="4" s="1"/>
  <c r="O2302" i="4"/>
  <c r="N2302" i="4"/>
  <c r="M2302" i="4"/>
  <c r="L2302" i="4"/>
  <c r="K2302" i="4"/>
  <c r="J2302" i="4"/>
  <c r="P2301" i="4"/>
  <c r="Q2301" i="4" s="1"/>
  <c r="O2301" i="4"/>
  <c r="N2301" i="4"/>
  <c r="M2301" i="4"/>
  <c r="L2301" i="4"/>
  <c r="K2301" i="4"/>
  <c r="J2301" i="4"/>
  <c r="P2300" i="4"/>
  <c r="Q2300" i="4" s="1"/>
  <c r="O2300" i="4"/>
  <c r="N2300" i="4"/>
  <c r="M2300" i="4"/>
  <c r="L2300" i="4"/>
  <c r="K2300" i="4"/>
  <c r="J2300" i="4"/>
  <c r="P2299" i="4"/>
  <c r="Q2299" i="4" s="1"/>
  <c r="O2299" i="4"/>
  <c r="N2299" i="4"/>
  <c r="M2299" i="4"/>
  <c r="L2299" i="4"/>
  <c r="K2299" i="4"/>
  <c r="J2299" i="4"/>
  <c r="P2298" i="4"/>
  <c r="Q2298" i="4" s="1"/>
  <c r="O2298" i="4"/>
  <c r="N2298" i="4"/>
  <c r="M2298" i="4"/>
  <c r="L2298" i="4"/>
  <c r="K2298" i="4"/>
  <c r="J2298" i="4"/>
  <c r="P2297" i="4"/>
  <c r="Q2297" i="4" s="1"/>
  <c r="O2297" i="4"/>
  <c r="N2297" i="4"/>
  <c r="M2297" i="4"/>
  <c r="L2297" i="4"/>
  <c r="K2297" i="4"/>
  <c r="J2297" i="4"/>
  <c r="P2296" i="4"/>
  <c r="Q2296" i="4" s="1"/>
  <c r="O2296" i="4"/>
  <c r="N2296" i="4"/>
  <c r="M2296" i="4"/>
  <c r="L2296" i="4"/>
  <c r="K2296" i="4"/>
  <c r="J2296" i="4"/>
  <c r="P2295" i="4"/>
  <c r="Q2295" i="4" s="1"/>
  <c r="O2295" i="4"/>
  <c r="N2295" i="4"/>
  <c r="M2295" i="4"/>
  <c r="L2295" i="4"/>
  <c r="K2295" i="4"/>
  <c r="J2295" i="4"/>
  <c r="P2294" i="4"/>
  <c r="Q2294" i="4" s="1"/>
  <c r="O2294" i="4"/>
  <c r="N2294" i="4"/>
  <c r="M2294" i="4"/>
  <c r="L2294" i="4"/>
  <c r="K2294" i="4"/>
  <c r="J2294" i="4"/>
  <c r="P2293" i="4"/>
  <c r="Q2293" i="4" s="1"/>
  <c r="O2293" i="4"/>
  <c r="N2293" i="4"/>
  <c r="M2293" i="4"/>
  <c r="L2293" i="4"/>
  <c r="K2293" i="4"/>
  <c r="J2293" i="4"/>
  <c r="P2292" i="4"/>
  <c r="Q2292" i="4" s="1"/>
  <c r="O2292" i="4"/>
  <c r="N2292" i="4"/>
  <c r="M2292" i="4"/>
  <c r="L2292" i="4"/>
  <c r="K2292" i="4"/>
  <c r="J2292" i="4"/>
  <c r="P2291" i="4"/>
  <c r="Q2291" i="4" s="1"/>
  <c r="O2291" i="4"/>
  <c r="N2291" i="4"/>
  <c r="M2291" i="4"/>
  <c r="L2291" i="4"/>
  <c r="K2291" i="4"/>
  <c r="J2291" i="4"/>
  <c r="P2290" i="4"/>
  <c r="Q2290" i="4" s="1"/>
  <c r="O2290" i="4"/>
  <c r="N2290" i="4"/>
  <c r="M2290" i="4"/>
  <c r="L2290" i="4"/>
  <c r="K2290" i="4"/>
  <c r="J2290" i="4"/>
  <c r="P2289" i="4"/>
  <c r="Q2289" i="4" s="1"/>
  <c r="O2289" i="4"/>
  <c r="N2289" i="4"/>
  <c r="M2289" i="4"/>
  <c r="L2289" i="4"/>
  <c r="K2289" i="4"/>
  <c r="J2289" i="4"/>
  <c r="P2288" i="4"/>
  <c r="Q2288" i="4" s="1"/>
  <c r="O2288" i="4"/>
  <c r="N2288" i="4"/>
  <c r="M2288" i="4"/>
  <c r="L2288" i="4"/>
  <c r="K2288" i="4"/>
  <c r="J2288" i="4"/>
  <c r="P2287" i="4"/>
  <c r="Q2287" i="4" s="1"/>
  <c r="O2287" i="4"/>
  <c r="N2287" i="4"/>
  <c r="M2287" i="4"/>
  <c r="L2287" i="4"/>
  <c r="K2287" i="4"/>
  <c r="J2287" i="4"/>
  <c r="P2286" i="4"/>
  <c r="Q2286" i="4" s="1"/>
  <c r="O2286" i="4"/>
  <c r="N2286" i="4"/>
  <c r="M2286" i="4"/>
  <c r="L2286" i="4"/>
  <c r="K2286" i="4"/>
  <c r="J2286" i="4"/>
  <c r="P2285" i="4"/>
  <c r="Q2285" i="4" s="1"/>
  <c r="O2285" i="4"/>
  <c r="N2285" i="4"/>
  <c r="M2285" i="4"/>
  <c r="L2285" i="4"/>
  <c r="K2285" i="4"/>
  <c r="J2285" i="4"/>
  <c r="P2284" i="4"/>
  <c r="Q2284" i="4" s="1"/>
  <c r="O2284" i="4"/>
  <c r="N2284" i="4"/>
  <c r="M2284" i="4"/>
  <c r="L2284" i="4"/>
  <c r="K2284" i="4"/>
  <c r="J2284" i="4"/>
  <c r="P2283" i="4"/>
  <c r="Q2283" i="4" s="1"/>
  <c r="O2283" i="4"/>
  <c r="N2283" i="4"/>
  <c r="M2283" i="4"/>
  <c r="L2283" i="4"/>
  <c r="K2283" i="4"/>
  <c r="J2283" i="4"/>
  <c r="P2282" i="4"/>
  <c r="Q2282" i="4" s="1"/>
  <c r="O2282" i="4"/>
  <c r="N2282" i="4"/>
  <c r="M2282" i="4"/>
  <c r="L2282" i="4"/>
  <c r="K2282" i="4"/>
  <c r="J2282" i="4"/>
  <c r="P2281" i="4"/>
  <c r="Q2281" i="4" s="1"/>
  <c r="O2281" i="4"/>
  <c r="N2281" i="4"/>
  <c r="M2281" i="4"/>
  <c r="L2281" i="4"/>
  <c r="K2281" i="4"/>
  <c r="J2281" i="4"/>
  <c r="P2280" i="4"/>
  <c r="Q2280" i="4" s="1"/>
  <c r="O2280" i="4"/>
  <c r="N2280" i="4"/>
  <c r="M2280" i="4"/>
  <c r="L2280" i="4"/>
  <c r="K2280" i="4"/>
  <c r="J2280" i="4"/>
  <c r="P2279" i="4"/>
  <c r="Q2279" i="4" s="1"/>
  <c r="O2279" i="4"/>
  <c r="N2279" i="4"/>
  <c r="M2279" i="4"/>
  <c r="L2279" i="4"/>
  <c r="K2279" i="4"/>
  <c r="J2279" i="4"/>
  <c r="P2278" i="4"/>
  <c r="Q2278" i="4" s="1"/>
  <c r="O2278" i="4"/>
  <c r="N2278" i="4"/>
  <c r="M2278" i="4"/>
  <c r="L2278" i="4"/>
  <c r="K2278" i="4"/>
  <c r="J2278" i="4"/>
  <c r="P2277" i="4"/>
  <c r="Q2277" i="4" s="1"/>
  <c r="O2277" i="4"/>
  <c r="N2277" i="4"/>
  <c r="M2277" i="4"/>
  <c r="L2277" i="4"/>
  <c r="K2277" i="4"/>
  <c r="J2277" i="4"/>
  <c r="P2276" i="4"/>
  <c r="Q2276" i="4" s="1"/>
  <c r="O2276" i="4"/>
  <c r="N2276" i="4"/>
  <c r="M2276" i="4"/>
  <c r="L2276" i="4"/>
  <c r="K2276" i="4"/>
  <c r="J2276" i="4"/>
  <c r="P2275" i="4"/>
  <c r="Q2275" i="4" s="1"/>
  <c r="O2275" i="4"/>
  <c r="N2275" i="4"/>
  <c r="M2275" i="4"/>
  <c r="L2275" i="4"/>
  <c r="K2275" i="4"/>
  <c r="J2275" i="4"/>
  <c r="P2274" i="4"/>
  <c r="Q2274" i="4" s="1"/>
  <c r="O2274" i="4"/>
  <c r="N2274" i="4"/>
  <c r="M2274" i="4"/>
  <c r="L2274" i="4"/>
  <c r="K2274" i="4"/>
  <c r="J2274" i="4"/>
  <c r="P2273" i="4"/>
  <c r="Q2273" i="4" s="1"/>
  <c r="O2273" i="4"/>
  <c r="N2273" i="4"/>
  <c r="M2273" i="4"/>
  <c r="L2273" i="4"/>
  <c r="K2273" i="4"/>
  <c r="J2273" i="4"/>
  <c r="P2272" i="4"/>
  <c r="Q2272" i="4" s="1"/>
  <c r="O2272" i="4"/>
  <c r="N2272" i="4"/>
  <c r="M2272" i="4"/>
  <c r="L2272" i="4"/>
  <c r="K2272" i="4"/>
  <c r="J2272" i="4"/>
  <c r="P2271" i="4"/>
  <c r="Q2271" i="4" s="1"/>
  <c r="O2271" i="4"/>
  <c r="N2271" i="4"/>
  <c r="M2271" i="4"/>
  <c r="L2271" i="4"/>
  <c r="K2271" i="4"/>
  <c r="J2271" i="4"/>
  <c r="P2270" i="4"/>
  <c r="Q2270" i="4" s="1"/>
  <c r="O2270" i="4"/>
  <c r="N2270" i="4"/>
  <c r="M2270" i="4"/>
  <c r="L2270" i="4"/>
  <c r="K2270" i="4"/>
  <c r="J2270" i="4"/>
  <c r="P2269" i="4"/>
  <c r="Q2269" i="4" s="1"/>
  <c r="O2269" i="4"/>
  <c r="N2269" i="4"/>
  <c r="M2269" i="4"/>
  <c r="L2269" i="4"/>
  <c r="K2269" i="4"/>
  <c r="J2269" i="4"/>
  <c r="P2268" i="4"/>
  <c r="Q2268" i="4" s="1"/>
  <c r="O2268" i="4"/>
  <c r="N2268" i="4"/>
  <c r="M2268" i="4"/>
  <c r="L2268" i="4"/>
  <c r="K2268" i="4"/>
  <c r="J2268" i="4"/>
  <c r="P2267" i="4"/>
  <c r="Q2267" i="4" s="1"/>
  <c r="O2267" i="4"/>
  <c r="N2267" i="4"/>
  <c r="M2267" i="4"/>
  <c r="L2267" i="4"/>
  <c r="K2267" i="4"/>
  <c r="J2267" i="4"/>
  <c r="Q2266" i="4"/>
  <c r="P2266" i="4"/>
  <c r="O2266" i="4"/>
  <c r="N2266" i="4"/>
  <c r="M2266" i="4"/>
  <c r="L2266" i="4"/>
  <c r="K2266" i="4"/>
  <c r="J2266" i="4"/>
  <c r="P2265" i="4"/>
  <c r="Q2265" i="4" s="1"/>
  <c r="O2265" i="4"/>
  <c r="N2265" i="4"/>
  <c r="M2265" i="4"/>
  <c r="L2265" i="4"/>
  <c r="K2265" i="4"/>
  <c r="J2265" i="4"/>
  <c r="P2264" i="4"/>
  <c r="Q2264" i="4" s="1"/>
  <c r="O2264" i="4"/>
  <c r="N2264" i="4"/>
  <c r="M2264" i="4"/>
  <c r="L2264" i="4"/>
  <c r="K2264" i="4"/>
  <c r="J2264" i="4"/>
  <c r="P2263" i="4"/>
  <c r="Q2263" i="4" s="1"/>
  <c r="O2263" i="4"/>
  <c r="N2263" i="4"/>
  <c r="M2263" i="4"/>
  <c r="L2263" i="4"/>
  <c r="K2263" i="4"/>
  <c r="J2263" i="4"/>
  <c r="P2262" i="4"/>
  <c r="Q2262" i="4" s="1"/>
  <c r="O2262" i="4"/>
  <c r="N2262" i="4"/>
  <c r="M2262" i="4"/>
  <c r="L2262" i="4"/>
  <c r="K2262" i="4"/>
  <c r="J2262" i="4"/>
  <c r="P2261" i="4"/>
  <c r="Q2261" i="4" s="1"/>
  <c r="O2261" i="4"/>
  <c r="N2261" i="4"/>
  <c r="M2261" i="4"/>
  <c r="L2261" i="4"/>
  <c r="K2261" i="4"/>
  <c r="J2261" i="4"/>
  <c r="P2260" i="4"/>
  <c r="Q2260" i="4" s="1"/>
  <c r="O2260" i="4"/>
  <c r="N2260" i="4"/>
  <c r="M2260" i="4"/>
  <c r="L2260" i="4"/>
  <c r="K2260" i="4"/>
  <c r="J2260" i="4"/>
  <c r="P2259" i="4"/>
  <c r="Q2259" i="4" s="1"/>
  <c r="O2259" i="4"/>
  <c r="N2259" i="4"/>
  <c r="M2259" i="4"/>
  <c r="L2259" i="4"/>
  <c r="K2259" i="4"/>
  <c r="J2259" i="4"/>
  <c r="P2258" i="4"/>
  <c r="Q2258" i="4" s="1"/>
  <c r="O2258" i="4"/>
  <c r="N2258" i="4"/>
  <c r="M2258" i="4"/>
  <c r="L2258" i="4"/>
  <c r="K2258" i="4"/>
  <c r="J2258" i="4"/>
  <c r="P2257" i="4"/>
  <c r="Q2257" i="4" s="1"/>
  <c r="O2257" i="4"/>
  <c r="N2257" i="4"/>
  <c r="M2257" i="4"/>
  <c r="L2257" i="4"/>
  <c r="K2257" i="4"/>
  <c r="J2257" i="4"/>
  <c r="P2256" i="4"/>
  <c r="Q2256" i="4" s="1"/>
  <c r="O2256" i="4"/>
  <c r="N2256" i="4"/>
  <c r="M2256" i="4"/>
  <c r="L2256" i="4"/>
  <c r="K2256" i="4"/>
  <c r="J2256" i="4"/>
  <c r="P2255" i="4"/>
  <c r="Q2255" i="4" s="1"/>
  <c r="O2255" i="4"/>
  <c r="N2255" i="4"/>
  <c r="M2255" i="4"/>
  <c r="L2255" i="4"/>
  <c r="K2255" i="4"/>
  <c r="J2255" i="4"/>
  <c r="P2254" i="4"/>
  <c r="Q2254" i="4" s="1"/>
  <c r="O2254" i="4"/>
  <c r="N2254" i="4"/>
  <c r="M2254" i="4"/>
  <c r="L2254" i="4"/>
  <c r="K2254" i="4"/>
  <c r="J2254" i="4"/>
  <c r="P2253" i="4"/>
  <c r="Q2253" i="4" s="1"/>
  <c r="O2253" i="4"/>
  <c r="N2253" i="4"/>
  <c r="M2253" i="4"/>
  <c r="L2253" i="4"/>
  <c r="K2253" i="4"/>
  <c r="J2253" i="4"/>
  <c r="P2252" i="4"/>
  <c r="Q2252" i="4" s="1"/>
  <c r="O2252" i="4"/>
  <c r="N2252" i="4"/>
  <c r="M2252" i="4"/>
  <c r="L2252" i="4"/>
  <c r="K2252" i="4"/>
  <c r="J2252" i="4"/>
  <c r="Q2251" i="4"/>
  <c r="P2251" i="4"/>
  <c r="O2251" i="4"/>
  <c r="N2251" i="4"/>
  <c r="M2251" i="4"/>
  <c r="L2251" i="4"/>
  <c r="K2251" i="4"/>
  <c r="J2251" i="4"/>
  <c r="P2250" i="4"/>
  <c r="Q2250" i="4" s="1"/>
  <c r="O2250" i="4"/>
  <c r="N2250" i="4"/>
  <c r="M2250" i="4"/>
  <c r="L2250" i="4"/>
  <c r="K2250" i="4"/>
  <c r="J2250" i="4"/>
  <c r="P2249" i="4"/>
  <c r="Q2249" i="4" s="1"/>
  <c r="O2249" i="4"/>
  <c r="N2249" i="4"/>
  <c r="M2249" i="4"/>
  <c r="L2249" i="4"/>
  <c r="K2249" i="4"/>
  <c r="J2249" i="4"/>
  <c r="P2248" i="4"/>
  <c r="Q2248" i="4" s="1"/>
  <c r="O2248" i="4"/>
  <c r="N2248" i="4"/>
  <c r="M2248" i="4"/>
  <c r="L2248" i="4"/>
  <c r="K2248" i="4"/>
  <c r="J2248" i="4"/>
  <c r="P2247" i="4"/>
  <c r="Q2247" i="4" s="1"/>
  <c r="O2247" i="4"/>
  <c r="N2247" i="4"/>
  <c r="M2247" i="4"/>
  <c r="L2247" i="4"/>
  <c r="K2247" i="4"/>
  <c r="J2247" i="4"/>
  <c r="P2246" i="4"/>
  <c r="Q2246" i="4" s="1"/>
  <c r="O2246" i="4"/>
  <c r="N2246" i="4"/>
  <c r="M2246" i="4"/>
  <c r="L2246" i="4"/>
  <c r="K2246" i="4"/>
  <c r="J2246" i="4"/>
  <c r="P2245" i="4"/>
  <c r="Q2245" i="4" s="1"/>
  <c r="O2245" i="4"/>
  <c r="N2245" i="4"/>
  <c r="M2245" i="4"/>
  <c r="L2245" i="4"/>
  <c r="K2245" i="4"/>
  <c r="J2245" i="4"/>
  <c r="P2244" i="4"/>
  <c r="Q2244" i="4" s="1"/>
  <c r="O2244" i="4"/>
  <c r="N2244" i="4"/>
  <c r="M2244" i="4"/>
  <c r="L2244" i="4"/>
  <c r="K2244" i="4"/>
  <c r="J2244" i="4"/>
  <c r="P2243" i="4"/>
  <c r="Q2243" i="4" s="1"/>
  <c r="O2243" i="4"/>
  <c r="N2243" i="4"/>
  <c r="M2243" i="4"/>
  <c r="L2243" i="4"/>
  <c r="K2243" i="4"/>
  <c r="J2243" i="4"/>
  <c r="P2242" i="4"/>
  <c r="Q2242" i="4" s="1"/>
  <c r="O2242" i="4"/>
  <c r="N2242" i="4"/>
  <c r="M2242" i="4"/>
  <c r="L2242" i="4"/>
  <c r="K2242" i="4"/>
  <c r="J2242" i="4"/>
  <c r="P2241" i="4"/>
  <c r="Q2241" i="4" s="1"/>
  <c r="O2241" i="4"/>
  <c r="N2241" i="4"/>
  <c r="M2241" i="4"/>
  <c r="L2241" i="4"/>
  <c r="K2241" i="4"/>
  <c r="J2241" i="4"/>
  <c r="P2240" i="4"/>
  <c r="Q2240" i="4" s="1"/>
  <c r="O2240" i="4"/>
  <c r="N2240" i="4"/>
  <c r="M2240" i="4"/>
  <c r="L2240" i="4"/>
  <c r="K2240" i="4"/>
  <c r="J2240" i="4"/>
  <c r="P2239" i="4"/>
  <c r="Q2239" i="4" s="1"/>
  <c r="O2239" i="4"/>
  <c r="N2239" i="4"/>
  <c r="M2239" i="4"/>
  <c r="L2239" i="4"/>
  <c r="K2239" i="4"/>
  <c r="J2239" i="4"/>
  <c r="P2238" i="4"/>
  <c r="Q2238" i="4" s="1"/>
  <c r="O2238" i="4"/>
  <c r="N2238" i="4"/>
  <c r="M2238" i="4"/>
  <c r="L2238" i="4"/>
  <c r="K2238" i="4"/>
  <c r="J2238" i="4"/>
  <c r="P2237" i="4"/>
  <c r="Q2237" i="4" s="1"/>
  <c r="O2237" i="4"/>
  <c r="N2237" i="4"/>
  <c r="M2237" i="4"/>
  <c r="L2237" i="4"/>
  <c r="K2237" i="4"/>
  <c r="J2237" i="4"/>
  <c r="P2236" i="4"/>
  <c r="Q2236" i="4" s="1"/>
  <c r="O2236" i="4"/>
  <c r="N2236" i="4"/>
  <c r="M2236" i="4"/>
  <c r="L2236" i="4"/>
  <c r="K2236" i="4"/>
  <c r="J2236" i="4"/>
  <c r="P2235" i="4"/>
  <c r="Q2235" i="4" s="1"/>
  <c r="O2235" i="4"/>
  <c r="N2235" i="4"/>
  <c r="M2235" i="4"/>
  <c r="L2235" i="4"/>
  <c r="K2235" i="4"/>
  <c r="J2235" i="4"/>
  <c r="P2234" i="4"/>
  <c r="Q2234" i="4" s="1"/>
  <c r="O2234" i="4"/>
  <c r="N2234" i="4"/>
  <c r="M2234" i="4"/>
  <c r="L2234" i="4"/>
  <c r="K2234" i="4"/>
  <c r="J2234" i="4"/>
  <c r="P2233" i="4"/>
  <c r="Q2233" i="4" s="1"/>
  <c r="O2233" i="4"/>
  <c r="N2233" i="4"/>
  <c r="M2233" i="4"/>
  <c r="L2233" i="4"/>
  <c r="K2233" i="4"/>
  <c r="J2233" i="4"/>
  <c r="P2232" i="4"/>
  <c r="Q2232" i="4" s="1"/>
  <c r="O2232" i="4"/>
  <c r="N2232" i="4"/>
  <c r="M2232" i="4"/>
  <c r="L2232" i="4"/>
  <c r="K2232" i="4"/>
  <c r="J2232" i="4"/>
  <c r="P2231" i="4"/>
  <c r="Q2231" i="4" s="1"/>
  <c r="O2231" i="4"/>
  <c r="N2231" i="4"/>
  <c r="M2231" i="4"/>
  <c r="L2231" i="4"/>
  <c r="K2231" i="4"/>
  <c r="J2231" i="4"/>
  <c r="P2230" i="4"/>
  <c r="Q2230" i="4" s="1"/>
  <c r="O2230" i="4"/>
  <c r="N2230" i="4"/>
  <c r="M2230" i="4"/>
  <c r="L2230" i="4"/>
  <c r="K2230" i="4"/>
  <c r="J2230" i="4"/>
  <c r="P2229" i="4"/>
  <c r="Q2229" i="4" s="1"/>
  <c r="O2229" i="4"/>
  <c r="N2229" i="4"/>
  <c r="M2229" i="4"/>
  <c r="L2229" i="4"/>
  <c r="K2229" i="4"/>
  <c r="J2229" i="4"/>
  <c r="Q2228" i="4"/>
  <c r="P2228" i="4"/>
  <c r="O2228" i="4"/>
  <c r="N2228" i="4"/>
  <c r="M2228" i="4"/>
  <c r="L2228" i="4"/>
  <c r="K2228" i="4"/>
  <c r="J2228" i="4"/>
  <c r="P2227" i="4"/>
  <c r="Q2227" i="4" s="1"/>
  <c r="O2227" i="4"/>
  <c r="N2227" i="4"/>
  <c r="M2227" i="4"/>
  <c r="L2227" i="4"/>
  <c r="K2227" i="4"/>
  <c r="J2227" i="4"/>
  <c r="P2226" i="4"/>
  <c r="Q2226" i="4" s="1"/>
  <c r="O2226" i="4"/>
  <c r="N2226" i="4"/>
  <c r="M2226" i="4"/>
  <c r="L2226" i="4"/>
  <c r="K2226" i="4"/>
  <c r="J2226" i="4"/>
  <c r="Q2225" i="4"/>
  <c r="P2225" i="4"/>
  <c r="O2225" i="4"/>
  <c r="N2225" i="4"/>
  <c r="M2225" i="4"/>
  <c r="L2225" i="4"/>
  <c r="K2225" i="4"/>
  <c r="J2225" i="4"/>
  <c r="P2224" i="4"/>
  <c r="Q2224" i="4" s="1"/>
  <c r="O2224" i="4"/>
  <c r="N2224" i="4"/>
  <c r="M2224" i="4"/>
  <c r="L2224" i="4"/>
  <c r="K2224" i="4"/>
  <c r="J2224" i="4"/>
  <c r="P2223" i="4"/>
  <c r="Q2223" i="4" s="1"/>
  <c r="O2223" i="4"/>
  <c r="N2223" i="4"/>
  <c r="M2223" i="4"/>
  <c r="L2223" i="4"/>
  <c r="K2223" i="4"/>
  <c r="J2223" i="4"/>
  <c r="P2222" i="4"/>
  <c r="Q2222" i="4" s="1"/>
  <c r="O2222" i="4"/>
  <c r="N2222" i="4"/>
  <c r="M2222" i="4"/>
  <c r="L2222" i="4"/>
  <c r="K2222" i="4"/>
  <c r="J2222" i="4"/>
  <c r="P2221" i="4"/>
  <c r="Q2221" i="4" s="1"/>
  <c r="O2221" i="4"/>
  <c r="N2221" i="4"/>
  <c r="M2221" i="4"/>
  <c r="L2221" i="4"/>
  <c r="K2221" i="4"/>
  <c r="J2221" i="4"/>
  <c r="P2220" i="4"/>
  <c r="Q2220" i="4" s="1"/>
  <c r="O2220" i="4"/>
  <c r="N2220" i="4"/>
  <c r="M2220" i="4"/>
  <c r="L2220" i="4"/>
  <c r="K2220" i="4"/>
  <c r="J2220" i="4"/>
  <c r="P2219" i="4"/>
  <c r="Q2219" i="4" s="1"/>
  <c r="O2219" i="4"/>
  <c r="N2219" i="4"/>
  <c r="M2219" i="4"/>
  <c r="L2219" i="4"/>
  <c r="K2219" i="4"/>
  <c r="J2219" i="4"/>
  <c r="P2218" i="4"/>
  <c r="Q2218" i="4" s="1"/>
  <c r="O2218" i="4"/>
  <c r="N2218" i="4"/>
  <c r="M2218" i="4"/>
  <c r="L2218" i="4"/>
  <c r="K2218" i="4"/>
  <c r="J2218" i="4"/>
  <c r="P2217" i="4"/>
  <c r="Q2217" i="4" s="1"/>
  <c r="O2217" i="4"/>
  <c r="N2217" i="4"/>
  <c r="M2217" i="4"/>
  <c r="L2217" i="4"/>
  <c r="K2217" i="4"/>
  <c r="J2217" i="4"/>
  <c r="P2216" i="4"/>
  <c r="Q2216" i="4" s="1"/>
  <c r="O2216" i="4"/>
  <c r="N2216" i="4"/>
  <c r="M2216" i="4"/>
  <c r="L2216" i="4"/>
  <c r="K2216" i="4"/>
  <c r="J2216" i="4"/>
  <c r="P2215" i="4"/>
  <c r="Q2215" i="4" s="1"/>
  <c r="O2215" i="4"/>
  <c r="N2215" i="4"/>
  <c r="M2215" i="4"/>
  <c r="L2215" i="4"/>
  <c r="K2215" i="4"/>
  <c r="J2215" i="4"/>
  <c r="P2214" i="4"/>
  <c r="Q2214" i="4" s="1"/>
  <c r="O2214" i="4"/>
  <c r="N2214" i="4"/>
  <c r="M2214" i="4"/>
  <c r="L2214" i="4"/>
  <c r="K2214" i="4"/>
  <c r="J2214" i="4"/>
  <c r="P2213" i="4"/>
  <c r="Q2213" i="4" s="1"/>
  <c r="O2213" i="4"/>
  <c r="N2213" i="4"/>
  <c r="M2213" i="4"/>
  <c r="L2213" i="4"/>
  <c r="K2213" i="4"/>
  <c r="J2213" i="4"/>
  <c r="P2212" i="4"/>
  <c r="Q2212" i="4" s="1"/>
  <c r="O2212" i="4"/>
  <c r="N2212" i="4"/>
  <c r="M2212" i="4"/>
  <c r="L2212" i="4"/>
  <c r="K2212" i="4"/>
  <c r="J2212" i="4"/>
  <c r="P2211" i="4"/>
  <c r="Q2211" i="4" s="1"/>
  <c r="O2211" i="4"/>
  <c r="N2211" i="4"/>
  <c r="M2211" i="4"/>
  <c r="L2211" i="4"/>
  <c r="K2211" i="4"/>
  <c r="J2211" i="4"/>
  <c r="P2210" i="4"/>
  <c r="Q2210" i="4" s="1"/>
  <c r="O2210" i="4"/>
  <c r="N2210" i="4"/>
  <c r="M2210" i="4"/>
  <c r="L2210" i="4"/>
  <c r="K2210" i="4"/>
  <c r="J2210" i="4"/>
  <c r="P2209" i="4"/>
  <c r="Q2209" i="4" s="1"/>
  <c r="O2209" i="4"/>
  <c r="N2209" i="4"/>
  <c r="M2209" i="4"/>
  <c r="L2209" i="4"/>
  <c r="K2209" i="4"/>
  <c r="J2209" i="4"/>
  <c r="P2208" i="4"/>
  <c r="Q2208" i="4" s="1"/>
  <c r="O2208" i="4"/>
  <c r="N2208" i="4"/>
  <c r="M2208" i="4"/>
  <c r="L2208" i="4"/>
  <c r="K2208" i="4"/>
  <c r="J2208" i="4"/>
  <c r="P2207" i="4"/>
  <c r="Q2207" i="4" s="1"/>
  <c r="O2207" i="4"/>
  <c r="N2207" i="4"/>
  <c r="M2207" i="4"/>
  <c r="L2207" i="4"/>
  <c r="K2207" i="4"/>
  <c r="J2207" i="4"/>
  <c r="P2206" i="4"/>
  <c r="Q2206" i="4" s="1"/>
  <c r="O2206" i="4"/>
  <c r="N2206" i="4"/>
  <c r="M2206" i="4"/>
  <c r="L2206" i="4"/>
  <c r="K2206" i="4"/>
  <c r="J2206" i="4"/>
  <c r="P2205" i="4"/>
  <c r="Q2205" i="4" s="1"/>
  <c r="O2205" i="4"/>
  <c r="N2205" i="4"/>
  <c r="M2205" i="4"/>
  <c r="L2205" i="4"/>
  <c r="K2205" i="4"/>
  <c r="J2205" i="4"/>
  <c r="P2204" i="4"/>
  <c r="Q2204" i="4" s="1"/>
  <c r="O2204" i="4"/>
  <c r="N2204" i="4"/>
  <c r="M2204" i="4"/>
  <c r="L2204" i="4"/>
  <c r="K2204" i="4"/>
  <c r="J2204" i="4"/>
  <c r="P2203" i="4"/>
  <c r="Q2203" i="4" s="1"/>
  <c r="O2203" i="4"/>
  <c r="N2203" i="4"/>
  <c r="M2203" i="4"/>
  <c r="L2203" i="4"/>
  <c r="K2203" i="4"/>
  <c r="J2203" i="4"/>
  <c r="P2202" i="4"/>
  <c r="Q2202" i="4" s="1"/>
  <c r="O2202" i="4"/>
  <c r="N2202" i="4"/>
  <c r="M2202" i="4"/>
  <c r="L2202" i="4"/>
  <c r="K2202" i="4"/>
  <c r="J2202" i="4"/>
  <c r="P2201" i="4"/>
  <c r="Q2201" i="4" s="1"/>
  <c r="O2201" i="4"/>
  <c r="N2201" i="4"/>
  <c r="M2201" i="4"/>
  <c r="L2201" i="4"/>
  <c r="K2201" i="4"/>
  <c r="J2201" i="4"/>
  <c r="P2200" i="4"/>
  <c r="Q2200" i="4" s="1"/>
  <c r="O2200" i="4"/>
  <c r="N2200" i="4"/>
  <c r="M2200" i="4"/>
  <c r="L2200" i="4"/>
  <c r="K2200" i="4"/>
  <c r="J2200" i="4"/>
  <c r="P2199" i="4"/>
  <c r="Q2199" i="4" s="1"/>
  <c r="O2199" i="4"/>
  <c r="N2199" i="4"/>
  <c r="M2199" i="4"/>
  <c r="L2199" i="4"/>
  <c r="K2199" i="4"/>
  <c r="J2199" i="4"/>
  <c r="P2198" i="4"/>
  <c r="Q2198" i="4" s="1"/>
  <c r="O2198" i="4"/>
  <c r="N2198" i="4"/>
  <c r="M2198" i="4"/>
  <c r="L2198" i="4"/>
  <c r="K2198" i="4"/>
  <c r="J2198" i="4"/>
  <c r="P2197" i="4"/>
  <c r="Q2197" i="4" s="1"/>
  <c r="O2197" i="4"/>
  <c r="N2197" i="4"/>
  <c r="M2197" i="4"/>
  <c r="L2197" i="4"/>
  <c r="K2197" i="4"/>
  <c r="J2197" i="4"/>
  <c r="P2196" i="4"/>
  <c r="Q2196" i="4" s="1"/>
  <c r="O2196" i="4"/>
  <c r="N2196" i="4"/>
  <c r="M2196" i="4"/>
  <c r="L2196" i="4"/>
  <c r="K2196" i="4"/>
  <c r="J2196" i="4"/>
  <c r="P2195" i="4"/>
  <c r="Q2195" i="4" s="1"/>
  <c r="O2195" i="4"/>
  <c r="N2195" i="4"/>
  <c r="M2195" i="4"/>
  <c r="L2195" i="4"/>
  <c r="K2195" i="4"/>
  <c r="J2195" i="4"/>
  <c r="P2194" i="4"/>
  <c r="Q2194" i="4" s="1"/>
  <c r="O2194" i="4"/>
  <c r="N2194" i="4"/>
  <c r="M2194" i="4"/>
  <c r="L2194" i="4"/>
  <c r="K2194" i="4"/>
  <c r="J2194" i="4"/>
  <c r="P2193" i="4"/>
  <c r="Q2193" i="4" s="1"/>
  <c r="O2193" i="4"/>
  <c r="N2193" i="4"/>
  <c r="M2193" i="4"/>
  <c r="L2193" i="4"/>
  <c r="K2193" i="4"/>
  <c r="J2193" i="4"/>
  <c r="P2192" i="4"/>
  <c r="Q2192" i="4" s="1"/>
  <c r="O2192" i="4"/>
  <c r="N2192" i="4"/>
  <c r="M2192" i="4"/>
  <c r="L2192" i="4"/>
  <c r="K2192" i="4"/>
  <c r="J2192" i="4"/>
  <c r="P2191" i="4"/>
  <c r="Q2191" i="4" s="1"/>
  <c r="O2191" i="4"/>
  <c r="N2191" i="4"/>
  <c r="M2191" i="4"/>
  <c r="L2191" i="4"/>
  <c r="K2191" i="4"/>
  <c r="J2191" i="4"/>
  <c r="P2190" i="4"/>
  <c r="Q2190" i="4" s="1"/>
  <c r="O2190" i="4"/>
  <c r="N2190" i="4"/>
  <c r="M2190" i="4"/>
  <c r="L2190" i="4"/>
  <c r="K2190" i="4"/>
  <c r="J2190" i="4"/>
  <c r="P2189" i="4"/>
  <c r="Q2189" i="4" s="1"/>
  <c r="O2189" i="4"/>
  <c r="N2189" i="4"/>
  <c r="M2189" i="4"/>
  <c r="L2189" i="4"/>
  <c r="K2189" i="4"/>
  <c r="J2189" i="4"/>
  <c r="P2188" i="4"/>
  <c r="Q2188" i="4" s="1"/>
  <c r="O2188" i="4"/>
  <c r="N2188" i="4"/>
  <c r="M2188" i="4"/>
  <c r="L2188" i="4"/>
  <c r="K2188" i="4"/>
  <c r="J2188" i="4"/>
  <c r="P2187" i="4"/>
  <c r="Q2187" i="4" s="1"/>
  <c r="O2187" i="4"/>
  <c r="N2187" i="4"/>
  <c r="M2187" i="4"/>
  <c r="L2187" i="4"/>
  <c r="K2187" i="4"/>
  <c r="J2187" i="4"/>
  <c r="P2186" i="4"/>
  <c r="Q2186" i="4" s="1"/>
  <c r="O2186" i="4"/>
  <c r="N2186" i="4"/>
  <c r="M2186" i="4"/>
  <c r="L2186" i="4"/>
  <c r="K2186" i="4"/>
  <c r="J2186" i="4"/>
  <c r="P2185" i="4"/>
  <c r="Q2185" i="4" s="1"/>
  <c r="O2185" i="4"/>
  <c r="N2185" i="4"/>
  <c r="M2185" i="4"/>
  <c r="L2185" i="4"/>
  <c r="K2185" i="4"/>
  <c r="J2185" i="4"/>
  <c r="Q2184" i="4"/>
  <c r="P2184" i="4"/>
  <c r="O2184" i="4"/>
  <c r="N2184" i="4"/>
  <c r="M2184" i="4"/>
  <c r="L2184" i="4"/>
  <c r="K2184" i="4"/>
  <c r="J2184" i="4"/>
  <c r="P2183" i="4"/>
  <c r="Q2183" i="4" s="1"/>
  <c r="O2183" i="4"/>
  <c r="N2183" i="4"/>
  <c r="M2183" i="4"/>
  <c r="L2183" i="4"/>
  <c r="K2183" i="4"/>
  <c r="J2183" i="4"/>
  <c r="P2182" i="4"/>
  <c r="Q2182" i="4" s="1"/>
  <c r="O2182" i="4"/>
  <c r="N2182" i="4"/>
  <c r="M2182" i="4"/>
  <c r="L2182" i="4"/>
  <c r="K2182" i="4"/>
  <c r="J2182" i="4"/>
  <c r="P2181" i="4"/>
  <c r="Q2181" i="4" s="1"/>
  <c r="O2181" i="4"/>
  <c r="N2181" i="4"/>
  <c r="M2181" i="4"/>
  <c r="L2181" i="4"/>
  <c r="K2181" i="4"/>
  <c r="J2181" i="4"/>
  <c r="P2180" i="4"/>
  <c r="Q2180" i="4" s="1"/>
  <c r="O2180" i="4"/>
  <c r="N2180" i="4"/>
  <c r="M2180" i="4"/>
  <c r="L2180" i="4"/>
  <c r="K2180" i="4"/>
  <c r="J2180" i="4"/>
  <c r="P2179" i="4"/>
  <c r="Q2179" i="4" s="1"/>
  <c r="O2179" i="4"/>
  <c r="N2179" i="4"/>
  <c r="M2179" i="4"/>
  <c r="L2179" i="4"/>
  <c r="K2179" i="4"/>
  <c r="J2179" i="4"/>
  <c r="P2178" i="4"/>
  <c r="Q2178" i="4" s="1"/>
  <c r="O2178" i="4"/>
  <c r="N2178" i="4"/>
  <c r="M2178" i="4"/>
  <c r="L2178" i="4"/>
  <c r="K2178" i="4"/>
  <c r="J2178" i="4"/>
  <c r="P2177" i="4"/>
  <c r="Q2177" i="4" s="1"/>
  <c r="O2177" i="4"/>
  <c r="N2177" i="4"/>
  <c r="M2177" i="4"/>
  <c r="L2177" i="4"/>
  <c r="K2177" i="4"/>
  <c r="J2177" i="4"/>
  <c r="P2176" i="4"/>
  <c r="Q2176" i="4" s="1"/>
  <c r="O2176" i="4"/>
  <c r="N2176" i="4"/>
  <c r="M2176" i="4"/>
  <c r="L2176" i="4"/>
  <c r="K2176" i="4"/>
  <c r="J2176" i="4"/>
  <c r="P2175" i="4"/>
  <c r="Q2175" i="4" s="1"/>
  <c r="O2175" i="4"/>
  <c r="N2175" i="4"/>
  <c r="M2175" i="4"/>
  <c r="L2175" i="4"/>
  <c r="K2175" i="4"/>
  <c r="J2175" i="4"/>
  <c r="P2174" i="4"/>
  <c r="Q2174" i="4" s="1"/>
  <c r="O2174" i="4"/>
  <c r="N2174" i="4"/>
  <c r="M2174" i="4"/>
  <c r="L2174" i="4"/>
  <c r="K2174" i="4"/>
  <c r="J2174" i="4"/>
  <c r="P2173" i="4"/>
  <c r="Q2173" i="4" s="1"/>
  <c r="O2173" i="4"/>
  <c r="N2173" i="4"/>
  <c r="M2173" i="4"/>
  <c r="L2173" i="4"/>
  <c r="K2173" i="4"/>
  <c r="J2173" i="4"/>
  <c r="P2172" i="4"/>
  <c r="Q2172" i="4" s="1"/>
  <c r="O2172" i="4"/>
  <c r="N2172" i="4"/>
  <c r="M2172" i="4"/>
  <c r="L2172" i="4"/>
  <c r="K2172" i="4"/>
  <c r="J2172" i="4"/>
  <c r="P2171" i="4"/>
  <c r="Q2171" i="4" s="1"/>
  <c r="O2171" i="4"/>
  <c r="N2171" i="4"/>
  <c r="M2171" i="4"/>
  <c r="L2171" i="4"/>
  <c r="K2171" i="4"/>
  <c r="J2171" i="4"/>
  <c r="P2170" i="4"/>
  <c r="Q2170" i="4" s="1"/>
  <c r="O2170" i="4"/>
  <c r="N2170" i="4"/>
  <c r="M2170" i="4"/>
  <c r="L2170" i="4"/>
  <c r="K2170" i="4"/>
  <c r="J2170" i="4"/>
  <c r="P2169" i="4"/>
  <c r="Q2169" i="4" s="1"/>
  <c r="O2169" i="4"/>
  <c r="N2169" i="4"/>
  <c r="M2169" i="4"/>
  <c r="L2169" i="4"/>
  <c r="K2169" i="4"/>
  <c r="J2169" i="4"/>
  <c r="P2168" i="4"/>
  <c r="Q2168" i="4" s="1"/>
  <c r="O2168" i="4"/>
  <c r="N2168" i="4"/>
  <c r="M2168" i="4"/>
  <c r="L2168" i="4"/>
  <c r="K2168" i="4"/>
  <c r="J2168" i="4"/>
  <c r="P2167" i="4"/>
  <c r="Q2167" i="4" s="1"/>
  <c r="O2167" i="4"/>
  <c r="N2167" i="4"/>
  <c r="M2167" i="4"/>
  <c r="L2167" i="4"/>
  <c r="K2167" i="4"/>
  <c r="J2167" i="4"/>
  <c r="P2166" i="4"/>
  <c r="Q2166" i="4" s="1"/>
  <c r="O2166" i="4"/>
  <c r="N2166" i="4"/>
  <c r="M2166" i="4"/>
  <c r="L2166" i="4"/>
  <c r="K2166" i="4"/>
  <c r="J2166" i="4"/>
  <c r="Q2165" i="4"/>
  <c r="P2165" i="4"/>
  <c r="O2165" i="4"/>
  <c r="N2165" i="4"/>
  <c r="M2165" i="4"/>
  <c r="L2165" i="4"/>
  <c r="K2165" i="4"/>
  <c r="J2165" i="4"/>
  <c r="P2164" i="4"/>
  <c r="Q2164" i="4" s="1"/>
  <c r="O2164" i="4"/>
  <c r="N2164" i="4"/>
  <c r="M2164" i="4"/>
  <c r="L2164" i="4"/>
  <c r="K2164" i="4"/>
  <c r="J2164" i="4"/>
  <c r="P2163" i="4"/>
  <c r="Q2163" i="4" s="1"/>
  <c r="O2163" i="4"/>
  <c r="N2163" i="4"/>
  <c r="M2163" i="4"/>
  <c r="L2163" i="4"/>
  <c r="K2163" i="4"/>
  <c r="J2163" i="4"/>
  <c r="P2162" i="4"/>
  <c r="Q2162" i="4" s="1"/>
  <c r="O2162" i="4"/>
  <c r="N2162" i="4"/>
  <c r="M2162" i="4"/>
  <c r="L2162" i="4"/>
  <c r="K2162" i="4"/>
  <c r="J2162" i="4"/>
  <c r="P2161" i="4"/>
  <c r="Q2161" i="4" s="1"/>
  <c r="O2161" i="4"/>
  <c r="N2161" i="4"/>
  <c r="M2161" i="4"/>
  <c r="L2161" i="4"/>
  <c r="K2161" i="4"/>
  <c r="J2161" i="4"/>
  <c r="P2160" i="4"/>
  <c r="Q2160" i="4" s="1"/>
  <c r="O2160" i="4"/>
  <c r="N2160" i="4"/>
  <c r="M2160" i="4"/>
  <c r="L2160" i="4"/>
  <c r="K2160" i="4"/>
  <c r="J2160" i="4"/>
  <c r="P2159" i="4"/>
  <c r="Q2159" i="4" s="1"/>
  <c r="O2159" i="4"/>
  <c r="N2159" i="4"/>
  <c r="M2159" i="4"/>
  <c r="L2159" i="4"/>
  <c r="K2159" i="4"/>
  <c r="J2159" i="4"/>
  <c r="P2158" i="4"/>
  <c r="Q2158" i="4" s="1"/>
  <c r="O2158" i="4"/>
  <c r="N2158" i="4"/>
  <c r="M2158" i="4"/>
  <c r="L2158" i="4"/>
  <c r="K2158" i="4"/>
  <c r="J2158" i="4"/>
  <c r="P2157" i="4"/>
  <c r="Q2157" i="4" s="1"/>
  <c r="O2157" i="4"/>
  <c r="N2157" i="4"/>
  <c r="M2157" i="4"/>
  <c r="L2157" i="4"/>
  <c r="K2157" i="4"/>
  <c r="J2157" i="4"/>
  <c r="P2156" i="4"/>
  <c r="Q2156" i="4" s="1"/>
  <c r="O2156" i="4"/>
  <c r="N2156" i="4"/>
  <c r="M2156" i="4"/>
  <c r="L2156" i="4"/>
  <c r="K2156" i="4"/>
  <c r="J2156" i="4"/>
  <c r="P2155" i="4"/>
  <c r="Q2155" i="4" s="1"/>
  <c r="O2155" i="4"/>
  <c r="N2155" i="4"/>
  <c r="M2155" i="4"/>
  <c r="L2155" i="4"/>
  <c r="K2155" i="4"/>
  <c r="J2155" i="4"/>
  <c r="P2154" i="4"/>
  <c r="Q2154" i="4" s="1"/>
  <c r="O2154" i="4"/>
  <c r="N2154" i="4"/>
  <c r="M2154" i="4"/>
  <c r="L2154" i="4"/>
  <c r="K2154" i="4"/>
  <c r="J2154" i="4"/>
  <c r="P2153" i="4"/>
  <c r="Q2153" i="4" s="1"/>
  <c r="O2153" i="4"/>
  <c r="N2153" i="4"/>
  <c r="M2153" i="4"/>
  <c r="L2153" i="4"/>
  <c r="K2153" i="4"/>
  <c r="J2153" i="4"/>
  <c r="P2152" i="4"/>
  <c r="Q2152" i="4" s="1"/>
  <c r="O2152" i="4"/>
  <c r="N2152" i="4"/>
  <c r="M2152" i="4"/>
  <c r="L2152" i="4"/>
  <c r="K2152" i="4"/>
  <c r="J2152" i="4"/>
  <c r="P2151" i="4"/>
  <c r="Q2151" i="4" s="1"/>
  <c r="O2151" i="4"/>
  <c r="N2151" i="4"/>
  <c r="M2151" i="4"/>
  <c r="L2151" i="4"/>
  <c r="K2151" i="4"/>
  <c r="J2151" i="4"/>
  <c r="P2150" i="4"/>
  <c r="Q2150" i="4" s="1"/>
  <c r="O2150" i="4"/>
  <c r="N2150" i="4"/>
  <c r="M2150" i="4"/>
  <c r="L2150" i="4"/>
  <c r="K2150" i="4"/>
  <c r="J2150" i="4"/>
  <c r="P2149" i="4"/>
  <c r="Q2149" i="4" s="1"/>
  <c r="O2149" i="4"/>
  <c r="N2149" i="4"/>
  <c r="M2149" i="4"/>
  <c r="L2149" i="4"/>
  <c r="K2149" i="4"/>
  <c r="J2149" i="4"/>
  <c r="P2148" i="4"/>
  <c r="Q2148" i="4" s="1"/>
  <c r="O2148" i="4"/>
  <c r="N2148" i="4"/>
  <c r="M2148" i="4"/>
  <c r="L2148" i="4"/>
  <c r="K2148" i="4"/>
  <c r="J2148" i="4"/>
  <c r="P2147" i="4"/>
  <c r="Q2147" i="4" s="1"/>
  <c r="O2147" i="4"/>
  <c r="N2147" i="4"/>
  <c r="M2147" i="4"/>
  <c r="L2147" i="4"/>
  <c r="K2147" i="4"/>
  <c r="J2147" i="4"/>
  <c r="Q2146" i="4"/>
  <c r="P2146" i="4"/>
  <c r="O2146" i="4"/>
  <c r="N2146" i="4"/>
  <c r="M2146" i="4"/>
  <c r="L2146" i="4"/>
  <c r="K2146" i="4"/>
  <c r="J2146" i="4"/>
  <c r="P2145" i="4"/>
  <c r="Q2145" i="4" s="1"/>
  <c r="O2145" i="4"/>
  <c r="N2145" i="4"/>
  <c r="M2145" i="4"/>
  <c r="L2145" i="4"/>
  <c r="K2145" i="4"/>
  <c r="J2145" i="4"/>
  <c r="P2144" i="4"/>
  <c r="Q2144" i="4" s="1"/>
  <c r="O2144" i="4"/>
  <c r="N2144" i="4"/>
  <c r="M2144" i="4"/>
  <c r="L2144" i="4"/>
  <c r="K2144" i="4"/>
  <c r="J2144" i="4"/>
  <c r="P2143" i="4"/>
  <c r="Q2143" i="4" s="1"/>
  <c r="O2143" i="4"/>
  <c r="N2143" i="4"/>
  <c r="M2143" i="4"/>
  <c r="L2143" i="4"/>
  <c r="K2143" i="4"/>
  <c r="J2143" i="4"/>
  <c r="P2142" i="4"/>
  <c r="Q2142" i="4" s="1"/>
  <c r="O2142" i="4"/>
  <c r="N2142" i="4"/>
  <c r="M2142" i="4"/>
  <c r="L2142" i="4"/>
  <c r="K2142" i="4"/>
  <c r="J2142" i="4"/>
  <c r="P2141" i="4"/>
  <c r="Q2141" i="4" s="1"/>
  <c r="O2141" i="4"/>
  <c r="N2141" i="4"/>
  <c r="M2141" i="4"/>
  <c r="L2141" i="4"/>
  <c r="K2141" i="4"/>
  <c r="J2141" i="4"/>
  <c r="P2140" i="4"/>
  <c r="Q2140" i="4" s="1"/>
  <c r="O2140" i="4"/>
  <c r="N2140" i="4"/>
  <c r="M2140" i="4"/>
  <c r="L2140" i="4"/>
  <c r="K2140" i="4"/>
  <c r="J2140" i="4"/>
  <c r="P2139" i="4"/>
  <c r="Q2139" i="4" s="1"/>
  <c r="O2139" i="4"/>
  <c r="N2139" i="4"/>
  <c r="M2139" i="4"/>
  <c r="L2139" i="4"/>
  <c r="K2139" i="4"/>
  <c r="J2139" i="4"/>
  <c r="P2138" i="4"/>
  <c r="Q2138" i="4" s="1"/>
  <c r="O2138" i="4"/>
  <c r="N2138" i="4"/>
  <c r="M2138" i="4"/>
  <c r="L2138" i="4"/>
  <c r="K2138" i="4"/>
  <c r="J2138" i="4"/>
  <c r="P2137" i="4"/>
  <c r="Q2137" i="4" s="1"/>
  <c r="O2137" i="4"/>
  <c r="N2137" i="4"/>
  <c r="M2137" i="4"/>
  <c r="L2137" i="4"/>
  <c r="K2137" i="4"/>
  <c r="J2137" i="4"/>
  <c r="P2136" i="4"/>
  <c r="Q2136" i="4" s="1"/>
  <c r="O2136" i="4"/>
  <c r="N2136" i="4"/>
  <c r="M2136" i="4"/>
  <c r="L2136" i="4"/>
  <c r="K2136" i="4"/>
  <c r="J2136" i="4"/>
  <c r="P2135" i="4"/>
  <c r="Q2135" i="4" s="1"/>
  <c r="O2135" i="4"/>
  <c r="N2135" i="4"/>
  <c r="M2135" i="4"/>
  <c r="L2135" i="4"/>
  <c r="K2135" i="4"/>
  <c r="J2135" i="4"/>
  <c r="P2134" i="4"/>
  <c r="Q2134" i="4" s="1"/>
  <c r="O2134" i="4"/>
  <c r="N2134" i="4"/>
  <c r="M2134" i="4"/>
  <c r="L2134" i="4"/>
  <c r="K2134" i="4"/>
  <c r="J2134" i="4"/>
  <c r="P2133" i="4"/>
  <c r="Q2133" i="4" s="1"/>
  <c r="O2133" i="4"/>
  <c r="N2133" i="4"/>
  <c r="M2133" i="4"/>
  <c r="L2133" i="4"/>
  <c r="K2133" i="4"/>
  <c r="J2133" i="4"/>
  <c r="P2132" i="4"/>
  <c r="Q2132" i="4" s="1"/>
  <c r="O2132" i="4"/>
  <c r="N2132" i="4"/>
  <c r="M2132" i="4"/>
  <c r="L2132" i="4"/>
  <c r="K2132" i="4"/>
  <c r="J2132" i="4"/>
  <c r="P2131" i="4"/>
  <c r="Q2131" i="4" s="1"/>
  <c r="O2131" i="4"/>
  <c r="N2131" i="4"/>
  <c r="M2131" i="4"/>
  <c r="L2131" i="4"/>
  <c r="K2131" i="4"/>
  <c r="J2131" i="4"/>
  <c r="P2130" i="4"/>
  <c r="Q2130" i="4" s="1"/>
  <c r="O2130" i="4"/>
  <c r="N2130" i="4"/>
  <c r="M2130" i="4"/>
  <c r="L2130" i="4"/>
  <c r="K2130" i="4"/>
  <c r="J2130" i="4"/>
  <c r="P2129" i="4"/>
  <c r="Q2129" i="4" s="1"/>
  <c r="O2129" i="4"/>
  <c r="N2129" i="4"/>
  <c r="M2129" i="4"/>
  <c r="L2129" i="4"/>
  <c r="K2129" i="4"/>
  <c r="J2129" i="4"/>
  <c r="P2128" i="4"/>
  <c r="Q2128" i="4" s="1"/>
  <c r="O2128" i="4"/>
  <c r="N2128" i="4"/>
  <c r="M2128" i="4"/>
  <c r="L2128" i="4"/>
  <c r="K2128" i="4"/>
  <c r="J2128" i="4"/>
  <c r="Q2127" i="4"/>
  <c r="P2127" i="4"/>
  <c r="O2127" i="4"/>
  <c r="N2127" i="4"/>
  <c r="M2127" i="4"/>
  <c r="L2127" i="4"/>
  <c r="K2127" i="4"/>
  <c r="J2127" i="4"/>
  <c r="P2126" i="4"/>
  <c r="Q2126" i="4" s="1"/>
  <c r="O2126" i="4"/>
  <c r="N2126" i="4"/>
  <c r="M2126" i="4"/>
  <c r="L2126" i="4"/>
  <c r="K2126" i="4"/>
  <c r="J2126" i="4"/>
  <c r="P2125" i="4"/>
  <c r="Q2125" i="4" s="1"/>
  <c r="O2125" i="4"/>
  <c r="N2125" i="4"/>
  <c r="M2125" i="4"/>
  <c r="L2125" i="4"/>
  <c r="K2125" i="4"/>
  <c r="J2125" i="4"/>
  <c r="P2124" i="4"/>
  <c r="Q2124" i="4" s="1"/>
  <c r="O2124" i="4"/>
  <c r="N2124" i="4"/>
  <c r="M2124" i="4"/>
  <c r="L2124" i="4"/>
  <c r="K2124" i="4"/>
  <c r="J2124" i="4"/>
  <c r="P2123" i="4"/>
  <c r="Q2123" i="4" s="1"/>
  <c r="O2123" i="4"/>
  <c r="N2123" i="4"/>
  <c r="M2123" i="4"/>
  <c r="L2123" i="4"/>
  <c r="K2123" i="4"/>
  <c r="J2123" i="4"/>
  <c r="P2122" i="4"/>
  <c r="Q2122" i="4" s="1"/>
  <c r="O2122" i="4"/>
  <c r="N2122" i="4"/>
  <c r="M2122" i="4"/>
  <c r="L2122" i="4"/>
  <c r="K2122" i="4"/>
  <c r="J2122" i="4"/>
  <c r="Q2121" i="4"/>
  <c r="P2121" i="4"/>
  <c r="O2121" i="4"/>
  <c r="N2121" i="4"/>
  <c r="M2121" i="4"/>
  <c r="L2121" i="4"/>
  <c r="K2121" i="4"/>
  <c r="J2121" i="4"/>
  <c r="P2120" i="4"/>
  <c r="Q2120" i="4" s="1"/>
  <c r="O2120" i="4"/>
  <c r="N2120" i="4"/>
  <c r="M2120" i="4"/>
  <c r="L2120" i="4"/>
  <c r="K2120" i="4"/>
  <c r="J2120" i="4"/>
  <c r="P2119" i="4"/>
  <c r="Q2119" i="4" s="1"/>
  <c r="O2119" i="4"/>
  <c r="N2119" i="4"/>
  <c r="M2119" i="4"/>
  <c r="L2119" i="4"/>
  <c r="K2119" i="4"/>
  <c r="J2119" i="4"/>
  <c r="P2118" i="4"/>
  <c r="Q2118" i="4" s="1"/>
  <c r="O2118" i="4"/>
  <c r="N2118" i="4"/>
  <c r="M2118" i="4"/>
  <c r="L2118" i="4"/>
  <c r="K2118" i="4"/>
  <c r="J2118" i="4"/>
  <c r="P2117" i="4"/>
  <c r="Q2117" i="4" s="1"/>
  <c r="O2117" i="4"/>
  <c r="N2117" i="4"/>
  <c r="M2117" i="4"/>
  <c r="L2117" i="4"/>
  <c r="K2117" i="4"/>
  <c r="J2117" i="4"/>
  <c r="P2116" i="4"/>
  <c r="Q2116" i="4" s="1"/>
  <c r="O2116" i="4"/>
  <c r="N2116" i="4"/>
  <c r="M2116" i="4"/>
  <c r="L2116" i="4"/>
  <c r="K2116" i="4"/>
  <c r="J2116" i="4"/>
  <c r="P2115" i="4"/>
  <c r="Q2115" i="4" s="1"/>
  <c r="O2115" i="4"/>
  <c r="N2115" i="4"/>
  <c r="M2115" i="4"/>
  <c r="L2115" i="4"/>
  <c r="K2115" i="4"/>
  <c r="J2115" i="4"/>
  <c r="P2114" i="4"/>
  <c r="Q2114" i="4" s="1"/>
  <c r="O2114" i="4"/>
  <c r="N2114" i="4"/>
  <c r="M2114" i="4"/>
  <c r="L2114" i="4"/>
  <c r="K2114" i="4"/>
  <c r="J2114" i="4"/>
  <c r="P2113" i="4"/>
  <c r="Q2113" i="4" s="1"/>
  <c r="O2113" i="4"/>
  <c r="N2113" i="4"/>
  <c r="M2113" i="4"/>
  <c r="L2113" i="4"/>
  <c r="K2113" i="4"/>
  <c r="J2113" i="4"/>
  <c r="P2112" i="4"/>
  <c r="Q2112" i="4" s="1"/>
  <c r="O2112" i="4"/>
  <c r="N2112" i="4"/>
  <c r="M2112" i="4"/>
  <c r="L2112" i="4"/>
  <c r="K2112" i="4"/>
  <c r="J2112" i="4"/>
  <c r="P2111" i="4"/>
  <c r="Q2111" i="4" s="1"/>
  <c r="O2111" i="4"/>
  <c r="N2111" i="4"/>
  <c r="M2111" i="4"/>
  <c r="L2111" i="4"/>
  <c r="K2111" i="4"/>
  <c r="J2111" i="4"/>
  <c r="P2110" i="4"/>
  <c r="Q2110" i="4" s="1"/>
  <c r="O2110" i="4"/>
  <c r="N2110" i="4"/>
  <c r="M2110" i="4"/>
  <c r="L2110" i="4"/>
  <c r="K2110" i="4"/>
  <c r="J2110" i="4"/>
  <c r="P2109" i="4"/>
  <c r="Q2109" i="4" s="1"/>
  <c r="O2109" i="4"/>
  <c r="N2109" i="4"/>
  <c r="M2109" i="4"/>
  <c r="L2109" i="4"/>
  <c r="K2109" i="4"/>
  <c r="J2109" i="4"/>
  <c r="P2108" i="4"/>
  <c r="Q2108" i="4" s="1"/>
  <c r="O2108" i="4"/>
  <c r="N2108" i="4"/>
  <c r="M2108" i="4"/>
  <c r="L2108" i="4"/>
  <c r="K2108" i="4"/>
  <c r="J2108" i="4"/>
  <c r="P2107" i="4"/>
  <c r="Q2107" i="4" s="1"/>
  <c r="O2107" i="4"/>
  <c r="N2107" i="4"/>
  <c r="M2107" i="4"/>
  <c r="L2107" i="4"/>
  <c r="K2107" i="4"/>
  <c r="J2107" i="4"/>
  <c r="P2106" i="4"/>
  <c r="Q2106" i="4" s="1"/>
  <c r="O2106" i="4"/>
  <c r="N2106" i="4"/>
  <c r="M2106" i="4"/>
  <c r="L2106" i="4"/>
  <c r="K2106" i="4"/>
  <c r="J2106" i="4"/>
  <c r="P2105" i="4"/>
  <c r="Q2105" i="4" s="1"/>
  <c r="O2105" i="4"/>
  <c r="N2105" i="4"/>
  <c r="M2105" i="4"/>
  <c r="L2105" i="4"/>
  <c r="K2105" i="4"/>
  <c r="J2105" i="4"/>
  <c r="P2104" i="4"/>
  <c r="Q2104" i="4" s="1"/>
  <c r="O2104" i="4"/>
  <c r="N2104" i="4"/>
  <c r="M2104" i="4"/>
  <c r="L2104" i="4"/>
  <c r="K2104" i="4"/>
  <c r="J2104" i="4"/>
  <c r="P2103" i="4"/>
  <c r="Q2103" i="4" s="1"/>
  <c r="O2103" i="4"/>
  <c r="N2103" i="4"/>
  <c r="M2103" i="4"/>
  <c r="L2103" i="4"/>
  <c r="K2103" i="4"/>
  <c r="J2103" i="4"/>
  <c r="P2102" i="4"/>
  <c r="Q2102" i="4" s="1"/>
  <c r="O2102" i="4"/>
  <c r="N2102" i="4"/>
  <c r="M2102" i="4"/>
  <c r="L2102" i="4"/>
  <c r="K2102" i="4"/>
  <c r="J2102" i="4"/>
  <c r="P2101" i="4"/>
  <c r="Q2101" i="4" s="1"/>
  <c r="O2101" i="4"/>
  <c r="N2101" i="4"/>
  <c r="M2101" i="4"/>
  <c r="L2101" i="4"/>
  <c r="K2101" i="4"/>
  <c r="J2101" i="4"/>
  <c r="P2100" i="4"/>
  <c r="Q2100" i="4" s="1"/>
  <c r="O2100" i="4"/>
  <c r="N2100" i="4"/>
  <c r="M2100" i="4"/>
  <c r="L2100" i="4"/>
  <c r="K2100" i="4"/>
  <c r="J2100" i="4"/>
  <c r="P2099" i="4"/>
  <c r="Q2099" i="4" s="1"/>
  <c r="O2099" i="4"/>
  <c r="N2099" i="4"/>
  <c r="M2099" i="4"/>
  <c r="L2099" i="4"/>
  <c r="K2099" i="4"/>
  <c r="J2099" i="4"/>
  <c r="P2098" i="4"/>
  <c r="Q2098" i="4" s="1"/>
  <c r="O2098" i="4"/>
  <c r="N2098" i="4"/>
  <c r="M2098" i="4"/>
  <c r="L2098" i="4"/>
  <c r="K2098" i="4"/>
  <c r="J2098" i="4"/>
  <c r="Q2097" i="4"/>
  <c r="P2097" i="4"/>
  <c r="O2097" i="4"/>
  <c r="N2097" i="4"/>
  <c r="M2097" i="4"/>
  <c r="L2097" i="4"/>
  <c r="K2097" i="4"/>
  <c r="J2097" i="4"/>
  <c r="P2096" i="4"/>
  <c r="Q2096" i="4" s="1"/>
  <c r="O2096" i="4"/>
  <c r="N2096" i="4"/>
  <c r="M2096" i="4"/>
  <c r="L2096" i="4"/>
  <c r="K2096" i="4"/>
  <c r="J2096" i="4"/>
  <c r="P2095" i="4"/>
  <c r="Q2095" i="4" s="1"/>
  <c r="O2095" i="4"/>
  <c r="N2095" i="4"/>
  <c r="M2095" i="4"/>
  <c r="L2095" i="4"/>
  <c r="K2095" i="4"/>
  <c r="J2095" i="4"/>
  <c r="P2094" i="4"/>
  <c r="Q2094" i="4" s="1"/>
  <c r="O2094" i="4"/>
  <c r="N2094" i="4"/>
  <c r="M2094" i="4"/>
  <c r="L2094" i="4"/>
  <c r="K2094" i="4"/>
  <c r="J2094" i="4"/>
  <c r="P2093" i="4"/>
  <c r="Q2093" i="4" s="1"/>
  <c r="O2093" i="4"/>
  <c r="N2093" i="4"/>
  <c r="M2093" i="4"/>
  <c r="L2093" i="4"/>
  <c r="K2093" i="4"/>
  <c r="J2093" i="4"/>
  <c r="P2092" i="4"/>
  <c r="Q2092" i="4" s="1"/>
  <c r="O2092" i="4"/>
  <c r="N2092" i="4"/>
  <c r="M2092" i="4"/>
  <c r="L2092" i="4"/>
  <c r="K2092" i="4"/>
  <c r="J2092" i="4"/>
  <c r="P2091" i="4"/>
  <c r="Q2091" i="4" s="1"/>
  <c r="O2091" i="4"/>
  <c r="N2091" i="4"/>
  <c r="M2091" i="4"/>
  <c r="L2091" i="4"/>
  <c r="K2091" i="4"/>
  <c r="J2091" i="4"/>
  <c r="P2090" i="4"/>
  <c r="Q2090" i="4" s="1"/>
  <c r="O2090" i="4"/>
  <c r="N2090" i="4"/>
  <c r="M2090" i="4"/>
  <c r="L2090" i="4"/>
  <c r="K2090" i="4"/>
  <c r="J2090" i="4"/>
  <c r="P2089" i="4"/>
  <c r="Q2089" i="4" s="1"/>
  <c r="O2089" i="4"/>
  <c r="N2089" i="4"/>
  <c r="M2089" i="4"/>
  <c r="L2089" i="4"/>
  <c r="K2089" i="4"/>
  <c r="J2089" i="4"/>
  <c r="Q2088" i="4"/>
  <c r="P2088" i="4"/>
  <c r="O2088" i="4"/>
  <c r="N2088" i="4"/>
  <c r="M2088" i="4"/>
  <c r="L2088" i="4"/>
  <c r="K2088" i="4"/>
  <c r="J2088" i="4"/>
  <c r="P2087" i="4"/>
  <c r="Q2087" i="4" s="1"/>
  <c r="O2087" i="4"/>
  <c r="N2087" i="4"/>
  <c r="M2087" i="4"/>
  <c r="L2087" i="4"/>
  <c r="K2087" i="4"/>
  <c r="J2087" i="4"/>
  <c r="P2086" i="4"/>
  <c r="Q2086" i="4" s="1"/>
  <c r="O2086" i="4"/>
  <c r="N2086" i="4"/>
  <c r="M2086" i="4"/>
  <c r="L2086" i="4"/>
  <c r="K2086" i="4"/>
  <c r="J2086" i="4"/>
  <c r="P2085" i="4"/>
  <c r="Q2085" i="4" s="1"/>
  <c r="O2085" i="4"/>
  <c r="N2085" i="4"/>
  <c r="M2085" i="4"/>
  <c r="L2085" i="4"/>
  <c r="K2085" i="4"/>
  <c r="J2085" i="4"/>
  <c r="P2084" i="4"/>
  <c r="Q2084" i="4" s="1"/>
  <c r="O2084" i="4"/>
  <c r="N2084" i="4"/>
  <c r="M2084" i="4"/>
  <c r="L2084" i="4"/>
  <c r="K2084" i="4"/>
  <c r="J2084" i="4"/>
  <c r="P2083" i="4"/>
  <c r="Q2083" i="4" s="1"/>
  <c r="O2083" i="4"/>
  <c r="N2083" i="4"/>
  <c r="M2083" i="4"/>
  <c r="L2083" i="4"/>
  <c r="K2083" i="4"/>
  <c r="J2083" i="4"/>
  <c r="P2082" i="4"/>
  <c r="Q2082" i="4" s="1"/>
  <c r="O2082" i="4"/>
  <c r="N2082" i="4"/>
  <c r="M2082" i="4"/>
  <c r="L2082" i="4"/>
  <c r="K2082" i="4"/>
  <c r="J2082" i="4"/>
  <c r="P2081" i="4"/>
  <c r="Q2081" i="4" s="1"/>
  <c r="O2081" i="4"/>
  <c r="N2081" i="4"/>
  <c r="M2081" i="4"/>
  <c r="L2081" i="4"/>
  <c r="K2081" i="4"/>
  <c r="J2081" i="4"/>
  <c r="P2080" i="4"/>
  <c r="Q2080" i="4" s="1"/>
  <c r="O2080" i="4"/>
  <c r="N2080" i="4"/>
  <c r="M2080" i="4"/>
  <c r="L2080" i="4"/>
  <c r="K2080" i="4"/>
  <c r="J2080" i="4"/>
  <c r="P2079" i="4"/>
  <c r="Q2079" i="4" s="1"/>
  <c r="O2079" i="4"/>
  <c r="N2079" i="4"/>
  <c r="M2079" i="4"/>
  <c r="L2079" i="4"/>
  <c r="K2079" i="4"/>
  <c r="J2079" i="4"/>
  <c r="P2078" i="4"/>
  <c r="Q2078" i="4" s="1"/>
  <c r="O2078" i="4"/>
  <c r="N2078" i="4"/>
  <c r="M2078" i="4"/>
  <c r="L2078" i="4"/>
  <c r="K2078" i="4"/>
  <c r="J2078" i="4"/>
  <c r="P2077" i="4"/>
  <c r="Q2077" i="4" s="1"/>
  <c r="O2077" i="4"/>
  <c r="N2077" i="4"/>
  <c r="M2077" i="4"/>
  <c r="L2077" i="4"/>
  <c r="K2077" i="4"/>
  <c r="J2077" i="4"/>
  <c r="P2076" i="4"/>
  <c r="Q2076" i="4" s="1"/>
  <c r="O2076" i="4"/>
  <c r="N2076" i="4"/>
  <c r="M2076" i="4"/>
  <c r="L2076" i="4"/>
  <c r="K2076" i="4"/>
  <c r="J2076" i="4"/>
  <c r="P2075" i="4"/>
  <c r="Q2075" i="4" s="1"/>
  <c r="O2075" i="4"/>
  <c r="N2075" i="4"/>
  <c r="M2075" i="4"/>
  <c r="L2075" i="4"/>
  <c r="K2075" i="4"/>
  <c r="J2075" i="4"/>
  <c r="P2074" i="4"/>
  <c r="Q2074" i="4" s="1"/>
  <c r="O2074" i="4"/>
  <c r="N2074" i="4"/>
  <c r="M2074" i="4"/>
  <c r="L2074" i="4"/>
  <c r="K2074" i="4"/>
  <c r="J2074" i="4"/>
  <c r="P2073" i="4"/>
  <c r="Q2073" i="4" s="1"/>
  <c r="O2073" i="4"/>
  <c r="N2073" i="4"/>
  <c r="M2073" i="4"/>
  <c r="L2073" i="4"/>
  <c r="K2073" i="4"/>
  <c r="J2073" i="4"/>
  <c r="P2072" i="4"/>
  <c r="Q2072" i="4" s="1"/>
  <c r="O2072" i="4"/>
  <c r="N2072" i="4"/>
  <c r="M2072" i="4"/>
  <c r="L2072" i="4"/>
  <c r="K2072" i="4"/>
  <c r="J2072" i="4"/>
  <c r="P2071" i="4"/>
  <c r="Q2071" i="4" s="1"/>
  <c r="O2071" i="4"/>
  <c r="N2071" i="4"/>
  <c r="M2071" i="4"/>
  <c r="L2071" i="4"/>
  <c r="K2071" i="4"/>
  <c r="J2071" i="4"/>
  <c r="P2070" i="4"/>
  <c r="Q2070" i="4" s="1"/>
  <c r="O2070" i="4"/>
  <c r="N2070" i="4"/>
  <c r="M2070" i="4"/>
  <c r="L2070" i="4"/>
  <c r="K2070" i="4"/>
  <c r="J2070" i="4"/>
  <c r="P2069" i="4"/>
  <c r="Q2069" i="4" s="1"/>
  <c r="O2069" i="4"/>
  <c r="N2069" i="4"/>
  <c r="M2069" i="4"/>
  <c r="L2069" i="4"/>
  <c r="K2069" i="4"/>
  <c r="J2069" i="4"/>
  <c r="P2068" i="4"/>
  <c r="Q2068" i="4" s="1"/>
  <c r="O2068" i="4"/>
  <c r="N2068" i="4"/>
  <c r="M2068" i="4"/>
  <c r="L2068" i="4"/>
  <c r="K2068" i="4"/>
  <c r="J2068" i="4"/>
  <c r="P2067" i="4"/>
  <c r="Q2067" i="4" s="1"/>
  <c r="O2067" i="4"/>
  <c r="N2067" i="4"/>
  <c r="M2067" i="4"/>
  <c r="L2067" i="4"/>
  <c r="K2067" i="4"/>
  <c r="J2067" i="4"/>
  <c r="P2066" i="4"/>
  <c r="Q2066" i="4" s="1"/>
  <c r="O2066" i="4"/>
  <c r="N2066" i="4"/>
  <c r="M2066" i="4"/>
  <c r="L2066" i="4"/>
  <c r="K2066" i="4"/>
  <c r="J2066" i="4"/>
  <c r="Q2065" i="4"/>
  <c r="P2065" i="4"/>
  <c r="O2065" i="4"/>
  <c r="N2065" i="4"/>
  <c r="M2065" i="4"/>
  <c r="L2065" i="4"/>
  <c r="K2065" i="4"/>
  <c r="J2065" i="4"/>
  <c r="Q2064" i="4"/>
  <c r="P2064" i="4"/>
  <c r="O2064" i="4"/>
  <c r="N2064" i="4"/>
  <c r="M2064" i="4"/>
  <c r="L2064" i="4"/>
  <c r="K2064" i="4"/>
  <c r="J2064" i="4"/>
  <c r="P2063" i="4"/>
  <c r="Q2063" i="4" s="1"/>
  <c r="O2063" i="4"/>
  <c r="N2063" i="4"/>
  <c r="M2063" i="4"/>
  <c r="L2063" i="4"/>
  <c r="K2063" i="4"/>
  <c r="J2063" i="4"/>
  <c r="P2062" i="4"/>
  <c r="Q2062" i="4" s="1"/>
  <c r="O2062" i="4"/>
  <c r="N2062" i="4"/>
  <c r="M2062" i="4"/>
  <c r="L2062" i="4"/>
  <c r="K2062" i="4"/>
  <c r="J2062" i="4"/>
  <c r="P2061" i="4"/>
  <c r="Q2061" i="4" s="1"/>
  <c r="O2061" i="4"/>
  <c r="N2061" i="4"/>
  <c r="M2061" i="4"/>
  <c r="L2061" i="4"/>
  <c r="K2061" i="4"/>
  <c r="J2061" i="4"/>
  <c r="P2060" i="4"/>
  <c r="Q2060" i="4" s="1"/>
  <c r="O2060" i="4"/>
  <c r="N2060" i="4"/>
  <c r="M2060" i="4"/>
  <c r="L2060" i="4"/>
  <c r="K2060" i="4"/>
  <c r="J2060" i="4"/>
  <c r="P2059" i="4"/>
  <c r="Q2059" i="4" s="1"/>
  <c r="O2059" i="4"/>
  <c r="N2059" i="4"/>
  <c r="M2059" i="4"/>
  <c r="L2059" i="4"/>
  <c r="K2059" i="4"/>
  <c r="J2059" i="4"/>
  <c r="P2058" i="4"/>
  <c r="Q2058" i="4" s="1"/>
  <c r="O2058" i="4"/>
  <c r="N2058" i="4"/>
  <c r="M2058" i="4"/>
  <c r="L2058" i="4"/>
  <c r="K2058" i="4"/>
  <c r="J2058" i="4"/>
  <c r="P2057" i="4"/>
  <c r="Q2057" i="4" s="1"/>
  <c r="O2057" i="4"/>
  <c r="N2057" i="4"/>
  <c r="M2057" i="4"/>
  <c r="L2057" i="4"/>
  <c r="K2057" i="4"/>
  <c r="J2057" i="4"/>
  <c r="P2056" i="4"/>
  <c r="Q2056" i="4" s="1"/>
  <c r="O2056" i="4"/>
  <c r="N2056" i="4"/>
  <c r="M2056" i="4"/>
  <c r="L2056" i="4"/>
  <c r="K2056" i="4"/>
  <c r="J2056" i="4"/>
  <c r="P2055" i="4"/>
  <c r="Q2055" i="4" s="1"/>
  <c r="O2055" i="4"/>
  <c r="N2055" i="4"/>
  <c r="M2055" i="4"/>
  <c r="L2055" i="4"/>
  <c r="K2055" i="4"/>
  <c r="J2055" i="4"/>
  <c r="P2054" i="4"/>
  <c r="Q2054" i="4" s="1"/>
  <c r="O2054" i="4"/>
  <c r="N2054" i="4"/>
  <c r="M2054" i="4"/>
  <c r="L2054" i="4"/>
  <c r="K2054" i="4"/>
  <c r="J2054" i="4"/>
  <c r="P2053" i="4"/>
  <c r="Q2053" i="4" s="1"/>
  <c r="O2053" i="4"/>
  <c r="N2053" i="4"/>
  <c r="M2053" i="4"/>
  <c r="L2053" i="4"/>
  <c r="K2053" i="4"/>
  <c r="J2053" i="4"/>
  <c r="P2052" i="4"/>
  <c r="Q2052" i="4" s="1"/>
  <c r="O2052" i="4"/>
  <c r="N2052" i="4"/>
  <c r="M2052" i="4"/>
  <c r="L2052" i="4"/>
  <c r="K2052" i="4"/>
  <c r="J2052" i="4"/>
  <c r="P2051" i="4"/>
  <c r="Q2051" i="4" s="1"/>
  <c r="O2051" i="4"/>
  <c r="N2051" i="4"/>
  <c r="M2051" i="4"/>
  <c r="L2051" i="4"/>
  <c r="K2051" i="4"/>
  <c r="J2051" i="4"/>
  <c r="P2050" i="4"/>
  <c r="Q2050" i="4" s="1"/>
  <c r="O2050" i="4"/>
  <c r="N2050" i="4"/>
  <c r="M2050" i="4"/>
  <c r="L2050" i="4"/>
  <c r="K2050" i="4"/>
  <c r="J2050" i="4"/>
  <c r="P2049" i="4"/>
  <c r="Q2049" i="4" s="1"/>
  <c r="O2049" i="4"/>
  <c r="N2049" i="4"/>
  <c r="M2049" i="4"/>
  <c r="L2049" i="4"/>
  <c r="K2049" i="4"/>
  <c r="J2049" i="4"/>
  <c r="P2048" i="4"/>
  <c r="Q2048" i="4" s="1"/>
  <c r="O2048" i="4"/>
  <c r="N2048" i="4"/>
  <c r="M2048" i="4"/>
  <c r="L2048" i="4"/>
  <c r="K2048" i="4"/>
  <c r="J2048" i="4"/>
  <c r="P2047" i="4"/>
  <c r="Q2047" i="4" s="1"/>
  <c r="O2047" i="4"/>
  <c r="N2047" i="4"/>
  <c r="M2047" i="4"/>
  <c r="L2047" i="4"/>
  <c r="K2047" i="4"/>
  <c r="J2047" i="4"/>
  <c r="P2046" i="4"/>
  <c r="Q2046" i="4" s="1"/>
  <c r="O2046" i="4"/>
  <c r="N2046" i="4"/>
  <c r="M2046" i="4"/>
  <c r="L2046" i="4"/>
  <c r="K2046" i="4"/>
  <c r="J2046" i="4"/>
  <c r="P2045" i="4"/>
  <c r="Q2045" i="4" s="1"/>
  <c r="O2045" i="4"/>
  <c r="N2045" i="4"/>
  <c r="M2045" i="4"/>
  <c r="L2045" i="4"/>
  <c r="K2045" i="4"/>
  <c r="J2045" i="4"/>
  <c r="P2044" i="4"/>
  <c r="Q2044" i="4" s="1"/>
  <c r="O2044" i="4"/>
  <c r="N2044" i="4"/>
  <c r="M2044" i="4"/>
  <c r="L2044" i="4"/>
  <c r="K2044" i="4"/>
  <c r="J2044" i="4"/>
  <c r="P2043" i="4"/>
  <c r="Q2043" i="4" s="1"/>
  <c r="O2043" i="4"/>
  <c r="N2043" i="4"/>
  <c r="M2043" i="4"/>
  <c r="L2043" i="4"/>
  <c r="K2043" i="4"/>
  <c r="J2043" i="4"/>
  <c r="P2042" i="4"/>
  <c r="Q2042" i="4" s="1"/>
  <c r="O2042" i="4"/>
  <c r="N2042" i="4"/>
  <c r="M2042" i="4"/>
  <c r="L2042" i="4"/>
  <c r="K2042" i="4"/>
  <c r="J2042" i="4"/>
  <c r="P2041" i="4"/>
  <c r="Q2041" i="4" s="1"/>
  <c r="O2041" i="4"/>
  <c r="N2041" i="4"/>
  <c r="M2041" i="4"/>
  <c r="L2041" i="4"/>
  <c r="K2041" i="4"/>
  <c r="J2041" i="4"/>
  <c r="P2040" i="4"/>
  <c r="Q2040" i="4" s="1"/>
  <c r="O2040" i="4"/>
  <c r="N2040" i="4"/>
  <c r="M2040" i="4"/>
  <c r="L2040" i="4"/>
  <c r="K2040" i="4"/>
  <c r="J2040" i="4"/>
  <c r="P2039" i="4"/>
  <c r="Q2039" i="4" s="1"/>
  <c r="O2039" i="4"/>
  <c r="N2039" i="4"/>
  <c r="M2039" i="4"/>
  <c r="L2039" i="4"/>
  <c r="K2039" i="4"/>
  <c r="J2039" i="4"/>
  <c r="P2038" i="4"/>
  <c r="Q2038" i="4" s="1"/>
  <c r="O2038" i="4"/>
  <c r="N2038" i="4"/>
  <c r="M2038" i="4"/>
  <c r="L2038" i="4"/>
  <c r="K2038" i="4"/>
  <c r="J2038" i="4"/>
  <c r="P2037" i="4"/>
  <c r="Q2037" i="4" s="1"/>
  <c r="O2037" i="4"/>
  <c r="N2037" i="4"/>
  <c r="M2037" i="4"/>
  <c r="L2037" i="4"/>
  <c r="K2037" i="4"/>
  <c r="J2037" i="4"/>
  <c r="P2036" i="4"/>
  <c r="Q2036" i="4" s="1"/>
  <c r="O2036" i="4"/>
  <c r="N2036" i="4"/>
  <c r="M2036" i="4"/>
  <c r="L2036" i="4"/>
  <c r="K2036" i="4"/>
  <c r="J2036" i="4"/>
  <c r="P2035" i="4"/>
  <c r="Q2035" i="4" s="1"/>
  <c r="O2035" i="4"/>
  <c r="N2035" i="4"/>
  <c r="M2035" i="4"/>
  <c r="L2035" i="4"/>
  <c r="K2035" i="4"/>
  <c r="J2035" i="4"/>
  <c r="P2034" i="4"/>
  <c r="Q2034" i="4" s="1"/>
  <c r="O2034" i="4"/>
  <c r="N2034" i="4"/>
  <c r="M2034" i="4"/>
  <c r="L2034" i="4"/>
  <c r="K2034" i="4"/>
  <c r="J2034" i="4"/>
  <c r="P2033" i="4"/>
  <c r="Q2033" i="4" s="1"/>
  <c r="O2033" i="4"/>
  <c r="N2033" i="4"/>
  <c r="M2033" i="4"/>
  <c r="L2033" i="4"/>
  <c r="K2033" i="4"/>
  <c r="J2033" i="4"/>
  <c r="P2032" i="4"/>
  <c r="Q2032" i="4" s="1"/>
  <c r="O2032" i="4"/>
  <c r="N2032" i="4"/>
  <c r="M2032" i="4"/>
  <c r="L2032" i="4"/>
  <c r="K2032" i="4"/>
  <c r="J2032" i="4"/>
  <c r="P2031" i="4"/>
  <c r="Q2031" i="4" s="1"/>
  <c r="O2031" i="4"/>
  <c r="N2031" i="4"/>
  <c r="M2031" i="4"/>
  <c r="L2031" i="4"/>
  <c r="K2031" i="4"/>
  <c r="J2031" i="4"/>
  <c r="P2030" i="4"/>
  <c r="Q2030" i="4" s="1"/>
  <c r="O2030" i="4"/>
  <c r="N2030" i="4"/>
  <c r="M2030" i="4"/>
  <c r="L2030" i="4"/>
  <c r="K2030" i="4"/>
  <c r="J2030" i="4"/>
  <c r="P2029" i="4"/>
  <c r="Q2029" i="4" s="1"/>
  <c r="O2029" i="4"/>
  <c r="N2029" i="4"/>
  <c r="M2029" i="4"/>
  <c r="L2029" i="4"/>
  <c r="K2029" i="4"/>
  <c r="J2029" i="4"/>
  <c r="P2028" i="4"/>
  <c r="Q2028" i="4" s="1"/>
  <c r="O2028" i="4"/>
  <c r="N2028" i="4"/>
  <c r="M2028" i="4"/>
  <c r="L2028" i="4"/>
  <c r="K2028" i="4"/>
  <c r="J2028" i="4"/>
  <c r="P2027" i="4"/>
  <c r="Q2027" i="4" s="1"/>
  <c r="O2027" i="4"/>
  <c r="N2027" i="4"/>
  <c r="M2027" i="4"/>
  <c r="L2027" i="4"/>
  <c r="K2027" i="4"/>
  <c r="J2027" i="4"/>
  <c r="P2026" i="4"/>
  <c r="Q2026" i="4" s="1"/>
  <c r="O2026" i="4"/>
  <c r="N2026" i="4"/>
  <c r="M2026" i="4"/>
  <c r="L2026" i="4"/>
  <c r="K2026" i="4"/>
  <c r="J2026" i="4"/>
  <c r="P2025" i="4"/>
  <c r="Q2025" i="4" s="1"/>
  <c r="O2025" i="4"/>
  <c r="N2025" i="4"/>
  <c r="M2025" i="4"/>
  <c r="L2025" i="4"/>
  <c r="K2025" i="4"/>
  <c r="J2025" i="4"/>
  <c r="Q2024" i="4"/>
  <c r="P2024" i="4"/>
  <c r="O2024" i="4"/>
  <c r="N2024" i="4"/>
  <c r="M2024" i="4"/>
  <c r="L2024" i="4"/>
  <c r="K2024" i="4"/>
  <c r="J2024" i="4"/>
  <c r="P2023" i="4"/>
  <c r="Q2023" i="4" s="1"/>
  <c r="O2023" i="4"/>
  <c r="N2023" i="4"/>
  <c r="M2023" i="4"/>
  <c r="L2023" i="4"/>
  <c r="K2023" i="4"/>
  <c r="J2023" i="4"/>
  <c r="P2022" i="4"/>
  <c r="Q2022" i="4" s="1"/>
  <c r="O2022" i="4"/>
  <c r="N2022" i="4"/>
  <c r="M2022" i="4"/>
  <c r="L2022" i="4"/>
  <c r="K2022" i="4"/>
  <c r="J2022" i="4"/>
  <c r="P2021" i="4"/>
  <c r="Q2021" i="4" s="1"/>
  <c r="O2021" i="4"/>
  <c r="N2021" i="4"/>
  <c r="M2021" i="4"/>
  <c r="L2021" i="4"/>
  <c r="K2021" i="4"/>
  <c r="J2021" i="4"/>
  <c r="P2020" i="4"/>
  <c r="Q2020" i="4" s="1"/>
  <c r="O2020" i="4"/>
  <c r="N2020" i="4"/>
  <c r="M2020" i="4"/>
  <c r="L2020" i="4"/>
  <c r="K2020" i="4"/>
  <c r="J2020" i="4"/>
  <c r="P2019" i="4"/>
  <c r="Q2019" i="4" s="1"/>
  <c r="O2019" i="4"/>
  <c r="N2019" i="4"/>
  <c r="M2019" i="4"/>
  <c r="L2019" i="4"/>
  <c r="K2019" i="4"/>
  <c r="J2019" i="4"/>
  <c r="P2018" i="4"/>
  <c r="Q2018" i="4" s="1"/>
  <c r="O2018" i="4"/>
  <c r="N2018" i="4"/>
  <c r="M2018" i="4"/>
  <c r="L2018" i="4"/>
  <c r="K2018" i="4"/>
  <c r="J2018" i="4"/>
  <c r="P2017" i="4"/>
  <c r="Q2017" i="4" s="1"/>
  <c r="O2017" i="4"/>
  <c r="N2017" i="4"/>
  <c r="M2017" i="4"/>
  <c r="L2017" i="4"/>
  <c r="K2017" i="4"/>
  <c r="J2017" i="4"/>
  <c r="P2016" i="4"/>
  <c r="Q2016" i="4" s="1"/>
  <c r="O2016" i="4"/>
  <c r="N2016" i="4"/>
  <c r="M2016" i="4"/>
  <c r="L2016" i="4"/>
  <c r="K2016" i="4"/>
  <c r="J2016" i="4"/>
  <c r="P2015" i="4"/>
  <c r="Q2015" i="4" s="1"/>
  <c r="O2015" i="4"/>
  <c r="N2015" i="4"/>
  <c r="M2015" i="4"/>
  <c r="L2015" i="4"/>
  <c r="K2015" i="4"/>
  <c r="J2015" i="4"/>
  <c r="P2014" i="4"/>
  <c r="Q2014" i="4" s="1"/>
  <c r="O2014" i="4"/>
  <c r="N2014" i="4"/>
  <c r="M2014" i="4"/>
  <c r="L2014" i="4"/>
  <c r="K2014" i="4"/>
  <c r="J2014" i="4"/>
  <c r="P2013" i="4"/>
  <c r="Q2013" i="4" s="1"/>
  <c r="O2013" i="4"/>
  <c r="N2013" i="4"/>
  <c r="M2013" i="4"/>
  <c r="L2013" i="4"/>
  <c r="K2013" i="4"/>
  <c r="J2013" i="4"/>
  <c r="P2012" i="4"/>
  <c r="Q2012" i="4" s="1"/>
  <c r="O2012" i="4"/>
  <c r="N2012" i="4"/>
  <c r="M2012" i="4"/>
  <c r="L2012" i="4"/>
  <c r="K2012" i="4"/>
  <c r="J2012" i="4"/>
  <c r="P2011" i="4"/>
  <c r="Q2011" i="4" s="1"/>
  <c r="O2011" i="4"/>
  <c r="N2011" i="4"/>
  <c r="M2011" i="4"/>
  <c r="L2011" i="4"/>
  <c r="K2011" i="4"/>
  <c r="J2011" i="4"/>
  <c r="P2010" i="4"/>
  <c r="Q2010" i="4" s="1"/>
  <c r="O2010" i="4"/>
  <c r="N2010" i="4"/>
  <c r="M2010" i="4"/>
  <c r="L2010" i="4"/>
  <c r="K2010" i="4"/>
  <c r="J2010" i="4"/>
  <c r="P2009" i="4"/>
  <c r="Q2009" i="4" s="1"/>
  <c r="O2009" i="4"/>
  <c r="N2009" i="4"/>
  <c r="M2009" i="4"/>
  <c r="L2009" i="4"/>
  <c r="K2009" i="4"/>
  <c r="J2009" i="4"/>
  <c r="P2008" i="4"/>
  <c r="Q2008" i="4" s="1"/>
  <c r="O2008" i="4"/>
  <c r="N2008" i="4"/>
  <c r="M2008" i="4"/>
  <c r="L2008" i="4"/>
  <c r="K2008" i="4"/>
  <c r="J2008" i="4"/>
  <c r="P2007" i="4"/>
  <c r="Q2007" i="4" s="1"/>
  <c r="O2007" i="4"/>
  <c r="N2007" i="4"/>
  <c r="M2007" i="4"/>
  <c r="L2007" i="4"/>
  <c r="K2007" i="4"/>
  <c r="J2007" i="4"/>
  <c r="P2006" i="4"/>
  <c r="Q2006" i="4" s="1"/>
  <c r="O2006" i="4"/>
  <c r="N2006" i="4"/>
  <c r="M2006" i="4"/>
  <c r="L2006" i="4"/>
  <c r="K2006" i="4"/>
  <c r="J2006" i="4"/>
  <c r="P2005" i="4"/>
  <c r="Q2005" i="4" s="1"/>
  <c r="O2005" i="4"/>
  <c r="N2005" i="4"/>
  <c r="M2005" i="4"/>
  <c r="L2005" i="4"/>
  <c r="K2005" i="4"/>
  <c r="J2005" i="4"/>
  <c r="P2004" i="4"/>
  <c r="Q2004" i="4" s="1"/>
  <c r="O2004" i="4"/>
  <c r="N2004" i="4"/>
  <c r="M2004" i="4"/>
  <c r="L2004" i="4"/>
  <c r="K2004" i="4"/>
  <c r="J2004" i="4"/>
  <c r="P2003" i="4"/>
  <c r="Q2003" i="4" s="1"/>
  <c r="O2003" i="4"/>
  <c r="N2003" i="4"/>
  <c r="M2003" i="4"/>
  <c r="L2003" i="4"/>
  <c r="K2003" i="4"/>
  <c r="J2003" i="4"/>
  <c r="P2002" i="4"/>
  <c r="Q2002" i="4" s="1"/>
  <c r="O2002" i="4"/>
  <c r="N2002" i="4"/>
  <c r="M2002" i="4"/>
  <c r="L2002" i="4"/>
  <c r="K2002" i="4"/>
  <c r="J2002" i="4"/>
  <c r="P2001" i="4"/>
  <c r="Q2001" i="4" s="1"/>
  <c r="O2001" i="4"/>
  <c r="N2001" i="4"/>
  <c r="M2001" i="4"/>
  <c r="L2001" i="4"/>
  <c r="K2001" i="4"/>
  <c r="J2001" i="4"/>
  <c r="P2000" i="4"/>
  <c r="Q2000" i="4" s="1"/>
  <c r="O2000" i="4"/>
  <c r="N2000" i="4"/>
  <c r="M2000" i="4"/>
  <c r="L2000" i="4"/>
  <c r="K2000" i="4"/>
  <c r="J2000" i="4"/>
  <c r="P1999" i="4"/>
  <c r="Q1999" i="4" s="1"/>
  <c r="O1999" i="4"/>
  <c r="N1999" i="4"/>
  <c r="M1999" i="4"/>
  <c r="L1999" i="4"/>
  <c r="K1999" i="4"/>
  <c r="J1999" i="4"/>
  <c r="P1998" i="4"/>
  <c r="Q1998" i="4" s="1"/>
  <c r="O1998" i="4"/>
  <c r="N1998" i="4"/>
  <c r="M1998" i="4"/>
  <c r="L1998" i="4"/>
  <c r="K1998" i="4"/>
  <c r="J1998" i="4"/>
  <c r="P1997" i="4"/>
  <c r="Q1997" i="4" s="1"/>
  <c r="O1997" i="4"/>
  <c r="N1997" i="4"/>
  <c r="M1997" i="4"/>
  <c r="L1997" i="4"/>
  <c r="K1997" i="4"/>
  <c r="J1997" i="4"/>
  <c r="P1996" i="4"/>
  <c r="Q1996" i="4" s="1"/>
  <c r="O1996" i="4"/>
  <c r="N1996" i="4"/>
  <c r="M1996" i="4"/>
  <c r="L1996" i="4"/>
  <c r="K1996" i="4"/>
  <c r="J1996" i="4"/>
  <c r="P1995" i="4"/>
  <c r="Q1995" i="4" s="1"/>
  <c r="O1995" i="4"/>
  <c r="N1995" i="4"/>
  <c r="M1995" i="4"/>
  <c r="L1995" i="4"/>
  <c r="K1995" i="4"/>
  <c r="J1995" i="4"/>
  <c r="P1994" i="4"/>
  <c r="Q1994" i="4" s="1"/>
  <c r="O1994" i="4"/>
  <c r="N1994" i="4"/>
  <c r="M1994" i="4"/>
  <c r="L1994" i="4"/>
  <c r="K1994" i="4"/>
  <c r="J1994" i="4"/>
  <c r="P1993" i="4"/>
  <c r="Q1993" i="4" s="1"/>
  <c r="O1993" i="4"/>
  <c r="N1993" i="4"/>
  <c r="M1993" i="4"/>
  <c r="L1993" i="4"/>
  <c r="K1993" i="4"/>
  <c r="J1993" i="4"/>
  <c r="P1992" i="4"/>
  <c r="Q1992" i="4" s="1"/>
  <c r="O1992" i="4"/>
  <c r="N1992" i="4"/>
  <c r="M1992" i="4"/>
  <c r="L1992" i="4"/>
  <c r="K1992" i="4"/>
  <c r="J1992" i="4"/>
  <c r="P1991" i="4"/>
  <c r="Q1991" i="4" s="1"/>
  <c r="O1991" i="4"/>
  <c r="N1991" i="4"/>
  <c r="M1991" i="4"/>
  <c r="L1991" i="4"/>
  <c r="K1991" i="4"/>
  <c r="J1991" i="4"/>
  <c r="P1990" i="4"/>
  <c r="Q1990" i="4" s="1"/>
  <c r="O1990" i="4"/>
  <c r="N1990" i="4"/>
  <c r="M1990" i="4"/>
  <c r="L1990" i="4"/>
  <c r="K1990" i="4"/>
  <c r="J1990" i="4"/>
  <c r="P1989" i="4"/>
  <c r="Q1989" i="4" s="1"/>
  <c r="O1989" i="4"/>
  <c r="N1989" i="4"/>
  <c r="M1989" i="4"/>
  <c r="L1989" i="4"/>
  <c r="K1989" i="4"/>
  <c r="J1989" i="4"/>
  <c r="P1988" i="4"/>
  <c r="Q1988" i="4" s="1"/>
  <c r="O1988" i="4"/>
  <c r="N1988" i="4"/>
  <c r="M1988" i="4"/>
  <c r="L1988" i="4"/>
  <c r="K1988" i="4"/>
  <c r="J1988" i="4"/>
  <c r="P1987" i="4"/>
  <c r="Q1987" i="4" s="1"/>
  <c r="O1987" i="4"/>
  <c r="N1987" i="4"/>
  <c r="M1987" i="4"/>
  <c r="L1987" i="4"/>
  <c r="K1987" i="4"/>
  <c r="J1987" i="4"/>
  <c r="P1986" i="4"/>
  <c r="Q1986" i="4" s="1"/>
  <c r="O1986" i="4"/>
  <c r="N1986" i="4"/>
  <c r="M1986" i="4"/>
  <c r="L1986" i="4"/>
  <c r="K1986" i="4"/>
  <c r="J1986" i="4"/>
  <c r="P1985" i="4"/>
  <c r="Q1985" i="4" s="1"/>
  <c r="O1985" i="4"/>
  <c r="N1985" i="4"/>
  <c r="M1985" i="4"/>
  <c r="L1985" i="4"/>
  <c r="K1985" i="4"/>
  <c r="J1985" i="4"/>
  <c r="P1984" i="4"/>
  <c r="Q1984" i="4" s="1"/>
  <c r="O1984" i="4"/>
  <c r="N1984" i="4"/>
  <c r="M1984" i="4"/>
  <c r="L1984" i="4"/>
  <c r="K1984" i="4"/>
  <c r="J1984" i="4"/>
  <c r="P1983" i="4"/>
  <c r="Q1983" i="4" s="1"/>
  <c r="O1983" i="4"/>
  <c r="N1983" i="4"/>
  <c r="M1983" i="4"/>
  <c r="L1983" i="4"/>
  <c r="K1983" i="4"/>
  <c r="J1983" i="4"/>
  <c r="P1982" i="4"/>
  <c r="Q1982" i="4" s="1"/>
  <c r="O1982" i="4"/>
  <c r="N1982" i="4"/>
  <c r="M1982" i="4"/>
  <c r="L1982" i="4"/>
  <c r="K1982" i="4"/>
  <c r="J1982" i="4"/>
  <c r="P1981" i="4"/>
  <c r="Q1981" i="4" s="1"/>
  <c r="O1981" i="4"/>
  <c r="N1981" i="4"/>
  <c r="M1981" i="4"/>
  <c r="L1981" i="4"/>
  <c r="K1981" i="4"/>
  <c r="J1981" i="4"/>
  <c r="P1980" i="4"/>
  <c r="Q1980" i="4" s="1"/>
  <c r="O1980" i="4"/>
  <c r="N1980" i="4"/>
  <c r="M1980" i="4"/>
  <c r="L1980" i="4"/>
  <c r="K1980" i="4"/>
  <c r="J1980" i="4"/>
  <c r="P1979" i="4"/>
  <c r="Q1979" i="4" s="1"/>
  <c r="O1979" i="4"/>
  <c r="N1979" i="4"/>
  <c r="M1979" i="4"/>
  <c r="L1979" i="4"/>
  <c r="K1979" i="4"/>
  <c r="J1979" i="4"/>
  <c r="P1978" i="4"/>
  <c r="Q1978" i="4" s="1"/>
  <c r="O1978" i="4"/>
  <c r="N1978" i="4"/>
  <c r="M1978" i="4"/>
  <c r="L1978" i="4"/>
  <c r="K1978" i="4"/>
  <c r="J1978" i="4"/>
  <c r="P1977" i="4"/>
  <c r="Q1977" i="4" s="1"/>
  <c r="O1977" i="4"/>
  <c r="N1977" i="4"/>
  <c r="M1977" i="4"/>
  <c r="L1977" i="4"/>
  <c r="K1977" i="4"/>
  <c r="J1977" i="4"/>
  <c r="P1976" i="4"/>
  <c r="Q1976" i="4" s="1"/>
  <c r="O1976" i="4"/>
  <c r="N1976" i="4"/>
  <c r="M1976" i="4"/>
  <c r="L1976" i="4"/>
  <c r="K1976" i="4"/>
  <c r="J1976" i="4"/>
  <c r="P1975" i="4"/>
  <c r="Q1975" i="4" s="1"/>
  <c r="O1975" i="4"/>
  <c r="N1975" i="4"/>
  <c r="M1975" i="4"/>
  <c r="L1975" i="4"/>
  <c r="K1975" i="4"/>
  <c r="J1975" i="4"/>
  <c r="P1974" i="4"/>
  <c r="Q1974" i="4" s="1"/>
  <c r="O1974" i="4"/>
  <c r="N1974" i="4"/>
  <c r="M1974" i="4"/>
  <c r="L1974" i="4"/>
  <c r="K1974" i="4"/>
  <c r="J1974" i="4"/>
  <c r="P1973" i="4"/>
  <c r="Q1973" i="4" s="1"/>
  <c r="O1973" i="4"/>
  <c r="N1973" i="4"/>
  <c r="M1973" i="4"/>
  <c r="L1973" i="4"/>
  <c r="K1973" i="4"/>
  <c r="J1973" i="4"/>
  <c r="P1972" i="4"/>
  <c r="Q1972" i="4" s="1"/>
  <c r="O1972" i="4"/>
  <c r="N1972" i="4"/>
  <c r="M1972" i="4"/>
  <c r="L1972" i="4"/>
  <c r="K1972" i="4"/>
  <c r="J1972" i="4"/>
  <c r="P1971" i="4"/>
  <c r="Q1971" i="4" s="1"/>
  <c r="O1971" i="4"/>
  <c r="N1971" i="4"/>
  <c r="M1971" i="4"/>
  <c r="L1971" i="4"/>
  <c r="K1971" i="4"/>
  <c r="J1971" i="4"/>
  <c r="P1970" i="4"/>
  <c r="Q1970" i="4" s="1"/>
  <c r="O1970" i="4"/>
  <c r="N1970" i="4"/>
  <c r="M1970" i="4"/>
  <c r="L1970" i="4"/>
  <c r="K1970" i="4"/>
  <c r="J1970" i="4"/>
  <c r="P1969" i="4"/>
  <c r="Q1969" i="4" s="1"/>
  <c r="O1969" i="4"/>
  <c r="N1969" i="4"/>
  <c r="M1969" i="4"/>
  <c r="L1969" i="4"/>
  <c r="K1969" i="4"/>
  <c r="J1969" i="4"/>
  <c r="P1968" i="4"/>
  <c r="Q1968" i="4" s="1"/>
  <c r="O1968" i="4"/>
  <c r="N1968" i="4"/>
  <c r="M1968" i="4"/>
  <c r="L1968" i="4"/>
  <c r="K1968" i="4"/>
  <c r="J1968" i="4"/>
  <c r="P1967" i="4"/>
  <c r="Q1967" i="4" s="1"/>
  <c r="O1967" i="4"/>
  <c r="N1967" i="4"/>
  <c r="M1967" i="4"/>
  <c r="L1967" i="4"/>
  <c r="K1967" i="4"/>
  <c r="J1967" i="4"/>
  <c r="P1966" i="4"/>
  <c r="Q1966" i="4" s="1"/>
  <c r="O1966" i="4"/>
  <c r="N1966" i="4"/>
  <c r="M1966" i="4"/>
  <c r="L1966" i="4"/>
  <c r="K1966" i="4"/>
  <c r="J1966" i="4"/>
  <c r="P1965" i="4"/>
  <c r="Q1965" i="4" s="1"/>
  <c r="O1965" i="4"/>
  <c r="N1965" i="4"/>
  <c r="M1965" i="4"/>
  <c r="L1965" i="4"/>
  <c r="K1965" i="4"/>
  <c r="J1965" i="4"/>
  <c r="Q1964" i="4"/>
  <c r="P1964" i="4"/>
  <c r="O1964" i="4"/>
  <c r="N1964" i="4"/>
  <c r="M1964" i="4"/>
  <c r="L1964" i="4"/>
  <c r="K1964" i="4"/>
  <c r="J1964" i="4"/>
  <c r="P1963" i="4"/>
  <c r="Q1963" i="4" s="1"/>
  <c r="O1963" i="4"/>
  <c r="N1963" i="4"/>
  <c r="M1963" i="4"/>
  <c r="L1963" i="4"/>
  <c r="K1963" i="4"/>
  <c r="J1963" i="4"/>
  <c r="P1962" i="4"/>
  <c r="Q1962" i="4" s="1"/>
  <c r="O1962" i="4"/>
  <c r="N1962" i="4"/>
  <c r="M1962" i="4"/>
  <c r="L1962" i="4"/>
  <c r="K1962" i="4"/>
  <c r="J1962" i="4"/>
  <c r="P1961" i="4"/>
  <c r="Q1961" i="4" s="1"/>
  <c r="O1961" i="4"/>
  <c r="N1961" i="4"/>
  <c r="M1961" i="4"/>
  <c r="L1961" i="4"/>
  <c r="K1961" i="4"/>
  <c r="J1961" i="4"/>
  <c r="P1960" i="4"/>
  <c r="Q1960" i="4" s="1"/>
  <c r="O1960" i="4"/>
  <c r="N1960" i="4"/>
  <c r="M1960" i="4"/>
  <c r="L1960" i="4"/>
  <c r="K1960" i="4"/>
  <c r="J1960" i="4"/>
  <c r="P1959" i="4"/>
  <c r="Q1959" i="4" s="1"/>
  <c r="O1959" i="4"/>
  <c r="N1959" i="4"/>
  <c r="M1959" i="4"/>
  <c r="L1959" i="4"/>
  <c r="K1959" i="4"/>
  <c r="J1959" i="4"/>
  <c r="P1958" i="4"/>
  <c r="Q1958" i="4" s="1"/>
  <c r="O1958" i="4"/>
  <c r="N1958" i="4"/>
  <c r="M1958" i="4"/>
  <c r="L1958" i="4"/>
  <c r="K1958" i="4"/>
  <c r="J1958" i="4"/>
  <c r="P1957" i="4"/>
  <c r="Q1957" i="4" s="1"/>
  <c r="O1957" i="4"/>
  <c r="N1957" i="4"/>
  <c r="M1957" i="4"/>
  <c r="L1957" i="4"/>
  <c r="K1957" i="4"/>
  <c r="J1957" i="4"/>
  <c r="P1956" i="4"/>
  <c r="Q1956" i="4" s="1"/>
  <c r="O1956" i="4"/>
  <c r="N1956" i="4"/>
  <c r="M1956" i="4"/>
  <c r="L1956" i="4"/>
  <c r="K1956" i="4"/>
  <c r="J1956" i="4"/>
  <c r="P1955" i="4"/>
  <c r="Q1955" i="4" s="1"/>
  <c r="O1955" i="4"/>
  <c r="N1955" i="4"/>
  <c r="M1955" i="4"/>
  <c r="L1955" i="4"/>
  <c r="K1955" i="4"/>
  <c r="J1955" i="4"/>
  <c r="P1954" i="4"/>
  <c r="Q1954" i="4" s="1"/>
  <c r="O1954" i="4"/>
  <c r="N1954" i="4"/>
  <c r="M1954" i="4"/>
  <c r="L1954" i="4"/>
  <c r="K1954" i="4"/>
  <c r="J1954" i="4"/>
  <c r="P1953" i="4"/>
  <c r="Q1953" i="4" s="1"/>
  <c r="O1953" i="4"/>
  <c r="N1953" i="4"/>
  <c r="M1953" i="4"/>
  <c r="L1953" i="4"/>
  <c r="K1953" i="4"/>
  <c r="J1953" i="4"/>
  <c r="P1952" i="4"/>
  <c r="Q1952" i="4" s="1"/>
  <c r="O1952" i="4"/>
  <c r="N1952" i="4"/>
  <c r="M1952" i="4"/>
  <c r="L1952" i="4"/>
  <c r="K1952" i="4"/>
  <c r="J1952" i="4"/>
  <c r="P1951" i="4"/>
  <c r="Q1951" i="4" s="1"/>
  <c r="O1951" i="4"/>
  <c r="N1951" i="4"/>
  <c r="M1951" i="4"/>
  <c r="L1951" i="4"/>
  <c r="K1951" i="4"/>
  <c r="J1951" i="4"/>
  <c r="P1950" i="4"/>
  <c r="Q1950" i="4" s="1"/>
  <c r="O1950" i="4"/>
  <c r="N1950" i="4"/>
  <c r="M1950" i="4"/>
  <c r="L1950" i="4"/>
  <c r="K1950" i="4"/>
  <c r="J1950" i="4"/>
  <c r="P1949" i="4"/>
  <c r="Q1949" i="4" s="1"/>
  <c r="O1949" i="4"/>
  <c r="N1949" i="4"/>
  <c r="M1949" i="4"/>
  <c r="L1949" i="4"/>
  <c r="K1949" i="4"/>
  <c r="J1949" i="4"/>
  <c r="P1948" i="4"/>
  <c r="Q1948" i="4" s="1"/>
  <c r="O1948" i="4"/>
  <c r="N1948" i="4"/>
  <c r="M1948" i="4"/>
  <c r="L1948" i="4"/>
  <c r="K1948" i="4"/>
  <c r="J1948" i="4"/>
  <c r="P1947" i="4"/>
  <c r="Q1947" i="4" s="1"/>
  <c r="O1947" i="4"/>
  <c r="N1947" i="4"/>
  <c r="M1947" i="4"/>
  <c r="L1947" i="4"/>
  <c r="K1947" i="4"/>
  <c r="J1947" i="4"/>
  <c r="P1946" i="4"/>
  <c r="Q1946" i="4" s="1"/>
  <c r="O1946" i="4"/>
  <c r="N1946" i="4"/>
  <c r="M1946" i="4"/>
  <c r="L1946" i="4"/>
  <c r="K1946" i="4"/>
  <c r="J1946" i="4"/>
  <c r="P1945" i="4"/>
  <c r="Q1945" i="4" s="1"/>
  <c r="O1945" i="4"/>
  <c r="N1945" i="4"/>
  <c r="M1945" i="4"/>
  <c r="L1945" i="4"/>
  <c r="K1945" i="4"/>
  <c r="J1945" i="4"/>
  <c r="P1944" i="4"/>
  <c r="Q1944" i="4" s="1"/>
  <c r="O1944" i="4"/>
  <c r="N1944" i="4"/>
  <c r="M1944" i="4"/>
  <c r="L1944" i="4"/>
  <c r="K1944" i="4"/>
  <c r="J1944" i="4"/>
  <c r="P1943" i="4"/>
  <c r="Q1943" i="4" s="1"/>
  <c r="O1943" i="4"/>
  <c r="N1943" i="4"/>
  <c r="M1943" i="4"/>
  <c r="L1943" i="4"/>
  <c r="K1943" i="4"/>
  <c r="J1943" i="4"/>
  <c r="P1942" i="4"/>
  <c r="Q1942" i="4" s="1"/>
  <c r="O1942" i="4"/>
  <c r="N1942" i="4"/>
  <c r="M1942" i="4"/>
  <c r="L1942" i="4"/>
  <c r="K1942" i="4"/>
  <c r="J1942" i="4"/>
  <c r="P1941" i="4"/>
  <c r="Q1941" i="4" s="1"/>
  <c r="O1941" i="4"/>
  <c r="N1941" i="4"/>
  <c r="M1941" i="4"/>
  <c r="L1941" i="4"/>
  <c r="K1941" i="4"/>
  <c r="J1941" i="4"/>
  <c r="P1940" i="4"/>
  <c r="Q1940" i="4" s="1"/>
  <c r="O1940" i="4"/>
  <c r="N1940" i="4"/>
  <c r="M1940" i="4"/>
  <c r="L1940" i="4"/>
  <c r="K1940" i="4"/>
  <c r="J1940" i="4"/>
  <c r="P1939" i="4"/>
  <c r="Q1939" i="4" s="1"/>
  <c r="O1939" i="4"/>
  <c r="N1939" i="4"/>
  <c r="M1939" i="4"/>
  <c r="L1939" i="4"/>
  <c r="K1939" i="4"/>
  <c r="J1939" i="4"/>
  <c r="P1938" i="4"/>
  <c r="Q1938" i="4" s="1"/>
  <c r="O1938" i="4"/>
  <c r="N1938" i="4"/>
  <c r="M1938" i="4"/>
  <c r="L1938" i="4"/>
  <c r="K1938" i="4"/>
  <c r="J1938" i="4"/>
  <c r="P1937" i="4"/>
  <c r="Q1937" i="4" s="1"/>
  <c r="O1937" i="4"/>
  <c r="N1937" i="4"/>
  <c r="M1937" i="4"/>
  <c r="L1937" i="4"/>
  <c r="K1937" i="4"/>
  <c r="J1937" i="4"/>
  <c r="P1936" i="4"/>
  <c r="Q1936" i="4" s="1"/>
  <c r="O1936" i="4"/>
  <c r="N1936" i="4"/>
  <c r="M1936" i="4"/>
  <c r="L1936" i="4"/>
  <c r="K1936" i="4"/>
  <c r="J1936" i="4"/>
  <c r="P1935" i="4"/>
  <c r="Q1935" i="4" s="1"/>
  <c r="O1935" i="4"/>
  <c r="N1935" i="4"/>
  <c r="M1935" i="4"/>
  <c r="L1935" i="4"/>
  <c r="K1935" i="4"/>
  <c r="J1935" i="4"/>
  <c r="P1934" i="4"/>
  <c r="Q1934" i="4" s="1"/>
  <c r="O1934" i="4"/>
  <c r="N1934" i="4"/>
  <c r="M1934" i="4"/>
  <c r="L1934" i="4"/>
  <c r="K1934" i="4"/>
  <c r="J1934" i="4"/>
  <c r="P1933" i="4"/>
  <c r="Q1933" i="4" s="1"/>
  <c r="O1933" i="4"/>
  <c r="N1933" i="4"/>
  <c r="M1933" i="4"/>
  <c r="L1933" i="4"/>
  <c r="K1933" i="4"/>
  <c r="J1933" i="4"/>
  <c r="P1932" i="4"/>
  <c r="Q1932" i="4" s="1"/>
  <c r="O1932" i="4"/>
  <c r="N1932" i="4"/>
  <c r="M1932" i="4"/>
  <c r="L1932" i="4"/>
  <c r="K1932" i="4"/>
  <c r="J1932" i="4"/>
  <c r="P1931" i="4"/>
  <c r="Q1931" i="4" s="1"/>
  <c r="O1931" i="4"/>
  <c r="N1931" i="4"/>
  <c r="M1931" i="4"/>
  <c r="L1931" i="4"/>
  <c r="K1931" i="4"/>
  <c r="J1931" i="4"/>
  <c r="P1930" i="4"/>
  <c r="Q1930" i="4" s="1"/>
  <c r="O1930" i="4"/>
  <c r="N1930" i="4"/>
  <c r="M1930" i="4"/>
  <c r="L1930" i="4"/>
  <c r="K1930" i="4"/>
  <c r="J1930" i="4"/>
  <c r="P1929" i="4"/>
  <c r="Q1929" i="4" s="1"/>
  <c r="O1929" i="4"/>
  <c r="N1929" i="4"/>
  <c r="M1929" i="4"/>
  <c r="L1929" i="4"/>
  <c r="K1929" i="4"/>
  <c r="J1929" i="4"/>
  <c r="P1928" i="4"/>
  <c r="Q1928" i="4" s="1"/>
  <c r="O1928" i="4"/>
  <c r="N1928" i="4"/>
  <c r="M1928" i="4"/>
  <c r="L1928" i="4"/>
  <c r="K1928" i="4"/>
  <c r="J1928" i="4"/>
  <c r="P1927" i="4"/>
  <c r="Q1927" i="4" s="1"/>
  <c r="O1927" i="4"/>
  <c r="N1927" i="4"/>
  <c r="M1927" i="4"/>
  <c r="L1927" i="4"/>
  <c r="K1927" i="4"/>
  <c r="J1927" i="4"/>
  <c r="P1926" i="4"/>
  <c r="Q1926" i="4" s="1"/>
  <c r="O1926" i="4"/>
  <c r="N1926" i="4"/>
  <c r="M1926" i="4"/>
  <c r="L1926" i="4"/>
  <c r="K1926" i="4"/>
  <c r="J1926" i="4"/>
  <c r="P1925" i="4"/>
  <c r="Q1925" i="4" s="1"/>
  <c r="O1925" i="4"/>
  <c r="N1925" i="4"/>
  <c r="M1925" i="4"/>
  <c r="L1925" i="4"/>
  <c r="K1925" i="4"/>
  <c r="J1925" i="4"/>
  <c r="P1924" i="4"/>
  <c r="Q1924" i="4" s="1"/>
  <c r="O1924" i="4"/>
  <c r="N1924" i="4"/>
  <c r="M1924" i="4"/>
  <c r="L1924" i="4"/>
  <c r="K1924" i="4"/>
  <c r="J1924" i="4"/>
  <c r="P1923" i="4"/>
  <c r="Q1923" i="4" s="1"/>
  <c r="O1923" i="4"/>
  <c r="N1923" i="4"/>
  <c r="M1923" i="4"/>
  <c r="L1923" i="4"/>
  <c r="K1923" i="4"/>
  <c r="J1923" i="4"/>
  <c r="P1922" i="4"/>
  <c r="Q1922" i="4" s="1"/>
  <c r="O1922" i="4"/>
  <c r="N1922" i="4"/>
  <c r="M1922" i="4"/>
  <c r="L1922" i="4"/>
  <c r="K1922" i="4"/>
  <c r="J1922" i="4"/>
  <c r="P1921" i="4"/>
  <c r="Q1921" i="4" s="1"/>
  <c r="O1921" i="4"/>
  <c r="N1921" i="4"/>
  <c r="M1921" i="4"/>
  <c r="L1921" i="4"/>
  <c r="K1921" i="4"/>
  <c r="J1921" i="4"/>
  <c r="P1920" i="4"/>
  <c r="Q1920" i="4" s="1"/>
  <c r="O1920" i="4"/>
  <c r="N1920" i="4"/>
  <c r="M1920" i="4"/>
  <c r="L1920" i="4"/>
  <c r="K1920" i="4"/>
  <c r="J1920" i="4"/>
  <c r="P1919" i="4"/>
  <c r="Q1919" i="4" s="1"/>
  <c r="O1919" i="4"/>
  <c r="N1919" i="4"/>
  <c r="M1919" i="4"/>
  <c r="L1919" i="4"/>
  <c r="K1919" i="4"/>
  <c r="J1919" i="4"/>
  <c r="P1918" i="4"/>
  <c r="Q1918" i="4" s="1"/>
  <c r="O1918" i="4"/>
  <c r="N1918" i="4"/>
  <c r="M1918" i="4"/>
  <c r="L1918" i="4"/>
  <c r="K1918" i="4"/>
  <c r="J1918" i="4"/>
  <c r="P1917" i="4"/>
  <c r="Q1917" i="4" s="1"/>
  <c r="O1917" i="4"/>
  <c r="N1917" i="4"/>
  <c r="M1917" i="4"/>
  <c r="L1917" i="4"/>
  <c r="K1917" i="4"/>
  <c r="J1917" i="4"/>
  <c r="Q1916" i="4"/>
  <c r="P1916" i="4"/>
  <c r="O1916" i="4"/>
  <c r="N1916" i="4"/>
  <c r="M1916" i="4"/>
  <c r="L1916" i="4"/>
  <c r="K1916" i="4"/>
  <c r="J1916" i="4"/>
  <c r="P1915" i="4"/>
  <c r="Q1915" i="4" s="1"/>
  <c r="O1915" i="4"/>
  <c r="N1915" i="4"/>
  <c r="M1915" i="4"/>
  <c r="L1915" i="4"/>
  <c r="K1915" i="4"/>
  <c r="J1915" i="4"/>
  <c r="P1914" i="4"/>
  <c r="Q1914" i="4" s="1"/>
  <c r="O1914" i="4"/>
  <c r="N1914" i="4"/>
  <c r="M1914" i="4"/>
  <c r="L1914" i="4"/>
  <c r="K1914" i="4"/>
  <c r="J1914" i="4"/>
  <c r="P1913" i="4"/>
  <c r="Q1913" i="4" s="1"/>
  <c r="O1913" i="4"/>
  <c r="N1913" i="4"/>
  <c r="M1913" i="4"/>
  <c r="L1913" i="4"/>
  <c r="K1913" i="4"/>
  <c r="J1913" i="4"/>
  <c r="P1912" i="4"/>
  <c r="Q1912" i="4" s="1"/>
  <c r="O1912" i="4"/>
  <c r="N1912" i="4"/>
  <c r="M1912" i="4"/>
  <c r="L1912" i="4"/>
  <c r="K1912" i="4"/>
  <c r="J1912" i="4"/>
  <c r="P1911" i="4"/>
  <c r="Q1911" i="4" s="1"/>
  <c r="O1911" i="4"/>
  <c r="N1911" i="4"/>
  <c r="M1911" i="4"/>
  <c r="L1911" i="4"/>
  <c r="K1911" i="4"/>
  <c r="J1911" i="4"/>
  <c r="P1910" i="4"/>
  <c r="Q1910" i="4" s="1"/>
  <c r="O1910" i="4"/>
  <c r="N1910" i="4"/>
  <c r="M1910" i="4"/>
  <c r="L1910" i="4"/>
  <c r="K1910" i="4"/>
  <c r="J1910" i="4"/>
  <c r="P1909" i="4"/>
  <c r="Q1909" i="4" s="1"/>
  <c r="O1909" i="4"/>
  <c r="N1909" i="4"/>
  <c r="M1909" i="4"/>
  <c r="L1909" i="4"/>
  <c r="K1909" i="4"/>
  <c r="J1909" i="4"/>
  <c r="P1908" i="4"/>
  <c r="Q1908" i="4" s="1"/>
  <c r="O1908" i="4"/>
  <c r="N1908" i="4"/>
  <c r="M1908" i="4"/>
  <c r="L1908" i="4"/>
  <c r="K1908" i="4"/>
  <c r="J1908" i="4"/>
  <c r="P1907" i="4"/>
  <c r="Q1907" i="4" s="1"/>
  <c r="O1907" i="4"/>
  <c r="N1907" i="4"/>
  <c r="M1907" i="4"/>
  <c r="L1907" i="4"/>
  <c r="K1907" i="4"/>
  <c r="J1907" i="4"/>
  <c r="P1906" i="4"/>
  <c r="Q1906" i="4" s="1"/>
  <c r="O1906" i="4"/>
  <c r="N1906" i="4"/>
  <c r="M1906" i="4"/>
  <c r="L1906" i="4"/>
  <c r="K1906" i="4"/>
  <c r="J1906" i="4"/>
  <c r="P1905" i="4"/>
  <c r="Q1905" i="4" s="1"/>
  <c r="O1905" i="4"/>
  <c r="N1905" i="4"/>
  <c r="M1905" i="4"/>
  <c r="L1905" i="4"/>
  <c r="K1905" i="4"/>
  <c r="J1905" i="4"/>
  <c r="P1904" i="4"/>
  <c r="Q1904" i="4" s="1"/>
  <c r="O1904" i="4"/>
  <c r="N1904" i="4"/>
  <c r="M1904" i="4"/>
  <c r="L1904" i="4"/>
  <c r="K1904" i="4"/>
  <c r="J1904" i="4"/>
  <c r="P1903" i="4"/>
  <c r="Q1903" i="4" s="1"/>
  <c r="O1903" i="4"/>
  <c r="N1903" i="4"/>
  <c r="M1903" i="4"/>
  <c r="L1903" i="4"/>
  <c r="K1903" i="4"/>
  <c r="J1903" i="4"/>
  <c r="P1902" i="4"/>
  <c r="Q1902" i="4" s="1"/>
  <c r="O1902" i="4"/>
  <c r="N1902" i="4"/>
  <c r="M1902" i="4"/>
  <c r="L1902" i="4"/>
  <c r="K1902" i="4"/>
  <c r="J1902" i="4"/>
  <c r="P1901" i="4"/>
  <c r="Q1901" i="4" s="1"/>
  <c r="O1901" i="4"/>
  <c r="N1901" i="4"/>
  <c r="M1901" i="4"/>
  <c r="L1901" i="4"/>
  <c r="K1901" i="4"/>
  <c r="J1901" i="4"/>
  <c r="P1900" i="4"/>
  <c r="Q1900" i="4" s="1"/>
  <c r="O1900" i="4"/>
  <c r="N1900" i="4"/>
  <c r="M1900" i="4"/>
  <c r="L1900" i="4"/>
  <c r="K1900" i="4"/>
  <c r="J1900" i="4"/>
  <c r="P1899" i="4"/>
  <c r="Q1899" i="4" s="1"/>
  <c r="O1899" i="4"/>
  <c r="N1899" i="4"/>
  <c r="M1899" i="4"/>
  <c r="L1899" i="4"/>
  <c r="K1899" i="4"/>
  <c r="J1899" i="4"/>
  <c r="P1898" i="4"/>
  <c r="Q1898" i="4" s="1"/>
  <c r="O1898" i="4"/>
  <c r="N1898" i="4"/>
  <c r="M1898" i="4"/>
  <c r="L1898" i="4"/>
  <c r="K1898" i="4"/>
  <c r="J1898" i="4"/>
  <c r="P1897" i="4"/>
  <c r="Q1897" i="4" s="1"/>
  <c r="O1897" i="4"/>
  <c r="N1897" i="4"/>
  <c r="M1897" i="4"/>
  <c r="L1897" i="4"/>
  <c r="K1897" i="4"/>
  <c r="J1897" i="4"/>
  <c r="P1896" i="4"/>
  <c r="Q1896" i="4" s="1"/>
  <c r="O1896" i="4"/>
  <c r="N1896" i="4"/>
  <c r="M1896" i="4"/>
  <c r="L1896" i="4"/>
  <c r="K1896" i="4"/>
  <c r="J1896" i="4"/>
  <c r="P1895" i="4"/>
  <c r="Q1895" i="4" s="1"/>
  <c r="O1895" i="4"/>
  <c r="N1895" i="4"/>
  <c r="M1895" i="4"/>
  <c r="L1895" i="4"/>
  <c r="K1895" i="4"/>
  <c r="J1895" i="4"/>
  <c r="P1894" i="4"/>
  <c r="Q1894" i="4" s="1"/>
  <c r="O1894" i="4"/>
  <c r="N1894" i="4"/>
  <c r="M1894" i="4"/>
  <c r="L1894" i="4"/>
  <c r="K1894" i="4"/>
  <c r="J1894" i="4"/>
  <c r="P1893" i="4"/>
  <c r="Q1893" i="4" s="1"/>
  <c r="O1893" i="4"/>
  <c r="N1893" i="4"/>
  <c r="M1893" i="4"/>
  <c r="L1893" i="4"/>
  <c r="K1893" i="4"/>
  <c r="J1893" i="4"/>
  <c r="P1892" i="4"/>
  <c r="Q1892" i="4" s="1"/>
  <c r="O1892" i="4"/>
  <c r="N1892" i="4"/>
  <c r="M1892" i="4"/>
  <c r="L1892" i="4"/>
  <c r="K1892" i="4"/>
  <c r="J1892" i="4"/>
  <c r="P1891" i="4"/>
  <c r="Q1891" i="4" s="1"/>
  <c r="O1891" i="4"/>
  <c r="N1891" i="4"/>
  <c r="M1891" i="4"/>
  <c r="L1891" i="4"/>
  <c r="K1891" i="4"/>
  <c r="J1891" i="4"/>
  <c r="P1890" i="4"/>
  <c r="Q1890" i="4" s="1"/>
  <c r="O1890" i="4"/>
  <c r="N1890" i="4"/>
  <c r="M1890" i="4"/>
  <c r="L1890" i="4"/>
  <c r="K1890" i="4"/>
  <c r="J1890" i="4"/>
  <c r="P1889" i="4"/>
  <c r="Q1889" i="4" s="1"/>
  <c r="O1889" i="4"/>
  <c r="N1889" i="4"/>
  <c r="M1889" i="4"/>
  <c r="L1889" i="4"/>
  <c r="K1889" i="4"/>
  <c r="J1889" i="4"/>
  <c r="P1888" i="4"/>
  <c r="Q1888" i="4" s="1"/>
  <c r="O1888" i="4"/>
  <c r="N1888" i="4"/>
  <c r="M1888" i="4"/>
  <c r="L1888" i="4"/>
  <c r="K1888" i="4"/>
  <c r="J1888" i="4"/>
  <c r="P1887" i="4"/>
  <c r="Q1887" i="4" s="1"/>
  <c r="O1887" i="4"/>
  <c r="N1887" i="4"/>
  <c r="M1887" i="4"/>
  <c r="L1887" i="4"/>
  <c r="K1887" i="4"/>
  <c r="J1887" i="4"/>
  <c r="P1886" i="4"/>
  <c r="Q1886" i="4" s="1"/>
  <c r="O1886" i="4"/>
  <c r="N1886" i="4"/>
  <c r="M1886" i="4"/>
  <c r="L1886" i="4"/>
  <c r="K1886" i="4"/>
  <c r="J1886" i="4"/>
  <c r="P1885" i="4"/>
  <c r="Q1885" i="4" s="1"/>
  <c r="O1885" i="4"/>
  <c r="N1885" i="4"/>
  <c r="M1885" i="4"/>
  <c r="L1885" i="4"/>
  <c r="K1885" i="4"/>
  <c r="J1885" i="4"/>
  <c r="P1884" i="4"/>
  <c r="Q1884" i="4" s="1"/>
  <c r="O1884" i="4"/>
  <c r="N1884" i="4"/>
  <c r="M1884" i="4"/>
  <c r="L1884" i="4"/>
  <c r="K1884" i="4"/>
  <c r="J1884" i="4"/>
  <c r="P1883" i="4"/>
  <c r="Q1883" i="4" s="1"/>
  <c r="O1883" i="4"/>
  <c r="N1883" i="4"/>
  <c r="M1883" i="4"/>
  <c r="L1883" i="4"/>
  <c r="K1883" i="4"/>
  <c r="J1883" i="4"/>
  <c r="Q1882" i="4"/>
  <c r="P1882" i="4"/>
  <c r="O1882" i="4"/>
  <c r="N1882" i="4"/>
  <c r="M1882" i="4"/>
  <c r="L1882" i="4"/>
  <c r="K1882" i="4"/>
  <c r="J1882" i="4"/>
  <c r="P1881" i="4"/>
  <c r="Q1881" i="4" s="1"/>
  <c r="O1881" i="4"/>
  <c r="N1881" i="4"/>
  <c r="M1881" i="4"/>
  <c r="L1881" i="4"/>
  <c r="K1881" i="4"/>
  <c r="J1881" i="4"/>
  <c r="P1880" i="4"/>
  <c r="Q1880" i="4" s="1"/>
  <c r="O1880" i="4"/>
  <c r="N1880" i="4"/>
  <c r="M1880" i="4"/>
  <c r="L1880" i="4"/>
  <c r="K1880" i="4"/>
  <c r="J1880" i="4"/>
  <c r="P1879" i="4"/>
  <c r="Q1879" i="4" s="1"/>
  <c r="O1879" i="4"/>
  <c r="N1879" i="4"/>
  <c r="M1879" i="4"/>
  <c r="L1879" i="4"/>
  <c r="K1879" i="4"/>
  <c r="J1879" i="4"/>
  <c r="P1878" i="4"/>
  <c r="Q1878" i="4" s="1"/>
  <c r="O1878" i="4"/>
  <c r="N1878" i="4"/>
  <c r="M1878" i="4"/>
  <c r="L1878" i="4"/>
  <c r="K1878" i="4"/>
  <c r="J1878" i="4"/>
  <c r="P1877" i="4"/>
  <c r="Q1877" i="4" s="1"/>
  <c r="O1877" i="4"/>
  <c r="N1877" i="4"/>
  <c r="M1877" i="4"/>
  <c r="L1877" i="4"/>
  <c r="K1877" i="4"/>
  <c r="J1877" i="4"/>
  <c r="P1876" i="4"/>
  <c r="Q1876" i="4" s="1"/>
  <c r="O1876" i="4"/>
  <c r="N1876" i="4"/>
  <c r="M1876" i="4"/>
  <c r="L1876" i="4"/>
  <c r="K1876" i="4"/>
  <c r="J1876" i="4"/>
  <c r="P1875" i="4"/>
  <c r="Q1875" i="4" s="1"/>
  <c r="O1875" i="4"/>
  <c r="N1875" i="4"/>
  <c r="M1875" i="4"/>
  <c r="L1875" i="4"/>
  <c r="K1875" i="4"/>
  <c r="J1875" i="4"/>
  <c r="P1874" i="4"/>
  <c r="Q1874" i="4" s="1"/>
  <c r="O1874" i="4"/>
  <c r="N1874" i="4"/>
  <c r="M1874" i="4"/>
  <c r="L1874" i="4"/>
  <c r="K1874" i="4"/>
  <c r="J1874" i="4"/>
  <c r="P1873" i="4"/>
  <c r="Q1873" i="4" s="1"/>
  <c r="O1873" i="4"/>
  <c r="N1873" i="4"/>
  <c r="M1873" i="4"/>
  <c r="L1873" i="4"/>
  <c r="K1873" i="4"/>
  <c r="J1873" i="4"/>
  <c r="P1872" i="4"/>
  <c r="Q1872" i="4" s="1"/>
  <c r="O1872" i="4"/>
  <c r="N1872" i="4"/>
  <c r="M1872" i="4"/>
  <c r="L1872" i="4"/>
  <c r="K1872" i="4"/>
  <c r="J1872" i="4"/>
  <c r="P1871" i="4"/>
  <c r="Q1871" i="4" s="1"/>
  <c r="O1871" i="4"/>
  <c r="N1871" i="4"/>
  <c r="M1871" i="4"/>
  <c r="L1871" i="4"/>
  <c r="K1871" i="4"/>
  <c r="J1871" i="4"/>
  <c r="P1870" i="4"/>
  <c r="Q1870" i="4" s="1"/>
  <c r="O1870" i="4"/>
  <c r="N1870" i="4"/>
  <c r="M1870" i="4"/>
  <c r="L1870" i="4"/>
  <c r="K1870" i="4"/>
  <c r="J1870" i="4"/>
  <c r="P1869" i="4"/>
  <c r="Q1869" i="4" s="1"/>
  <c r="O1869" i="4"/>
  <c r="N1869" i="4"/>
  <c r="M1869" i="4"/>
  <c r="L1869" i="4"/>
  <c r="K1869" i="4"/>
  <c r="J1869" i="4"/>
  <c r="P1868" i="4"/>
  <c r="Q1868" i="4" s="1"/>
  <c r="O1868" i="4"/>
  <c r="N1868" i="4"/>
  <c r="M1868" i="4"/>
  <c r="L1868" i="4"/>
  <c r="K1868" i="4"/>
  <c r="J1868" i="4"/>
  <c r="P1867" i="4"/>
  <c r="Q1867" i="4" s="1"/>
  <c r="O1867" i="4"/>
  <c r="N1867" i="4"/>
  <c r="M1867" i="4"/>
  <c r="L1867" i="4"/>
  <c r="K1867" i="4"/>
  <c r="J1867" i="4"/>
  <c r="P1866" i="4"/>
  <c r="Q1866" i="4" s="1"/>
  <c r="O1866" i="4"/>
  <c r="N1866" i="4"/>
  <c r="M1866" i="4"/>
  <c r="L1866" i="4"/>
  <c r="K1866" i="4"/>
  <c r="J1866" i="4"/>
  <c r="P1865" i="4"/>
  <c r="Q1865" i="4" s="1"/>
  <c r="O1865" i="4"/>
  <c r="N1865" i="4"/>
  <c r="M1865" i="4"/>
  <c r="L1865" i="4"/>
  <c r="K1865" i="4"/>
  <c r="J1865" i="4"/>
  <c r="P1864" i="4"/>
  <c r="Q1864" i="4" s="1"/>
  <c r="O1864" i="4"/>
  <c r="N1864" i="4"/>
  <c r="M1864" i="4"/>
  <c r="L1864" i="4"/>
  <c r="K1864" i="4"/>
  <c r="J1864" i="4"/>
  <c r="P1863" i="4"/>
  <c r="Q1863" i="4" s="1"/>
  <c r="O1863" i="4"/>
  <c r="N1863" i="4"/>
  <c r="M1863" i="4"/>
  <c r="L1863" i="4"/>
  <c r="K1863" i="4"/>
  <c r="J1863" i="4"/>
  <c r="P1862" i="4"/>
  <c r="Q1862" i="4" s="1"/>
  <c r="O1862" i="4"/>
  <c r="N1862" i="4"/>
  <c r="M1862" i="4"/>
  <c r="L1862" i="4"/>
  <c r="K1862" i="4"/>
  <c r="J1862" i="4"/>
  <c r="P1861" i="4"/>
  <c r="Q1861" i="4" s="1"/>
  <c r="O1861" i="4"/>
  <c r="N1861" i="4"/>
  <c r="M1861" i="4"/>
  <c r="L1861" i="4"/>
  <c r="K1861" i="4"/>
  <c r="J1861" i="4"/>
  <c r="P1860" i="4"/>
  <c r="Q1860" i="4" s="1"/>
  <c r="O1860" i="4"/>
  <c r="N1860" i="4"/>
  <c r="M1860" i="4"/>
  <c r="L1860" i="4"/>
  <c r="K1860" i="4"/>
  <c r="J1860" i="4"/>
  <c r="P1859" i="4"/>
  <c r="Q1859" i="4" s="1"/>
  <c r="O1859" i="4"/>
  <c r="N1859" i="4"/>
  <c r="M1859" i="4"/>
  <c r="L1859" i="4"/>
  <c r="K1859" i="4"/>
  <c r="J1859" i="4"/>
  <c r="P1858" i="4"/>
  <c r="Q1858" i="4" s="1"/>
  <c r="O1858" i="4"/>
  <c r="N1858" i="4"/>
  <c r="M1858" i="4"/>
  <c r="L1858" i="4"/>
  <c r="K1858" i="4"/>
  <c r="J1858" i="4"/>
  <c r="P1857" i="4"/>
  <c r="Q1857" i="4" s="1"/>
  <c r="O1857" i="4"/>
  <c r="N1857" i="4"/>
  <c r="M1857" i="4"/>
  <c r="L1857" i="4"/>
  <c r="K1857" i="4"/>
  <c r="J1857" i="4"/>
  <c r="P1856" i="4"/>
  <c r="Q1856" i="4" s="1"/>
  <c r="O1856" i="4"/>
  <c r="N1856" i="4"/>
  <c r="M1856" i="4"/>
  <c r="L1856" i="4"/>
  <c r="K1856" i="4"/>
  <c r="J1856" i="4"/>
  <c r="P1855" i="4"/>
  <c r="Q1855" i="4" s="1"/>
  <c r="O1855" i="4"/>
  <c r="N1855" i="4"/>
  <c r="M1855" i="4"/>
  <c r="L1855" i="4"/>
  <c r="K1855" i="4"/>
  <c r="J1855" i="4"/>
  <c r="Q1854" i="4"/>
  <c r="P1854" i="4"/>
  <c r="O1854" i="4"/>
  <c r="N1854" i="4"/>
  <c r="M1854" i="4"/>
  <c r="L1854" i="4"/>
  <c r="K1854" i="4"/>
  <c r="J1854" i="4"/>
  <c r="P1853" i="4"/>
  <c r="Q1853" i="4" s="1"/>
  <c r="O1853" i="4"/>
  <c r="N1853" i="4"/>
  <c r="M1853" i="4"/>
  <c r="L1853" i="4"/>
  <c r="K1853" i="4"/>
  <c r="J1853" i="4"/>
  <c r="P1852" i="4"/>
  <c r="Q1852" i="4" s="1"/>
  <c r="O1852" i="4"/>
  <c r="N1852" i="4"/>
  <c r="M1852" i="4"/>
  <c r="L1852" i="4"/>
  <c r="K1852" i="4"/>
  <c r="J1852" i="4"/>
  <c r="P1851" i="4"/>
  <c r="Q1851" i="4" s="1"/>
  <c r="O1851" i="4"/>
  <c r="N1851" i="4"/>
  <c r="M1851" i="4"/>
  <c r="L1851" i="4"/>
  <c r="K1851" i="4"/>
  <c r="J1851" i="4"/>
  <c r="P1850" i="4"/>
  <c r="Q1850" i="4" s="1"/>
  <c r="O1850" i="4"/>
  <c r="N1850" i="4"/>
  <c r="M1850" i="4"/>
  <c r="L1850" i="4"/>
  <c r="K1850" i="4"/>
  <c r="J1850" i="4"/>
  <c r="P1849" i="4"/>
  <c r="Q1849" i="4" s="1"/>
  <c r="O1849" i="4"/>
  <c r="N1849" i="4"/>
  <c r="M1849" i="4"/>
  <c r="L1849" i="4"/>
  <c r="K1849" i="4"/>
  <c r="J1849" i="4"/>
  <c r="P1848" i="4"/>
  <c r="Q1848" i="4" s="1"/>
  <c r="O1848" i="4"/>
  <c r="N1848" i="4"/>
  <c r="M1848" i="4"/>
  <c r="L1848" i="4"/>
  <c r="K1848" i="4"/>
  <c r="J1848" i="4"/>
  <c r="P1847" i="4"/>
  <c r="Q1847" i="4" s="1"/>
  <c r="O1847" i="4"/>
  <c r="N1847" i="4"/>
  <c r="M1847" i="4"/>
  <c r="L1847" i="4"/>
  <c r="K1847" i="4"/>
  <c r="J1847" i="4"/>
  <c r="P1846" i="4"/>
  <c r="Q1846" i="4" s="1"/>
  <c r="O1846" i="4"/>
  <c r="N1846" i="4"/>
  <c r="M1846" i="4"/>
  <c r="L1846" i="4"/>
  <c r="K1846" i="4"/>
  <c r="J1846" i="4"/>
  <c r="Q1845" i="4"/>
  <c r="P1845" i="4"/>
  <c r="O1845" i="4"/>
  <c r="N1845" i="4"/>
  <c r="M1845" i="4"/>
  <c r="L1845" i="4"/>
  <c r="K1845" i="4"/>
  <c r="J1845" i="4"/>
  <c r="P1844" i="4"/>
  <c r="Q1844" i="4" s="1"/>
  <c r="O1844" i="4"/>
  <c r="N1844" i="4"/>
  <c r="M1844" i="4"/>
  <c r="L1844" i="4"/>
  <c r="K1844" i="4"/>
  <c r="J1844" i="4"/>
  <c r="P1843" i="4"/>
  <c r="Q1843" i="4" s="1"/>
  <c r="O1843" i="4"/>
  <c r="N1843" i="4"/>
  <c r="M1843" i="4"/>
  <c r="L1843" i="4"/>
  <c r="K1843" i="4"/>
  <c r="J1843" i="4"/>
  <c r="P1842" i="4"/>
  <c r="Q1842" i="4" s="1"/>
  <c r="O1842" i="4"/>
  <c r="N1842" i="4"/>
  <c r="M1842" i="4"/>
  <c r="L1842" i="4"/>
  <c r="K1842" i="4"/>
  <c r="J1842" i="4"/>
  <c r="P1841" i="4"/>
  <c r="Q1841" i="4" s="1"/>
  <c r="O1841" i="4"/>
  <c r="N1841" i="4"/>
  <c r="M1841" i="4"/>
  <c r="L1841" i="4"/>
  <c r="K1841" i="4"/>
  <c r="J1841" i="4"/>
  <c r="P1840" i="4"/>
  <c r="Q1840" i="4" s="1"/>
  <c r="O1840" i="4"/>
  <c r="N1840" i="4"/>
  <c r="M1840" i="4"/>
  <c r="L1840" i="4"/>
  <c r="K1840" i="4"/>
  <c r="J1840" i="4"/>
  <c r="P1839" i="4"/>
  <c r="Q1839" i="4" s="1"/>
  <c r="O1839" i="4"/>
  <c r="N1839" i="4"/>
  <c r="M1839" i="4"/>
  <c r="L1839" i="4"/>
  <c r="K1839" i="4"/>
  <c r="J1839" i="4"/>
  <c r="P1838" i="4"/>
  <c r="Q1838" i="4" s="1"/>
  <c r="O1838" i="4"/>
  <c r="N1838" i="4"/>
  <c r="M1838" i="4"/>
  <c r="L1838" i="4"/>
  <c r="K1838" i="4"/>
  <c r="J1838" i="4"/>
  <c r="P1837" i="4"/>
  <c r="Q1837" i="4" s="1"/>
  <c r="O1837" i="4"/>
  <c r="N1837" i="4"/>
  <c r="M1837" i="4"/>
  <c r="L1837" i="4"/>
  <c r="K1837" i="4"/>
  <c r="J1837" i="4"/>
  <c r="P1836" i="4"/>
  <c r="Q1836" i="4" s="1"/>
  <c r="O1836" i="4"/>
  <c r="N1836" i="4"/>
  <c r="M1836" i="4"/>
  <c r="L1836" i="4"/>
  <c r="K1836" i="4"/>
  <c r="J1836" i="4"/>
  <c r="P1835" i="4"/>
  <c r="Q1835" i="4" s="1"/>
  <c r="O1835" i="4"/>
  <c r="N1835" i="4"/>
  <c r="M1835" i="4"/>
  <c r="L1835" i="4"/>
  <c r="K1835" i="4"/>
  <c r="J1835" i="4"/>
  <c r="P1834" i="4"/>
  <c r="Q1834" i="4" s="1"/>
  <c r="O1834" i="4"/>
  <c r="N1834" i="4"/>
  <c r="M1834" i="4"/>
  <c r="L1834" i="4"/>
  <c r="K1834" i="4"/>
  <c r="J1834" i="4"/>
  <c r="P1833" i="4"/>
  <c r="Q1833" i="4" s="1"/>
  <c r="O1833" i="4"/>
  <c r="N1833" i="4"/>
  <c r="M1833" i="4"/>
  <c r="L1833" i="4"/>
  <c r="K1833" i="4"/>
  <c r="J1833" i="4"/>
  <c r="P1832" i="4"/>
  <c r="Q1832" i="4" s="1"/>
  <c r="O1832" i="4"/>
  <c r="N1832" i="4"/>
  <c r="M1832" i="4"/>
  <c r="L1832" i="4"/>
  <c r="K1832" i="4"/>
  <c r="J1832" i="4"/>
  <c r="P1831" i="4"/>
  <c r="Q1831" i="4" s="1"/>
  <c r="O1831" i="4"/>
  <c r="N1831" i="4"/>
  <c r="M1831" i="4"/>
  <c r="L1831" i="4"/>
  <c r="K1831" i="4"/>
  <c r="J1831" i="4"/>
  <c r="Q1830" i="4"/>
  <c r="P1830" i="4"/>
  <c r="O1830" i="4"/>
  <c r="N1830" i="4"/>
  <c r="M1830" i="4"/>
  <c r="L1830" i="4"/>
  <c r="K1830" i="4"/>
  <c r="J1830" i="4"/>
  <c r="P1829" i="4"/>
  <c r="Q1829" i="4" s="1"/>
  <c r="O1829" i="4"/>
  <c r="N1829" i="4"/>
  <c r="M1829" i="4"/>
  <c r="L1829" i="4"/>
  <c r="K1829" i="4"/>
  <c r="J1829" i="4"/>
  <c r="P1828" i="4"/>
  <c r="Q1828" i="4" s="1"/>
  <c r="O1828" i="4"/>
  <c r="N1828" i="4"/>
  <c r="M1828" i="4"/>
  <c r="L1828" i="4"/>
  <c r="K1828" i="4"/>
  <c r="J1828" i="4"/>
  <c r="P1827" i="4"/>
  <c r="Q1827" i="4" s="1"/>
  <c r="O1827" i="4"/>
  <c r="N1827" i="4"/>
  <c r="M1827" i="4"/>
  <c r="L1827" i="4"/>
  <c r="K1827" i="4"/>
  <c r="J1827" i="4"/>
  <c r="P1826" i="4"/>
  <c r="Q1826" i="4" s="1"/>
  <c r="O1826" i="4"/>
  <c r="N1826" i="4"/>
  <c r="M1826" i="4"/>
  <c r="L1826" i="4"/>
  <c r="K1826" i="4"/>
  <c r="J1826" i="4"/>
  <c r="P1825" i="4"/>
  <c r="Q1825" i="4" s="1"/>
  <c r="O1825" i="4"/>
  <c r="N1825" i="4"/>
  <c r="M1825" i="4"/>
  <c r="L1825" i="4"/>
  <c r="K1825" i="4"/>
  <c r="J1825" i="4"/>
  <c r="P1824" i="4"/>
  <c r="Q1824" i="4" s="1"/>
  <c r="O1824" i="4"/>
  <c r="N1824" i="4"/>
  <c r="M1824" i="4"/>
  <c r="L1824" i="4"/>
  <c r="K1824" i="4"/>
  <c r="J1824" i="4"/>
  <c r="P1823" i="4"/>
  <c r="Q1823" i="4" s="1"/>
  <c r="O1823" i="4"/>
  <c r="N1823" i="4"/>
  <c r="M1823" i="4"/>
  <c r="L1823" i="4"/>
  <c r="K1823" i="4"/>
  <c r="J1823" i="4"/>
  <c r="P1822" i="4"/>
  <c r="Q1822" i="4" s="1"/>
  <c r="O1822" i="4"/>
  <c r="N1822" i="4"/>
  <c r="M1822" i="4"/>
  <c r="L1822" i="4"/>
  <c r="K1822" i="4"/>
  <c r="J1822" i="4"/>
  <c r="Q1821" i="4"/>
  <c r="P1821" i="4"/>
  <c r="O1821" i="4"/>
  <c r="N1821" i="4"/>
  <c r="M1821" i="4"/>
  <c r="L1821" i="4"/>
  <c r="K1821" i="4"/>
  <c r="J1821" i="4"/>
  <c r="P1820" i="4"/>
  <c r="Q1820" i="4" s="1"/>
  <c r="O1820" i="4"/>
  <c r="N1820" i="4"/>
  <c r="M1820" i="4"/>
  <c r="L1820" i="4"/>
  <c r="K1820" i="4"/>
  <c r="J1820" i="4"/>
  <c r="P1819" i="4"/>
  <c r="Q1819" i="4" s="1"/>
  <c r="O1819" i="4"/>
  <c r="N1819" i="4"/>
  <c r="M1819" i="4"/>
  <c r="L1819" i="4"/>
  <c r="K1819" i="4"/>
  <c r="J1819" i="4"/>
  <c r="P1818" i="4"/>
  <c r="Q1818" i="4" s="1"/>
  <c r="O1818" i="4"/>
  <c r="N1818" i="4"/>
  <c r="M1818" i="4"/>
  <c r="L1818" i="4"/>
  <c r="K1818" i="4"/>
  <c r="J1818" i="4"/>
  <c r="P1817" i="4"/>
  <c r="Q1817" i="4" s="1"/>
  <c r="O1817" i="4"/>
  <c r="N1817" i="4"/>
  <c r="M1817" i="4"/>
  <c r="L1817" i="4"/>
  <c r="K1817" i="4"/>
  <c r="J1817" i="4"/>
  <c r="P1816" i="4"/>
  <c r="Q1816" i="4" s="1"/>
  <c r="O1816" i="4"/>
  <c r="N1816" i="4"/>
  <c r="M1816" i="4"/>
  <c r="L1816" i="4"/>
  <c r="K1816" i="4"/>
  <c r="J1816" i="4"/>
  <c r="P1815" i="4"/>
  <c r="Q1815" i="4" s="1"/>
  <c r="O1815" i="4"/>
  <c r="N1815" i="4"/>
  <c r="M1815" i="4"/>
  <c r="L1815" i="4"/>
  <c r="K1815" i="4"/>
  <c r="J1815" i="4"/>
  <c r="P1814" i="4"/>
  <c r="Q1814" i="4" s="1"/>
  <c r="O1814" i="4"/>
  <c r="N1814" i="4"/>
  <c r="M1814" i="4"/>
  <c r="L1814" i="4"/>
  <c r="K1814" i="4"/>
  <c r="J1814" i="4"/>
  <c r="P1813" i="4"/>
  <c r="Q1813" i="4" s="1"/>
  <c r="O1813" i="4"/>
  <c r="N1813" i="4"/>
  <c r="M1813" i="4"/>
  <c r="L1813" i="4"/>
  <c r="K1813" i="4"/>
  <c r="J1813" i="4"/>
  <c r="P1812" i="4"/>
  <c r="Q1812" i="4" s="1"/>
  <c r="O1812" i="4"/>
  <c r="N1812" i="4"/>
  <c r="M1812" i="4"/>
  <c r="L1812" i="4"/>
  <c r="K1812" i="4"/>
  <c r="J1812" i="4"/>
  <c r="P1811" i="4"/>
  <c r="Q1811" i="4" s="1"/>
  <c r="O1811" i="4"/>
  <c r="N1811" i="4"/>
  <c r="M1811" i="4"/>
  <c r="L1811" i="4"/>
  <c r="K1811" i="4"/>
  <c r="J1811" i="4"/>
  <c r="P1810" i="4"/>
  <c r="Q1810" i="4" s="1"/>
  <c r="O1810" i="4"/>
  <c r="N1810" i="4"/>
  <c r="M1810" i="4"/>
  <c r="L1810" i="4"/>
  <c r="K1810" i="4"/>
  <c r="J1810" i="4"/>
  <c r="P1809" i="4"/>
  <c r="Q1809" i="4" s="1"/>
  <c r="O1809" i="4"/>
  <c r="N1809" i="4"/>
  <c r="M1809" i="4"/>
  <c r="L1809" i="4"/>
  <c r="K1809" i="4"/>
  <c r="J1809" i="4"/>
  <c r="P1808" i="4"/>
  <c r="Q1808" i="4" s="1"/>
  <c r="O1808" i="4"/>
  <c r="N1808" i="4"/>
  <c r="M1808" i="4"/>
  <c r="L1808" i="4"/>
  <c r="K1808" i="4"/>
  <c r="J1808" i="4"/>
  <c r="P1807" i="4"/>
  <c r="Q1807" i="4" s="1"/>
  <c r="O1807" i="4"/>
  <c r="N1807" i="4"/>
  <c r="M1807" i="4"/>
  <c r="L1807" i="4"/>
  <c r="K1807" i="4"/>
  <c r="J1807" i="4"/>
  <c r="P1806" i="4"/>
  <c r="Q1806" i="4" s="1"/>
  <c r="O1806" i="4"/>
  <c r="N1806" i="4"/>
  <c r="M1806" i="4"/>
  <c r="L1806" i="4"/>
  <c r="K1806" i="4"/>
  <c r="J1806" i="4"/>
  <c r="P1805" i="4"/>
  <c r="Q1805" i="4" s="1"/>
  <c r="O1805" i="4"/>
  <c r="N1805" i="4"/>
  <c r="M1805" i="4"/>
  <c r="L1805" i="4"/>
  <c r="K1805" i="4"/>
  <c r="J1805" i="4"/>
  <c r="P1804" i="4"/>
  <c r="Q1804" i="4" s="1"/>
  <c r="O1804" i="4"/>
  <c r="N1804" i="4"/>
  <c r="M1804" i="4"/>
  <c r="L1804" i="4"/>
  <c r="K1804" i="4"/>
  <c r="J1804" i="4"/>
  <c r="P1803" i="4"/>
  <c r="Q1803" i="4" s="1"/>
  <c r="O1803" i="4"/>
  <c r="N1803" i="4"/>
  <c r="M1803" i="4"/>
  <c r="L1803" i="4"/>
  <c r="K1803" i="4"/>
  <c r="J1803" i="4"/>
  <c r="P1802" i="4"/>
  <c r="Q1802" i="4" s="1"/>
  <c r="O1802" i="4"/>
  <c r="N1802" i="4"/>
  <c r="M1802" i="4"/>
  <c r="L1802" i="4"/>
  <c r="K1802" i="4"/>
  <c r="J1802" i="4"/>
  <c r="P1801" i="4"/>
  <c r="Q1801" i="4" s="1"/>
  <c r="O1801" i="4"/>
  <c r="N1801" i="4"/>
  <c r="M1801" i="4"/>
  <c r="L1801" i="4"/>
  <c r="K1801" i="4"/>
  <c r="J1801" i="4"/>
  <c r="P1800" i="4"/>
  <c r="Q1800" i="4" s="1"/>
  <c r="O1800" i="4"/>
  <c r="N1800" i="4"/>
  <c r="M1800" i="4"/>
  <c r="L1800" i="4"/>
  <c r="K1800" i="4"/>
  <c r="J1800" i="4"/>
  <c r="P1799" i="4"/>
  <c r="Q1799" i="4" s="1"/>
  <c r="O1799" i="4"/>
  <c r="N1799" i="4"/>
  <c r="M1799" i="4"/>
  <c r="L1799" i="4"/>
  <c r="K1799" i="4"/>
  <c r="J1799" i="4"/>
  <c r="P1798" i="4"/>
  <c r="Q1798" i="4" s="1"/>
  <c r="O1798" i="4"/>
  <c r="N1798" i="4"/>
  <c r="M1798" i="4"/>
  <c r="L1798" i="4"/>
  <c r="K1798" i="4"/>
  <c r="J1798" i="4"/>
  <c r="P1797" i="4"/>
  <c r="Q1797" i="4" s="1"/>
  <c r="O1797" i="4"/>
  <c r="N1797" i="4"/>
  <c r="M1797" i="4"/>
  <c r="L1797" i="4"/>
  <c r="K1797" i="4"/>
  <c r="J1797" i="4"/>
  <c r="P1796" i="4"/>
  <c r="Q1796" i="4" s="1"/>
  <c r="O1796" i="4"/>
  <c r="N1796" i="4"/>
  <c r="M1796" i="4"/>
  <c r="L1796" i="4"/>
  <c r="K1796" i="4"/>
  <c r="J1796" i="4"/>
  <c r="Q1795" i="4"/>
  <c r="P1795" i="4"/>
  <c r="O1795" i="4"/>
  <c r="N1795" i="4"/>
  <c r="M1795" i="4"/>
  <c r="L1795" i="4"/>
  <c r="K1795" i="4"/>
  <c r="J1795" i="4"/>
  <c r="P1794" i="4"/>
  <c r="Q1794" i="4" s="1"/>
  <c r="O1794" i="4"/>
  <c r="N1794" i="4"/>
  <c r="M1794" i="4"/>
  <c r="L1794" i="4"/>
  <c r="K1794" i="4"/>
  <c r="J1794" i="4"/>
  <c r="P1793" i="4"/>
  <c r="Q1793" i="4" s="1"/>
  <c r="O1793" i="4"/>
  <c r="N1793" i="4"/>
  <c r="M1793" i="4"/>
  <c r="L1793" i="4"/>
  <c r="K1793" i="4"/>
  <c r="J1793" i="4"/>
  <c r="P1792" i="4"/>
  <c r="Q1792" i="4" s="1"/>
  <c r="O1792" i="4"/>
  <c r="N1792" i="4"/>
  <c r="M1792" i="4"/>
  <c r="L1792" i="4"/>
  <c r="K1792" i="4"/>
  <c r="J1792" i="4"/>
  <c r="P1791" i="4"/>
  <c r="Q1791" i="4" s="1"/>
  <c r="O1791" i="4"/>
  <c r="N1791" i="4"/>
  <c r="M1791" i="4"/>
  <c r="L1791" i="4"/>
  <c r="K1791" i="4"/>
  <c r="J1791" i="4"/>
  <c r="P1790" i="4"/>
  <c r="Q1790" i="4" s="1"/>
  <c r="O1790" i="4"/>
  <c r="N1790" i="4"/>
  <c r="M1790" i="4"/>
  <c r="L1790" i="4"/>
  <c r="K1790" i="4"/>
  <c r="J1790" i="4"/>
  <c r="P1789" i="4"/>
  <c r="Q1789" i="4" s="1"/>
  <c r="O1789" i="4"/>
  <c r="N1789" i="4"/>
  <c r="M1789" i="4"/>
  <c r="L1789" i="4"/>
  <c r="K1789" i="4"/>
  <c r="J1789" i="4"/>
  <c r="P1788" i="4"/>
  <c r="Q1788" i="4" s="1"/>
  <c r="O1788" i="4"/>
  <c r="N1788" i="4"/>
  <c r="M1788" i="4"/>
  <c r="L1788" i="4"/>
  <c r="K1788" i="4"/>
  <c r="J1788" i="4"/>
  <c r="P1787" i="4"/>
  <c r="Q1787" i="4" s="1"/>
  <c r="O1787" i="4"/>
  <c r="N1787" i="4"/>
  <c r="M1787" i="4"/>
  <c r="L1787" i="4"/>
  <c r="K1787" i="4"/>
  <c r="J1787" i="4"/>
  <c r="P1786" i="4"/>
  <c r="Q1786" i="4" s="1"/>
  <c r="O1786" i="4"/>
  <c r="N1786" i="4"/>
  <c r="M1786" i="4"/>
  <c r="L1786" i="4"/>
  <c r="K1786" i="4"/>
  <c r="J1786" i="4"/>
  <c r="P1785" i="4"/>
  <c r="Q1785" i="4" s="1"/>
  <c r="O1785" i="4"/>
  <c r="N1785" i="4"/>
  <c r="M1785" i="4"/>
  <c r="L1785" i="4"/>
  <c r="K1785" i="4"/>
  <c r="J1785" i="4"/>
  <c r="P1784" i="4"/>
  <c r="Q1784" i="4" s="1"/>
  <c r="O1784" i="4"/>
  <c r="N1784" i="4"/>
  <c r="M1784" i="4"/>
  <c r="L1784" i="4"/>
  <c r="K1784" i="4"/>
  <c r="J1784" i="4"/>
  <c r="P1783" i="4"/>
  <c r="Q1783" i="4" s="1"/>
  <c r="O1783" i="4"/>
  <c r="N1783" i="4"/>
  <c r="M1783" i="4"/>
  <c r="L1783" i="4"/>
  <c r="K1783" i="4"/>
  <c r="J1783" i="4"/>
  <c r="P1782" i="4"/>
  <c r="Q1782" i="4" s="1"/>
  <c r="O1782" i="4"/>
  <c r="N1782" i="4"/>
  <c r="M1782" i="4"/>
  <c r="L1782" i="4"/>
  <c r="K1782" i="4"/>
  <c r="J1782" i="4"/>
  <c r="P1781" i="4"/>
  <c r="Q1781" i="4" s="1"/>
  <c r="O1781" i="4"/>
  <c r="N1781" i="4"/>
  <c r="M1781" i="4"/>
  <c r="L1781" i="4"/>
  <c r="K1781" i="4"/>
  <c r="J1781" i="4"/>
  <c r="P1780" i="4"/>
  <c r="Q1780" i="4" s="1"/>
  <c r="O1780" i="4"/>
  <c r="N1780" i="4"/>
  <c r="M1780" i="4"/>
  <c r="L1780" i="4"/>
  <c r="K1780" i="4"/>
  <c r="J1780" i="4"/>
  <c r="P1779" i="4"/>
  <c r="Q1779" i="4" s="1"/>
  <c r="O1779" i="4"/>
  <c r="N1779" i="4"/>
  <c r="M1779" i="4"/>
  <c r="L1779" i="4"/>
  <c r="K1779" i="4"/>
  <c r="J1779" i="4"/>
  <c r="P1778" i="4"/>
  <c r="Q1778" i="4" s="1"/>
  <c r="O1778" i="4"/>
  <c r="N1778" i="4"/>
  <c r="M1778" i="4"/>
  <c r="L1778" i="4"/>
  <c r="K1778" i="4"/>
  <c r="J1778" i="4"/>
  <c r="P1777" i="4"/>
  <c r="Q1777" i="4" s="1"/>
  <c r="O1777" i="4"/>
  <c r="N1777" i="4"/>
  <c r="M1777" i="4"/>
  <c r="L1777" i="4"/>
  <c r="K1777" i="4"/>
  <c r="J1777" i="4"/>
  <c r="Q1776" i="4"/>
  <c r="P1776" i="4"/>
  <c r="O1776" i="4"/>
  <c r="N1776" i="4"/>
  <c r="M1776" i="4"/>
  <c r="L1776" i="4"/>
  <c r="K1776" i="4"/>
  <c r="J1776" i="4"/>
  <c r="P1775" i="4"/>
  <c r="Q1775" i="4" s="1"/>
  <c r="O1775" i="4"/>
  <c r="N1775" i="4"/>
  <c r="M1775" i="4"/>
  <c r="L1775" i="4"/>
  <c r="K1775" i="4"/>
  <c r="J1775" i="4"/>
  <c r="P1774" i="4"/>
  <c r="Q1774" i="4" s="1"/>
  <c r="O1774" i="4"/>
  <c r="N1774" i="4"/>
  <c r="M1774" i="4"/>
  <c r="L1774" i="4"/>
  <c r="K1774" i="4"/>
  <c r="J1774" i="4"/>
  <c r="P1773" i="4"/>
  <c r="Q1773" i="4" s="1"/>
  <c r="O1773" i="4"/>
  <c r="N1773" i="4"/>
  <c r="M1773" i="4"/>
  <c r="L1773" i="4"/>
  <c r="K1773" i="4"/>
  <c r="J1773" i="4"/>
  <c r="P1772" i="4"/>
  <c r="Q1772" i="4" s="1"/>
  <c r="O1772" i="4"/>
  <c r="N1772" i="4"/>
  <c r="M1772" i="4"/>
  <c r="L1772" i="4"/>
  <c r="K1772" i="4"/>
  <c r="J1772" i="4"/>
  <c r="P1771" i="4"/>
  <c r="Q1771" i="4" s="1"/>
  <c r="O1771" i="4"/>
  <c r="N1771" i="4"/>
  <c r="M1771" i="4"/>
  <c r="L1771" i="4"/>
  <c r="K1771" i="4"/>
  <c r="J1771" i="4"/>
  <c r="P1770" i="4"/>
  <c r="Q1770" i="4" s="1"/>
  <c r="O1770" i="4"/>
  <c r="N1770" i="4"/>
  <c r="M1770" i="4"/>
  <c r="L1770" i="4"/>
  <c r="K1770" i="4"/>
  <c r="J1770" i="4"/>
  <c r="P1769" i="4"/>
  <c r="Q1769" i="4" s="1"/>
  <c r="O1769" i="4"/>
  <c r="N1769" i="4"/>
  <c r="M1769" i="4"/>
  <c r="L1769" i="4"/>
  <c r="K1769" i="4"/>
  <c r="J1769" i="4"/>
  <c r="P1768" i="4"/>
  <c r="Q1768" i="4" s="1"/>
  <c r="O1768" i="4"/>
  <c r="N1768" i="4"/>
  <c r="M1768" i="4"/>
  <c r="L1768" i="4"/>
  <c r="K1768" i="4"/>
  <c r="J1768" i="4"/>
  <c r="P1767" i="4"/>
  <c r="Q1767" i="4" s="1"/>
  <c r="O1767" i="4"/>
  <c r="N1767" i="4"/>
  <c r="M1767" i="4"/>
  <c r="L1767" i="4"/>
  <c r="K1767" i="4"/>
  <c r="J1767" i="4"/>
  <c r="P1766" i="4"/>
  <c r="Q1766" i="4" s="1"/>
  <c r="O1766" i="4"/>
  <c r="N1766" i="4"/>
  <c r="M1766" i="4"/>
  <c r="L1766" i="4"/>
  <c r="K1766" i="4"/>
  <c r="J1766" i="4"/>
  <c r="P1765" i="4"/>
  <c r="Q1765" i="4" s="1"/>
  <c r="O1765" i="4"/>
  <c r="N1765" i="4"/>
  <c r="M1765" i="4"/>
  <c r="L1765" i="4"/>
  <c r="K1765" i="4"/>
  <c r="J1765" i="4"/>
  <c r="P1764" i="4"/>
  <c r="Q1764" i="4" s="1"/>
  <c r="O1764" i="4"/>
  <c r="N1764" i="4"/>
  <c r="M1764" i="4"/>
  <c r="L1764" i="4"/>
  <c r="K1764" i="4"/>
  <c r="J1764" i="4"/>
  <c r="P1763" i="4"/>
  <c r="Q1763" i="4" s="1"/>
  <c r="O1763" i="4"/>
  <c r="N1763" i="4"/>
  <c r="M1763" i="4"/>
  <c r="L1763" i="4"/>
  <c r="K1763" i="4"/>
  <c r="J1763" i="4"/>
  <c r="P1762" i="4"/>
  <c r="Q1762" i="4" s="1"/>
  <c r="O1762" i="4"/>
  <c r="N1762" i="4"/>
  <c r="M1762" i="4"/>
  <c r="L1762" i="4"/>
  <c r="K1762" i="4"/>
  <c r="J1762" i="4"/>
  <c r="P1761" i="4"/>
  <c r="Q1761" i="4" s="1"/>
  <c r="O1761" i="4"/>
  <c r="N1761" i="4"/>
  <c r="M1761" i="4"/>
  <c r="L1761" i="4"/>
  <c r="K1761" i="4"/>
  <c r="J1761" i="4"/>
  <c r="P1760" i="4"/>
  <c r="Q1760" i="4" s="1"/>
  <c r="O1760" i="4"/>
  <c r="N1760" i="4"/>
  <c r="M1760" i="4"/>
  <c r="L1760" i="4"/>
  <c r="K1760" i="4"/>
  <c r="J1760" i="4"/>
  <c r="P1759" i="4"/>
  <c r="Q1759" i="4" s="1"/>
  <c r="O1759" i="4"/>
  <c r="N1759" i="4"/>
  <c r="M1759" i="4"/>
  <c r="L1759" i="4"/>
  <c r="K1759" i="4"/>
  <c r="J1759" i="4"/>
  <c r="P1758" i="4"/>
  <c r="Q1758" i="4" s="1"/>
  <c r="O1758" i="4"/>
  <c r="N1758" i="4"/>
  <c r="M1758" i="4"/>
  <c r="L1758" i="4"/>
  <c r="K1758" i="4"/>
  <c r="J1758" i="4"/>
  <c r="P1757" i="4"/>
  <c r="Q1757" i="4" s="1"/>
  <c r="O1757" i="4"/>
  <c r="N1757" i="4"/>
  <c r="M1757" i="4"/>
  <c r="L1757" i="4"/>
  <c r="K1757" i="4"/>
  <c r="J1757" i="4"/>
  <c r="P1756" i="4"/>
  <c r="Q1756" i="4" s="1"/>
  <c r="O1756" i="4"/>
  <c r="N1756" i="4"/>
  <c r="M1756" i="4"/>
  <c r="L1756" i="4"/>
  <c r="K1756" i="4"/>
  <c r="J1756" i="4"/>
  <c r="P1755" i="4"/>
  <c r="Q1755" i="4" s="1"/>
  <c r="O1755" i="4"/>
  <c r="N1755" i="4"/>
  <c r="M1755" i="4"/>
  <c r="L1755" i="4"/>
  <c r="K1755" i="4"/>
  <c r="J1755" i="4"/>
  <c r="P1754" i="4"/>
  <c r="Q1754" i="4" s="1"/>
  <c r="O1754" i="4"/>
  <c r="N1754" i="4"/>
  <c r="M1754" i="4"/>
  <c r="L1754" i="4"/>
  <c r="K1754" i="4"/>
  <c r="J1754" i="4"/>
  <c r="P1753" i="4"/>
  <c r="Q1753" i="4" s="1"/>
  <c r="O1753" i="4"/>
  <c r="N1753" i="4"/>
  <c r="M1753" i="4"/>
  <c r="L1753" i="4"/>
  <c r="K1753" i="4"/>
  <c r="J1753" i="4"/>
  <c r="P1752" i="4"/>
  <c r="Q1752" i="4" s="1"/>
  <c r="O1752" i="4"/>
  <c r="N1752" i="4"/>
  <c r="M1752" i="4"/>
  <c r="L1752" i="4"/>
  <c r="K1752" i="4"/>
  <c r="J1752" i="4"/>
  <c r="P1751" i="4"/>
  <c r="Q1751" i="4" s="1"/>
  <c r="O1751" i="4"/>
  <c r="N1751" i="4"/>
  <c r="M1751" i="4"/>
  <c r="L1751" i="4"/>
  <c r="K1751" i="4"/>
  <c r="J1751" i="4"/>
  <c r="P1750" i="4"/>
  <c r="Q1750" i="4" s="1"/>
  <c r="O1750" i="4"/>
  <c r="N1750" i="4"/>
  <c r="M1750" i="4"/>
  <c r="L1750" i="4"/>
  <c r="K1750" i="4"/>
  <c r="J1750" i="4"/>
  <c r="P1749" i="4"/>
  <c r="Q1749" i="4" s="1"/>
  <c r="O1749" i="4"/>
  <c r="N1749" i="4"/>
  <c r="M1749" i="4"/>
  <c r="L1749" i="4"/>
  <c r="K1749" i="4"/>
  <c r="J1749" i="4"/>
  <c r="P1748" i="4"/>
  <c r="Q1748" i="4" s="1"/>
  <c r="O1748" i="4"/>
  <c r="N1748" i="4"/>
  <c r="M1748" i="4"/>
  <c r="L1748" i="4"/>
  <c r="K1748" i="4"/>
  <c r="J1748" i="4"/>
  <c r="P1747" i="4"/>
  <c r="Q1747" i="4" s="1"/>
  <c r="O1747" i="4"/>
  <c r="N1747" i="4"/>
  <c r="M1747" i="4"/>
  <c r="L1747" i="4"/>
  <c r="K1747" i="4"/>
  <c r="J1747" i="4"/>
  <c r="P1746" i="4"/>
  <c r="Q1746" i="4" s="1"/>
  <c r="O1746" i="4"/>
  <c r="N1746" i="4"/>
  <c r="M1746" i="4"/>
  <c r="L1746" i="4"/>
  <c r="K1746" i="4"/>
  <c r="J1746" i="4"/>
  <c r="P1745" i="4"/>
  <c r="Q1745" i="4" s="1"/>
  <c r="O1745" i="4"/>
  <c r="N1745" i="4"/>
  <c r="M1745" i="4"/>
  <c r="L1745" i="4"/>
  <c r="K1745" i="4"/>
  <c r="J1745" i="4"/>
  <c r="P1744" i="4"/>
  <c r="Q1744" i="4" s="1"/>
  <c r="O1744" i="4"/>
  <c r="N1744" i="4"/>
  <c r="M1744" i="4"/>
  <c r="L1744" i="4"/>
  <c r="K1744" i="4"/>
  <c r="J1744" i="4"/>
  <c r="P1743" i="4"/>
  <c r="Q1743" i="4" s="1"/>
  <c r="O1743" i="4"/>
  <c r="N1743" i="4"/>
  <c r="M1743" i="4"/>
  <c r="L1743" i="4"/>
  <c r="K1743" i="4"/>
  <c r="J1743" i="4"/>
  <c r="P1742" i="4"/>
  <c r="Q1742" i="4" s="1"/>
  <c r="O1742" i="4"/>
  <c r="N1742" i="4"/>
  <c r="M1742" i="4"/>
  <c r="L1742" i="4"/>
  <c r="K1742" i="4"/>
  <c r="J1742" i="4"/>
  <c r="P1741" i="4"/>
  <c r="Q1741" i="4" s="1"/>
  <c r="O1741" i="4"/>
  <c r="N1741" i="4"/>
  <c r="M1741" i="4"/>
  <c r="L1741" i="4"/>
  <c r="K1741" i="4"/>
  <c r="J1741" i="4"/>
  <c r="P1740" i="4"/>
  <c r="Q1740" i="4" s="1"/>
  <c r="O1740" i="4"/>
  <c r="N1740" i="4"/>
  <c r="M1740" i="4"/>
  <c r="L1740" i="4"/>
  <c r="K1740" i="4"/>
  <c r="J1740" i="4"/>
  <c r="P1739" i="4"/>
  <c r="Q1739" i="4" s="1"/>
  <c r="O1739" i="4"/>
  <c r="N1739" i="4"/>
  <c r="M1739" i="4"/>
  <c r="L1739" i="4"/>
  <c r="K1739" i="4"/>
  <c r="J1739" i="4"/>
  <c r="P1738" i="4"/>
  <c r="Q1738" i="4" s="1"/>
  <c r="O1738" i="4"/>
  <c r="N1738" i="4"/>
  <c r="M1738" i="4"/>
  <c r="L1738" i="4"/>
  <c r="K1738" i="4"/>
  <c r="J1738" i="4"/>
  <c r="P1737" i="4"/>
  <c r="Q1737" i="4" s="1"/>
  <c r="O1737" i="4"/>
  <c r="N1737" i="4"/>
  <c r="M1737" i="4"/>
  <c r="L1737" i="4"/>
  <c r="K1737" i="4"/>
  <c r="J1737" i="4"/>
  <c r="P1736" i="4"/>
  <c r="Q1736" i="4" s="1"/>
  <c r="O1736" i="4"/>
  <c r="N1736" i="4"/>
  <c r="M1736" i="4"/>
  <c r="L1736" i="4"/>
  <c r="K1736" i="4"/>
  <c r="J1736" i="4"/>
  <c r="P1735" i="4"/>
  <c r="Q1735" i="4" s="1"/>
  <c r="O1735" i="4"/>
  <c r="N1735" i="4"/>
  <c r="M1735" i="4"/>
  <c r="L1735" i="4"/>
  <c r="K1735" i="4"/>
  <c r="J1735" i="4"/>
  <c r="P1734" i="4"/>
  <c r="Q1734" i="4" s="1"/>
  <c r="O1734" i="4"/>
  <c r="N1734" i="4"/>
  <c r="M1734" i="4"/>
  <c r="L1734" i="4"/>
  <c r="K1734" i="4"/>
  <c r="J1734" i="4"/>
  <c r="P1733" i="4"/>
  <c r="Q1733" i="4" s="1"/>
  <c r="O1733" i="4"/>
  <c r="N1733" i="4"/>
  <c r="M1733" i="4"/>
  <c r="L1733" i="4"/>
  <c r="K1733" i="4"/>
  <c r="J1733" i="4"/>
  <c r="P1732" i="4"/>
  <c r="Q1732" i="4" s="1"/>
  <c r="O1732" i="4"/>
  <c r="N1732" i="4"/>
  <c r="M1732" i="4"/>
  <c r="L1732" i="4"/>
  <c r="K1732" i="4"/>
  <c r="J1732" i="4"/>
  <c r="P1731" i="4"/>
  <c r="Q1731" i="4" s="1"/>
  <c r="O1731" i="4"/>
  <c r="N1731" i="4"/>
  <c r="M1731" i="4"/>
  <c r="L1731" i="4"/>
  <c r="K1731" i="4"/>
  <c r="J1731" i="4"/>
  <c r="P1730" i="4"/>
  <c r="Q1730" i="4" s="1"/>
  <c r="O1730" i="4"/>
  <c r="N1730" i="4"/>
  <c r="M1730" i="4"/>
  <c r="L1730" i="4"/>
  <c r="K1730" i="4"/>
  <c r="J1730" i="4"/>
  <c r="P1729" i="4"/>
  <c r="Q1729" i="4" s="1"/>
  <c r="O1729" i="4"/>
  <c r="N1729" i="4"/>
  <c r="M1729" i="4"/>
  <c r="L1729" i="4"/>
  <c r="K1729" i="4"/>
  <c r="J1729" i="4"/>
  <c r="P1728" i="4"/>
  <c r="Q1728" i="4" s="1"/>
  <c r="O1728" i="4"/>
  <c r="N1728" i="4"/>
  <c r="M1728" i="4"/>
  <c r="L1728" i="4"/>
  <c r="K1728" i="4"/>
  <c r="J1728" i="4"/>
  <c r="P1727" i="4"/>
  <c r="Q1727" i="4" s="1"/>
  <c r="O1727" i="4"/>
  <c r="N1727" i="4"/>
  <c r="M1727" i="4"/>
  <c r="L1727" i="4"/>
  <c r="K1727" i="4"/>
  <c r="J1727" i="4"/>
  <c r="P1726" i="4"/>
  <c r="Q1726" i="4" s="1"/>
  <c r="O1726" i="4"/>
  <c r="N1726" i="4"/>
  <c r="M1726" i="4"/>
  <c r="L1726" i="4"/>
  <c r="K1726" i="4"/>
  <c r="J1726" i="4"/>
  <c r="P1725" i="4"/>
  <c r="Q1725" i="4" s="1"/>
  <c r="O1725" i="4"/>
  <c r="N1725" i="4"/>
  <c r="M1725" i="4"/>
  <c r="L1725" i="4"/>
  <c r="K1725" i="4"/>
  <c r="J1725" i="4"/>
  <c r="Q1724" i="4"/>
  <c r="P1724" i="4"/>
  <c r="O1724" i="4"/>
  <c r="N1724" i="4"/>
  <c r="M1724" i="4"/>
  <c r="L1724" i="4"/>
  <c r="K1724" i="4"/>
  <c r="J1724" i="4"/>
  <c r="P1723" i="4"/>
  <c r="Q1723" i="4" s="1"/>
  <c r="O1723" i="4"/>
  <c r="N1723" i="4"/>
  <c r="M1723" i="4"/>
  <c r="L1723" i="4"/>
  <c r="K1723" i="4"/>
  <c r="J1723" i="4"/>
  <c r="P1722" i="4"/>
  <c r="Q1722" i="4" s="1"/>
  <c r="O1722" i="4"/>
  <c r="N1722" i="4"/>
  <c r="M1722" i="4"/>
  <c r="L1722" i="4"/>
  <c r="K1722" i="4"/>
  <c r="J1722" i="4"/>
  <c r="P1721" i="4"/>
  <c r="Q1721" i="4" s="1"/>
  <c r="O1721" i="4"/>
  <c r="N1721" i="4"/>
  <c r="M1721" i="4"/>
  <c r="L1721" i="4"/>
  <c r="K1721" i="4"/>
  <c r="J1721" i="4"/>
  <c r="P1720" i="4"/>
  <c r="Q1720" i="4" s="1"/>
  <c r="O1720" i="4"/>
  <c r="N1720" i="4"/>
  <c r="M1720" i="4"/>
  <c r="L1720" i="4"/>
  <c r="K1720" i="4"/>
  <c r="J1720" i="4"/>
  <c r="P1719" i="4"/>
  <c r="Q1719" i="4" s="1"/>
  <c r="O1719" i="4"/>
  <c r="N1719" i="4"/>
  <c r="M1719" i="4"/>
  <c r="L1719" i="4"/>
  <c r="K1719" i="4"/>
  <c r="J1719" i="4"/>
  <c r="P1718" i="4"/>
  <c r="Q1718" i="4" s="1"/>
  <c r="O1718" i="4"/>
  <c r="N1718" i="4"/>
  <c r="M1718" i="4"/>
  <c r="L1718" i="4"/>
  <c r="K1718" i="4"/>
  <c r="J1718" i="4"/>
  <c r="P1717" i="4"/>
  <c r="Q1717" i="4" s="1"/>
  <c r="O1717" i="4"/>
  <c r="N1717" i="4"/>
  <c r="M1717" i="4"/>
  <c r="L1717" i="4"/>
  <c r="K1717" i="4"/>
  <c r="J1717" i="4"/>
  <c r="P1716" i="4"/>
  <c r="Q1716" i="4" s="1"/>
  <c r="O1716" i="4"/>
  <c r="N1716" i="4"/>
  <c r="M1716" i="4"/>
  <c r="L1716" i="4"/>
  <c r="K1716" i="4"/>
  <c r="J1716" i="4"/>
  <c r="P1715" i="4"/>
  <c r="Q1715" i="4" s="1"/>
  <c r="O1715" i="4"/>
  <c r="N1715" i="4"/>
  <c r="M1715" i="4"/>
  <c r="L1715" i="4"/>
  <c r="K1715" i="4"/>
  <c r="J1715" i="4"/>
  <c r="P1714" i="4"/>
  <c r="Q1714" i="4" s="1"/>
  <c r="O1714" i="4"/>
  <c r="N1714" i="4"/>
  <c r="M1714" i="4"/>
  <c r="L1714" i="4"/>
  <c r="K1714" i="4"/>
  <c r="J1714" i="4"/>
  <c r="P1713" i="4"/>
  <c r="Q1713" i="4" s="1"/>
  <c r="O1713" i="4"/>
  <c r="N1713" i="4"/>
  <c r="M1713" i="4"/>
  <c r="L1713" i="4"/>
  <c r="K1713" i="4"/>
  <c r="J1713" i="4"/>
  <c r="Q1712" i="4"/>
  <c r="P1712" i="4"/>
  <c r="O1712" i="4"/>
  <c r="N1712" i="4"/>
  <c r="M1712" i="4"/>
  <c r="L1712" i="4"/>
  <c r="K1712" i="4"/>
  <c r="J1712" i="4"/>
  <c r="P1711" i="4"/>
  <c r="Q1711" i="4" s="1"/>
  <c r="O1711" i="4"/>
  <c r="N1711" i="4"/>
  <c r="M1711" i="4"/>
  <c r="L1711" i="4"/>
  <c r="K1711" i="4"/>
  <c r="J1711" i="4"/>
  <c r="P1710" i="4"/>
  <c r="Q1710" i="4" s="1"/>
  <c r="O1710" i="4"/>
  <c r="N1710" i="4"/>
  <c r="M1710" i="4"/>
  <c r="L1710" i="4"/>
  <c r="K1710" i="4"/>
  <c r="J1710" i="4"/>
  <c r="P1709" i="4"/>
  <c r="Q1709" i="4" s="1"/>
  <c r="O1709" i="4"/>
  <c r="N1709" i="4"/>
  <c r="M1709" i="4"/>
  <c r="L1709" i="4"/>
  <c r="K1709" i="4"/>
  <c r="J1709" i="4"/>
  <c r="P1708" i="4"/>
  <c r="Q1708" i="4" s="1"/>
  <c r="O1708" i="4"/>
  <c r="N1708" i="4"/>
  <c r="M1708" i="4"/>
  <c r="L1708" i="4"/>
  <c r="K1708" i="4"/>
  <c r="J1708" i="4"/>
  <c r="P1707" i="4"/>
  <c r="Q1707" i="4" s="1"/>
  <c r="O1707" i="4"/>
  <c r="N1707" i="4"/>
  <c r="M1707" i="4"/>
  <c r="L1707" i="4"/>
  <c r="K1707" i="4"/>
  <c r="J1707" i="4"/>
  <c r="P1706" i="4"/>
  <c r="Q1706" i="4" s="1"/>
  <c r="O1706" i="4"/>
  <c r="N1706" i="4"/>
  <c r="M1706" i="4"/>
  <c r="L1706" i="4"/>
  <c r="K1706" i="4"/>
  <c r="J1706" i="4"/>
  <c r="P1705" i="4"/>
  <c r="Q1705" i="4" s="1"/>
  <c r="O1705" i="4"/>
  <c r="N1705" i="4"/>
  <c r="M1705" i="4"/>
  <c r="L1705" i="4"/>
  <c r="K1705" i="4"/>
  <c r="J1705" i="4"/>
  <c r="P1704" i="4"/>
  <c r="Q1704" i="4" s="1"/>
  <c r="O1704" i="4"/>
  <c r="N1704" i="4"/>
  <c r="M1704" i="4"/>
  <c r="L1704" i="4"/>
  <c r="K1704" i="4"/>
  <c r="J1704" i="4"/>
  <c r="P1703" i="4"/>
  <c r="Q1703" i="4" s="1"/>
  <c r="O1703" i="4"/>
  <c r="N1703" i="4"/>
  <c r="M1703" i="4"/>
  <c r="L1703" i="4"/>
  <c r="K1703" i="4"/>
  <c r="J1703" i="4"/>
  <c r="P1702" i="4"/>
  <c r="Q1702" i="4" s="1"/>
  <c r="O1702" i="4"/>
  <c r="N1702" i="4"/>
  <c r="M1702" i="4"/>
  <c r="L1702" i="4"/>
  <c r="K1702" i="4"/>
  <c r="J1702" i="4"/>
  <c r="P1701" i="4"/>
  <c r="Q1701" i="4" s="1"/>
  <c r="O1701" i="4"/>
  <c r="N1701" i="4"/>
  <c r="M1701" i="4"/>
  <c r="L1701" i="4"/>
  <c r="K1701" i="4"/>
  <c r="J1701" i="4"/>
  <c r="P1700" i="4"/>
  <c r="Q1700" i="4" s="1"/>
  <c r="O1700" i="4"/>
  <c r="N1700" i="4"/>
  <c r="M1700" i="4"/>
  <c r="L1700" i="4"/>
  <c r="K1700" i="4"/>
  <c r="J1700" i="4"/>
  <c r="P1699" i="4"/>
  <c r="Q1699" i="4" s="1"/>
  <c r="O1699" i="4"/>
  <c r="N1699" i="4"/>
  <c r="M1699" i="4"/>
  <c r="L1699" i="4"/>
  <c r="K1699" i="4"/>
  <c r="J1699" i="4"/>
  <c r="P1698" i="4"/>
  <c r="Q1698" i="4" s="1"/>
  <c r="O1698" i="4"/>
  <c r="N1698" i="4"/>
  <c r="M1698" i="4"/>
  <c r="L1698" i="4"/>
  <c r="K1698" i="4"/>
  <c r="J1698" i="4"/>
  <c r="P1697" i="4"/>
  <c r="Q1697" i="4" s="1"/>
  <c r="O1697" i="4"/>
  <c r="N1697" i="4"/>
  <c r="M1697" i="4"/>
  <c r="L1697" i="4"/>
  <c r="K1697" i="4"/>
  <c r="J1697" i="4"/>
  <c r="P1696" i="4"/>
  <c r="Q1696" i="4" s="1"/>
  <c r="O1696" i="4"/>
  <c r="N1696" i="4"/>
  <c r="M1696" i="4"/>
  <c r="L1696" i="4"/>
  <c r="K1696" i="4"/>
  <c r="J1696" i="4"/>
  <c r="P1695" i="4"/>
  <c r="Q1695" i="4" s="1"/>
  <c r="O1695" i="4"/>
  <c r="N1695" i="4"/>
  <c r="M1695" i="4"/>
  <c r="L1695" i="4"/>
  <c r="K1695" i="4"/>
  <c r="J1695" i="4"/>
  <c r="P1694" i="4"/>
  <c r="Q1694" i="4" s="1"/>
  <c r="O1694" i="4"/>
  <c r="N1694" i="4"/>
  <c r="M1694" i="4"/>
  <c r="L1694" i="4"/>
  <c r="K1694" i="4"/>
  <c r="J1694" i="4"/>
  <c r="P1693" i="4"/>
  <c r="Q1693" i="4" s="1"/>
  <c r="O1693" i="4"/>
  <c r="N1693" i="4"/>
  <c r="M1693" i="4"/>
  <c r="L1693" i="4"/>
  <c r="K1693" i="4"/>
  <c r="J1693" i="4"/>
  <c r="P1692" i="4"/>
  <c r="Q1692" i="4" s="1"/>
  <c r="O1692" i="4"/>
  <c r="N1692" i="4"/>
  <c r="M1692" i="4"/>
  <c r="L1692" i="4"/>
  <c r="K1692" i="4"/>
  <c r="J1692" i="4"/>
  <c r="P1691" i="4"/>
  <c r="Q1691" i="4" s="1"/>
  <c r="O1691" i="4"/>
  <c r="N1691" i="4"/>
  <c r="M1691" i="4"/>
  <c r="L1691" i="4"/>
  <c r="K1691" i="4"/>
  <c r="J1691" i="4"/>
  <c r="P1690" i="4"/>
  <c r="Q1690" i="4" s="1"/>
  <c r="O1690" i="4"/>
  <c r="N1690" i="4"/>
  <c r="M1690" i="4"/>
  <c r="L1690" i="4"/>
  <c r="K1690" i="4"/>
  <c r="J1690" i="4"/>
  <c r="P1689" i="4"/>
  <c r="Q1689" i="4" s="1"/>
  <c r="O1689" i="4"/>
  <c r="N1689" i="4"/>
  <c r="M1689" i="4"/>
  <c r="L1689" i="4"/>
  <c r="K1689" i="4"/>
  <c r="J1689" i="4"/>
  <c r="P1688" i="4"/>
  <c r="Q1688" i="4" s="1"/>
  <c r="O1688" i="4"/>
  <c r="N1688" i="4"/>
  <c r="M1688" i="4"/>
  <c r="L1688" i="4"/>
  <c r="K1688" i="4"/>
  <c r="J1688" i="4"/>
  <c r="P1687" i="4"/>
  <c r="Q1687" i="4" s="1"/>
  <c r="O1687" i="4"/>
  <c r="N1687" i="4"/>
  <c r="M1687" i="4"/>
  <c r="L1687" i="4"/>
  <c r="K1687" i="4"/>
  <c r="J1687" i="4"/>
  <c r="P1686" i="4"/>
  <c r="Q1686" i="4" s="1"/>
  <c r="O1686" i="4"/>
  <c r="N1686" i="4"/>
  <c r="M1686" i="4"/>
  <c r="L1686" i="4"/>
  <c r="K1686" i="4"/>
  <c r="J1686" i="4"/>
  <c r="P1685" i="4"/>
  <c r="Q1685" i="4" s="1"/>
  <c r="O1685" i="4"/>
  <c r="N1685" i="4"/>
  <c r="M1685" i="4"/>
  <c r="L1685" i="4"/>
  <c r="K1685" i="4"/>
  <c r="J1685" i="4"/>
  <c r="P1684" i="4"/>
  <c r="Q1684" i="4" s="1"/>
  <c r="O1684" i="4"/>
  <c r="N1684" i="4"/>
  <c r="M1684" i="4"/>
  <c r="L1684" i="4"/>
  <c r="K1684" i="4"/>
  <c r="J1684" i="4"/>
  <c r="P1683" i="4"/>
  <c r="Q1683" i="4" s="1"/>
  <c r="O1683" i="4"/>
  <c r="N1683" i="4"/>
  <c r="M1683" i="4"/>
  <c r="L1683" i="4"/>
  <c r="K1683" i="4"/>
  <c r="J1683" i="4"/>
  <c r="P1682" i="4"/>
  <c r="Q1682" i="4" s="1"/>
  <c r="O1682" i="4"/>
  <c r="N1682" i="4"/>
  <c r="M1682" i="4"/>
  <c r="L1682" i="4"/>
  <c r="K1682" i="4"/>
  <c r="J1682" i="4"/>
  <c r="P1681" i="4"/>
  <c r="Q1681" i="4" s="1"/>
  <c r="O1681" i="4"/>
  <c r="N1681" i="4"/>
  <c r="M1681" i="4"/>
  <c r="L1681" i="4"/>
  <c r="K1681" i="4"/>
  <c r="J1681" i="4"/>
  <c r="Q1680" i="4"/>
  <c r="P1680" i="4"/>
  <c r="O1680" i="4"/>
  <c r="N1680" i="4"/>
  <c r="M1680" i="4"/>
  <c r="L1680" i="4"/>
  <c r="K1680" i="4"/>
  <c r="J1680" i="4"/>
  <c r="P1679" i="4"/>
  <c r="Q1679" i="4" s="1"/>
  <c r="O1679" i="4"/>
  <c r="N1679" i="4"/>
  <c r="M1679" i="4"/>
  <c r="L1679" i="4"/>
  <c r="K1679" i="4"/>
  <c r="J1679" i="4"/>
  <c r="P1678" i="4"/>
  <c r="Q1678" i="4" s="1"/>
  <c r="O1678" i="4"/>
  <c r="N1678" i="4"/>
  <c r="M1678" i="4"/>
  <c r="L1678" i="4"/>
  <c r="K1678" i="4"/>
  <c r="J1678" i="4"/>
  <c r="P1677" i="4"/>
  <c r="Q1677" i="4" s="1"/>
  <c r="O1677" i="4"/>
  <c r="N1677" i="4"/>
  <c r="M1677" i="4"/>
  <c r="L1677" i="4"/>
  <c r="K1677" i="4"/>
  <c r="J1677" i="4"/>
  <c r="P1676" i="4"/>
  <c r="Q1676" i="4" s="1"/>
  <c r="O1676" i="4"/>
  <c r="N1676" i="4"/>
  <c r="M1676" i="4"/>
  <c r="L1676" i="4"/>
  <c r="K1676" i="4"/>
  <c r="J1676" i="4"/>
  <c r="P1675" i="4"/>
  <c r="Q1675" i="4" s="1"/>
  <c r="O1675" i="4"/>
  <c r="N1675" i="4"/>
  <c r="M1675" i="4"/>
  <c r="L1675" i="4"/>
  <c r="K1675" i="4"/>
  <c r="J1675" i="4"/>
  <c r="P1674" i="4"/>
  <c r="Q1674" i="4" s="1"/>
  <c r="O1674" i="4"/>
  <c r="N1674" i="4"/>
  <c r="M1674" i="4"/>
  <c r="L1674" i="4"/>
  <c r="K1674" i="4"/>
  <c r="J1674" i="4"/>
  <c r="P1673" i="4"/>
  <c r="Q1673" i="4" s="1"/>
  <c r="O1673" i="4"/>
  <c r="N1673" i="4"/>
  <c r="M1673" i="4"/>
  <c r="L1673" i="4"/>
  <c r="K1673" i="4"/>
  <c r="J1673" i="4"/>
  <c r="P1672" i="4"/>
  <c r="Q1672" i="4" s="1"/>
  <c r="O1672" i="4"/>
  <c r="N1672" i="4"/>
  <c r="M1672" i="4"/>
  <c r="L1672" i="4"/>
  <c r="K1672" i="4"/>
  <c r="J1672" i="4"/>
  <c r="P1671" i="4"/>
  <c r="Q1671" i="4" s="1"/>
  <c r="O1671" i="4"/>
  <c r="N1671" i="4"/>
  <c r="M1671" i="4"/>
  <c r="L1671" i="4"/>
  <c r="K1671" i="4"/>
  <c r="J1671" i="4"/>
  <c r="P1670" i="4"/>
  <c r="Q1670" i="4" s="1"/>
  <c r="O1670" i="4"/>
  <c r="N1670" i="4"/>
  <c r="M1670" i="4"/>
  <c r="L1670" i="4"/>
  <c r="K1670" i="4"/>
  <c r="J1670" i="4"/>
  <c r="P1669" i="4"/>
  <c r="Q1669" i="4" s="1"/>
  <c r="O1669" i="4"/>
  <c r="N1669" i="4"/>
  <c r="M1669" i="4"/>
  <c r="L1669" i="4"/>
  <c r="K1669" i="4"/>
  <c r="J1669" i="4"/>
  <c r="P1668" i="4"/>
  <c r="Q1668" i="4" s="1"/>
  <c r="O1668" i="4"/>
  <c r="N1668" i="4"/>
  <c r="M1668" i="4"/>
  <c r="L1668" i="4"/>
  <c r="K1668" i="4"/>
  <c r="J1668" i="4"/>
  <c r="P1667" i="4"/>
  <c r="Q1667" i="4" s="1"/>
  <c r="O1667" i="4"/>
  <c r="N1667" i="4"/>
  <c r="M1667" i="4"/>
  <c r="L1667" i="4"/>
  <c r="K1667" i="4"/>
  <c r="J1667" i="4"/>
  <c r="P1666" i="4"/>
  <c r="Q1666" i="4" s="1"/>
  <c r="O1666" i="4"/>
  <c r="N1666" i="4"/>
  <c r="M1666" i="4"/>
  <c r="L1666" i="4"/>
  <c r="K1666" i="4"/>
  <c r="J1666" i="4"/>
  <c r="P1665" i="4"/>
  <c r="Q1665" i="4" s="1"/>
  <c r="O1665" i="4"/>
  <c r="N1665" i="4"/>
  <c r="M1665" i="4"/>
  <c r="L1665" i="4"/>
  <c r="K1665" i="4"/>
  <c r="J1665" i="4"/>
  <c r="P1664" i="4"/>
  <c r="Q1664" i="4" s="1"/>
  <c r="O1664" i="4"/>
  <c r="N1664" i="4"/>
  <c r="M1664" i="4"/>
  <c r="L1664" i="4"/>
  <c r="K1664" i="4"/>
  <c r="J1664" i="4"/>
  <c r="P1663" i="4"/>
  <c r="Q1663" i="4" s="1"/>
  <c r="O1663" i="4"/>
  <c r="N1663" i="4"/>
  <c r="M1663" i="4"/>
  <c r="L1663" i="4"/>
  <c r="K1663" i="4"/>
  <c r="J1663" i="4"/>
  <c r="P1662" i="4"/>
  <c r="Q1662" i="4" s="1"/>
  <c r="O1662" i="4"/>
  <c r="N1662" i="4"/>
  <c r="M1662" i="4"/>
  <c r="L1662" i="4"/>
  <c r="K1662" i="4"/>
  <c r="J1662" i="4"/>
  <c r="P1661" i="4"/>
  <c r="Q1661" i="4" s="1"/>
  <c r="O1661" i="4"/>
  <c r="N1661" i="4"/>
  <c r="M1661" i="4"/>
  <c r="L1661" i="4"/>
  <c r="K1661" i="4"/>
  <c r="J1661" i="4"/>
  <c r="P1660" i="4"/>
  <c r="Q1660" i="4" s="1"/>
  <c r="O1660" i="4"/>
  <c r="N1660" i="4"/>
  <c r="M1660" i="4"/>
  <c r="L1660" i="4"/>
  <c r="K1660" i="4"/>
  <c r="J1660" i="4"/>
  <c r="P1659" i="4"/>
  <c r="Q1659" i="4" s="1"/>
  <c r="O1659" i="4"/>
  <c r="N1659" i="4"/>
  <c r="M1659" i="4"/>
  <c r="L1659" i="4"/>
  <c r="K1659" i="4"/>
  <c r="J1659" i="4"/>
  <c r="P1658" i="4"/>
  <c r="Q1658" i="4" s="1"/>
  <c r="O1658" i="4"/>
  <c r="N1658" i="4"/>
  <c r="M1658" i="4"/>
  <c r="L1658" i="4"/>
  <c r="K1658" i="4"/>
  <c r="J1658" i="4"/>
  <c r="P1657" i="4"/>
  <c r="Q1657" i="4" s="1"/>
  <c r="O1657" i="4"/>
  <c r="N1657" i="4"/>
  <c r="M1657" i="4"/>
  <c r="L1657" i="4"/>
  <c r="K1657" i="4"/>
  <c r="J1657" i="4"/>
  <c r="P1656" i="4"/>
  <c r="Q1656" i="4" s="1"/>
  <c r="O1656" i="4"/>
  <c r="N1656" i="4"/>
  <c r="M1656" i="4"/>
  <c r="L1656" i="4"/>
  <c r="K1656" i="4"/>
  <c r="J1656" i="4"/>
  <c r="P1655" i="4"/>
  <c r="Q1655" i="4" s="1"/>
  <c r="O1655" i="4"/>
  <c r="N1655" i="4"/>
  <c r="M1655" i="4"/>
  <c r="L1655" i="4"/>
  <c r="K1655" i="4"/>
  <c r="J1655" i="4"/>
  <c r="P1654" i="4"/>
  <c r="Q1654" i="4" s="1"/>
  <c r="O1654" i="4"/>
  <c r="N1654" i="4"/>
  <c r="M1654" i="4"/>
  <c r="L1654" i="4"/>
  <c r="K1654" i="4"/>
  <c r="J1654" i="4"/>
  <c r="Q1653" i="4"/>
  <c r="P1653" i="4"/>
  <c r="O1653" i="4"/>
  <c r="N1653" i="4"/>
  <c r="M1653" i="4"/>
  <c r="L1653" i="4"/>
  <c r="K1653" i="4"/>
  <c r="J1653" i="4"/>
  <c r="P1652" i="4"/>
  <c r="Q1652" i="4" s="1"/>
  <c r="O1652" i="4"/>
  <c r="N1652" i="4"/>
  <c r="M1652" i="4"/>
  <c r="L1652" i="4"/>
  <c r="K1652" i="4"/>
  <c r="J1652" i="4"/>
  <c r="Q1651" i="4"/>
  <c r="P1651" i="4"/>
  <c r="O1651" i="4"/>
  <c r="N1651" i="4"/>
  <c r="M1651" i="4"/>
  <c r="L1651" i="4"/>
  <c r="K1651" i="4"/>
  <c r="J1651" i="4"/>
  <c r="P1650" i="4"/>
  <c r="Q1650" i="4" s="1"/>
  <c r="O1650" i="4"/>
  <c r="N1650" i="4"/>
  <c r="M1650" i="4"/>
  <c r="L1650" i="4"/>
  <c r="K1650" i="4"/>
  <c r="J1650" i="4"/>
  <c r="P1649" i="4"/>
  <c r="Q1649" i="4" s="1"/>
  <c r="O1649" i="4"/>
  <c r="N1649" i="4"/>
  <c r="M1649" i="4"/>
  <c r="L1649" i="4"/>
  <c r="K1649" i="4"/>
  <c r="J1649" i="4"/>
  <c r="P1648" i="4"/>
  <c r="Q1648" i="4" s="1"/>
  <c r="O1648" i="4"/>
  <c r="N1648" i="4"/>
  <c r="M1648" i="4"/>
  <c r="L1648" i="4"/>
  <c r="K1648" i="4"/>
  <c r="J1648" i="4"/>
  <c r="P1647" i="4"/>
  <c r="Q1647" i="4" s="1"/>
  <c r="O1647" i="4"/>
  <c r="N1647" i="4"/>
  <c r="M1647" i="4"/>
  <c r="L1647" i="4"/>
  <c r="K1647" i="4"/>
  <c r="J1647" i="4"/>
  <c r="P1646" i="4"/>
  <c r="Q1646" i="4" s="1"/>
  <c r="O1646" i="4"/>
  <c r="N1646" i="4"/>
  <c r="M1646" i="4"/>
  <c r="L1646" i="4"/>
  <c r="K1646" i="4"/>
  <c r="J1646" i="4"/>
  <c r="P1645" i="4"/>
  <c r="Q1645" i="4" s="1"/>
  <c r="O1645" i="4"/>
  <c r="N1645" i="4"/>
  <c r="M1645" i="4"/>
  <c r="L1645" i="4"/>
  <c r="K1645" i="4"/>
  <c r="J1645" i="4"/>
  <c r="P1644" i="4"/>
  <c r="Q1644" i="4" s="1"/>
  <c r="O1644" i="4"/>
  <c r="N1644" i="4"/>
  <c r="M1644" i="4"/>
  <c r="L1644" i="4"/>
  <c r="K1644" i="4"/>
  <c r="J1644" i="4"/>
  <c r="P1643" i="4"/>
  <c r="Q1643" i="4" s="1"/>
  <c r="O1643" i="4"/>
  <c r="N1643" i="4"/>
  <c r="M1643" i="4"/>
  <c r="L1643" i="4"/>
  <c r="K1643" i="4"/>
  <c r="J1643" i="4"/>
  <c r="P1642" i="4"/>
  <c r="Q1642" i="4" s="1"/>
  <c r="O1642" i="4"/>
  <c r="N1642" i="4"/>
  <c r="M1642" i="4"/>
  <c r="L1642" i="4"/>
  <c r="K1642" i="4"/>
  <c r="J1642" i="4"/>
  <c r="P1641" i="4"/>
  <c r="Q1641" i="4" s="1"/>
  <c r="O1641" i="4"/>
  <c r="N1641" i="4"/>
  <c r="M1641" i="4"/>
  <c r="L1641" i="4"/>
  <c r="K1641" i="4"/>
  <c r="J1641" i="4"/>
  <c r="P1640" i="4"/>
  <c r="Q1640" i="4" s="1"/>
  <c r="O1640" i="4"/>
  <c r="N1640" i="4"/>
  <c r="M1640" i="4"/>
  <c r="L1640" i="4"/>
  <c r="K1640" i="4"/>
  <c r="J1640" i="4"/>
  <c r="P1639" i="4"/>
  <c r="Q1639" i="4" s="1"/>
  <c r="O1639" i="4"/>
  <c r="N1639" i="4"/>
  <c r="M1639" i="4"/>
  <c r="L1639" i="4"/>
  <c r="K1639" i="4"/>
  <c r="J1639" i="4"/>
  <c r="P1638" i="4"/>
  <c r="Q1638" i="4" s="1"/>
  <c r="O1638" i="4"/>
  <c r="N1638" i="4"/>
  <c r="M1638" i="4"/>
  <c r="L1638" i="4"/>
  <c r="K1638" i="4"/>
  <c r="J1638" i="4"/>
  <c r="P1637" i="4"/>
  <c r="Q1637" i="4" s="1"/>
  <c r="O1637" i="4"/>
  <c r="N1637" i="4"/>
  <c r="M1637" i="4"/>
  <c r="L1637" i="4"/>
  <c r="K1637" i="4"/>
  <c r="J1637" i="4"/>
  <c r="P1636" i="4"/>
  <c r="Q1636" i="4" s="1"/>
  <c r="O1636" i="4"/>
  <c r="N1636" i="4"/>
  <c r="M1636" i="4"/>
  <c r="L1636" i="4"/>
  <c r="K1636" i="4"/>
  <c r="J1636" i="4"/>
  <c r="P1635" i="4"/>
  <c r="Q1635" i="4" s="1"/>
  <c r="O1635" i="4"/>
  <c r="N1635" i="4"/>
  <c r="M1635" i="4"/>
  <c r="L1635" i="4"/>
  <c r="K1635" i="4"/>
  <c r="J1635" i="4"/>
  <c r="P1634" i="4"/>
  <c r="Q1634" i="4" s="1"/>
  <c r="O1634" i="4"/>
  <c r="N1634" i="4"/>
  <c r="M1634" i="4"/>
  <c r="L1634" i="4"/>
  <c r="K1634" i="4"/>
  <c r="J1634" i="4"/>
  <c r="P1633" i="4"/>
  <c r="Q1633" i="4" s="1"/>
  <c r="O1633" i="4"/>
  <c r="N1633" i="4"/>
  <c r="M1633" i="4"/>
  <c r="L1633" i="4"/>
  <c r="K1633" i="4"/>
  <c r="J1633" i="4"/>
  <c r="P1632" i="4"/>
  <c r="Q1632" i="4" s="1"/>
  <c r="O1632" i="4"/>
  <c r="N1632" i="4"/>
  <c r="M1632" i="4"/>
  <c r="L1632" i="4"/>
  <c r="K1632" i="4"/>
  <c r="J1632" i="4"/>
  <c r="P1631" i="4"/>
  <c r="Q1631" i="4" s="1"/>
  <c r="O1631" i="4"/>
  <c r="N1631" i="4"/>
  <c r="M1631" i="4"/>
  <c r="L1631" i="4"/>
  <c r="K1631" i="4"/>
  <c r="J1631" i="4"/>
  <c r="P1630" i="4"/>
  <c r="Q1630" i="4" s="1"/>
  <c r="O1630" i="4"/>
  <c r="N1630" i="4"/>
  <c r="M1630" i="4"/>
  <c r="L1630" i="4"/>
  <c r="K1630" i="4"/>
  <c r="J1630" i="4"/>
  <c r="P1629" i="4"/>
  <c r="Q1629" i="4" s="1"/>
  <c r="O1629" i="4"/>
  <c r="N1629" i="4"/>
  <c r="M1629" i="4"/>
  <c r="L1629" i="4"/>
  <c r="K1629" i="4"/>
  <c r="J1629" i="4"/>
  <c r="P1628" i="4"/>
  <c r="Q1628" i="4" s="1"/>
  <c r="O1628" i="4"/>
  <c r="N1628" i="4"/>
  <c r="M1628" i="4"/>
  <c r="L1628" i="4"/>
  <c r="K1628" i="4"/>
  <c r="J1628" i="4"/>
  <c r="P1627" i="4"/>
  <c r="Q1627" i="4" s="1"/>
  <c r="O1627" i="4"/>
  <c r="N1627" i="4"/>
  <c r="M1627" i="4"/>
  <c r="L1627" i="4"/>
  <c r="K1627" i="4"/>
  <c r="J1627" i="4"/>
  <c r="P1626" i="4"/>
  <c r="Q1626" i="4" s="1"/>
  <c r="O1626" i="4"/>
  <c r="N1626" i="4"/>
  <c r="M1626" i="4"/>
  <c r="L1626" i="4"/>
  <c r="K1626" i="4"/>
  <c r="J1626" i="4"/>
  <c r="P1625" i="4"/>
  <c r="Q1625" i="4" s="1"/>
  <c r="O1625" i="4"/>
  <c r="N1625" i="4"/>
  <c r="M1625" i="4"/>
  <c r="L1625" i="4"/>
  <c r="K1625" i="4"/>
  <c r="J1625" i="4"/>
  <c r="P1624" i="4"/>
  <c r="Q1624" i="4" s="1"/>
  <c r="O1624" i="4"/>
  <c r="N1624" i="4"/>
  <c r="M1624" i="4"/>
  <c r="L1624" i="4"/>
  <c r="K1624" i="4"/>
  <c r="J1624" i="4"/>
  <c r="P1623" i="4"/>
  <c r="Q1623" i="4" s="1"/>
  <c r="O1623" i="4"/>
  <c r="N1623" i="4"/>
  <c r="M1623" i="4"/>
  <c r="L1623" i="4"/>
  <c r="K1623" i="4"/>
  <c r="J1623" i="4"/>
  <c r="P1622" i="4"/>
  <c r="Q1622" i="4" s="1"/>
  <c r="O1622" i="4"/>
  <c r="N1622" i="4"/>
  <c r="M1622" i="4"/>
  <c r="L1622" i="4"/>
  <c r="K1622" i="4"/>
  <c r="J1622" i="4"/>
  <c r="P1621" i="4"/>
  <c r="Q1621" i="4" s="1"/>
  <c r="O1621" i="4"/>
  <c r="N1621" i="4"/>
  <c r="M1621" i="4"/>
  <c r="L1621" i="4"/>
  <c r="K1621" i="4"/>
  <c r="J1621" i="4"/>
  <c r="P1620" i="4"/>
  <c r="Q1620" i="4" s="1"/>
  <c r="O1620" i="4"/>
  <c r="N1620" i="4"/>
  <c r="M1620" i="4"/>
  <c r="L1620" i="4"/>
  <c r="K1620" i="4"/>
  <c r="J1620" i="4"/>
  <c r="P1619" i="4"/>
  <c r="Q1619" i="4" s="1"/>
  <c r="O1619" i="4"/>
  <c r="N1619" i="4"/>
  <c r="M1619" i="4"/>
  <c r="L1619" i="4"/>
  <c r="K1619" i="4"/>
  <c r="J1619" i="4"/>
  <c r="P1618" i="4"/>
  <c r="Q1618" i="4" s="1"/>
  <c r="O1618" i="4"/>
  <c r="N1618" i="4"/>
  <c r="M1618" i="4"/>
  <c r="L1618" i="4"/>
  <c r="K1618" i="4"/>
  <c r="J1618" i="4"/>
  <c r="P1617" i="4"/>
  <c r="Q1617" i="4" s="1"/>
  <c r="O1617" i="4"/>
  <c r="N1617" i="4"/>
  <c r="M1617" i="4"/>
  <c r="L1617" i="4"/>
  <c r="K1617" i="4"/>
  <c r="J1617" i="4"/>
  <c r="P1616" i="4"/>
  <c r="Q1616" i="4" s="1"/>
  <c r="O1616" i="4"/>
  <c r="N1616" i="4"/>
  <c r="M1616" i="4"/>
  <c r="L1616" i="4"/>
  <c r="K1616" i="4"/>
  <c r="J1616" i="4"/>
  <c r="P1615" i="4"/>
  <c r="Q1615" i="4" s="1"/>
  <c r="O1615" i="4"/>
  <c r="N1615" i="4"/>
  <c r="M1615" i="4"/>
  <c r="L1615" i="4"/>
  <c r="K1615" i="4"/>
  <c r="J1615" i="4"/>
  <c r="P1614" i="4"/>
  <c r="Q1614" i="4" s="1"/>
  <c r="O1614" i="4"/>
  <c r="N1614" i="4"/>
  <c r="M1614" i="4"/>
  <c r="L1614" i="4"/>
  <c r="K1614" i="4"/>
  <c r="J1614" i="4"/>
  <c r="P1613" i="4"/>
  <c r="Q1613" i="4" s="1"/>
  <c r="O1613" i="4"/>
  <c r="N1613" i="4"/>
  <c r="M1613" i="4"/>
  <c r="L1613" i="4"/>
  <c r="K1613" i="4"/>
  <c r="J1613" i="4"/>
  <c r="P1612" i="4"/>
  <c r="Q1612" i="4" s="1"/>
  <c r="O1612" i="4"/>
  <c r="N1612" i="4"/>
  <c r="M1612" i="4"/>
  <c r="L1612" i="4"/>
  <c r="K1612" i="4"/>
  <c r="J1612" i="4"/>
  <c r="P1611" i="4"/>
  <c r="Q1611" i="4" s="1"/>
  <c r="O1611" i="4"/>
  <c r="N1611" i="4"/>
  <c r="M1611" i="4"/>
  <c r="L1611" i="4"/>
  <c r="K1611" i="4"/>
  <c r="J1611" i="4"/>
  <c r="P1610" i="4"/>
  <c r="Q1610" i="4" s="1"/>
  <c r="O1610" i="4"/>
  <c r="N1610" i="4"/>
  <c r="M1610" i="4"/>
  <c r="L1610" i="4"/>
  <c r="K1610" i="4"/>
  <c r="J1610" i="4"/>
  <c r="Q1609" i="4"/>
  <c r="P1609" i="4"/>
  <c r="O1609" i="4"/>
  <c r="N1609" i="4"/>
  <c r="M1609" i="4"/>
  <c r="L1609" i="4"/>
  <c r="K1609" i="4"/>
  <c r="J1609" i="4"/>
  <c r="P1608" i="4"/>
  <c r="Q1608" i="4" s="1"/>
  <c r="O1608" i="4"/>
  <c r="N1608" i="4"/>
  <c r="M1608" i="4"/>
  <c r="L1608" i="4"/>
  <c r="K1608" i="4"/>
  <c r="J1608" i="4"/>
  <c r="P1607" i="4"/>
  <c r="Q1607" i="4" s="1"/>
  <c r="O1607" i="4"/>
  <c r="N1607" i="4"/>
  <c r="M1607" i="4"/>
  <c r="L1607" i="4"/>
  <c r="K1607" i="4"/>
  <c r="J1607" i="4"/>
  <c r="P1606" i="4"/>
  <c r="Q1606" i="4" s="1"/>
  <c r="O1606" i="4"/>
  <c r="N1606" i="4"/>
  <c r="M1606" i="4"/>
  <c r="L1606" i="4"/>
  <c r="K1606" i="4"/>
  <c r="J1606" i="4"/>
  <c r="P1605" i="4"/>
  <c r="Q1605" i="4" s="1"/>
  <c r="O1605" i="4"/>
  <c r="N1605" i="4"/>
  <c r="M1605" i="4"/>
  <c r="L1605" i="4"/>
  <c r="K1605" i="4"/>
  <c r="J1605" i="4"/>
  <c r="P1604" i="4"/>
  <c r="Q1604" i="4" s="1"/>
  <c r="O1604" i="4"/>
  <c r="N1604" i="4"/>
  <c r="M1604" i="4"/>
  <c r="L1604" i="4"/>
  <c r="K1604" i="4"/>
  <c r="J1604" i="4"/>
  <c r="P1603" i="4"/>
  <c r="Q1603" i="4" s="1"/>
  <c r="O1603" i="4"/>
  <c r="N1603" i="4"/>
  <c r="M1603" i="4"/>
  <c r="L1603" i="4"/>
  <c r="K1603" i="4"/>
  <c r="J1603" i="4"/>
  <c r="P1602" i="4"/>
  <c r="Q1602" i="4" s="1"/>
  <c r="O1602" i="4"/>
  <c r="N1602" i="4"/>
  <c r="M1602" i="4"/>
  <c r="L1602" i="4"/>
  <c r="K1602" i="4"/>
  <c r="J1602" i="4"/>
  <c r="P1601" i="4"/>
  <c r="Q1601" i="4" s="1"/>
  <c r="O1601" i="4"/>
  <c r="N1601" i="4"/>
  <c r="M1601" i="4"/>
  <c r="L1601" i="4"/>
  <c r="K1601" i="4"/>
  <c r="J1601" i="4"/>
  <c r="P1600" i="4"/>
  <c r="Q1600" i="4" s="1"/>
  <c r="O1600" i="4"/>
  <c r="N1600" i="4"/>
  <c r="M1600" i="4"/>
  <c r="L1600" i="4"/>
  <c r="K1600" i="4"/>
  <c r="J1600" i="4"/>
  <c r="P1599" i="4"/>
  <c r="Q1599" i="4" s="1"/>
  <c r="O1599" i="4"/>
  <c r="N1599" i="4"/>
  <c r="M1599" i="4"/>
  <c r="L1599" i="4"/>
  <c r="K1599" i="4"/>
  <c r="J1599" i="4"/>
  <c r="P1598" i="4"/>
  <c r="Q1598" i="4" s="1"/>
  <c r="O1598" i="4"/>
  <c r="N1598" i="4"/>
  <c r="M1598" i="4"/>
  <c r="L1598" i="4"/>
  <c r="K1598" i="4"/>
  <c r="J1598" i="4"/>
  <c r="P1597" i="4"/>
  <c r="Q1597" i="4" s="1"/>
  <c r="O1597" i="4"/>
  <c r="N1597" i="4"/>
  <c r="M1597" i="4"/>
  <c r="L1597" i="4"/>
  <c r="K1597" i="4"/>
  <c r="J1597" i="4"/>
  <c r="P1596" i="4"/>
  <c r="Q1596" i="4" s="1"/>
  <c r="O1596" i="4"/>
  <c r="N1596" i="4"/>
  <c r="M1596" i="4"/>
  <c r="L1596" i="4"/>
  <c r="K1596" i="4"/>
  <c r="J1596" i="4"/>
  <c r="P1595" i="4"/>
  <c r="Q1595" i="4" s="1"/>
  <c r="O1595" i="4"/>
  <c r="N1595" i="4"/>
  <c r="M1595" i="4"/>
  <c r="L1595" i="4"/>
  <c r="K1595" i="4"/>
  <c r="J1595" i="4"/>
  <c r="P1594" i="4"/>
  <c r="Q1594" i="4" s="1"/>
  <c r="O1594" i="4"/>
  <c r="N1594" i="4"/>
  <c r="M1594" i="4"/>
  <c r="L1594" i="4"/>
  <c r="K1594" i="4"/>
  <c r="J1594" i="4"/>
  <c r="P1593" i="4"/>
  <c r="Q1593" i="4" s="1"/>
  <c r="O1593" i="4"/>
  <c r="N1593" i="4"/>
  <c r="M1593" i="4"/>
  <c r="L1593" i="4"/>
  <c r="K1593" i="4"/>
  <c r="J1593" i="4"/>
  <c r="P1592" i="4"/>
  <c r="Q1592" i="4" s="1"/>
  <c r="O1592" i="4"/>
  <c r="N1592" i="4"/>
  <c r="M1592" i="4"/>
  <c r="L1592" i="4"/>
  <c r="K1592" i="4"/>
  <c r="J1592" i="4"/>
  <c r="P1591" i="4"/>
  <c r="Q1591" i="4" s="1"/>
  <c r="O1591" i="4"/>
  <c r="N1591" i="4"/>
  <c r="M1591" i="4"/>
  <c r="L1591" i="4"/>
  <c r="K1591" i="4"/>
  <c r="J1591" i="4"/>
  <c r="P1590" i="4"/>
  <c r="Q1590" i="4" s="1"/>
  <c r="O1590" i="4"/>
  <c r="N1590" i="4"/>
  <c r="M1590" i="4"/>
  <c r="L1590" i="4"/>
  <c r="K1590" i="4"/>
  <c r="J1590" i="4"/>
  <c r="P1589" i="4"/>
  <c r="Q1589" i="4" s="1"/>
  <c r="O1589" i="4"/>
  <c r="N1589" i="4"/>
  <c r="M1589" i="4"/>
  <c r="L1589" i="4"/>
  <c r="K1589" i="4"/>
  <c r="J1589" i="4"/>
  <c r="P1588" i="4"/>
  <c r="Q1588" i="4" s="1"/>
  <c r="O1588" i="4"/>
  <c r="N1588" i="4"/>
  <c r="M1588" i="4"/>
  <c r="L1588" i="4"/>
  <c r="K1588" i="4"/>
  <c r="J1588" i="4"/>
  <c r="P1587" i="4"/>
  <c r="Q1587" i="4" s="1"/>
  <c r="O1587" i="4"/>
  <c r="N1587" i="4"/>
  <c r="M1587" i="4"/>
  <c r="L1587" i="4"/>
  <c r="K1587" i="4"/>
  <c r="J1587" i="4"/>
  <c r="P1586" i="4"/>
  <c r="Q1586" i="4" s="1"/>
  <c r="O1586" i="4"/>
  <c r="N1586" i="4"/>
  <c r="M1586" i="4"/>
  <c r="L1586" i="4"/>
  <c r="K1586" i="4"/>
  <c r="J1586" i="4"/>
  <c r="P1585" i="4"/>
  <c r="Q1585" i="4" s="1"/>
  <c r="O1585" i="4"/>
  <c r="N1585" i="4"/>
  <c r="M1585" i="4"/>
  <c r="L1585" i="4"/>
  <c r="K1585" i="4"/>
  <c r="J1585" i="4"/>
  <c r="P1584" i="4"/>
  <c r="Q1584" i="4" s="1"/>
  <c r="O1584" i="4"/>
  <c r="N1584" i="4"/>
  <c r="M1584" i="4"/>
  <c r="L1584" i="4"/>
  <c r="K1584" i="4"/>
  <c r="J1584" i="4"/>
  <c r="P1583" i="4"/>
  <c r="Q1583" i="4" s="1"/>
  <c r="O1583" i="4"/>
  <c r="N1583" i="4"/>
  <c r="M1583" i="4"/>
  <c r="L1583" i="4"/>
  <c r="K1583" i="4"/>
  <c r="J1583" i="4"/>
  <c r="P1582" i="4"/>
  <c r="Q1582" i="4" s="1"/>
  <c r="O1582" i="4"/>
  <c r="N1582" i="4"/>
  <c r="M1582" i="4"/>
  <c r="L1582" i="4"/>
  <c r="K1582" i="4"/>
  <c r="J1582" i="4"/>
  <c r="P1581" i="4"/>
  <c r="Q1581" i="4" s="1"/>
  <c r="O1581" i="4"/>
  <c r="N1581" i="4"/>
  <c r="M1581" i="4"/>
  <c r="L1581" i="4"/>
  <c r="K1581" i="4"/>
  <c r="J1581" i="4"/>
  <c r="P1580" i="4"/>
  <c r="Q1580" i="4" s="1"/>
  <c r="O1580" i="4"/>
  <c r="N1580" i="4"/>
  <c r="M1580" i="4"/>
  <c r="L1580" i="4"/>
  <c r="K1580" i="4"/>
  <c r="J1580" i="4"/>
  <c r="P1579" i="4"/>
  <c r="Q1579" i="4" s="1"/>
  <c r="O1579" i="4"/>
  <c r="N1579" i="4"/>
  <c r="M1579" i="4"/>
  <c r="L1579" i="4"/>
  <c r="K1579" i="4"/>
  <c r="J1579" i="4"/>
  <c r="P1578" i="4"/>
  <c r="Q1578" i="4" s="1"/>
  <c r="O1578" i="4"/>
  <c r="N1578" i="4"/>
  <c r="M1578" i="4"/>
  <c r="L1578" i="4"/>
  <c r="K1578" i="4"/>
  <c r="J1578" i="4"/>
  <c r="P1577" i="4"/>
  <c r="Q1577" i="4" s="1"/>
  <c r="O1577" i="4"/>
  <c r="N1577" i="4"/>
  <c r="M1577" i="4"/>
  <c r="L1577" i="4"/>
  <c r="K1577" i="4"/>
  <c r="J1577" i="4"/>
  <c r="P1576" i="4"/>
  <c r="Q1576" i="4" s="1"/>
  <c r="O1576" i="4"/>
  <c r="N1576" i="4"/>
  <c r="M1576" i="4"/>
  <c r="L1576" i="4"/>
  <c r="K1576" i="4"/>
  <c r="J1576" i="4"/>
  <c r="P1575" i="4"/>
  <c r="Q1575" i="4" s="1"/>
  <c r="O1575" i="4"/>
  <c r="N1575" i="4"/>
  <c r="M1575" i="4"/>
  <c r="L1575" i="4"/>
  <c r="K1575" i="4"/>
  <c r="J1575" i="4"/>
  <c r="P1574" i="4"/>
  <c r="Q1574" i="4" s="1"/>
  <c r="O1574" i="4"/>
  <c r="N1574" i="4"/>
  <c r="M1574" i="4"/>
  <c r="L1574" i="4"/>
  <c r="K1574" i="4"/>
  <c r="J1574" i="4"/>
  <c r="P1573" i="4"/>
  <c r="Q1573" i="4" s="1"/>
  <c r="O1573" i="4"/>
  <c r="N1573" i="4"/>
  <c r="M1573" i="4"/>
  <c r="L1573" i="4"/>
  <c r="K1573" i="4"/>
  <c r="J1573" i="4"/>
  <c r="P1572" i="4"/>
  <c r="Q1572" i="4" s="1"/>
  <c r="O1572" i="4"/>
  <c r="N1572" i="4"/>
  <c r="M1572" i="4"/>
  <c r="L1572" i="4"/>
  <c r="K1572" i="4"/>
  <c r="J1572" i="4"/>
  <c r="P1571" i="4"/>
  <c r="Q1571" i="4" s="1"/>
  <c r="O1571" i="4"/>
  <c r="N1571" i="4"/>
  <c r="M1571" i="4"/>
  <c r="L1571" i="4"/>
  <c r="K1571" i="4"/>
  <c r="J1571" i="4"/>
  <c r="P1570" i="4"/>
  <c r="Q1570" i="4" s="1"/>
  <c r="O1570" i="4"/>
  <c r="N1570" i="4"/>
  <c r="M1570" i="4"/>
  <c r="L1570" i="4"/>
  <c r="K1570" i="4"/>
  <c r="J1570" i="4"/>
  <c r="P1569" i="4"/>
  <c r="Q1569" i="4" s="1"/>
  <c r="O1569" i="4"/>
  <c r="N1569" i="4"/>
  <c r="M1569" i="4"/>
  <c r="L1569" i="4"/>
  <c r="K1569" i="4"/>
  <c r="J1569" i="4"/>
  <c r="P1568" i="4"/>
  <c r="Q1568" i="4" s="1"/>
  <c r="O1568" i="4"/>
  <c r="N1568" i="4"/>
  <c r="M1568" i="4"/>
  <c r="L1568" i="4"/>
  <c r="K1568" i="4"/>
  <c r="J1568" i="4"/>
  <c r="P1567" i="4"/>
  <c r="Q1567" i="4" s="1"/>
  <c r="O1567" i="4"/>
  <c r="N1567" i="4"/>
  <c r="M1567" i="4"/>
  <c r="L1567" i="4"/>
  <c r="K1567" i="4"/>
  <c r="J1567" i="4"/>
  <c r="Q1566" i="4"/>
  <c r="P1566" i="4"/>
  <c r="O1566" i="4"/>
  <c r="N1566" i="4"/>
  <c r="M1566" i="4"/>
  <c r="L1566" i="4"/>
  <c r="K1566" i="4"/>
  <c r="J1566" i="4"/>
  <c r="P1565" i="4"/>
  <c r="Q1565" i="4" s="1"/>
  <c r="O1565" i="4"/>
  <c r="N1565" i="4"/>
  <c r="M1565" i="4"/>
  <c r="L1565" i="4"/>
  <c r="K1565" i="4"/>
  <c r="J1565" i="4"/>
  <c r="P1564" i="4"/>
  <c r="Q1564" i="4" s="1"/>
  <c r="O1564" i="4"/>
  <c r="N1564" i="4"/>
  <c r="M1564" i="4"/>
  <c r="L1564" i="4"/>
  <c r="K1564" i="4"/>
  <c r="J1564" i="4"/>
  <c r="P1563" i="4"/>
  <c r="Q1563" i="4" s="1"/>
  <c r="O1563" i="4"/>
  <c r="N1563" i="4"/>
  <c r="M1563" i="4"/>
  <c r="L1563" i="4"/>
  <c r="K1563" i="4"/>
  <c r="J1563" i="4"/>
  <c r="P1562" i="4"/>
  <c r="Q1562" i="4" s="1"/>
  <c r="O1562" i="4"/>
  <c r="N1562" i="4"/>
  <c r="M1562" i="4"/>
  <c r="L1562" i="4"/>
  <c r="K1562" i="4"/>
  <c r="J1562" i="4"/>
  <c r="P1561" i="4"/>
  <c r="Q1561" i="4" s="1"/>
  <c r="O1561" i="4"/>
  <c r="N1561" i="4"/>
  <c r="M1561" i="4"/>
  <c r="L1561" i="4"/>
  <c r="K1561" i="4"/>
  <c r="J1561" i="4"/>
  <c r="P1560" i="4"/>
  <c r="Q1560" i="4" s="1"/>
  <c r="O1560" i="4"/>
  <c r="N1560" i="4"/>
  <c r="M1560" i="4"/>
  <c r="L1560" i="4"/>
  <c r="K1560" i="4"/>
  <c r="J1560" i="4"/>
  <c r="P1559" i="4"/>
  <c r="Q1559" i="4" s="1"/>
  <c r="O1559" i="4"/>
  <c r="N1559" i="4"/>
  <c r="M1559" i="4"/>
  <c r="L1559" i="4"/>
  <c r="K1559" i="4"/>
  <c r="J1559" i="4"/>
  <c r="P1558" i="4"/>
  <c r="Q1558" i="4" s="1"/>
  <c r="O1558" i="4"/>
  <c r="N1558" i="4"/>
  <c r="M1558" i="4"/>
  <c r="L1558" i="4"/>
  <c r="K1558" i="4"/>
  <c r="J1558" i="4"/>
  <c r="Q1557" i="4"/>
  <c r="P1557" i="4"/>
  <c r="O1557" i="4"/>
  <c r="N1557" i="4"/>
  <c r="M1557" i="4"/>
  <c r="L1557" i="4"/>
  <c r="K1557" i="4"/>
  <c r="J1557" i="4"/>
  <c r="P1556" i="4"/>
  <c r="Q1556" i="4" s="1"/>
  <c r="O1556" i="4"/>
  <c r="N1556" i="4"/>
  <c r="M1556" i="4"/>
  <c r="L1556" i="4"/>
  <c r="K1556" i="4"/>
  <c r="J1556" i="4"/>
  <c r="P1555" i="4"/>
  <c r="Q1555" i="4" s="1"/>
  <c r="O1555" i="4"/>
  <c r="N1555" i="4"/>
  <c r="M1555" i="4"/>
  <c r="L1555" i="4"/>
  <c r="K1555" i="4"/>
  <c r="J1555" i="4"/>
  <c r="P1554" i="4"/>
  <c r="Q1554" i="4" s="1"/>
  <c r="O1554" i="4"/>
  <c r="N1554" i="4"/>
  <c r="M1554" i="4"/>
  <c r="L1554" i="4"/>
  <c r="K1554" i="4"/>
  <c r="J1554" i="4"/>
  <c r="P1553" i="4"/>
  <c r="Q1553" i="4" s="1"/>
  <c r="O1553" i="4"/>
  <c r="N1553" i="4"/>
  <c r="M1553" i="4"/>
  <c r="L1553" i="4"/>
  <c r="K1553" i="4"/>
  <c r="J1553" i="4"/>
  <c r="P1552" i="4"/>
  <c r="Q1552" i="4" s="1"/>
  <c r="O1552" i="4"/>
  <c r="N1552" i="4"/>
  <c r="M1552" i="4"/>
  <c r="L1552" i="4"/>
  <c r="K1552" i="4"/>
  <c r="J1552" i="4"/>
  <c r="P1551" i="4"/>
  <c r="Q1551" i="4" s="1"/>
  <c r="O1551" i="4"/>
  <c r="N1551" i="4"/>
  <c r="M1551" i="4"/>
  <c r="L1551" i="4"/>
  <c r="K1551" i="4"/>
  <c r="J1551" i="4"/>
  <c r="P1550" i="4"/>
  <c r="Q1550" i="4" s="1"/>
  <c r="O1550" i="4"/>
  <c r="N1550" i="4"/>
  <c r="M1550" i="4"/>
  <c r="L1550" i="4"/>
  <c r="K1550" i="4"/>
  <c r="J1550" i="4"/>
  <c r="P1549" i="4"/>
  <c r="Q1549" i="4" s="1"/>
  <c r="O1549" i="4"/>
  <c r="N1549" i="4"/>
  <c r="M1549" i="4"/>
  <c r="L1549" i="4"/>
  <c r="K1549" i="4"/>
  <c r="J1549" i="4"/>
  <c r="P1548" i="4"/>
  <c r="Q1548" i="4" s="1"/>
  <c r="O1548" i="4"/>
  <c r="N1548" i="4"/>
  <c r="M1548" i="4"/>
  <c r="L1548" i="4"/>
  <c r="K1548" i="4"/>
  <c r="J1548" i="4"/>
  <c r="P1547" i="4"/>
  <c r="Q1547" i="4" s="1"/>
  <c r="O1547" i="4"/>
  <c r="N1547" i="4"/>
  <c r="M1547" i="4"/>
  <c r="L1547" i="4"/>
  <c r="K1547" i="4"/>
  <c r="J1547" i="4"/>
  <c r="P1546" i="4"/>
  <c r="Q1546" i="4" s="1"/>
  <c r="O1546" i="4"/>
  <c r="N1546" i="4"/>
  <c r="M1546" i="4"/>
  <c r="L1546" i="4"/>
  <c r="K1546" i="4"/>
  <c r="J1546" i="4"/>
  <c r="P1545" i="4"/>
  <c r="Q1545" i="4" s="1"/>
  <c r="O1545" i="4"/>
  <c r="N1545" i="4"/>
  <c r="M1545" i="4"/>
  <c r="L1545" i="4"/>
  <c r="K1545" i="4"/>
  <c r="J1545" i="4"/>
  <c r="P1544" i="4"/>
  <c r="Q1544" i="4" s="1"/>
  <c r="O1544" i="4"/>
  <c r="N1544" i="4"/>
  <c r="M1544" i="4"/>
  <c r="L1544" i="4"/>
  <c r="K1544" i="4"/>
  <c r="J1544" i="4"/>
  <c r="P1543" i="4"/>
  <c r="Q1543" i="4" s="1"/>
  <c r="O1543" i="4"/>
  <c r="N1543" i="4"/>
  <c r="M1543" i="4"/>
  <c r="L1543" i="4"/>
  <c r="K1543" i="4"/>
  <c r="J1543" i="4"/>
  <c r="Q1542" i="4"/>
  <c r="P1542" i="4"/>
  <c r="O1542" i="4"/>
  <c r="N1542" i="4"/>
  <c r="M1542" i="4"/>
  <c r="L1542" i="4"/>
  <c r="K1542" i="4"/>
  <c r="J1542" i="4"/>
  <c r="P1541" i="4"/>
  <c r="Q1541" i="4" s="1"/>
  <c r="O1541" i="4"/>
  <c r="N1541" i="4"/>
  <c r="M1541" i="4"/>
  <c r="L1541" i="4"/>
  <c r="K1541" i="4"/>
  <c r="J1541" i="4"/>
  <c r="P1540" i="4"/>
  <c r="Q1540" i="4" s="1"/>
  <c r="O1540" i="4"/>
  <c r="N1540" i="4"/>
  <c r="M1540" i="4"/>
  <c r="L1540" i="4"/>
  <c r="K1540" i="4"/>
  <c r="J1540" i="4"/>
  <c r="P1539" i="4"/>
  <c r="Q1539" i="4" s="1"/>
  <c r="O1539" i="4"/>
  <c r="N1539" i="4"/>
  <c r="M1539" i="4"/>
  <c r="L1539" i="4"/>
  <c r="K1539" i="4"/>
  <c r="J1539" i="4"/>
  <c r="P1538" i="4"/>
  <c r="Q1538" i="4" s="1"/>
  <c r="O1538" i="4"/>
  <c r="N1538" i="4"/>
  <c r="M1538" i="4"/>
  <c r="L1538" i="4"/>
  <c r="K1538" i="4"/>
  <c r="J1538" i="4"/>
  <c r="P1537" i="4"/>
  <c r="Q1537" i="4" s="1"/>
  <c r="O1537" i="4"/>
  <c r="N1537" i="4"/>
  <c r="M1537" i="4"/>
  <c r="L1537" i="4"/>
  <c r="K1537" i="4"/>
  <c r="J1537" i="4"/>
  <c r="P1536" i="4"/>
  <c r="Q1536" i="4" s="1"/>
  <c r="O1536" i="4"/>
  <c r="N1536" i="4"/>
  <c r="M1536" i="4"/>
  <c r="L1536" i="4"/>
  <c r="K1536" i="4"/>
  <c r="J1536" i="4"/>
  <c r="P1535" i="4"/>
  <c r="Q1535" i="4" s="1"/>
  <c r="O1535" i="4"/>
  <c r="N1535" i="4"/>
  <c r="M1535" i="4"/>
  <c r="L1535" i="4"/>
  <c r="K1535" i="4"/>
  <c r="J1535" i="4"/>
  <c r="P1534" i="4"/>
  <c r="Q1534" i="4" s="1"/>
  <c r="O1534" i="4"/>
  <c r="N1534" i="4"/>
  <c r="M1534" i="4"/>
  <c r="L1534" i="4"/>
  <c r="K1534" i="4"/>
  <c r="J1534" i="4"/>
  <c r="Q1533" i="4"/>
  <c r="P1533" i="4"/>
  <c r="O1533" i="4"/>
  <c r="N1533" i="4"/>
  <c r="M1533" i="4"/>
  <c r="L1533" i="4"/>
  <c r="K1533" i="4"/>
  <c r="J1533" i="4"/>
  <c r="P1532" i="4"/>
  <c r="Q1532" i="4" s="1"/>
  <c r="O1532" i="4"/>
  <c r="N1532" i="4"/>
  <c r="M1532" i="4"/>
  <c r="L1532" i="4"/>
  <c r="K1532" i="4"/>
  <c r="J1532" i="4"/>
  <c r="P1531" i="4"/>
  <c r="Q1531" i="4" s="1"/>
  <c r="O1531" i="4"/>
  <c r="N1531" i="4"/>
  <c r="M1531" i="4"/>
  <c r="L1531" i="4"/>
  <c r="K1531" i="4"/>
  <c r="J1531" i="4"/>
  <c r="P1530" i="4"/>
  <c r="Q1530" i="4" s="1"/>
  <c r="O1530" i="4"/>
  <c r="N1530" i="4"/>
  <c r="M1530" i="4"/>
  <c r="L1530" i="4"/>
  <c r="K1530" i="4"/>
  <c r="J1530" i="4"/>
  <c r="P1529" i="4"/>
  <c r="Q1529" i="4" s="1"/>
  <c r="O1529" i="4"/>
  <c r="N1529" i="4"/>
  <c r="M1529" i="4"/>
  <c r="L1529" i="4"/>
  <c r="K1529" i="4"/>
  <c r="J1529" i="4"/>
  <c r="P1528" i="4"/>
  <c r="Q1528" i="4" s="1"/>
  <c r="O1528" i="4"/>
  <c r="N1528" i="4"/>
  <c r="M1528" i="4"/>
  <c r="L1528" i="4"/>
  <c r="K1528" i="4"/>
  <c r="J1528" i="4"/>
  <c r="P1527" i="4"/>
  <c r="Q1527" i="4" s="1"/>
  <c r="O1527" i="4"/>
  <c r="N1527" i="4"/>
  <c r="M1527" i="4"/>
  <c r="L1527" i="4"/>
  <c r="K1527" i="4"/>
  <c r="J1527" i="4"/>
  <c r="P1526" i="4"/>
  <c r="Q1526" i="4" s="1"/>
  <c r="O1526" i="4"/>
  <c r="N1526" i="4"/>
  <c r="M1526" i="4"/>
  <c r="L1526" i="4"/>
  <c r="K1526" i="4"/>
  <c r="J1526" i="4"/>
  <c r="P1525" i="4"/>
  <c r="Q1525" i="4" s="1"/>
  <c r="O1525" i="4"/>
  <c r="N1525" i="4"/>
  <c r="M1525" i="4"/>
  <c r="L1525" i="4"/>
  <c r="K1525" i="4"/>
  <c r="J1525" i="4"/>
  <c r="P1524" i="4"/>
  <c r="Q1524" i="4" s="1"/>
  <c r="O1524" i="4"/>
  <c r="N1524" i="4"/>
  <c r="M1524" i="4"/>
  <c r="L1524" i="4"/>
  <c r="K1524" i="4"/>
  <c r="J1524" i="4"/>
  <c r="P1523" i="4"/>
  <c r="Q1523" i="4" s="1"/>
  <c r="O1523" i="4"/>
  <c r="N1523" i="4"/>
  <c r="M1523" i="4"/>
  <c r="L1523" i="4"/>
  <c r="K1523" i="4"/>
  <c r="J1523" i="4"/>
  <c r="P1522" i="4"/>
  <c r="Q1522" i="4" s="1"/>
  <c r="O1522" i="4"/>
  <c r="N1522" i="4"/>
  <c r="M1522" i="4"/>
  <c r="L1522" i="4"/>
  <c r="K1522" i="4"/>
  <c r="J1522" i="4"/>
  <c r="P1521" i="4"/>
  <c r="Q1521" i="4" s="1"/>
  <c r="O1521" i="4"/>
  <c r="N1521" i="4"/>
  <c r="M1521" i="4"/>
  <c r="L1521" i="4"/>
  <c r="K1521" i="4"/>
  <c r="J1521" i="4"/>
  <c r="P1520" i="4"/>
  <c r="Q1520" i="4" s="1"/>
  <c r="O1520" i="4"/>
  <c r="N1520" i="4"/>
  <c r="M1520" i="4"/>
  <c r="L1520" i="4"/>
  <c r="K1520" i="4"/>
  <c r="J1520" i="4"/>
  <c r="P1519" i="4"/>
  <c r="Q1519" i="4" s="1"/>
  <c r="O1519" i="4"/>
  <c r="N1519" i="4"/>
  <c r="M1519" i="4"/>
  <c r="L1519" i="4"/>
  <c r="K1519" i="4"/>
  <c r="J1519" i="4"/>
  <c r="P1518" i="4"/>
  <c r="Q1518" i="4" s="1"/>
  <c r="O1518" i="4"/>
  <c r="N1518" i="4"/>
  <c r="M1518" i="4"/>
  <c r="L1518" i="4"/>
  <c r="K1518" i="4"/>
  <c r="J1518" i="4"/>
  <c r="P1517" i="4"/>
  <c r="Q1517" i="4" s="1"/>
  <c r="O1517" i="4"/>
  <c r="N1517" i="4"/>
  <c r="M1517" i="4"/>
  <c r="L1517" i="4"/>
  <c r="K1517" i="4"/>
  <c r="J1517" i="4"/>
  <c r="P1516" i="4"/>
  <c r="Q1516" i="4" s="1"/>
  <c r="O1516" i="4"/>
  <c r="N1516" i="4"/>
  <c r="M1516" i="4"/>
  <c r="L1516" i="4"/>
  <c r="K1516" i="4"/>
  <c r="J1516" i="4"/>
  <c r="P1515" i="4"/>
  <c r="Q1515" i="4" s="1"/>
  <c r="O1515" i="4"/>
  <c r="N1515" i="4"/>
  <c r="M1515" i="4"/>
  <c r="L1515" i="4"/>
  <c r="K1515" i="4"/>
  <c r="J1515" i="4"/>
  <c r="Q1514" i="4"/>
  <c r="P1514" i="4"/>
  <c r="O1514" i="4"/>
  <c r="N1514" i="4"/>
  <c r="M1514" i="4"/>
  <c r="L1514" i="4"/>
  <c r="K1514" i="4"/>
  <c r="J1514" i="4"/>
  <c r="P1513" i="4"/>
  <c r="Q1513" i="4" s="1"/>
  <c r="O1513" i="4"/>
  <c r="N1513" i="4"/>
  <c r="M1513" i="4"/>
  <c r="L1513" i="4"/>
  <c r="K1513" i="4"/>
  <c r="J1513" i="4"/>
  <c r="P1512" i="4"/>
  <c r="Q1512" i="4" s="1"/>
  <c r="O1512" i="4"/>
  <c r="N1512" i="4"/>
  <c r="M1512" i="4"/>
  <c r="L1512" i="4"/>
  <c r="K1512" i="4"/>
  <c r="J1512" i="4"/>
  <c r="P1511" i="4"/>
  <c r="Q1511" i="4" s="1"/>
  <c r="O1511" i="4"/>
  <c r="N1511" i="4"/>
  <c r="M1511" i="4"/>
  <c r="L1511" i="4"/>
  <c r="K1511" i="4"/>
  <c r="J1511" i="4"/>
  <c r="P1510" i="4"/>
  <c r="Q1510" i="4" s="1"/>
  <c r="O1510" i="4"/>
  <c r="N1510" i="4"/>
  <c r="M1510" i="4"/>
  <c r="L1510" i="4"/>
  <c r="K1510" i="4"/>
  <c r="J1510" i="4"/>
  <c r="P1509" i="4"/>
  <c r="Q1509" i="4" s="1"/>
  <c r="O1509" i="4"/>
  <c r="N1509" i="4"/>
  <c r="M1509" i="4"/>
  <c r="L1509" i="4"/>
  <c r="K1509" i="4"/>
  <c r="J1509" i="4"/>
  <c r="P1508" i="4"/>
  <c r="Q1508" i="4" s="1"/>
  <c r="O1508" i="4"/>
  <c r="N1508" i="4"/>
  <c r="M1508" i="4"/>
  <c r="L1508" i="4"/>
  <c r="K1508" i="4"/>
  <c r="J1508" i="4"/>
  <c r="P1507" i="4"/>
  <c r="Q1507" i="4" s="1"/>
  <c r="O1507" i="4"/>
  <c r="N1507" i="4"/>
  <c r="M1507" i="4"/>
  <c r="L1507" i="4"/>
  <c r="K1507" i="4"/>
  <c r="J1507" i="4"/>
  <c r="P1506" i="4"/>
  <c r="Q1506" i="4" s="1"/>
  <c r="O1506" i="4"/>
  <c r="N1506" i="4"/>
  <c r="M1506" i="4"/>
  <c r="L1506" i="4"/>
  <c r="K1506" i="4"/>
  <c r="J1506" i="4"/>
  <c r="P1505" i="4"/>
  <c r="Q1505" i="4" s="1"/>
  <c r="O1505" i="4"/>
  <c r="N1505" i="4"/>
  <c r="M1505" i="4"/>
  <c r="L1505" i="4"/>
  <c r="K1505" i="4"/>
  <c r="J1505" i="4"/>
  <c r="P1504" i="4"/>
  <c r="Q1504" i="4" s="1"/>
  <c r="O1504" i="4"/>
  <c r="N1504" i="4"/>
  <c r="M1504" i="4"/>
  <c r="L1504" i="4"/>
  <c r="K1504" i="4"/>
  <c r="J1504" i="4"/>
  <c r="P1503" i="4"/>
  <c r="Q1503" i="4" s="1"/>
  <c r="O1503" i="4"/>
  <c r="N1503" i="4"/>
  <c r="M1503" i="4"/>
  <c r="L1503" i="4"/>
  <c r="K1503" i="4"/>
  <c r="J1503" i="4"/>
  <c r="P1502" i="4"/>
  <c r="Q1502" i="4" s="1"/>
  <c r="O1502" i="4"/>
  <c r="N1502" i="4"/>
  <c r="M1502" i="4"/>
  <c r="L1502" i="4"/>
  <c r="K1502" i="4"/>
  <c r="J1502" i="4"/>
  <c r="P1501" i="4"/>
  <c r="Q1501" i="4" s="1"/>
  <c r="O1501" i="4"/>
  <c r="N1501" i="4"/>
  <c r="M1501" i="4"/>
  <c r="L1501" i="4"/>
  <c r="K1501" i="4"/>
  <c r="J1501" i="4"/>
  <c r="P1500" i="4"/>
  <c r="Q1500" i="4" s="1"/>
  <c r="O1500" i="4"/>
  <c r="N1500" i="4"/>
  <c r="M1500" i="4"/>
  <c r="L1500" i="4"/>
  <c r="K1500" i="4"/>
  <c r="J1500" i="4"/>
  <c r="P1499" i="4"/>
  <c r="Q1499" i="4" s="1"/>
  <c r="O1499" i="4"/>
  <c r="N1499" i="4"/>
  <c r="M1499" i="4"/>
  <c r="L1499" i="4"/>
  <c r="K1499" i="4"/>
  <c r="J1499" i="4"/>
  <c r="P1498" i="4"/>
  <c r="Q1498" i="4" s="1"/>
  <c r="O1498" i="4"/>
  <c r="N1498" i="4"/>
  <c r="M1498" i="4"/>
  <c r="L1498" i="4"/>
  <c r="K1498" i="4"/>
  <c r="J1498" i="4"/>
  <c r="P1497" i="4"/>
  <c r="Q1497" i="4" s="1"/>
  <c r="O1497" i="4"/>
  <c r="N1497" i="4"/>
  <c r="M1497" i="4"/>
  <c r="L1497" i="4"/>
  <c r="K1497" i="4"/>
  <c r="J1497" i="4"/>
  <c r="Q1496" i="4"/>
  <c r="P1496" i="4"/>
  <c r="O1496" i="4"/>
  <c r="N1496" i="4"/>
  <c r="M1496" i="4"/>
  <c r="L1496" i="4"/>
  <c r="K1496" i="4"/>
  <c r="J1496" i="4"/>
  <c r="P1495" i="4"/>
  <c r="Q1495" i="4" s="1"/>
  <c r="O1495" i="4"/>
  <c r="N1495" i="4"/>
  <c r="M1495" i="4"/>
  <c r="L1495" i="4"/>
  <c r="K1495" i="4"/>
  <c r="J1495" i="4"/>
  <c r="P1494" i="4"/>
  <c r="Q1494" i="4" s="1"/>
  <c r="O1494" i="4"/>
  <c r="N1494" i="4"/>
  <c r="M1494" i="4"/>
  <c r="L1494" i="4"/>
  <c r="K1494" i="4"/>
  <c r="J1494" i="4"/>
  <c r="P1493" i="4"/>
  <c r="Q1493" i="4" s="1"/>
  <c r="O1493" i="4"/>
  <c r="N1493" i="4"/>
  <c r="M1493" i="4"/>
  <c r="L1493" i="4"/>
  <c r="K1493" i="4"/>
  <c r="J1493" i="4"/>
  <c r="P1492" i="4"/>
  <c r="Q1492" i="4" s="1"/>
  <c r="O1492" i="4"/>
  <c r="N1492" i="4"/>
  <c r="M1492" i="4"/>
  <c r="L1492" i="4"/>
  <c r="K1492" i="4"/>
  <c r="J1492" i="4"/>
  <c r="P1491" i="4"/>
  <c r="Q1491" i="4" s="1"/>
  <c r="O1491" i="4"/>
  <c r="N1491" i="4"/>
  <c r="M1491" i="4"/>
  <c r="L1491" i="4"/>
  <c r="K1491" i="4"/>
  <c r="J1491" i="4"/>
  <c r="P1490" i="4"/>
  <c r="Q1490" i="4" s="1"/>
  <c r="O1490" i="4"/>
  <c r="N1490" i="4"/>
  <c r="M1490" i="4"/>
  <c r="L1490" i="4"/>
  <c r="K1490" i="4"/>
  <c r="J1490" i="4"/>
  <c r="P1489" i="4"/>
  <c r="Q1489" i="4" s="1"/>
  <c r="O1489" i="4"/>
  <c r="N1489" i="4"/>
  <c r="M1489" i="4"/>
  <c r="L1489" i="4"/>
  <c r="K1489" i="4"/>
  <c r="J1489" i="4"/>
  <c r="P1488" i="4"/>
  <c r="Q1488" i="4" s="1"/>
  <c r="O1488" i="4"/>
  <c r="N1488" i="4"/>
  <c r="M1488" i="4"/>
  <c r="L1488" i="4"/>
  <c r="K1488" i="4"/>
  <c r="J1488" i="4"/>
  <c r="Q1487" i="4"/>
  <c r="P1487" i="4"/>
  <c r="O1487" i="4"/>
  <c r="N1487" i="4"/>
  <c r="M1487" i="4"/>
  <c r="L1487" i="4"/>
  <c r="K1487" i="4"/>
  <c r="J1487" i="4"/>
  <c r="P1486" i="4"/>
  <c r="Q1486" i="4" s="1"/>
  <c r="O1486" i="4"/>
  <c r="N1486" i="4"/>
  <c r="M1486" i="4"/>
  <c r="L1486" i="4"/>
  <c r="K1486" i="4"/>
  <c r="J1486" i="4"/>
  <c r="P1485" i="4"/>
  <c r="Q1485" i="4" s="1"/>
  <c r="O1485" i="4"/>
  <c r="N1485" i="4"/>
  <c r="M1485" i="4"/>
  <c r="L1485" i="4"/>
  <c r="K1485" i="4"/>
  <c r="J1485" i="4"/>
  <c r="P1484" i="4"/>
  <c r="Q1484" i="4" s="1"/>
  <c r="O1484" i="4"/>
  <c r="N1484" i="4"/>
  <c r="M1484" i="4"/>
  <c r="L1484" i="4"/>
  <c r="K1484" i="4"/>
  <c r="J1484" i="4"/>
  <c r="P1483" i="4"/>
  <c r="Q1483" i="4" s="1"/>
  <c r="O1483" i="4"/>
  <c r="N1483" i="4"/>
  <c r="M1483" i="4"/>
  <c r="L1483" i="4"/>
  <c r="K1483" i="4"/>
  <c r="J1483" i="4"/>
  <c r="P1482" i="4"/>
  <c r="Q1482" i="4" s="1"/>
  <c r="O1482" i="4"/>
  <c r="N1482" i="4"/>
  <c r="M1482" i="4"/>
  <c r="L1482" i="4"/>
  <c r="K1482" i="4"/>
  <c r="J1482" i="4"/>
  <c r="P1481" i="4"/>
  <c r="Q1481" i="4" s="1"/>
  <c r="O1481" i="4"/>
  <c r="N1481" i="4"/>
  <c r="M1481" i="4"/>
  <c r="L1481" i="4"/>
  <c r="K1481" i="4"/>
  <c r="J1481" i="4"/>
  <c r="P1480" i="4"/>
  <c r="Q1480" i="4" s="1"/>
  <c r="O1480" i="4"/>
  <c r="N1480" i="4"/>
  <c r="M1480" i="4"/>
  <c r="L1480" i="4"/>
  <c r="K1480" i="4"/>
  <c r="J1480" i="4"/>
  <c r="P1479" i="4"/>
  <c r="Q1479" i="4" s="1"/>
  <c r="O1479" i="4"/>
  <c r="N1479" i="4"/>
  <c r="M1479" i="4"/>
  <c r="L1479" i="4"/>
  <c r="K1479" i="4"/>
  <c r="J1479" i="4"/>
  <c r="P1478" i="4"/>
  <c r="Q1478" i="4" s="1"/>
  <c r="O1478" i="4"/>
  <c r="N1478" i="4"/>
  <c r="M1478" i="4"/>
  <c r="L1478" i="4"/>
  <c r="K1478" i="4"/>
  <c r="J1478" i="4"/>
  <c r="P1477" i="4"/>
  <c r="Q1477" i="4" s="1"/>
  <c r="O1477" i="4"/>
  <c r="N1477" i="4"/>
  <c r="M1477" i="4"/>
  <c r="L1477" i="4"/>
  <c r="K1477" i="4"/>
  <c r="J1477" i="4"/>
  <c r="P1476" i="4"/>
  <c r="Q1476" i="4" s="1"/>
  <c r="O1476" i="4"/>
  <c r="N1476" i="4"/>
  <c r="M1476" i="4"/>
  <c r="L1476" i="4"/>
  <c r="K1476" i="4"/>
  <c r="J1476" i="4"/>
  <c r="P1475" i="4"/>
  <c r="Q1475" i="4" s="1"/>
  <c r="O1475" i="4"/>
  <c r="N1475" i="4"/>
  <c r="M1475" i="4"/>
  <c r="L1475" i="4"/>
  <c r="K1475" i="4"/>
  <c r="J1475" i="4"/>
  <c r="P1474" i="4"/>
  <c r="Q1474" i="4" s="1"/>
  <c r="O1474" i="4"/>
  <c r="N1474" i="4"/>
  <c r="M1474" i="4"/>
  <c r="L1474" i="4"/>
  <c r="K1474" i="4"/>
  <c r="J1474" i="4"/>
  <c r="P1473" i="4"/>
  <c r="Q1473" i="4" s="1"/>
  <c r="O1473" i="4"/>
  <c r="N1473" i="4"/>
  <c r="M1473" i="4"/>
  <c r="L1473" i="4"/>
  <c r="K1473" i="4"/>
  <c r="J1473" i="4"/>
  <c r="P1472" i="4"/>
  <c r="Q1472" i="4" s="1"/>
  <c r="O1472" i="4"/>
  <c r="N1472" i="4"/>
  <c r="M1472" i="4"/>
  <c r="L1472" i="4"/>
  <c r="K1472" i="4"/>
  <c r="J1472" i="4"/>
  <c r="P1471" i="4"/>
  <c r="Q1471" i="4" s="1"/>
  <c r="O1471" i="4"/>
  <c r="N1471" i="4"/>
  <c r="M1471" i="4"/>
  <c r="L1471" i="4"/>
  <c r="K1471" i="4"/>
  <c r="J1471" i="4"/>
  <c r="P1470" i="4"/>
  <c r="Q1470" i="4" s="1"/>
  <c r="O1470" i="4"/>
  <c r="N1470" i="4"/>
  <c r="M1470" i="4"/>
  <c r="L1470" i="4"/>
  <c r="K1470" i="4"/>
  <c r="J1470" i="4"/>
  <c r="P1469" i="4"/>
  <c r="Q1469" i="4" s="1"/>
  <c r="O1469" i="4"/>
  <c r="N1469" i="4"/>
  <c r="M1469" i="4"/>
  <c r="L1469" i="4"/>
  <c r="K1469" i="4"/>
  <c r="J1469" i="4"/>
  <c r="P1468" i="4"/>
  <c r="Q1468" i="4" s="1"/>
  <c r="O1468" i="4"/>
  <c r="N1468" i="4"/>
  <c r="M1468" i="4"/>
  <c r="L1468" i="4"/>
  <c r="K1468" i="4"/>
  <c r="J1468" i="4"/>
  <c r="P1467" i="4"/>
  <c r="Q1467" i="4" s="1"/>
  <c r="O1467" i="4"/>
  <c r="N1467" i="4"/>
  <c r="M1467" i="4"/>
  <c r="L1467" i="4"/>
  <c r="K1467" i="4"/>
  <c r="J1467" i="4"/>
  <c r="P1466" i="4"/>
  <c r="Q1466" i="4" s="1"/>
  <c r="O1466" i="4"/>
  <c r="N1466" i="4"/>
  <c r="M1466" i="4"/>
  <c r="L1466" i="4"/>
  <c r="K1466" i="4"/>
  <c r="J1466" i="4"/>
  <c r="P1465" i="4"/>
  <c r="Q1465" i="4" s="1"/>
  <c r="O1465" i="4"/>
  <c r="N1465" i="4"/>
  <c r="M1465" i="4"/>
  <c r="L1465" i="4"/>
  <c r="K1465" i="4"/>
  <c r="J1465" i="4"/>
  <c r="P1464" i="4"/>
  <c r="Q1464" i="4" s="1"/>
  <c r="O1464" i="4"/>
  <c r="N1464" i="4"/>
  <c r="M1464" i="4"/>
  <c r="L1464" i="4"/>
  <c r="K1464" i="4"/>
  <c r="J1464" i="4"/>
  <c r="P1463" i="4"/>
  <c r="Q1463" i="4" s="1"/>
  <c r="O1463" i="4"/>
  <c r="N1463" i="4"/>
  <c r="M1463" i="4"/>
  <c r="L1463" i="4"/>
  <c r="K1463" i="4"/>
  <c r="J1463" i="4"/>
  <c r="P1462" i="4"/>
  <c r="Q1462" i="4" s="1"/>
  <c r="O1462" i="4"/>
  <c r="N1462" i="4"/>
  <c r="M1462" i="4"/>
  <c r="L1462" i="4"/>
  <c r="K1462" i="4"/>
  <c r="J1462" i="4"/>
  <c r="P1461" i="4"/>
  <c r="Q1461" i="4" s="1"/>
  <c r="O1461" i="4"/>
  <c r="N1461" i="4"/>
  <c r="M1461" i="4"/>
  <c r="L1461" i="4"/>
  <c r="K1461" i="4"/>
  <c r="J1461" i="4"/>
  <c r="P1460" i="4"/>
  <c r="Q1460" i="4" s="1"/>
  <c r="O1460" i="4"/>
  <c r="N1460" i="4"/>
  <c r="M1460" i="4"/>
  <c r="L1460" i="4"/>
  <c r="K1460" i="4"/>
  <c r="J1460" i="4"/>
  <c r="P1459" i="4"/>
  <c r="Q1459" i="4" s="1"/>
  <c r="O1459" i="4"/>
  <c r="N1459" i="4"/>
  <c r="M1459" i="4"/>
  <c r="L1459" i="4"/>
  <c r="K1459" i="4"/>
  <c r="J1459" i="4"/>
  <c r="P1458" i="4"/>
  <c r="Q1458" i="4" s="1"/>
  <c r="O1458" i="4"/>
  <c r="N1458" i="4"/>
  <c r="M1458" i="4"/>
  <c r="L1458" i="4"/>
  <c r="K1458" i="4"/>
  <c r="J1458" i="4"/>
  <c r="P1457" i="4"/>
  <c r="Q1457" i="4" s="1"/>
  <c r="O1457" i="4"/>
  <c r="N1457" i="4"/>
  <c r="M1457" i="4"/>
  <c r="L1457" i="4"/>
  <c r="K1457" i="4"/>
  <c r="J1457" i="4"/>
  <c r="P1456" i="4"/>
  <c r="Q1456" i="4" s="1"/>
  <c r="O1456" i="4"/>
  <c r="N1456" i="4"/>
  <c r="M1456" i="4"/>
  <c r="L1456" i="4"/>
  <c r="K1456" i="4"/>
  <c r="J1456" i="4"/>
  <c r="P1455" i="4"/>
  <c r="Q1455" i="4" s="1"/>
  <c r="O1455" i="4"/>
  <c r="N1455" i="4"/>
  <c r="M1455" i="4"/>
  <c r="L1455" i="4"/>
  <c r="K1455" i="4"/>
  <c r="J1455" i="4"/>
  <c r="P1454" i="4"/>
  <c r="Q1454" i="4" s="1"/>
  <c r="O1454" i="4"/>
  <c r="N1454" i="4"/>
  <c r="M1454" i="4"/>
  <c r="L1454" i="4"/>
  <c r="K1454" i="4"/>
  <c r="J1454" i="4"/>
  <c r="P1453" i="4"/>
  <c r="Q1453" i="4" s="1"/>
  <c r="O1453" i="4"/>
  <c r="N1453" i="4"/>
  <c r="M1453" i="4"/>
  <c r="L1453" i="4"/>
  <c r="K1453" i="4"/>
  <c r="J1453" i="4"/>
  <c r="Q1452" i="4"/>
  <c r="P1452" i="4"/>
  <c r="O1452" i="4"/>
  <c r="N1452" i="4"/>
  <c r="M1452" i="4"/>
  <c r="L1452" i="4"/>
  <c r="K1452" i="4"/>
  <c r="J1452" i="4"/>
  <c r="P1451" i="4"/>
  <c r="Q1451" i="4" s="1"/>
  <c r="O1451" i="4"/>
  <c r="N1451" i="4"/>
  <c r="M1451" i="4"/>
  <c r="L1451" i="4"/>
  <c r="K1451" i="4"/>
  <c r="J1451" i="4"/>
  <c r="P1450" i="4"/>
  <c r="Q1450" i="4" s="1"/>
  <c r="O1450" i="4"/>
  <c r="N1450" i="4"/>
  <c r="M1450" i="4"/>
  <c r="L1450" i="4"/>
  <c r="K1450" i="4"/>
  <c r="J1450" i="4"/>
  <c r="Q1449" i="4"/>
  <c r="P1449" i="4"/>
  <c r="O1449" i="4"/>
  <c r="N1449" i="4"/>
  <c r="M1449" i="4"/>
  <c r="L1449" i="4"/>
  <c r="K1449" i="4"/>
  <c r="J1449" i="4"/>
  <c r="P1448" i="4"/>
  <c r="Q1448" i="4" s="1"/>
  <c r="O1448" i="4"/>
  <c r="N1448" i="4"/>
  <c r="M1448" i="4"/>
  <c r="L1448" i="4"/>
  <c r="K1448" i="4"/>
  <c r="J1448" i="4"/>
  <c r="P1447" i="4"/>
  <c r="Q1447" i="4" s="1"/>
  <c r="O1447" i="4"/>
  <c r="N1447" i="4"/>
  <c r="M1447" i="4"/>
  <c r="L1447" i="4"/>
  <c r="K1447" i="4"/>
  <c r="J1447" i="4"/>
  <c r="P1446" i="4"/>
  <c r="Q1446" i="4" s="1"/>
  <c r="O1446" i="4"/>
  <c r="N1446" i="4"/>
  <c r="M1446" i="4"/>
  <c r="L1446" i="4"/>
  <c r="K1446" i="4"/>
  <c r="J1446" i="4"/>
  <c r="P1445" i="4"/>
  <c r="Q1445" i="4" s="1"/>
  <c r="O1445" i="4"/>
  <c r="N1445" i="4"/>
  <c r="M1445" i="4"/>
  <c r="L1445" i="4"/>
  <c r="K1445" i="4"/>
  <c r="J1445" i="4"/>
  <c r="P1444" i="4"/>
  <c r="Q1444" i="4" s="1"/>
  <c r="O1444" i="4"/>
  <c r="N1444" i="4"/>
  <c r="M1444" i="4"/>
  <c r="L1444" i="4"/>
  <c r="K1444" i="4"/>
  <c r="J1444" i="4"/>
  <c r="P1443" i="4"/>
  <c r="Q1443" i="4" s="1"/>
  <c r="O1443" i="4"/>
  <c r="N1443" i="4"/>
  <c r="M1443" i="4"/>
  <c r="L1443" i="4"/>
  <c r="K1443" i="4"/>
  <c r="J1443" i="4"/>
  <c r="P1442" i="4"/>
  <c r="Q1442" i="4" s="1"/>
  <c r="O1442" i="4"/>
  <c r="N1442" i="4"/>
  <c r="M1442" i="4"/>
  <c r="L1442" i="4"/>
  <c r="K1442" i="4"/>
  <c r="J1442" i="4"/>
  <c r="P1441" i="4"/>
  <c r="Q1441" i="4" s="1"/>
  <c r="O1441" i="4"/>
  <c r="N1441" i="4"/>
  <c r="M1441" i="4"/>
  <c r="L1441" i="4"/>
  <c r="K1441" i="4"/>
  <c r="J1441" i="4"/>
  <c r="P1440" i="4"/>
  <c r="Q1440" i="4" s="1"/>
  <c r="O1440" i="4"/>
  <c r="N1440" i="4"/>
  <c r="M1440" i="4"/>
  <c r="L1440" i="4"/>
  <c r="K1440" i="4"/>
  <c r="J1440" i="4"/>
  <c r="P1439" i="4"/>
  <c r="Q1439" i="4" s="1"/>
  <c r="O1439" i="4"/>
  <c r="N1439" i="4"/>
  <c r="M1439" i="4"/>
  <c r="L1439" i="4"/>
  <c r="K1439" i="4"/>
  <c r="J1439" i="4"/>
  <c r="P1438" i="4"/>
  <c r="Q1438" i="4" s="1"/>
  <c r="O1438" i="4"/>
  <c r="N1438" i="4"/>
  <c r="M1438" i="4"/>
  <c r="L1438" i="4"/>
  <c r="K1438" i="4"/>
  <c r="J1438" i="4"/>
  <c r="P1437" i="4"/>
  <c r="Q1437" i="4" s="1"/>
  <c r="O1437" i="4"/>
  <c r="N1437" i="4"/>
  <c r="M1437" i="4"/>
  <c r="L1437" i="4"/>
  <c r="K1437" i="4"/>
  <c r="J1437" i="4"/>
  <c r="P1436" i="4"/>
  <c r="Q1436" i="4" s="1"/>
  <c r="O1436" i="4"/>
  <c r="N1436" i="4"/>
  <c r="M1436" i="4"/>
  <c r="L1436" i="4"/>
  <c r="K1436" i="4"/>
  <c r="J1436" i="4"/>
  <c r="P1435" i="4"/>
  <c r="Q1435" i="4" s="1"/>
  <c r="O1435" i="4"/>
  <c r="N1435" i="4"/>
  <c r="M1435" i="4"/>
  <c r="L1435" i="4"/>
  <c r="K1435" i="4"/>
  <c r="J1435" i="4"/>
  <c r="P1434" i="4"/>
  <c r="Q1434" i="4" s="1"/>
  <c r="O1434" i="4"/>
  <c r="N1434" i="4"/>
  <c r="M1434" i="4"/>
  <c r="L1434" i="4"/>
  <c r="K1434" i="4"/>
  <c r="J1434" i="4"/>
  <c r="P1433" i="4"/>
  <c r="Q1433" i="4" s="1"/>
  <c r="O1433" i="4"/>
  <c r="N1433" i="4"/>
  <c r="M1433" i="4"/>
  <c r="L1433" i="4"/>
  <c r="K1433" i="4"/>
  <c r="J1433" i="4"/>
  <c r="P1432" i="4"/>
  <c r="Q1432" i="4" s="1"/>
  <c r="O1432" i="4"/>
  <c r="N1432" i="4"/>
  <c r="M1432" i="4"/>
  <c r="L1432" i="4"/>
  <c r="K1432" i="4"/>
  <c r="J1432" i="4"/>
  <c r="P1431" i="4"/>
  <c r="Q1431" i="4" s="1"/>
  <c r="O1431" i="4"/>
  <c r="N1431" i="4"/>
  <c r="M1431" i="4"/>
  <c r="L1431" i="4"/>
  <c r="K1431" i="4"/>
  <c r="J1431" i="4"/>
  <c r="P1430" i="4"/>
  <c r="Q1430" i="4" s="1"/>
  <c r="O1430" i="4"/>
  <c r="N1430" i="4"/>
  <c r="M1430" i="4"/>
  <c r="L1430" i="4"/>
  <c r="K1430" i="4"/>
  <c r="J1430" i="4"/>
  <c r="P1429" i="4"/>
  <c r="Q1429" i="4" s="1"/>
  <c r="O1429" i="4"/>
  <c r="N1429" i="4"/>
  <c r="M1429" i="4"/>
  <c r="L1429" i="4"/>
  <c r="K1429" i="4"/>
  <c r="J1429" i="4"/>
  <c r="P1428" i="4"/>
  <c r="Q1428" i="4" s="1"/>
  <c r="O1428" i="4"/>
  <c r="N1428" i="4"/>
  <c r="M1428" i="4"/>
  <c r="L1428" i="4"/>
  <c r="K1428" i="4"/>
  <c r="J1428" i="4"/>
  <c r="P1427" i="4"/>
  <c r="Q1427" i="4" s="1"/>
  <c r="O1427" i="4"/>
  <c r="N1427" i="4"/>
  <c r="M1427" i="4"/>
  <c r="L1427" i="4"/>
  <c r="K1427" i="4"/>
  <c r="J1427" i="4"/>
  <c r="P1426" i="4"/>
  <c r="Q1426" i="4" s="1"/>
  <c r="O1426" i="4"/>
  <c r="N1426" i="4"/>
  <c r="M1426" i="4"/>
  <c r="L1426" i="4"/>
  <c r="K1426" i="4"/>
  <c r="J1426" i="4"/>
  <c r="P1425" i="4"/>
  <c r="Q1425" i="4" s="1"/>
  <c r="O1425" i="4"/>
  <c r="N1425" i="4"/>
  <c r="M1425" i="4"/>
  <c r="L1425" i="4"/>
  <c r="K1425" i="4"/>
  <c r="J1425" i="4"/>
  <c r="P1424" i="4"/>
  <c r="Q1424" i="4" s="1"/>
  <c r="O1424" i="4"/>
  <c r="N1424" i="4"/>
  <c r="M1424" i="4"/>
  <c r="L1424" i="4"/>
  <c r="K1424" i="4"/>
  <c r="J1424" i="4"/>
  <c r="P1423" i="4"/>
  <c r="Q1423" i="4" s="1"/>
  <c r="O1423" i="4"/>
  <c r="N1423" i="4"/>
  <c r="M1423" i="4"/>
  <c r="L1423" i="4"/>
  <c r="K1423" i="4"/>
  <c r="J1423" i="4"/>
  <c r="P1422" i="4"/>
  <c r="Q1422" i="4" s="1"/>
  <c r="O1422" i="4"/>
  <c r="N1422" i="4"/>
  <c r="M1422" i="4"/>
  <c r="L1422" i="4"/>
  <c r="K1422" i="4"/>
  <c r="J1422" i="4"/>
  <c r="P1421" i="4"/>
  <c r="Q1421" i="4" s="1"/>
  <c r="O1421" i="4"/>
  <c r="N1421" i="4"/>
  <c r="M1421" i="4"/>
  <c r="L1421" i="4"/>
  <c r="K1421" i="4"/>
  <c r="J1421" i="4"/>
  <c r="P1420" i="4"/>
  <c r="Q1420" i="4" s="1"/>
  <c r="O1420" i="4"/>
  <c r="N1420" i="4"/>
  <c r="M1420" i="4"/>
  <c r="L1420" i="4"/>
  <c r="K1420" i="4"/>
  <c r="J1420" i="4"/>
  <c r="P1419" i="4"/>
  <c r="Q1419" i="4" s="1"/>
  <c r="O1419" i="4"/>
  <c r="N1419" i="4"/>
  <c r="M1419" i="4"/>
  <c r="L1419" i="4"/>
  <c r="K1419" i="4"/>
  <c r="J1419" i="4"/>
  <c r="P1418" i="4"/>
  <c r="Q1418" i="4" s="1"/>
  <c r="O1418" i="4"/>
  <c r="N1418" i="4"/>
  <c r="M1418" i="4"/>
  <c r="L1418" i="4"/>
  <c r="K1418" i="4"/>
  <c r="J1418" i="4"/>
  <c r="P1417" i="4"/>
  <c r="Q1417" i="4" s="1"/>
  <c r="O1417" i="4"/>
  <c r="N1417" i="4"/>
  <c r="M1417" i="4"/>
  <c r="L1417" i="4"/>
  <c r="K1417" i="4"/>
  <c r="J1417" i="4"/>
  <c r="P1416" i="4"/>
  <c r="Q1416" i="4" s="1"/>
  <c r="O1416" i="4"/>
  <c r="N1416" i="4"/>
  <c r="M1416" i="4"/>
  <c r="L1416" i="4"/>
  <c r="K1416" i="4"/>
  <c r="J1416" i="4"/>
  <c r="P1415" i="4"/>
  <c r="Q1415" i="4" s="1"/>
  <c r="O1415" i="4"/>
  <c r="N1415" i="4"/>
  <c r="M1415" i="4"/>
  <c r="L1415" i="4"/>
  <c r="K1415" i="4"/>
  <c r="J1415" i="4"/>
  <c r="P1414" i="4"/>
  <c r="Q1414" i="4" s="1"/>
  <c r="O1414" i="4"/>
  <c r="N1414" i="4"/>
  <c r="M1414" i="4"/>
  <c r="L1414" i="4"/>
  <c r="K1414" i="4"/>
  <c r="J1414" i="4"/>
  <c r="P1413" i="4"/>
  <c r="Q1413" i="4" s="1"/>
  <c r="O1413" i="4"/>
  <c r="N1413" i="4"/>
  <c r="M1413" i="4"/>
  <c r="L1413" i="4"/>
  <c r="K1413" i="4"/>
  <c r="J1413" i="4"/>
  <c r="P1412" i="4"/>
  <c r="Q1412" i="4" s="1"/>
  <c r="O1412" i="4"/>
  <c r="N1412" i="4"/>
  <c r="M1412" i="4"/>
  <c r="L1412" i="4"/>
  <c r="K1412" i="4"/>
  <c r="J1412" i="4"/>
  <c r="P1411" i="4"/>
  <c r="Q1411" i="4" s="1"/>
  <c r="O1411" i="4"/>
  <c r="N1411" i="4"/>
  <c r="M1411" i="4"/>
  <c r="L1411" i="4"/>
  <c r="K1411" i="4"/>
  <c r="J1411" i="4"/>
  <c r="P1410" i="4"/>
  <c r="Q1410" i="4" s="1"/>
  <c r="O1410" i="4"/>
  <c r="N1410" i="4"/>
  <c r="M1410" i="4"/>
  <c r="L1410" i="4"/>
  <c r="K1410" i="4"/>
  <c r="J1410" i="4"/>
  <c r="P1409" i="4"/>
  <c r="Q1409" i="4" s="1"/>
  <c r="O1409" i="4"/>
  <c r="N1409" i="4"/>
  <c r="M1409" i="4"/>
  <c r="L1409" i="4"/>
  <c r="K1409" i="4"/>
  <c r="J1409" i="4"/>
  <c r="P1408" i="4"/>
  <c r="Q1408" i="4" s="1"/>
  <c r="O1408" i="4"/>
  <c r="N1408" i="4"/>
  <c r="M1408" i="4"/>
  <c r="L1408" i="4"/>
  <c r="K1408" i="4"/>
  <c r="J1408" i="4"/>
  <c r="P1407" i="4"/>
  <c r="Q1407" i="4" s="1"/>
  <c r="O1407" i="4"/>
  <c r="N1407" i="4"/>
  <c r="M1407" i="4"/>
  <c r="L1407" i="4"/>
  <c r="K1407" i="4"/>
  <c r="J1407" i="4"/>
  <c r="Q1406" i="4"/>
  <c r="P1406" i="4"/>
  <c r="O1406" i="4"/>
  <c r="N1406" i="4"/>
  <c r="M1406" i="4"/>
  <c r="L1406" i="4"/>
  <c r="K1406" i="4"/>
  <c r="J1406" i="4"/>
  <c r="P1405" i="4"/>
  <c r="Q1405" i="4" s="1"/>
  <c r="O1405" i="4"/>
  <c r="N1405" i="4"/>
  <c r="M1405" i="4"/>
  <c r="L1405" i="4"/>
  <c r="K1405" i="4"/>
  <c r="J1405" i="4"/>
  <c r="P1404" i="4"/>
  <c r="Q1404" i="4" s="1"/>
  <c r="O1404" i="4"/>
  <c r="N1404" i="4"/>
  <c r="M1404" i="4"/>
  <c r="L1404" i="4"/>
  <c r="K1404" i="4"/>
  <c r="J1404" i="4"/>
  <c r="P1403" i="4"/>
  <c r="Q1403" i="4" s="1"/>
  <c r="O1403" i="4"/>
  <c r="N1403" i="4"/>
  <c r="M1403" i="4"/>
  <c r="L1403" i="4"/>
  <c r="K1403" i="4"/>
  <c r="J1403" i="4"/>
  <c r="P1402" i="4"/>
  <c r="Q1402" i="4" s="1"/>
  <c r="O1402" i="4"/>
  <c r="N1402" i="4"/>
  <c r="M1402" i="4"/>
  <c r="L1402" i="4"/>
  <c r="K1402" i="4"/>
  <c r="J1402" i="4"/>
  <c r="P1401" i="4"/>
  <c r="Q1401" i="4" s="1"/>
  <c r="O1401" i="4"/>
  <c r="N1401" i="4"/>
  <c r="M1401" i="4"/>
  <c r="L1401" i="4"/>
  <c r="K1401" i="4"/>
  <c r="J1401" i="4"/>
  <c r="P1400" i="4"/>
  <c r="Q1400" i="4" s="1"/>
  <c r="O1400" i="4"/>
  <c r="N1400" i="4"/>
  <c r="M1400" i="4"/>
  <c r="L1400" i="4"/>
  <c r="K1400" i="4"/>
  <c r="J1400" i="4"/>
  <c r="P1399" i="4"/>
  <c r="Q1399" i="4" s="1"/>
  <c r="O1399" i="4"/>
  <c r="N1399" i="4"/>
  <c r="M1399" i="4"/>
  <c r="L1399" i="4"/>
  <c r="K1399" i="4"/>
  <c r="J1399" i="4"/>
  <c r="P1398" i="4"/>
  <c r="Q1398" i="4" s="1"/>
  <c r="O1398" i="4"/>
  <c r="N1398" i="4"/>
  <c r="M1398" i="4"/>
  <c r="L1398" i="4"/>
  <c r="K1398" i="4"/>
  <c r="J1398" i="4"/>
  <c r="P1397" i="4"/>
  <c r="Q1397" i="4" s="1"/>
  <c r="O1397" i="4"/>
  <c r="N1397" i="4"/>
  <c r="M1397" i="4"/>
  <c r="L1397" i="4"/>
  <c r="K1397" i="4"/>
  <c r="J1397" i="4"/>
  <c r="P1396" i="4"/>
  <c r="Q1396" i="4" s="1"/>
  <c r="O1396" i="4"/>
  <c r="N1396" i="4"/>
  <c r="M1396" i="4"/>
  <c r="L1396" i="4"/>
  <c r="K1396" i="4"/>
  <c r="J1396" i="4"/>
  <c r="Q1395" i="4"/>
  <c r="P1395" i="4"/>
  <c r="O1395" i="4"/>
  <c r="N1395" i="4"/>
  <c r="M1395" i="4"/>
  <c r="L1395" i="4"/>
  <c r="K1395" i="4"/>
  <c r="J1395" i="4"/>
  <c r="P1394" i="4"/>
  <c r="Q1394" i="4" s="1"/>
  <c r="O1394" i="4"/>
  <c r="N1394" i="4"/>
  <c r="M1394" i="4"/>
  <c r="L1394" i="4"/>
  <c r="K1394" i="4"/>
  <c r="J1394" i="4"/>
  <c r="P1393" i="4"/>
  <c r="Q1393" i="4" s="1"/>
  <c r="O1393" i="4"/>
  <c r="N1393" i="4"/>
  <c r="M1393" i="4"/>
  <c r="L1393" i="4"/>
  <c r="K1393" i="4"/>
  <c r="J1393" i="4"/>
  <c r="P1392" i="4"/>
  <c r="Q1392" i="4" s="1"/>
  <c r="O1392" i="4"/>
  <c r="N1392" i="4"/>
  <c r="M1392" i="4"/>
  <c r="L1392" i="4"/>
  <c r="K1392" i="4"/>
  <c r="J1392" i="4"/>
  <c r="Q1391" i="4"/>
  <c r="P1391" i="4"/>
  <c r="O1391" i="4"/>
  <c r="N1391" i="4"/>
  <c r="M1391" i="4"/>
  <c r="L1391" i="4"/>
  <c r="K1391" i="4"/>
  <c r="J1391" i="4"/>
  <c r="P1390" i="4"/>
  <c r="Q1390" i="4" s="1"/>
  <c r="O1390" i="4"/>
  <c r="N1390" i="4"/>
  <c r="M1390" i="4"/>
  <c r="L1390" i="4"/>
  <c r="K1390" i="4"/>
  <c r="J1390" i="4"/>
  <c r="P1389" i="4"/>
  <c r="Q1389" i="4" s="1"/>
  <c r="O1389" i="4"/>
  <c r="N1389" i="4"/>
  <c r="M1389" i="4"/>
  <c r="L1389" i="4"/>
  <c r="K1389" i="4"/>
  <c r="J1389" i="4"/>
  <c r="P1388" i="4"/>
  <c r="Q1388" i="4" s="1"/>
  <c r="O1388" i="4"/>
  <c r="N1388" i="4"/>
  <c r="M1388" i="4"/>
  <c r="L1388" i="4"/>
  <c r="K1388" i="4"/>
  <c r="J1388" i="4"/>
  <c r="P1387" i="4"/>
  <c r="Q1387" i="4" s="1"/>
  <c r="O1387" i="4"/>
  <c r="N1387" i="4"/>
  <c r="M1387" i="4"/>
  <c r="L1387" i="4"/>
  <c r="K1387" i="4"/>
  <c r="J1387" i="4"/>
  <c r="P1386" i="4"/>
  <c r="Q1386" i="4" s="1"/>
  <c r="O1386" i="4"/>
  <c r="N1386" i="4"/>
  <c r="M1386" i="4"/>
  <c r="L1386" i="4"/>
  <c r="K1386" i="4"/>
  <c r="J1386" i="4"/>
  <c r="P1385" i="4"/>
  <c r="Q1385" i="4" s="1"/>
  <c r="O1385" i="4"/>
  <c r="N1385" i="4"/>
  <c r="M1385" i="4"/>
  <c r="L1385" i="4"/>
  <c r="K1385" i="4"/>
  <c r="J1385" i="4"/>
  <c r="P1384" i="4"/>
  <c r="Q1384" i="4" s="1"/>
  <c r="O1384" i="4"/>
  <c r="N1384" i="4"/>
  <c r="M1384" i="4"/>
  <c r="L1384" i="4"/>
  <c r="K1384" i="4"/>
  <c r="J1384" i="4"/>
  <c r="P1383" i="4"/>
  <c r="Q1383" i="4" s="1"/>
  <c r="O1383" i="4"/>
  <c r="N1383" i="4"/>
  <c r="M1383" i="4"/>
  <c r="L1383" i="4"/>
  <c r="K1383" i="4"/>
  <c r="J1383" i="4"/>
  <c r="P1382" i="4"/>
  <c r="Q1382" i="4" s="1"/>
  <c r="O1382" i="4"/>
  <c r="N1382" i="4"/>
  <c r="M1382" i="4"/>
  <c r="L1382" i="4"/>
  <c r="K1382" i="4"/>
  <c r="J1382" i="4"/>
  <c r="P1381" i="4"/>
  <c r="Q1381" i="4" s="1"/>
  <c r="O1381" i="4"/>
  <c r="N1381" i="4"/>
  <c r="M1381" i="4"/>
  <c r="L1381" i="4"/>
  <c r="K1381" i="4"/>
  <c r="J1381" i="4"/>
  <c r="P1380" i="4"/>
  <c r="Q1380" i="4" s="1"/>
  <c r="O1380" i="4"/>
  <c r="N1380" i="4"/>
  <c r="M1380" i="4"/>
  <c r="L1380" i="4"/>
  <c r="K1380" i="4"/>
  <c r="J1380" i="4"/>
  <c r="P1379" i="4"/>
  <c r="Q1379" i="4" s="1"/>
  <c r="O1379" i="4"/>
  <c r="N1379" i="4"/>
  <c r="M1379" i="4"/>
  <c r="L1379" i="4"/>
  <c r="K1379" i="4"/>
  <c r="J1379" i="4"/>
  <c r="P1378" i="4"/>
  <c r="Q1378" i="4" s="1"/>
  <c r="O1378" i="4"/>
  <c r="N1378" i="4"/>
  <c r="M1378" i="4"/>
  <c r="L1378" i="4"/>
  <c r="K1378" i="4"/>
  <c r="J1378" i="4"/>
  <c r="P1377" i="4"/>
  <c r="Q1377" i="4" s="1"/>
  <c r="O1377" i="4"/>
  <c r="N1377" i="4"/>
  <c r="M1377" i="4"/>
  <c r="L1377" i="4"/>
  <c r="K1377" i="4"/>
  <c r="J1377" i="4"/>
  <c r="P1376" i="4"/>
  <c r="Q1376" i="4" s="1"/>
  <c r="O1376" i="4"/>
  <c r="N1376" i="4"/>
  <c r="M1376" i="4"/>
  <c r="L1376" i="4"/>
  <c r="K1376" i="4"/>
  <c r="J1376" i="4"/>
  <c r="P1375" i="4"/>
  <c r="Q1375" i="4" s="1"/>
  <c r="O1375" i="4"/>
  <c r="N1375" i="4"/>
  <c r="M1375" i="4"/>
  <c r="L1375" i="4"/>
  <c r="K1375" i="4"/>
  <c r="J1375" i="4"/>
  <c r="P1374" i="4"/>
  <c r="Q1374" i="4" s="1"/>
  <c r="O1374" i="4"/>
  <c r="N1374" i="4"/>
  <c r="M1374" i="4"/>
  <c r="L1374" i="4"/>
  <c r="K1374" i="4"/>
  <c r="J1374" i="4"/>
  <c r="P1373" i="4"/>
  <c r="Q1373" i="4" s="1"/>
  <c r="O1373" i="4"/>
  <c r="N1373" i="4"/>
  <c r="M1373" i="4"/>
  <c r="L1373" i="4"/>
  <c r="K1373" i="4"/>
  <c r="J1373" i="4"/>
  <c r="P1372" i="4"/>
  <c r="Q1372" i="4" s="1"/>
  <c r="O1372" i="4"/>
  <c r="N1372" i="4"/>
  <c r="M1372" i="4"/>
  <c r="L1372" i="4"/>
  <c r="K1372" i="4"/>
  <c r="J1372" i="4"/>
  <c r="P1371" i="4"/>
  <c r="Q1371" i="4" s="1"/>
  <c r="O1371" i="4"/>
  <c r="N1371" i="4"/>
  <c r="M1371" i="4"/>
  <c r="L1371" i="4"/>
  <c r="K1371" i="4"/>
  <c r="J1371" i="4"/>
  <c r="P1370" i="4"/>
  <c r="Q1370" i="4" s="1"/>
  <c r="O1370" i="4"/>
  <c r="N1370" i="4"/>
  <c r="M1370" i="4"/>
  <c r="L1370" i="4"/>
  <c r="K1370" i="4"/>
  <c r="J1370" i="4"/>
  <c r="P1369" i="4"/>
  <c r="Q1369" i="4" s="1"/>
  <c r="O1369" i="4"/>
  <c r="N1369" i="4"/>
  <c r="M1369" i="4"/>
  <c r="L1369" i="4"/>
  <c r="K1369" i="4"/>
  <c r="J1369" i="4"/>
  <c r="P1368" i="4"/>
  <c r="Q1368" i="4" s="1"/>
  <c r="O1368" i="4"/>
  <c r="N1368" i="4"/>
  <c r="M1368" i="4"/>
  <c r="L1368" i="4"/>
  <c r="K1368" i="4"/>
  <c r="J1368" i="4"/>
  <c r="P1367" i="4"/>
  <c r="Q1367" i="4" s="1"/>
  <c r="O1367" i="4"/>
  <c r="N1367" i="4"/>
  <c r="M1367" i="4"/>
  <c r="L1367" i="4"/>
  <c r="K1367" i="4"/>
  <c r="J1367" i="4"/>
  <c r="P1366" i="4"/>
  <c r="Q1366" i="4" s="1"/>
  <c r="O1366" i="4"/>
  <c r="N1366" i="4"/>
  <c r="M1366" i="4"/>
  <c r="L1366" i="4"/>
  <c r="K1366" i="4"/>
  <c r="J1366" i="4"/>
  <c r="P1365" i="4"/>
  <c r="Q1365" i="4" s="1"/>
  <c r="O1365" i="4"/>
  <c r="N1365" i="4"/>
  <c r="M1365" i="4"/>
  <c r="L1365" i="4"/>
  <c r="K1365" i="4"/>
  <c r="J1365" i="4"/>
  <c r="P1364" i="4"/>
  <c r="Q1364" i="4" s="1"/>
  <c r="O1364" i="4"/>
  <c r="N1364" i="4"/>
  <c r="M1364" i="4"/>
  <c r="L1364" i="4"/>
  <c r="K1364" i="4"/>
  <c r="J1364" i="4"/>
  <c r="P1363" i="4"/>
  <c r="Q1363" i="4" s="1"/>
  <c r="O1363" i="4"/>
  <c r="N1363" i="4"/>
  <c r="M1363" i="4"/>
  <c r="L1363" i="4"/>
  <c r="K1363" i="4"/>
  <c r="J1363" i="4"/>
  <c r="P1362" i="4"/>
  <c r="Q1362" i="4" s="1"/>
  <c r="O1362" i="4"/>
  <c r="N1362" i="4"/>
  <c r="M1362" i="4"/>
  <c r="L1362" i="4"/>
  <c r="K1362" i="4"/>
  <c r="J1362" i="4"/>
  <c r="P1361" i="4"/>
  <c r="Q1361" i="4" s="1"/>
  <c r="O1361" i="4"/>
  <c r="N1361" i="4"/>
  <c r="M1361" i="4"/>
  <c r="L1361" i="4"/>
  <c r="K1361" i="4"/>
  <c r="J1361" i="4"/>
  <c r="P1360" i="4"/>
  <c r="Q1360" i="4" s="1"/>
  <c r="O1360" i="4"/>
  <c r="N1360" i="4"/>
  <c r="M1360" i="4"/>
  <c r="L1360" i="4"/>
  <c r="K1360" i="4"/>
  <c r="J1360" i="4"/>
  <c r="P1359" i="4"/>
  <c r="Q1359" i="4" s="1"/>
  <c r="O1359" i="4"/>
  <c r="N1359" i="4"/>
  <c r="M1359" i="4"/>
  <c r="L1359" i="4"/>
  <c r="K1359" i="4"/>
  <c r="J1359" i="4"/>
  <c r="P1358" i="4"/>
  <c r="Q1358" i="4" s="1"/>
  <c r="O1358" i="4"/>
  <c r="N1358" i="4"/>
  <c r="M1358" i="4"/>
  <c r="L1358" i="4"/>
  <c r="K1358" i="4"/>
  <c r="J1358" i="4"/>
  <c r="P1357" i="4"/>
  <c r="Q1357" i="4" s="1"/>
  <c r="O1357" i="4"/>
  <c r="N1357" i="4"/>
  <c r="M1357" i="4"/>
  <c r="L1357" i="4"/>
  <c r="K1357" i="4"/>
  <c r="J1357" i="4"/>
  <c r="P1356" i="4"/>
  <c r="Q1356" i="4" s="1"/>
  <c r="O1356" i="4"/>
  <c r="N1356" i="4"/>
  <c r="M1356" i="4"/>
  <c r="L1356" i="4"/>
  <c r="K1356" i="4"/>
  <c r="J1356" i="4"/>
  <c r="P1355" i="4"/>
  <c r="Q1355" i="4" s="1"/>
  <c r="O1355" i="4"/>
  <c r="N1355" i="4"/>
  <c r="M1355" i="4"/>
  <c r="L1355" i="4"/>
  <c r="K1355" i="4"/>
  <c r="J1355" i="4"/>
  <c r="P1354" i="4"/>
  <c r="Q1354" i="4" s="1"/>
  <c r="O1354" i="4"/>
  <c r="N1354" i="4"/>
  <c r="M1354" i="4"/>
  <c r="L1354" i="4"/>
  <c r="K1354" i="4"/>
  <c r="J1354" i="4"/>
  <c r="P1353" i="4"/>
  <c r="Q1353" i="4" s="1"/>
  <c r="O1353" i="4"/>
  <c r="N1353" i="4"/>
  <c r="M1353" i="4"/>
  <c r="L1353" i="4"/>
  <c r="K1353" i="4"/>
  <c r="J1353" i="4"/>
  <c r="P1352" i="4"/>
  <c r="Q1352" i="4" s="1"/>
  <c r="O1352" i="4"/>
  <c r="N1352" i="4"/>
  <c r="M1352" i="4"/>
  <c r="L1352" i="4"/>
  <c r="K1352" i="4"/>
  <c r="J1352" i="4"/>
  <c r="P1351" i="4"/>
  <c r="Q1351" i="4" s="1"/>
  <c r="O1351" i="4"/>
  <c r="N1351" i="4"/>
  <c r="M1351" i="4"/>
  <c r="L1351" i="4"/>
  <c r="K1351" i="4"/>
  <c r="J1351" i="4"/>
  <c r="P1350" i="4"/>
  <c r="Q1350" i="4" s="1"/>
  <c r="O1350" i="4"/>
  <c r="N1350" i="4"/>
  <c r="M1350" i="4"/>
  <c r="L1350" i="4"/>
  <c r="K1350" i="4"/>
  <c r="J1350" i="4"/>
  <c r="P1349" i="4"/>
  <c r="Q1349" i="4" s="1"/>
  <c r="O1349" i="4"/>
  <c r="N1349" i="4"/>
  <c r="M1349" i="4"/>
  <c r="L1349" i="4"/>
  <c r="K1349" i="4"/>
  <c r="J1349" i="4"/>
  <c r="P1348" i="4"/>
  <c r="Q1348" i="4" s="1"/>
  <c r="O1348" i="4"/>
  <c r="N1348" i="4"/>
  <c r="M1348" i="4"/>
  <c r="L1348" i="4"/>
  <c r="K1348" i="4"/>
  <c r="J1348" i="4"/>
  <c r="P1347" i="4"/>
  <c r="Q1347" i="4" s="1"/>
  <c r="O1347" i="4"/>
  <c r="N1347" i="4"/>
  <c r="M1347" i="4"/>
  <c r="L1347" i="4"/>
  <c r="K1347" i="4"/>
  <c r="J1347" i="4"/>
  <c r="P1346" i="4"/>
  <c r="Q1346" i="4" s="1"/>
  <c r="O1346" i="4"/>
  <c r="N1346" i="4"/>
  <c r="M1346" i="4"/>
  <c r="L1346" i="4"/>
  <c r="K1346" i="4"/>
  <c r="J1346" i="4"/>
  <c r="P1345" i="4"/>
  <c r="Q1345" i="4" s="1"/>
  <c r="O1345" i="4"/>
  <c r="N1345" i="4"/>
  <c r="M1345" i="4"/>
  <c r="L1345" i="4"/>
  <c r="K1345" i="4"/>
  <c r="J1345" i="4"/>
  <c r="P1344" i="4"/>
  <c r="Q1344" i="4" s="1"/>
  <c r="O1344" i="4"/>
  <c r="N1344" i="4"/>
  <c r="M1344" i="4"/>
  <c r="L1344" i="4"/>
  <c r="K1344" i="4"/>
  <c r="J1344" i="4"/>
  <c r="P1343" i="4"/>
  <c r="Q1343" i="4" s="1"/>
  <c r="O1343" i="4"/>
  <c r="N1343" i="4"/>
  <c r="M1343" i="4"/>
  <c r="L1343" i="4"/>
  <c r="K1343" i="4"/>
  <c r="J1343" i="4"/>
  <c r="P1342" i="4"/>
  <c r="Q1342" i="4" s="1"/>
  <c r="O1342" i="4"/>
  <c r="N1342" i="4"/>
  <c r="M1342" i="4"/>
  <c r="L1342" i="4"/>
  <c r="K1342" i="4"/>
  <c r="J1342" i="4"/>
  <c r="P1341" i="4"/>
  <c r="Q1341" i="4" s="1"/>
  <c r="O1341" i="4"/>
  <c r="N1341" i="4"/>
  <c r="M1341" i="4"/>
  <c r="L1341" i="4"/>
  <c r="K1341" i="4"/>
  <c r="J1341" i="4"/>
  <c r="P1340" i="4"/>
  <c r="Q1340" i="4" s="1"/>
  <c r="O1340" i="4"/>
  <c r="N1340" i="4"/>
  <c r="M1340" i="4"/>
  <c r="L1340" i="4"/>
  <c r="K1340" i="4"/>
  <c r="J1340" i="4"/>
  <c r="P1339" i="4"/>
  <c r="Q1339" i="4" s="1"/>
  <c r="O1339" i="4"/>
  <c r="N1339" i="4"/>
  <c r="M1339" i="4"/>
  <c r="L1339" i="4"/>
  <c r="K1339" i="4"/>
  <c r="J1339" i="4"/>
  <c r="P1338" i="4"/>
  <c r="Q1338" i="4" s="1"/>
  <c r="O1338" i="4"/>
  <c r="N1338" i="4"/>
  <c r="M1338" i="4"/>
  <c r="L1338" i="4"/>
  <c r="K1338" i="4"/>
  <c r="J1338" i="4"/>
  <c r="P1337" i="4"/>
  <c r="Q1337" i="4" s="1"/>
  <c r="O1337" i="4"/>
  <c r="N1337" i="4"/>
  <c r="M1337" i="4"/>
  <c r="L1337" i="4"/>
  <c r="K1337" i="4"/>
  <c r="J1337" i="4"/>
  <c r="P1336" i="4"/>
  <c r="Q1336" i="4" s="1"/>
  <c r="O1336" i="4"/>
  <c r="N1336" i="4"/>
  <c r="M1336" i="4"/>
  <c r="L1336" i="4"/>
  <c r="K1336" i="4"/>
  <c r="J1336" i="4"/>
  <c r="P1335" i="4"/>
  <c r="Q1335" i="4" s="1"/>
  <c r="O1335" i="4"/>
  <c r="N1335" i="4"/>
  <c r="M1335" i="4"/>
  <c r="L1335" i="4"/>
  <c r="K1335" i="4"/>
  <c r="J1335" i="4"/>
  <c r="P1334" i="4"/>
  <c r="Q1334" i="4" s="1"/>
  <c r="O1334" i="4"/>
  <c r="N1334" i="4"/>
  <c r="M1334" i="4"/>
  <c r="L1334" i="4"/>
  <c r="K1334" i="4"/>
  <c r="J1334" i="4"/>
  <c r="P1333" i="4"/>
  <c r="Q1333" i="4" s="1"/>
  <c r="O1333" i="4"/>
  <c r="N1333" i="4"/>
  <c r="M1333" i="4"/>
  <c r="L1333" i="4"/>
  <c r="K1333" i="4"/>
  <c r="J1333" i="4"/>
  <c r="P1332" i="4"/>
  <c r="Q1332" i="4" s="1"/>
  <c r="O1332" i="4"/>
  <c r="N1332" i="4"/>
  <c r="M1332" i="4"/>
  <c r="L1332" i="4"/>
  <c r="K1332" i="4"/>
  <c r="J1332" i="4"/>
  <c r="P1331" i="4"/>
  <c r="Q1331" i="4" s="1"/>
  <c r="O1331" i="4"/>
  <c r="N1331" i="4"/>
  <c r="M1331" i="4"/>
  <c r="L1331" i="4"/>
  <c r="K1331" i="4"/>
  <c r="J1331" i="4"/>
  <c r="P1330" i="4"/>
  <c r="Q1330" i="4" s="1"/>
  <c r="O1330" i="4"/>
  <c r="N1330" i="4"/>
  <c r="M1330" i="4"/>
  <c r="L1330" i="4"/>
  <c r="K1330" i="4"/>
  <c r="J1330" i="4"/>
  <c r="P1329" i="4"/>
  <c r="Q1329" i="4" s="1"/>
  <c r="O1329" i="4"/>
  <c r="N1329" i="4"/>
  <c r="M1329" i="4"/>
  <c r="L1329" i="4"/>
  <c r="K1329" i="4"/>
  <c r="J1329" i="4"/>
  <c r="P1328" i="4"/>
  <c r="Q1328" i="4" s="1"/>
  <c r="O1328" i="4"/>
  <c r="N1328" i="4"/>
  <c r="M1328" i="4"/>
  <c r="L1328" i="4"/>
  <c r="K1328" i="4"/>
  <c r="J1328" i="4"/>
  <c r="P1327" i="4"/>
  <c r="Q1327" i="4" s="1"/>
  <c r="O1327" i="4"/>
  <c r="N1327" i="4"/>
  <c r="M1327" i="4"/>
  <c r="L1327" i="4"/>
  <c r="K1327" i="4"/>
  <c r="J1327" i="4"/>
  <c r="P1326" i="4"/>
  <c r="Q1326" i="4" s="1"/>
  <c r="O1326" i="4"/>
  <c r="N1326" i="4"/>
  <c r="M1326" i="4"/>
  <c r="L1326" i="4"/>
  <c r="K1326" i="4"/>
  <c r="J1326" i="4"/>
  <c r="P1325" i="4"/>
  <c r="Q1325" i="4" s="1"/>
  <c r="O1325" i="4"/>
  <c r="N1325" i="4"/>
  <c r="M1325" i="4"/>
  <c r="L1325" i="4"/>
  <c r="K1325" i="4"/>
  <c r="J1325" i="4"/>
  <c r="P1324" i="4"/>
  <c r="Q1324" i="4" s="1"/>
  <c r="O1324" i="4"/>
  <c r="N1324" i="4"/>
  <c r="M1324" i="4"/>
  <c r="L1324" i="4"/>
  <c r="K1324" i="4"/>
  <c r="J1324" i="4"/>
  <c r="P1323" i="4"/>
  <c r="Q1323" i="4" s="1"/>
  <c r="O1323" i="4"/>
  <c r="N1323" i="4"/>
  <c r="M1323" i="4"/>
  <c r="L1323" i="4"/>
  <c r="K1323" i="4"/>
  <c r="J1323" i="4"/>
  <c r="P1322" i="4"/>
  <c r="Q1322" i="4" s="1"/>
  <c r="O1322" i="4"/>
  <c r="N1322" i="4"/>
  <c r="M1322" i="4"/>
  <c r="L1322" i="4"/>
  <c r="K1322" i="4"/>
  <c r="J1322" i="4"/>
  <c r="P1321" i="4"/>
  <c r="Q1321" i="4" s="1"/>
  <c r="O1321" i="4"/>
  <c r="N1321" i="4"/>
  <c r="M1321" i="4"/>
  <c r="L1321" i="4"/>
  <c r="K1321" i="4"/>
  <c r="J1321" i="4"/>
  <c r="P1320" i="4"/>
  <c r="Q1320" i="4" s="1"/>
  <c r="O1320" i="4"/>
  <c r="N1320" i="4"/>
  <c r="M1320" i="4"/>
  <c r="L1320" i="4"/>
  <c r="K1320" i="4"/>
  <c r="J1320" i="4"/>
  <c r="P1319" i="4"/>
  <c r="Q1319" i="4" s="1"/>
  <c r="O1319" i="4"/>
  <c r="N1319" i="4"/>
  <c r="M1319" i="4"/>
  <c r="L1319" i="4"/>
  <c r="K1319" i="4"/>
  <c r="J1319" i="4"/>
  <c r="P1318" i="4"/>
  <c r="Q1318" i="4" s="1"/>
  <c r="O1318" i="4"/>
  <c r="N1318" i="4"/>
  <c r="M1318" i="4"/>
  <c r="L1318" i="4"/>
  <c r="K1318" i="4"/>
  <c r="J1318" i="4"/>
  <c r="P1317" i="4"/>
  <c r="Q1317" i="4" s="1"/>
  <c r="O1317" i="4"/>
  <c r="N1317" i="4"/>
  <c r="M1317" i="4"/>
  <c r="L1317" i="4"/>
  <c r="K1317" i="4"/>
  <c r="J1317" i="4"/>
  <c r="P1316" i="4"/>
  <c r="Q1316" i="4" s="1"/>
  <c r="O1316" i="4"/>
  <c r="N1316" i="4"/>
  <c r="M1316" i="4"/>
  <c r="L1316" i="4"/>
  <c r="K1316" i="4"/>
  <c r="J1316" i="4"/>
  <c r="P1315" i="4"/>
  <c r="Q1315" i="4" s="1"/>
  <c r="O1315" i="4"/>
  <c r="N1315" i="4"/>
  <c r="M1315" i="4"/>
  <c r="L1315" i="4"/>
  <c r="K1315" i="4"/>
  <c r="J1315" i="4"/>
  <c r="Q1314" i="4"/>
  <c r="P1314" i="4"/>
  <c r="O1314" i="4"/>
  <c r="N1314" i="4"/>
  <c r="M1314" i="4"/>
  <c r="L1314" i="4"/>
  <c r="K1314" i="4"/>
  <c r="J1314" i="4"/>
  <c r="P1313" i="4"/>
  <c r="Q1313" i="4" s="1"/>
  <c r="O1313" i="4"/>
  <c r="N1313" i="4"/>
  <c r="M1313" i="4"/>
  <c r="L1313" i="4"/>
  <c r="K1313" i="4"/>
  <c r="J1313" i="4"/>
  <c r="P1312" i="4"/>
  <c r="Q1312" i="4" s="1"/>
  <c r="O1312" i="4"/>
  <c r="N1312" i="4"/>
  <c r="M1312" i="4"/>
  <c r="L1312" i="4"/>
  <c r="K1312" i="4"/>
  <c r="J1312" i="4"/>
  <c r="P1311" i="4"/>
  <c r="Q1311" i="4" s="1"/>
  <c r="O1311" i="4"/>
  <c r="N1311" i="4"/>
  <c r="M1311" i="4"/>
  <c r="L1311" i="4"/>
  <c r="K1311" i="4"/>
  <c r="J1311" i="4"/>
  <c r="P1310" i="4"/>
  <c r="Q1310" i="4" s="1"/>
  <c r="O1310" i="4"/>
  <c r="N1310" i="4"/>
  <c r="M1310" i="4"/>
  <c r="L1310" i="4"/>
  <c r="K1310" i="4"/>
  <c r="J1310" i="4"/>
  <c r="P1309" i="4"/>
  <c r="Q1309" i="4" s="1"/>
  <c r="O1309" i="4"/>
  <c r="N1309" i="4"/>
  <c r="M1309" i="4"/>
  <c r="L1309" i="4"/>
  <c r="K1309" i="4"/>
  <c r="J1309" i="4"/>
  <c r="P1308" i="4"/>
  <c r="Q1308" i="4" s="1"/>
  <c r="O1308" i="4"/>
  <c r="N1308" i="4"/>
  <c r="M1308" i="4"/>
  <c r="L1308" i="4"/>
  <c r="K1308" i="4"/>
  <c r="J1308" i="4"/>
  <c r="P1307" i="4"/>
  <c r="Q1307" i="4" s="1"/>
  <c r="O1307" i="4"/>
  <c r="N1307" i="4"/>
  <c r="M1307" i="4"/>
  <c r="L1307" i="4"/>
  <c r="K1307" i="4"/>
  <c r="J1307" i="4"/>
  <c r="P1306" i="4"/>
  <c r="Q1306" i="4" s="1"/>
  <c r="O1306" i="4"/>
  <c r="N1306" i="4"/>
  <c r="M1306" i="4"/>
  <c r="L1306" i="4"/>
  <c r="K1306" i="4"/>
  <c r="J1306" i="4"/>
  <c r="P1305" i="4"/>
  <c r="Q1305" i="4" s="1"/>
  <c r="O1305" i="4"/>
  <c r="N1305" i="4"/>
  <c r="M1305" i="4"/>
  <c r="L1305" i="4"/>
  <c r="K1305" i="4"/>
  <c r="J1305" i="4"/>
  <c r="P1304" i="4"/>
  <c r="Q1304" i="4" s="1"/>
  <c r="O1304" i="4"/>
  <c r="N1304" i="4"/>
  <c r="M1304" i="4"/>
  <c r="L1304" i="4"/>
  <c r="K1304" i="4"/>
  <c r="J1304" i="4"/>
  <c r="P1303" i="4"/>
  <c r="Q1303" i="4" s="1"/>
  <c r="O1303" i="4"/>
  <c r="N1303" i="4"/>
  <c r="M1303" i="4"/>
  <c r="L1303" i="4"/>
  <c r="K1303" i="4"/>
  <c r="J1303" i="4"/>
  <c r="P1302" i="4"/>
  <c r="Q1302" i="4" s="1"/>
  <c r="O1302" i="4"/>
  <c r="N1302" i="4"/>
  <c r="M1302" i="4"/>
  <c r="L1302" i="4"/>
  <c r="K1302" i="4"/>
  <c r="J1302" i="4"/>
  <c r="P1301" i="4"/>
  <c r="Q1301" i="4" s="1"/>
  <c r="O1301" i="4"/>
  <c r="N1301" i="4"/>
  <c r="M1301" i="4"/>
  <c r="L1301" i="4"/>
  <c r="K1301" i="4"/>
  <c r="J1301" i="4"/>
  <c r="P1300" i="4"/>
  <c r="Q1300" i="4" s="1"/>
  <c r="O1300" i="4"/>
  <c r="N1300" i="4"/>
  <c r="M1300" i="4"/>
  <c r="L1300" i="4"/>
  <c r="K1300" i="4"/>
  <c r="J1300" i="4"/>
  <c r="Q1299" i="4"/>
  <c r="P1299" i="4"/>
  <c r="O1299" i="4"/>
  <c r="N1299" i="4"/>
  <c r="M1299" i="4"/>
  <c r="L1299" i="4"/>
  <c r="K1299" i="4"/>
  <c r="J1299" i="4"/>
  <c r="Q1298" i="4"/>
  <c r="P1298" i="4"/>
  <c r="O1298" i="4"/>
  <c r="N1298" i="4"/>
  <c r="M1298" i="4"/>
  <c r="L1298" i="4"/>
  <c r="K1298" i="4"/>
  <c r="J1298" i="4"/>
  <c r="P1297" i="4"/>
  <c r="Q1297" i="4" s="1"/>
  <c r="O1297" i="4"/>
  <c r="N1297" i="4"/>
  <c r="M1297" i="4"/>
  <c r="L1297" i="4"/>
  <c r="K1297" i="4"/>
  <c r="J1297" i="4"/>
  <c r="P1296" i="4"/>
  <c r="Q1296" i="4" s="1"/>
  <c r="O1296" i="4"/>
  <c r="N1296" i="4"/>
  <c r="M1296" i="4"/>
  <c r="L1296" i="4"/>
  <c r="K1296" i="4"/>
  <c r="J1296" i="4"/>
  <c r="P1295" i="4"/>
  <c r="Q1295" i="4" s="1"/>
  <c r="O1295" i="4"/>
  <c r="N1295" i="4"/>
  <c r="M1295" i="4"/>
  <c r="L1295" i="4"/>
  <c r="K1295" i="4"/>
  <c r="J1295" i="4"/>
  <c r="P1294" i="4"/>
  <c r="Q1294" i="4" s="1"/>
  <c r="O1294" i="4"/>
  <c r="N1294" i="4"/>
  <c r="M1294" i="4"/>
  <c r="L1294" i="4"/>
  <c r="K1294" i="4"/>
  <c r="J1294" i="4"/>
  <c r="Q1293" i="4"/>
  <c r="P1293" i="4"/>
  <c r="O1293" i="4"/>
  <c r="N1293" i="4"/>
  <c r="M1293" i="4"/>
  <c r="L1293" i="4"/>
  <c r="K1293" i="4"/>
  <c r="J1293" i="4"/>
  <c r="P1292" i="4"/>
  <c r="Q1292" i="4" s="1"/>
  <c r="O1292" i="4"/>
  <c r="N1292" i="4"/>
  <c r="M1292" i="4"/>
  <c r="L1292" i="4"/>
  <c r="K1292" i="4"/>
  <c r="J1292" i="4"/>
  <c r="P1291" i="4"/>
  <c r="Q1291" i="4" s="1"/>
  <c r="O1291" i="4"/>
  <c r="N1291" i="4"/>
  <c r="M1291" i="4"/>
  <c r="L1291" i="4"/>
  <c r="K1291" i="4"/>
  <c r="J1291" i="4"/>
  <c r="P1290" i="4"/>
  <c r="Q1290" i="4" s="1"/>
  <c r="O1290" i="4"/>
  <c r="N1290" i="4"/>
  <c r="M1290" i="4"/>
  <c r="L1290" i="4"/>
  <c r="K1290" i="4"/>
  <c r="J1290" i="4"/>
  <c r="P1289" i="4"/>
  <c r="Q1289" i="4" s="1"/>
  <c r="O1289" i="4"/>
  <c r="N1289" i="4"/>
  <c r="M1289" i="4"/>
  <c r="L1289" i="4"/>
  <c r="K1289" i="4"/>
  <c r="J1289" i="4"/>
  <c r="P1288" i="4"/>
  <c r="Q1288" i="4" s="1"/>
  <c r="O1288" i="4"/>
  <c r="N1288" i="4"/>
  <c r="M1288" i="4"/>
  <c r="L1288" i="4"/>
  <c r="K1288" i="4"/>
  <c r="J1288" i="4"/>
  <c r="P1287" i="4"/>
  <c r="Q1287" i="4" s="1"/>
  <c r="O1287" i="4"/>
  <c r="N1287" i="4"/>
  <c r="M1287" i="4"/>
  <c r="L1287" i="4"/>
  <c r="K1287" i="4"/>
  <c r="J1287" i="4"/>
  <c r="P1286" i="4"/>
  <c r="Q1286" i="4" s="1"/>
  <c r="O1286" i="4"/>
  <c r="N1286" i="4"/>
  <c r="M1286" i="4"/>
  <c r="L1286" i="4"/>
  <c r="K1286" i="4"/>
  <c r="J1286" i="4"/>
  <c r="P1285" i="4"/>
  <c r="Q1285" i="4" s="1"/>
  <c r="O1285" i="4"/>
  <c r="N1285" i="4"/>
  <c r="M1285" i="4"/>
  <c r="L1285" i="4"/>
  <c r="K1285" i="4"/>
  <c r="J1285" i="4"/>
  <c r="P1284" i="4"/>
  <c r="Q1284" i="4" s="1"/>
  <c r="O1284" i="4"/>
  <c r="N1284" i="4"/>
  <c r="M1284" i="4"/>
  <c r="L1284" i="4"/>
  <c r="K1284" i="4"/>
  <c r="J1284" i="4"/>
  <c r="P1283" i="4"/>
  <c r="Q1283" i="4" s="1"/>
  <c r="O1283" i="4"/>
  <c r="N1283" i="4"/>
  <c r="M1283" i="4"/>
  <c r="L1283" i="4"/>
  <c r="K1283" i="4"/>
  <c r="J1283" i="4"/>
  <c r="P1282" i="4"/>
  <c r="Q1282" i="4" s="1"/>
  <c r="O1282" i="4"/>
  <c r="N1282" i="4"/>
  <c r="M1282" i="4"/>
  <c r="L1282" i="4"/>
  <c r="K1282" i="4"/>
  <c r="J1282" i="4"/>
  <c r="P1281" i="4"/>
  <c r="Q1281" i="4" s="1"/>
  <c r="O1281" i="4"/>
  <c r="N1281" i="4"/>
  <c r="M1281" i="4"/>
  <c r="L1281" i="4"/>
  <c r="K1281" i="4"/>
  <c r="J1281" i="4"/>
  <c r="P1280" i="4"/>
  <c r="Q1280" i="4" s="1"/>
  <c r="O1280" i="4"/>
  <c r="N1280" i="4"/>
  <c r="M1280" i="4"/>
  <c r="L1280" i="4"/>
  <c r="K1280" i="4"/>
  <c r="J1280" i="4"/>
  <c r="P1279" i="4"/>
  <c r="Q1279" i="4" s="1"/>
  <c r="O1279" i="4"/>
  <c r="N1279" i="4"/>
  <c r="M1279" i="4"/>
  <c r="L1279" i="4"/>
  <c r="K1279" i="4"/>
  <c r="J1279" i="4"/>
  <c r="Q1278" i="4"/>
  <c r="P1278" i="4"/>
  <c r="O1278" i="4"/>
  <c r="N1278" i="4"/>
  <c r="M1278" i="4"/>
  <c r="L1278" i="4"/>
  <c r="K1278" i="4"/>
  <c r="J1278" i="4"/>
  <c r="P1277" i="4"/>
  <c r="Q1277" i="4" s="1"/>
  <c r="O1277" i="4"/>
  <c r="N1277" i="4"/>
  <c r="M1277" i="4"/>
  <c r="L1277" i="4"/>
  <c r="K1277" i="4"/>
  <c r="J1277" i="4"/>
  <c r="P1276" i="4"/>
  <c r="Q1276" i="4" s="1"/>
  <c r="O1276" i="4"/>
  <c r="N1276" i="4"/>
  <c r="M1276" i="4"/>
  <c r="L1276" i="4"/>
  <c r="K1276" i="4"/>
  <c r="J1276" i="4"/>
  <c r="P1275" i="4"/>
  <c r="Q1275" i="4" s="1"/>
  <c r="O1275" i="4"/>
  <c r="N1275" i="4"/>
  <c r="M1275" i="4"/>
  <c r="L1275" i="4"/>
  <c r="K1275" i="4"/>
  <c r="J1275" i="4"/>
  <c r="P1274" i="4"/>
  <c r="Q1274" i="4" s="1"/>
  <c r="O1274" i="4"/>
  <c r="N1274" i="4"/>
  <c r="M1274" i="4"/>
  <c r="L1274" i="4"/>
  <c r="K1274" i="4"/>
  <c r="J1274" i="4"/>
  <c r="P1273" i="4"/>
  <c r="Q1273" i="4" s="1"/>
  <c r="O1273" i="4"/>
  <c r="N1273" i="4"/>
  <c r="M1273" i="4"/>
  <c r="L1273" i="4"/>
  <c r="K1273" i="4"/>
  <c r="J1273" i="4"/>
  <c r="P1272" i="4"/>
  <c r="Q1272" i="4" s="1"/>
  <c r="O1272" i="4"/>
  <c r="N1272" i="4"/>
  <c r="M1272" i="4"/>
  <c r="L1272" i="4"/>
  <c r="K1272" i="4"/>
  <c r="J1272" i="4"/>
  <c r="Q1271" i="4"/>
  <c r="P1271" i="4"/>
  <c r="O1271" i="4"/>
  <c r="N1271" i="4"/>
  <c r="M1271" i="4"/>
  <c r="L1271" i="4"/>
  <c r="K1271" i="4"/>
  <c r="J1271" i="4"/>
  <c r="P1270" i="4"/>
  <c r="Q1270" i="4" s="1"/>
  <c r="O1270" i="4"/>
  <c r="N1270" i="4"/>
  <c r="M1270" i="4"/>
  <c r="L1270" i="4"/>
  <c r="K1270" i="4"/>
  <c r="J1270" i="4"/>
  <c r="P1269" i="4"/>
  <c r="Q1269" i="4" s="1"/>
  <c r="O1269" i="4"/>
  <c r="N1269" i="4"/>
  <c r="M1269" i="4"/>
  <c r="L1269" i="4"/>
  <c r="K1269" i="4"/>
  <c r="J1269" i="4"/>
  <c r="P1268" i="4"/>
  <c r="Q1268" i="4" s="1"/>
  <c r="O1268" i="4"/>
  <c r="N1268" i="4"/>
  <c r="M1268" i="4"/>
  <c r="L1268" i="4"/>
  <c r="K1268" i="4"/>
  <c r="J1268" i="4"/>
  <c r="P1267" i="4"/>
  <c r="Q1267" i="4" s="1"/>
  <c r="O1267" i="4"/>
  <c r="N1267" i="4"/>
  <c r="M1267" i="4"/>
  <c r="L1267" i="4"/>
  <c r="K1267" i="4"/>
  <c r="J1267" i="4"/>
  <c r="P1266" i="4"/>
  <c r="Q1266" i="4" s="1"/>
  <c r="O1266" i="4"/>
  <c r="N1266" i="4"/>
  <c r="M1266" i="4"/>
  <c r="L1266" i="4"/>
  <c r="K1266" i="4"/>
  <c r="J1266" i="4"/>
  <c r="P1265" i="4"/>
  <c r="Q1265" i="4" s="1"/>
  <c r="O1265" i="4"/>
  <c r="N1265" i="4"/>
  <c r="M1265" i="4"/>
  <c r="L1265" i="4"/>
  <c r="K1265" i="4"/>
  <c r="J1265" i="4"/>
  <c r="P1264" i="4"/>
  <c r="Q1264" i="4" s="1"/>
  <c r="O1264" i="4"/>
  <c r="N1264" i="4"/>
  <c r="M1264" i="4"/>
  <c r="L1264" i="4"/>
  <c r="K1264" i="4"/>
  <c r="J1264" i="4"/>
  <c r="P1263" i="4"/>
  <c r="Q1263" i="4" s="1"/>
  <c r="O1263" i="4"/>
  <c r="N1263" i="4"/>
  <c r="M1263" i="4"/>
  <c r="L1263" i="4"/>
  <c r="K1263" i="4"/>
  <c r="J1263" i="4"/>
  <c r="P1262" i="4"/>
  <c r="Q1262" i="4" s="1"/>
  <c r="O1262" i="4"/>
  <c r="N1262" i="4"/>
  <c r="M1262" i="4"/>
  <c r="L1262" i="4"/>
  <c r="K1262" i="4"/>
  <c r="J1262" i="4"/>
  <c r="P1261" i="4"/>
  <c r="Q1261" i="4" s="1"/>
  <c r="O1261" i="4"/>
  <c r="N1261" i="4"/>
  <c r="M1261" i="4"/>
  <c r="L1261" i="4"/>
  <c r="K1261" i="4"/>
  <c r="J1261" i="4"/>
  <c r="P1260" i="4"/>
  <c r="Q1260" i="4" s="1"/>
  <c r="O1260" i="4"/>
  <c r="N1260" i="4"/>
  <c r="M1260" i="4"/>
  <c r="L1260" i="4"/>
  <c r="K1260" i="4"/>
  <c r="J1260" i="4"/>
  <c r="P1259" i="4"/>
  <c r="Q1259" i="4" s="1"/>
  <c r="O1259" i="4"/>
  <c r="N1259" i="4"/>
  <c r="M1259" i="4"/>
  <c r="L1259" i="4"/>
  <c r="K1259" i="4"/>
  <c r="J1259" i="4"/>
  <c r="P1258" i="4"/>
  <c r="Q1258" i="4" s="1"/>
  <c r="O1258" i="4"/>
  <c r="N1258" i="4"/>
  <c r="M1258" i="4"/>
  <c r="L1258" i="4"/>
  <c r="K1258" i="4"/>
  <c r="J1258" i="4"/>
  <c r="P1257" i="4"/>
  <c r="Q1257" i="4" s="1"/>
  <c r="O1257" i="4"/>
  <c r="N1257" i="4"/>
  <c r="M1257" i="4"/>
  <c r="L1257" i="4"/>
  <c r="K1257" i="4"/>
  <c r="J1257" i="4"/>
  <c r="P1256" i="4"/>
  <c r="Q1256" i="4" s="1"/>
  <c r="O1256" i="4"/>
  <c r="N1256" i="4"/>
  <c r="M1256" i="4"/>
  <c r="L1256" i="4"/>
  <c r="K1256" i="4"/>
  <c r="J1256" i="4"/>
  <c r="P1255" i="4"/>
  <c r="Q1255" i="4" s="1"/>
  <c r="O1255" i="4"/>
  <c r="N1255" i="4"/>
  <c r="M1255" i="4"/>
  <c r="L1255" i="4"/>
  <c r="K1255" i="4"/>
  <c r="J1255" i="4"/>
  <c r="P1254" i="4"/>
  <c r="Q1254" i="4" s="1"/>
  <c r="O1254" i="4"/>
  <c r="N1254" i="4"/>
  <c r="M1254" i="4"/>
  <c r="L1254" i="4"/>
  <c r="K1254" i="4"/>
  <c r="J1254" i="4"/>
  <c r="P1253" i="4"/>
  <c r="Q1253" i="4" s="1"/>
  <c r="O1253" i="4"/>
  <c r="N1253" i="4"/>
  <c r="M1253" i="4"/>
  <c r="L1253" i="4"/>
  <c r="K1253" i="4"/>
  <c r="J1253" i="4"/>
  <c r="P1252" i="4"/>
  <c r="Q1252" i="4" s="1"/>
  <c r="O1252" i="4"/>
  <c r="N1252" i="4"/>
  <c r="M1252" i="4"/>
  <c r="L1252" i="4"/>
  <c r="K1252" i="4"/>
  <c r="J1252" i="4"/>
  <c r="P1251" i="4"/>
  <c r="Q1251" i="4" s="1"/>
  <c r="O1251" i="4"/>
  <c r="N1251" i="4"/>
  <c r="M1251" i="4"/>
  <c r="L1251" i="4"/>
  <c r="K1251" i="4"/>
  <c r="J1251" i="4"/>
  <c r="P1250" i="4"/>
  <c r="Q1250" i="4" s="1"/>
  <c r="O1250" i="4"/>
  <c r="N1250" i="4"/>
  <c r="M1250" i="4"/>
  <c r="L1250" i="4"/>
  <c r="K1250" i="4"/>
  <c r="J1250" i="4"/>
  <c r="P1249" i="4"/>
  <c r="Q1249" i="4" s="1"/>
  <c r="O1249" i="4"/>
  <c r="N1249" i="4"/>
  <c r="M1249" i="4"/>
  <c r="L1249" i="4"/>
  <c r="K1249" i="4"/>
  <c r="J1249" i="4"/>
  <c r="P1248" i="4"/>
  <c r="Q1248" i="4" s="1"/>
  <c r="O1248" i="4"/>
  <c r="N1248" i="4"/>
  <c r="M1248" i="4"/>
  <c r="L1248" i="4"/>
  <c r="K1248" i="4"/>
  <c r="J1248" i="4"/>
  <c r="P1247" i="4"/>
  <c r="Q1247" i="4" s="1"/>
  <c r="O1247" i="4"/>
  <c r="N1247" i="4"/>
  <c r="M1247" i="4"/>
  <c r="L1247" i="4"/>
  <c r="K1247" i="4"/>
  <c r="J1247" i="4"/>
  <c r="P1246" i="4"/>
  <c r="Q1246" i="4" s="1"/>
  <c r="O1246" i="4"/>
  <c r="N1246" i="4"/>
  <c r="M1246" i="4"/>
  <c r="L1246" i="4"/>
  <c r="K1246" i="4"/>
  <c r="J1246" i="4"/>
  <c r="P1245" i="4"/>
  <c r="Q1245" i="4" s="1"/>
  <c r="O1245" i="4"/>
  <c r="N1245" i="4"/>
  <c r="M1245" i="4"/>
  <c r="L1245" i="4"/>
  <c r="K1245" i="4"/>
  <c r="J1245" i="4"/>
  <c r="P1244" i="4"/>
  <c r="Q1244" i="4" s="1"/>
  <c r="O1244" i="4"/>
  <c r="N1244" i="4"/>
  <c r="M1244" i="4"/>
  <c r="L1244" i="4"/>
  <c r="K1244" i="4"/>
  <c r="J1244" i="4"/>
  <c r="P1243" i="4"/>
  <c r="Q1243" i="4" s="1"/>
  <c r="O1243" i="4"/>
  <c r="N1243" i="4"/>
  <c r="M1243" i="4"/>
  <c r="L1243" i="4"/>
  <c r="K1243" i="4"/>
  <c r="J1243" i="4"/>
  <c r="Q1242" i="4"/>
  <c r="P1242" i="4"/>
  <c r="O1242" i="4"/>
  <c r="N1242" i="4"/>
  <c r="M1242" i="4"/>
  <c r="L1242" i="4"/>
  <c r="K1242" i="4"/>
  <c r="J1242" i="4"/>
  <c r="P1241" i="4"/>
  <c r="Q1241" i="4" s="1"/>
  <c r="O1241" i="4"/>
  <c r="N1241" i="4"/>
  <c r="M1241" i="4"/>
  <c r="L1241" i="4"/>
  <c r="K1241" i="4"/>
  <c r="J1241" i="4"/>
  <c r="P1240" i="4"/>
  <c r="Q1240" i="4" s="1"/>
  <c r="O1240" i="4"/>
  <c r="N1240" i="4"/>
  <c r="M1240" i="4"/>
  <c r="L1240" i="4"/>
  <c r="K1240" i="4"/>
  <c r="J1240" i="4"/>
  <c r="P1239" i="4"/>
  <c r="Q1239" i="4" s="1"/>
  <c r="O1239" i="4"/>
  <c r="N1239" i="4"/>
  <c r="M1239" i="4"/>
  <c r="L1239" i="4"/>
  <c r="K1239" i="4"/>
  <c r="J1239" i="4"/>
  <c r="P1238" i="4"/>
  <c r="Q1238" i="4" s="1"/>
  <c r="O1238" i="4"/>
  <c r="N1238" i="4"/>
  <c r="M1238" i="4"/>
  <c r="L1238" i="4"/>
  <c r="K1238" i="4"/>
  <c r="J1238" i="4"/>
  <c r="P1237" i="4"/>
  <c r="Q1237" i="4" s="1"/>
  <c r="O1237" i="4"/>
  <c r="N1237" i="4"/>
  <c r="M1237" i="4"/>
  <c r="L1237" i="4"/>
  <c r="K1237" i="4"/>
  <c r="J1237" i="4"/>
  <c r="P1236" i="4"/>
  <c r="Q1236" i="4" s="1"/>
  <c r="O1236" i="4"/>
  <c r="N1236" i="4"/>
  <c r="M1236" i="4"/>
  <c r="L1236" i="4"/>
  <c r="K1236" i="4"/>
  <c r="J1236" i="4"/>
  <c r="P1235" i="4"/>
  <c r="Q1235" i="4" s="1"/>
  <c r="O1235" i="4"/>
  <c r="N1235" i="4"/>
  <c r="M1235" i="4"/>
  <c r="L1235" i="4"/>
  <c r="K1235" i="4"/>
  <c r="J1235" i="4"/>
  <c r="P1234" i="4"/>
  <c r="Q1234" i="4" s="1"/>
  <c r="O1234" i="4"/>
  <c r="N1234" i="4"/>
  <c r="M1234" i="4"/>
  <c r="L1234" i="4"/>
  <c r="K1234" i="4"/>
  <c r="J1234" i="4"/>
  <c r="P1233" i="4"/>
  <c r="Q1233" i="4" s="1"/>
  <c r="O1233" i="4"/>
  <c r="N1233" i="4"/>
  <c r="M1233" i="4"/>
  <c r="L1233" i="4"/>
  <c r="K1233" i="4"/>
  <c r="J1233" i="4"/>
  <c r="P1232" i="4"/>
  <c r="Q1232" i="4" s="1"/>
  <c r="O1232" i="4"/>
  <c r="N1232" i="4"/>
  <c r="M1232" i="4"/>
  <c r="L1232" i="4"/>
  <c r="K1232" i="4"/>
  <c r="J1232" i="4"/>
  <c r="P1231" i="4"/>
  <c r="Q1231" i="4" s="1"/>
  <c r="O1231" i="4"/>
  <c r="N1231" i="4"/>
  <c r="M1231" i="4"/>
  <c r="L1231" i="4"/>
  <c r="K1231" i="4"/>
  <c r="J1231" i="4"/>
  <c r="P1230" i="4"/>
  <c r="Q1230" i="4" s="1"/>
  <c r="O1230" i="4"/>
  <c r="N1230" i="4"/>
  <c r="M1230" i="4"/>
  <c r="L1230" i="4"/>
  <c r="K1230" i="4"/>
  <c r="J1230" i="4"/>
  <c r="P1229" i="4"/>
  <c r="Q1229" i="4" s="1"/>
  <c r="O1229" i="4"/>
  <c r="N1229" i="4"/>
  <c r="M1229" i="4"/>
  <c r="L1229" i="4"/>
  <c r="K1229" i="4"/>
  <c r="J1229" i="4"/>
  <c r="P1228" i="4"/>
  <c r="Q1228" i="4" s="1"/>
  <c r="O1228" i="4"/>
  <c r="N1228" i="4"/>
  <c r="M1228" i="4"/>
  <c r="L1228" i="4"/>
  <c r="K1228" i="4"/>
  <c r="J1228" i="4"/>
  <c r="P1227" i="4"/>
  <c r="Q1227" i="4" s="1"/>
  <c r="O1227" i="4"/>
  <c r="N1227" i="4"/>
  <c r="M1227" i="4"/>
  <c r="L1227" i="4"/>
  <c r="K1227" i="4"/>
  <c r="J1227" i="4"/>
  <c r="P1226" i="4"/>
  <c r="Q1226" i="4" s="1"/>
  <c r="O1226" i="4"/>
  <c r="N1226" i="4"/>
  <c r="M1226" i="4"/>
  <c r="L1226" i="4"/>
  <c r="K1226" i="4"/>
  <c r="J1226" i="4"/>
  <c r="P1225" i="4"/>
  <c r="Q1225" i="4" s="1"/>
  <c r="O1225" i="4"/>
  <c r="N1225" i="4"/>
  <c r="M1225" i="4"/>
  <c r="L1225" i="4"/>
  <c r="K1225" i="4"/>
  <c r="J1225" i="4"/>
  <c r="P1224" i="4"/>
  <c r="Q1224" i="4" s="1"/>
  <c r="O1224" i="4"/>
  <c r="N1224" i="4"/>
  <c r="M1224" i="4"/>
  <c r="L1224" i="4"/>
  <c r="K1224" i="4"/>
  <c r="J1224" i="4"/>
  <c r="P1223" i="4"/>
  <c r="Q1223" i="4" s="1"/>
  <c r="O1223" i="4"/>
  <c r="N1223" i="4"/>
  <c r="M1223" i="4"/>
  <c r="L1223" i="4"/>
  <c r="K1223" i="4"/>
  <c r="J1223" i="4"/>
  <c r="P1222" i="4"/>
  <c r="Q1222" i="4" s="1"/>
  <c r="O1222" i="4"/>
  <c r="N1222" i="4"/>
  <c r="M1222" i="4"/>
  <c r="L1222" i="4"/>
  <c r="K1222" i="4"/>
  <c r="J1222" i="4"/>
  <c r="P1221" i="4"/>
  <c r="Q1221" i="4" s="1"/>
  <c r="O1221" i="4"/>
  <c r="N1221" i="4"/>
  <c r="M1221" i="4"/>
  <c r="L1221" i="4"/>
  <c r="K1221" i="4"/>
  <c r="J1221" i="4"/>
  <c r="P1220" i="4"/>
  <c r="Q1220" i="4" s="1"/>
  <c r="O1220" i="4"/>
  <c r="N1220" i="4"/>
  <c r="M1220" i="4"/>
  <c r="L1220" i="4"/>
  <c r="K1220" i="4"/>
  <c r="J1220" i="4"/>
  <c r="P1219" i="4"/>
  <c r="Q1219" i="4" s="1"/>
  <c r="O1219" i="4"/>
  <c r="N1219" i="4"/>
  <c r="M1219" i="4"/>
  <c r="L1219" i="4"/>
  <c r="K1219" i="4"/>
  <c r="J1219" i="4"/>
  <c r="P1218" i="4"/>
  <c r="Q1218" i="4" s="1"/>
  <c r="O1218" i="4"/>
  <c r="N1218" i="4"/>
  <c r="M1218" i="4"/>
  <c r="L1218" i="4"/>
  <c r="K1218" i="4"/>
  <c r="J1218" i="4"/>
  <c r="P1217" i="4"/>
  <c r="Q1217" i="4" s="1"/>
  <c r="O1217" i="4"/>
  <c r="N1217" i="4"/>
  <c r="M1217" i="4"/>
  <c r="L1217" i="4"/>
  <c r="K1217" i="4"/>
  <c r="J1217" i="4"/>
  <c r="P1216" i="4"/>
  <c r="Q1216" i="4" s="1"/>
  <c r="O1216" i="4"/>
  <c r="N1216" i="4"/>
  <c r="M1216" i="4"/>
  <c r="L1216" i="4"/>
  <c r="K1216" i="4"/>
  <c r="J1216" i="4"/>
  <c r="P1215" i="4"/>
  <c r="Q1215" i="4" s="1"/>
  <c r="O1215" i="4"/>
  <c r="N1215" i="4"/>
  <c r="M1215" i="4"/>
  <c r="L1215" i="4"/>
  <c r="K1215" i="4"/>
  <c r="J1215" i="4"/>
  <c r="P1214" i="4"/>
  <c r="Q1214" i="4" s="1"/>
  <c r="O1214" i="4"/>
  <c r="N1214" i="4"/>
  <c r="M1214" i="4"/>
  <c r="L1214" i="4"/>
  <c r="K1214" i="4"/>
  <c r="J1214" i="4"/>
  <c r="Q1213" i="4"/>
  <c r="P1213" i="4"/>
  <c r="O1213" i="4"/>
  <c r="N1213" i="4"/>
  <c r="M1213" i="4"/>
  <c r="L1213" i="4"/>
  <c r="K1213" i="4"/>
  <c r="J1213" i="4"/>
  <c r="P1212" i="4"/>
  <c r="Q1212" i="4" s="1"/>
  <c r="O1212" i="4"/>
  <c r="N1212" i="4"/>
  <c r="M1212" i="4"/>
  <c r="L1212" i="4"/>
  <c r="K1212" i="4"/>
  <c r="J1212" i="4"/>
  <c r="P1211" i="4"/>
  <c r="Q1211" i="4" s="1"/>
  <c r="O1211" i="4"/>
  <c r="N1211" i="4"/>
  <c r="M1211" i="4"/>
  <c r="L1211" i="4"/>
  <c r="K1211" i="4"/>
  <c r="J1211" i="4"/>
  <c r="Q1210" i="4"/>
  <c r="P1210" i="4"/>
  <c r="O1210" i="4"/>
  <c r="N1210" i="4"/>
  <c r="M1210" i="4"/>
  <c r="L1210" i="4"/>
  <c r="K1210" i="4"/>
  <c r="J1210" i="4"/>
  <c r="P1209" i="4"/>
  <c r="Q1209" i="4" s="1"/>
  <c r="O1209" i="4"/>
  <c r="N1209" i="4"/>
  <c r="M1209" i="4"/>
  <c r="L1209" i="4"/>
  <c r="K1209" i="4"/>
  <c r="J1209" i="4"/>
  <c r="P1208" i="4"/>
  <c r="Q1208" i="4" s="1"/>
  <c r="O1208" i="4"/>
  <c r="N1208" i="4"/>
  <c r="M1208" i="4"/>
  <c r="L1208" i="4"/>
  <c r="K1208" i="4"/>
  <c r="J1208" i="4"/>
  <c r="P1207" i="4"/>
  <c r="Q1207" i="4" s="1"/>
  <c r="O1207" i="4"/>
  <c r="N1207" i="4"/>
  <c r="M1207" i="4"/>
  <c r="L1207" i="4"/>
  <c r="K1207" i="4"/>
  <c r="J1207" i="4"/>
  <c r="P1206" i="4"/>
  <c r="Q1206" i="4" s="1"/>
  <c r="O1206" i="4"/>
  <c r="N1206" i="4"/>
  <c r="M1206" i="4"/>
  <c r="L1206" i="4"/>
  <c r="K1206" i="4"/>
  <c r="J1206" i="4"/>
  <c r="P1205" i="4"/>
  <c r="Q1205" i="4" s="1"/>
  <c r="O1205" i="4"/>
  <c r="N1205" i="4"/>
  <c r="M1205" i="4"/>
  <c r="L1205" i="4"/>
  <c r="K1205" i="4"/>
  <c r="J1205" i="4"/>
  <c r="P1204" i="4"/>
  <c r="Q1204" i="4" s="1"/>
  <c r="O1204" i="4"/>
  <c r="N1204" i="4"/>
  <c r="M1204" i="4"/>
  <c r="L1204" i="4"/>
  <c r="K1204" i="4"/>
  <c r="J1204" i="4"/>
  <c r="P1203" i="4"/>
  <c r="Q1203" i="4" s="1"/>
  <c r="O1203" i="4"/>
  <c r="N1203" i="4"/>
  <c r="M1203" i="4"/>
  <c r="L1203" i="4"/>
  <c r="K1203" i="4"/>
  <c r="J1203" i="4"/>
  <c r="P1202" i="4"/>
  <c r="Q1202" i="4" s="1"/>
  <c r="O1202" i="4"/>
  <c r="N1202" i="4"/>
  <c r="M1202" i="4"/>
  <c r="L1202" i="4"/>
  <c r="K1202" i="4"/>
  <c r="J1202" i="4"/>
  <c r="P1201" i="4"/>
  <c r="Q1201" i="4" s="1"/>
  <c r="O1201" i="4"/>
  <c r="N1201" i="4"/>
  <c r="M1201" i="4"/>
  <c r="L1201" i="4"/>
  <c r="K1201" i="4"/>
  <c r="J1201" i="4"/>
  <c r="P1200" i="4"/>
  <c r="Q1200" i="4" s="1"/>
  <c r="O1200" i="4"/>
  <c r="N1200" i="4"/>
  <c r="M1200" i="4"/>
  <c r="L1200" i="4"/>
  <c r="K1200" i="4"/>
  <c r="J1200" i="4"/>
  <c r="P1199" i="4"/>
  <c r="Q1199" i="4" s="1"/>
  <c r="O1199" i="4"/>
  <c r="N1199" i="4"/>
  <c r="M1199" i="4"/>
  <c r="L1199" i="4"/>
  <c r="K1199" i="4"/>
  <c r="J1199" i="4"/>
  <c r="P1198" i="4"/>
  <c r="Q1198" i="4" s="1"/>
  <c r="O1198" i="4"/>
  <c r="N1198" i="4"/>
  <c r="M1198" i="4"/>
  <c r="L1198" i="4"/>
  <c r="K1198" i="4"/>
  <c r="J1198" i="4"/>
  <c r="P1197" i="4"/>
  <c r="Q1197" i="4" s="1"/>
  <c r="O1197" i="4"/>
  <c r="N1197" i="4"/>
  <c r="M1197" i="4"/>
  <c r="L1197" i="4"/>
  <c r="K1197" i="4"/>
  <c r="J1197" i="4"/>
  <c r="P1196" i="4"/>
  <c r="Q1196" i="4" s="1"/>
  <c r="O1196" i="4"/>
  <c r="N1196" i="4"/>
  <c r="M1196" i="4"/>
  <c r="L1196" i="4"/>
  <c r="K1196" i="4"/>
  <c r="J1196" i="4"/>
  <c r="P1195" i="4"/>
  <c r="Q1195" i="4" s="1"/>
  <c r="O1195" i="4"/>
  <c r="N1195" i="4"/>
  <c r="M1195" i="4"/>
  <c r="L1195" i="4"/>
  <c r="K1195" i="4"/>
  <c r="J1195" i="4"/>
  <c r="P1194" i="4"/>
  <c r="Q1194" i="4" s="1"/>
  <c r="O1194" i="4"/>
  <c r="N1194" i="4"/>
  <c r="M1194" i="4"/>
  <c r="L1194" i="4"/>
  <c r="K1194" i="4"/>
  <c r="J1194" i="4"/>
  <c r="P1193" i="4"/>
  <c r="Q1193" i="4" s="1"/>
  <c r="O1193" i="4"/>
  <c r="N1193" i="4"/>
  <c r="M1193" i="4"/>
  <c r="L1193" i="4"/>
  <c r="K1193" i="4"/>
  <c r="J1193" i="4"/>
  <c r="Q1192" i="4"/>
  <c r="P1192" i="4"/>
  <c r="O1192" i="4"/>
  <c r="N1192" i="4"/>
  <c r="M1192" i="4"/>
  <c r="L1192" i="4"/>
  <c r="K1192" i="4"/>
  <c r="J1192" i="4"/>
  <c r="P1191" i="4"/>
  <c r="Q1191" i="4" s="1"/>
  <c r="O1191" i="4"/>
  <c r="N1191" i="4"/>
  <c r="M1191" i="4"/>
  <c r="L1191" i="4"/>
  <c r="K1191" i="4"/>
  <c r="J1191" i="4"/>
  <c r="P1190" i="4"/>
  <c r="Q1190" i="4" s="1"/>
  <c r="O1190" i="4"/>
  <c r="N1190" i="4"/>
  <c r="M1190" i="4"/>
  <c r="L1190" i="4"/>
  <c r="K1190" i="4"/>
  <c r="J1190" i="4"/>
  <c r="P1189" i="4"/>
  <c r="Q1189" i="4" s="1"/>
  <c r="O1189" i="4"/>
  <c r="N1189" i="4"/>
  <c r="M1189" i="4"/>
  <c r="L1189" i="4"/>
  <c r="K1189" i="4"/>
  <c r="J1189" i="4"/>
  <c r="P1188" i="4"/>
  <c r="Q1188" i="4" s="1"/>
  <c r="O1188" i="4"/>
  <c r="N1188" i="4"/>
  <c r="M1188" i="4"/>
  <c r="L1188" i="4"/>
  <c r="K1188" i="4"/>
  <c r="J1188" i="4"/>
  <c r="P1187" i="4"/>
  <c r="Q1187" i="4" s="1"/>
  <c r="O1187" i="4"/>
  <c r="N1187" i="4"/>
  <c r="M1187" i="4"/>
  <c r="L1187" i="4"/>
  <c r="K1187" i="4"/>
  <c r="J1187" i="4"/>
  <c r="P1186" i="4"/>
  <c r="Q1186" i="4" s="1"/>
  <c r="O1186" i="4"/>
  <c r="N1186" i="4"/>
  <c r="M1186" i="4"/>
  <c r="L1186" i="4"/>
  <c r="K1186" i="4"/>
  <c r="J1186" i="4"/>
  <c r="Q1185" i="4"/>
  <c r="P1185" i="4"/>
  <c r="O1185" i="4"/>
  <c r="N1185" i="4"/>
  <c r="M1185" i="4"/>
  <c r="L1185" i="4"/>
  <c r="K1185" i="4"/>
  <c r="J1185" i="4"/>
  <c r="P1184" i="4"/>
  <c r="Q1184" i="4" s="1"/>
  <c r="O1184" i="4"/>
  <c r="N1184" i="4"/>
  <c r="M1184" i="4"/>
  <c r="L1184" i="4"/>
  <c r="K1184" i="4"/>
  <c r="J1184" i="4"/>
  <c r="P1183" i="4"/>
  <c r="Q1183" i="4" s="1"/>
  <c r="O1183" i="4"/>
  <c r="N1183" i="4"/>
  <c r="M1183" i="4"/>
  <c r="L1183" i="4"/>
  <c r="K1183" i="4"/>
  <c r="J1183" i="4"/>
  <c r="P1182" i="4"/>
  <c r="Q1182" i="4" s="1"/>
  <c r="O1182" i="4"/>
  <c r="N1182" i="4"/>
  <c r="M1182" i="4"/>
  <c r="L1182" i="4"/>
  <c r="K1182" i="4"/>
  <c r="J1182" i="4"/>
  <c r="P1181" i="4"/>
  <c r="Q1181" i="4" s="1"/>
  <c r="O1181" i="4"/>
  <c r="N1181" i="4"/>
  <c r="M1181" i="4"/>
  <c r="L1181" i="4"/>
  <c r="K1181" i="4"/>
  <c r="J1181" i="4"/>
  <c r="P1180" i="4"/>
  <c r="Q1180" i="4" s="1"/>
  <c r="O1180" i="4"/>
  <c r="N1180" i="4"/>
  <c r="M1180" i="4"/>
  <c r="L1180" i="4"/>
  <c r="K1180" i="4"/>
  <c r="J1180" i="4"/>
  <c r="P1179" i="4"/>
  <c r="Q1179" i="4" s="1"/>
  <c r="O1179" i="4"/>
  <c r="N1179" i="4"/>
  <c r="M1179" i="4"/>
  <c r="L1179" i="4"/>
  <c r="K1179" i="4"/>
  <c r="J1179" i="4"/>
  <c r="Q1178" i="4"/>
  <c r="P1178" i="4"/>
  <c r="O1178" i="4"/>
  <c r="N1178" i="4"/>
  <c r="M1178" i="4"/>
  <c r="L1178" i="4"/>
  <c r="K1178" i="4"/>
  <c r="J1178" i="4"/>
  <c r="P1177" i="4"/>
  <c r="Q1177" i="4" s="1"/>
  <c r="O1177" i="4"/>
  <c r="N1177" i="4"/>
  <c r="M1177" i="4"/>
  <c r="L1177" i="4"/>
  <c r="K1177" i="4"/>
  <c r="J1177" i="4"/>
  <c r="P1176" i="4"/>
  <c r="Q1176" i="4" s="1"/>
  <c r="O1176" i="4"/>
  <c r="N1176" i="4"/>
  <c r="M1176" i="4"/>
  <c r="L1176" i="4"/>
  <c r="K1176" i="4"/>
  <c r="J1176" i="4"/>
  <c r="P1175" i="4"/>
  <c r="Q1175" i="4" s="1"/>
  <c r="O1175" i="4"/>
  <c r="N1175" i="4"/>
  <c r="M1175" i="4"/>
  <c r="L1175" i="4"/>
  <c r="K1175" i="4"/>
  <c r="J1175" i="4"/>
  <c r="P1174" i="4"/>
  <c r="Q1174" i="4" s="1"/>
  <c r="O1174" i="4"/>
  <c r="N1174" i="4"/>
  <c r="M1174" i="4"/>
  <c r="L1174" i="4"/>
  <c r="K1174" i="4"/>
  <c r="J1174" i="4"/>
  <c r="P1173" i="4"/>
  <c r="Q1173" i="4" s="1"/>
  <c r="O1173" i="4"/>
  <c r="N1173" i="4"/>
  <c r="M1173" i="4"/>
  <c r="L1173" i="4"/>
  <c r="K1173" i="4"/>
  <c r="J1173" i="4"/>
  <c r="P1172" i="4"/>
  <c r="Q1172" i="4" s="1"/>
  <c r="O1172" i="4"/>
  <c r="N1172" i="4"/>
  <c r="M1172" i="4"/>
  <c r="L1172" i="4"/>
  <c r="K1172" i="4"/>
  <c r="J1172" i="4"/>
  <c r="P1171" i="4"/>
  <c r="Q1171" i="4" s="1"/>
  <c r="O1171" i="4"/>
  <c r="N1171" i="4"/>
  <c r="M1171" i="4"/>
  <c r="L1171" i="4"/>
  <c r="K1171" i="4"/>
  <c r="J1171" i="4"/>
  <c r="P1170" i="4"/>
  <c r="Q1170" i="4" s="1"/>
  <c r="O1170" i="4"/>
  <c r="N1170" i="4"/>
  <c r="M1170" i="4"/>
  <c r="L1170" i="4"/>
  <c r="K1170" i="4"/>
  <c r="J1170" i="4"/>
  <c r="P1169" i="4"/>
  <c r="Q1169" i="4" s="1"/>
  <c r="O1169" i="4"/>
  <c r="N1169" i="4"/>
  <c r="M1169" i="4"/>
  <c r="L1169" i="4"/>
  <c r="K1169" i="4"/>
  <c r="J1169" i="4"/>
  <c r="P1168" i="4"/>
  <c r="Q1168" i="4" s="1"/>
  <c r="O1168" i="4"/>
  <c r="N1168" i="4"/>
  <c r="M1168" i="4"/>
  <c r="L1168" i="4"/>
  <c r="K1168" i="4"/>
  <c r="J1168" i="4"/>
  <c r="P1167" i="4"/>
  <c r="Q1167" i="4" s="1"/>
  <c r="O1167" i="4"/>
  <c r="N1167" i="4"/>
  <c r="M1167" i="4"/>
  <c r="L1167" i="4"/>
  <c r="K1167" i="4"/>
  <c r="J1167" i="4"/>
  <c r="P1166" i="4"/>
  <c r="Q1166" i="4" s="1"/>
  <c r="O1166" i="4"/>
  <c r="N1166" i="4"/>
  <c r="M1166" i="4"/>
  <c r="L1166" i="4"/>
  <c r="K1166" i="4"/>
  <c r="J1166" i="4"/>
  <c r="P1165" i="4"/>
  <c r="Q1165" i="4" s="1"/>
  <c r="O1165" i="4"/>
  <c r="N1165" i="4"/>
  <c r="M1165" i="4"/>
  <c r="L1165" i="4"/>
  <c r="K1165" i="4"/>
  <c r="J1165" i="4"/>
  <c r="P1164" i="4"/>
  <c r="Q1164" i="4" s="1"/>
  <c r="O1164" i="4"/>
  <c r="N1164" i="4"/>
  <c r="M1164" i="4"/>
  <c r="L1164" i="4"/>
  <c r="K1164" i="4"/>
  <c r="J1164" i="4"/>
  <c r="P1163" i="4"/>
  <c r="Q1163" i="4" s="1"/>
  <c r="O1163" i="4"/>
  <c r="N1163" i="4"/>
  <c r="M1163" i="4"/>
  <c r="L1163" i="4"/>
  <c r="K1163" i="4"/>
  <c r="J1163" i="4"/>
  <c r="P1162" i="4"/>
  <c r="Q1162" i="4" s="1"/>
  <c r="O1162" i="4"/>
  <c r="N1162" i="4"/>
  <c r="M1162" i="4"/>
  <c r="L1162" i="4"/>
  <c r="K1162" i="4"/>
  <c r="J1162" i="4"/>
  <c r="P1161" i="4"/>
  <c r="Q1161" i="4" s="1"/>
  <c r="O1161" i="4"/>
  <c r="N1161" i="4"/>
  <c r="M1161" i="4"/>
  <c r="L1161" i="4"/>
  <c r="K1161" i="4"/>
  <c r="J1161" i="4"/>
  <c r="P1160" i="4"/>
  <c r="Q1160" i="4" s="1"/>
  <c r="O1160" i="4"/>
  <c r="N1160" i="4"/>
  <c r="M1160" i="4"/>
  <c r="L1160" i="4"/>
  <c r="K1160" i="4"/>
  <c r="J1160" i="4"/>
  <c r="P1159" i="4"/>
  <c r="Q1159" i="4" s="1"/>
  <c r="O1159" i="4"/>
  <c r="N1159" i="4"/>
  <c r="M1159" i="4"/>
  <c r="L1159" i="4"/>
  <c r="K1159" i="4"/>
  <c r="J1159" i="4"/>
  <c r="Q1158" i="4"/>
  <c r="P1158" i="4"/>
  <c r="O1158" i="4"/>
  <c r="N1158" i="4"/>
  <c r="M1158" i="4"/>
  <c r="L1158" i="4"/>
  <c r="K1158" i="4"/>
  <c r="J1158" i="4"/>
  <c r="P1157" i="4"/>
  <c r="Q1157" i="4" s="1"/>
  <c r="O1157" i="4"/>
  <c r="N1157" i="4"/>
  <c r="M1157" i="4"/>
  <c r="L1157" i="4"/>
  <c r="K1157" i="4"/>
  <c r="J1157" i="4"/>
  <c r="P1156" i="4"/>
  <c r="Q1156" i="4" s="1"/>
  <c r="O1156" i="4"/>
  <c r="N1156" i="4"/>
  <c r="M1156" i="4"/>
  <c r="L1156" i="4"/>
  <c r="K1156" i="4"/>
  <c r="J1156" i="4"/>
  <c r="Q1155" i="4"/>
  <c r="P1155" i="4"/>
  <c r="O1155" i="4"/>
  <c r="N1155" i="4"/>
  <c r="M1155" i="4"/>
  <c r="L1155" i="4"/>
  <c r="K1155" i="4"/>
  <c r="J1155" i="4"/>
  <c r="P1154" i="4"/>
  <c r="Q1154" i="4" s="1"/>
  <c r="O1154" i="4"/>
  <c r="N1154" i="4"/>
  <c r="M1154" i="4"/>
  <c r="L1154" i="4"/>
  <c r="K1154" i="4"/>
  <c r="J1154" i="4"/>
  <c r="P1153" i="4"/>
  <c r="Q1153" i="4" s="1"/>
  <c r="O1153" i="4"/>
  <c r="N1153" i="4"/>
  <c r="M1153" i="4"/>
  <c r="L1153" i="4"/>
  <c r="K1153" i="4"/>
  <c r="J1153" i="4"/>
  <c r="P1152" i="4"/>
  <c r="Q1152" i="4" s="1"/>
  <c r="O1152" i="4"/>
  <c r="N1152" i="4"/>
  <c r="M1152" i="4"/>
  <c r="L1152" i="4"/>
  <c r="K1152" i="4"/>
  <c r="J1152" i="4"/>
  <c r="P1151" i="4"/>
  <c r="Q1151" i="4" s="1"/>
  <c r="O1151" i="4"/>
  <c r="N1151" i="4"/>
  <c r="M1151" i="4"/>
  <c r="L1151" i="4"/>
  <c r="K1151" i="4"/>
  <c r="J1151" i="4"/>
  <c r="P1150" i="4"/>
  <c r="Q1150" i="4" s="1"/>
  <c r="O1150" i="4"/>
  <c r="N1150" i="4"/>
  <c r="M1150" i="4"/>
  <c r="L1150" i="4"/>
  <c r="K1150" i="4"/>
  <c r="J1150" i="4"/>
  <c r="P1149" i="4"/>
  <c r="Q1149" i="4" s="1"/>
  <c r="O1149" i="4"/>
  <c r="N1149" i="4"/>
  <c r="M1149" i="4"/>
  <c r="L1149" i="4"/>
  <c r="K1149" i="4"/>
  <c r="J1149" i="4"/>
  <c r="P1148" i="4"/>
  <c r="Q1148" i="4" s="1"/>
  <c r="O1148" i="4"/>
  <c r="N1148" i="4"/>
  <c r="M1148" i="4"/>
  <c r="L1148" i="4"/>
  <c r="K1148" i="4"/>
  <c r="J1148" i="4"/>
  <c r="P1147" i="4"/>
  <c r="Q1147" i="4" s="1"/>
  <c r="O1147" i="4"/>
  <c r="N1147" i="4"/>
  <c r="M1147" i="4"/>
  <c r="L1147" i="4"/>
  <c r="K1147" i="4"/>
  <c r="J1147" i="4"/>
  <c r="P1146" i="4"/>
  <c r="Q1146" i="4" s="1"/>
  <c r="O1146" i="4"/>
  <c r="N1146" i="4"/>
  <c r="M1146" i="4"/>
  <c r="L1146" i="4"/>
  <c r="K1146" i="4"/>
  <c r="J1146" i="4"/>
  <c r="Q1145" i="4"/>
  <c r="P1145" i="4"/>
  <c r="O1145" i="4"/>
  <c r="N1145" i="4"/>
  <c r="M1145" i="4"/>
  <c r="L1145" i="4"/>
  <c r="K1145" i="4"/>
  <c r="J1145" i="4"/>
  <c r="P1144" i="4"/>
  <c r="Q1144" i="4" s="1"/>
  <c r="O1144" i="4"/>
  <c r="N1144" i="4"/>
  <c r="M1144" i="4"/>
  <c r="L1144" i="4"/>
  <c r="K1144" i="4"/>
  <c r="J1144" i="4"/>
  <c r="P1143" i="4"/>
  <c r="Q1143" i="4" s="1"/>
  <c r="O1143" i="4"/>
  <c r="N1143" i="4"/>
  <c r="M1143" i="4"/>
  <c r="L1143" i="4"/>
  <c r="K1143" i="4"/>
  <c r="J1143" i="4"/>
  <c r="P1142" i="4"/>
  <c r="Q1142" i="4" s="1"/>
  <c r="O1142" i="4"/>
  <c r="N1142" i="4"/>
  <c r="M1142" i="4"/>
  <c r="L1142" i="4"/>
  <c r="K1142" i="4"/>
  <c r="J1142" i="4"/>
  <c r="P1141" i="4"/>
  <c r="Q1141" i="4" s="1"/>
  <c r="O1141" i="4"/>
  <c r="N1141" i="4"/>
  <c r="M1141" i="4"/>
  <c r="L1141" i="4"/>
  <c r="K1141" i="4"/>
  <c r="J1141" i="4"/>
  <c r="P1140" i="4"/>
  <c r="Q1140" i="4" s="1"/>
  <c r="O1140" i="4"/>
  <c r="N1140" i="4"/>
  <c r="M1140" i="4"/>
  <c r="L1140" i="4"/>
  <c r="K1140" i="4"/>
  <c r="J1140" i="4"/>
  <c r="P1139" i="4"/>
  <c r="Q1139" i="4" s="1"/>
  <c r="O1139" i="4"/>
  <c r="N1139" i="4"/>
  <c r="M1139" i="4"/>
  <c r="L1139" i="4"/>
  <c r="K1139" i="4"/>
  <c r="J1139" i="4"/>
  <c r="P1138" i="4"/>
  <c r="Q1138" i="4" s="1"/>
  <c r="O1138" i="4"/>
  <c r="N1138" i="4"/>
  <c r="M1138" i="4"/>
  <c r="L1138" i="4"/>
  <c r="K1138" i="4"/>
  <c r="J1138" i="4"/>
  <c r="Q1137" i="4"/>
  <c r="P1137" i="4"/>
  <c r="O1137" i="4"/>
  <c r="N1137" i="4"/>
  <c r="M1137" i="4"/>
  <c r="L1137" i="4"/>
  <c r="K1137" i="4"/>
  <c r="J1137" i="4"/>
  <c r="P1136" i="4"/>
  <c r="Q1136" i="4" s="1"/>
  <c r="O1136" i="4"/>
  <c r="N1136" i="4"/>
  <c r="M1136" i="4"/>
  <c r="L1136" i="4"/>
  <c r="K1136" i="4"/>
  <c r="J1136" i="4"/>
  <c r="P1135" i="4"/>
  <c r="Q1135" i="4" s="1"/>
  <c r="O1135" i="4"/>
  <c r="N1135" i="4"/>
  <c r="M1135" i="4"/>
  <c r="L1135" i="4"/>
  <c r="K1135" i="4"/>
  <c r="J1135" i="4"/>
  <c r="P1134" i="4"/>
  <c r="Q1134" i="4" s="1"/>
  <c r="O1134" i="4"/>
  <c r="N1134" i="4"/>
  <c r="M1134" i="4"/>
  <c r="L1134" i="4"/>
  <c r="K1134" i="4"/>
  <c r="J1134" i="4"/>
  <c r="P1133" i="4"/>
  <c r="Q1133" i="4" s="1"/>
  <c r="O1133" i="4"/>
  <c r="N1133" i="4"/>
  <c r="M1133" i="4"/>
  <c r="L1133" i="4"/>
  <c r="K1133" i="4"/>
  <c r="J1133" i="4"/>
  <c r="P1132" i="4"/>
  <c r="Q1132" i="4" s="1"/>
  <c r="O1132" i="4"/>
  <c r="N1132" i="4"/>
  <c r="M1132" i="4"/>
  <c r="L1132" i="4"/>
  <c r="K1132" i="4"/>
  <c r="J1132" i="4"/>
  <c r="P1131" i="4"/>
  <c r="Q1131" i="4" s="1"/>
  <c r="O1131" i="4"/>
  <c r="N1131" i="4"/>
  <c r="M1131" i="4"/>
  <c r="L1131" i="4"/>
  <c r="K1131" i="4"/>
  <c r="J1131" i="4"/>
  <c r="P1130" i="4"/>
  <c r="Q1130" i="4" s="1"/>
  <c r="O1130" i="4"/>
  <c r="N1130" i="4"/>
  <c r="M1130" i="4"/>
  <c r="L1130" i="4"/>
  <c r="K1130" i="4"/>
  <c r="J1130" i="4"/>
  <c r="P1129" i="4"/>
  <c r="Q1129" i="4" s="1"/>
  <c r="O1129" i="4"/>
  <c r="N1129" i="4"/>
  <c r="M1129" i="4"/>
  <c r="L1129" i="4"/>
  <c r="K1129" i="4"/>
  <c r="J1129" i="4"/>
  <c r="P1128" i="4"/>
  <c r="Q1128" i="4" s="1"/>
  <c r="O1128" i="4"/>
  <c r="N1128" i="4"/>
  <c r="M1128" i="4"/>
  <c r="L1128" i="4"/>
  <c r="K1128" i="4"/>
  <c r="J1128" i="4"/>
  <c r="P1127" i="4"/>
  <c r="Q1127" i="4" s="1"/>
  <c r="O1127" i="4"/>
  <c r="N1127" i="4"/>
  <c r="M1127" i="4"/>
  <c r="L1127" i="4"/>
  <c r="K1127" i="4"/>
  <c r="J1127" i="4"/>
  <c r="P1126" i="4"/>
  <c r="Q1126" i="4" s="1"/>
  <c r="O1126" i="4"/>
  <c r="N1126" i="4"/>
  <c r="M1126" i="4"/>
  <c r="L1126" i="4"/>
  <c r="K1126" i="4"/>
  <c r="J1126" i="4"/>
  <c r="Q1125" i="4"/>
  <c r="P1125" i="4"/>
  <c r="O1125" i="4"/>
  <c r="N1125" i="4"/>
  <c r="M1125" i="4"/>
  <c r="L1125" i="4"/>
  <c r="K1125" i="4"/>
  <c r="J1125" i="4"/>
  <c r="P1124" i="4"/>
  <c r="Q1124" i="4" s="1"/>
  <c r="O1124" i="4"/>
  <c r="N1124" i="4"/>
  <c r="M1124" i="4"/>
  <c r="L1124" i="4"/>
  <c r="K1124" i="4"/>
  <c r="J1124" i="4"/>
  <c r="P1123" i="4"/>
  <c r="Q1123" i="4" s="1"/>
  <c r="O1123" i="4"/>
  <c r="N1123" i="4"/>
  <c r="M1123" i="4"/>
  <c r="L1123" i="4"/>
  <c r="K1123" i="4"/>
  <c r="J1123" i="4"/>
  <c r="P1122" i="4"/>
  <c r="Q1122" i="4" s="1"/>
  <c r="O1122" i="4"/>
  <c r="N1122" i="4"/>
  <c r="M1122" i="4"/>
  <c r="L1122" i="4"/>
  <c r="K1122" i="4"/>
  <c r="J1122" i="4"/>
  <c r="P1121" i="4"/>
  <c r="Q1121" i="4" s="1"/>
  <c r="O1121" i="4"/>
  <c r="N1121" i="4"/>
  <c r="M1121" i="4"/>
  <c r="L1121" i="4"/>
  <c r="K1121" i="4"/>
  <c r="J1121" i="4"/>
  <c r="P1120" i="4"/>
  <c r="Q1120" i="4" s="1"/>
  <c r="O1120" i="4"/>
  <c r="N1120" i="4"/>
  <c r="M1120" i="4"/>
  <c r="L1120" i="4"/>
  <c r="K1120" i="4"/>
  <c r="J1120" i="4"/>
  <c r="P1119" i="4"/>
  <c r="Q1119" i="4" s="1"/>
  <c r="O1119" i="4"/>
  <c r="N1119" i="4"/>
  <c r="M1119" i="4"/>
  <c r="L1119" i="4"/>
  <c r="K1119" i="4"/>
  <c r="J1119" i="4"/>
  <c r="P1118" i="4"/>
  <c r="Q1118" i="4" s="1"/>
  <c r="O1118" i="4"/>
  <c r="N1118" i="4"/>
  <c r="M1118" i="4"/>
  <c r="L1118" i="4"/>
  <c r="K1118" i="4"/>
  <c r="J1118" i="4"/>
  <c r="P1117" i="4"/>
  <c r="Q1117" i="4" s="1"/>
  <c r="O1117" i="4"/>
  <c r="N1117" i="4"/>
  <c r="M1117" i="4"/>
  <c r="L1117" i="4"/>
  <c r="K1117" i="4"/>
  <c r="J1117" i="4"/>
  <c r="P1116" i="4"/>
  <c r="Q1116" i="4" s="1"/>
  <c r="O1116" i="4"/>
  <c r="N1116" i="4"/>
  <c r="M1116" i="4"/>
  <c r="L1116" i="4"/>
  <c r="K1116" i="4"/>
  <c r="J1116" i="4"/>
  <c r="P1115" i="4"/>
  <c r="Q1115" i="4" s="1"/>
  <c r="O1115" i="4"/>
  <c r="N1115" i="4"/>
  <c r="M1115" i="4"/>
  <c r="L1115" i="4"/>
  <c r="K1115" i="4"/>
  <c r="J1115" i="4"/>
  <c r="P1114" i="4"/>
  <c r="Q1114" i="4" s="1"/>
  <c r="O1114" i="4"/>
  <c r="N1114" i="4"/>
  <c r="M1114" i="4"/>
  <c r="L1114" i="4"/>
  <c r="K1114" i="4"/>
  <c r="J1114" i="4"/>
  <c r="P1113" i="4"/>
  <c r="Q1113" i="4" s="1"/>
  <c r="O1113" i="4"/>
  <c r="N1113" i="4"/>
  <c r="M1113" i="4"/>
  <c r="L1113" i="4"/>
  <c r="K1113" i="4"/>
  <c r="J1113" i="4"/>
  <c r="P1112" i="4"/>
  <c r="Q1112" i="4" s="1"/>
  <c r="O1112" i="4"/>
  <c r="N1112" i="4"/>
  <c r="M1112" i="4"/>
  <c r="L1112" i="4"/>
  <c r="K1112" i="4"/>
  <c r="J1112" i="4"/>
  <c r="P1111" i="4"/>
  <c r="Q1111" i="4" s="1"/>
  <c r="O1111" i="4"/>
  <c r="N1111" i="4"/>
  <c r="M1111" i="4"/>
  <c r="L1111" i="4"/>
  <c r="K1111" i="4"/>
  <c r="J1111" i="4"/>
  <c r="P1110" i="4"/>
  <c r="Q1110" i="4" s="1"/>
  <c r="O1110" i="4"/>
  <c r="N1110" i="4"/>
  <c r="M1110" i="4"/>
  <c r="L1110" i="4"/>
  <c r="K1110" i="4"/>
  <c r="J1110" i="4"/>
  <c r="P1109" i="4"/>
  <c r="Q1109" i="4" s="1"/>
  <c r="O1109" i="4"/>
  <c r="N1109" i="4"/>
  <c r="M1109" i="4"/>
  <c r="L1109" i="4"/>
  <c r="K1109" i="4"/>
  <c r="J1109" i="4"/>
  <c r="P1108" i="4"/>
  <c r="Q1108" i="4" s="1"/>
  <c r="O1108" i="4"/>
  <c r="N1108" i="4"/>
  <c r="M1108" i="4"/>
  <c r="L1108" i="4"/>
  <c r="K1108" i="4"/>
  <c r="J1108" i="4"/>
  <c r="P1107" i="4"/>
  <c r="Q1107" i="4" s="1"/>
  <c r="O1107" i="4"/>
  <c r="N1107" i="4"/>
  <c r="M1107" i="4"/>
  <c r="L1107" i="4"/>
  <c r="K1107" i="4"/>
  <c r="J1107" i="4"/>
  <c r="P1106" i="4"/>
  <c r="Q1106" i="4" s="1"/>
  <c r="O1106" i="4"/>
  <c r="N1106" i="4"/>
  <c r="M1106" i="4"/>
  <c r="L1106" i="4"/>
  <c r="K1106" i="4"/>
  <c r="J1106" i="4"/>
  <c r="P1105" i="4"/>
  <c r="Q1105" i="4" s="1"/>
  <c r="O1105" i="4"/>
  <c r="N1105" i="4"/>
  <c r="M1105" i="4"/>
  <c r="L1105" i="4"/>
  <c r="K1105" i="4"/>
  <c r="J1105" i="4"/>
  <c r="P1104" i="4"/>
  <c r="Q1104" i="4" s="1"/>
  <c r="O1104" i="4"/>
  <c r="N1104" i="4"/>
  <c r="M1104" i="4"/>
  <c r="L1104" i="4"/>
  <c r="K1104" i="4"/>
  <c r="J1104" i="4"/>
  <c r="P1103" i="4"/>
  <c r="Q1103" i="4" s="1"/>
  <c r="O1103" i="4"/>
  <c r="N1103" i="4"/>
  <c r="M1103" i="4"/>
  <c r="L1103" i="4"/>
  <c r="K1103" i="4"/>
  <c r="J1103" i="4"/>
  <c r="P1102" i="4"/>
  <c r="Q1102" i="4" s="1"/>
  <c r="O1102" i="4"/>
  <c r="N1102" i="4"/>
  <c r="M1102" i="4"/>
  <c r="L1102" i="4"/>
  <c r="K1102" i="4"/>
  <c r="J1102" i="4"/>
  <c r="P1101" i="4"/>
  <c r="Q1101" i="4" s="1"/>
  <c r="O1101" i="4"/>
  <c r="N1101" i="4"/>
  <c r="M1101" i="4"/>
  <c r="L1101" i="4"/>
  <c r="K1101" i="4"/>
  <c r="J1101" i="4"/>
  <c r="P1100" i="4"/>
  <c r="Q1100" i="4" s="1"/>
  <c r="O1100" i="4"/>
  <c r="N1100" i="4"/>
  <c r="M1100" i="4"/>
  <c r="L1100" i="4"/>
  <c r="K1100" i="4"/>
  <c r="J1100" i="4"/>
  <c r="P1099" i="4"/>
  <c r="Q1099" i="4" s="1"/>
  <c r="O1099" i="4"/>
  <c r="N1099" i="4"/>
  <c r="M1099" i="4"/>
  <c r="L1099" i="4"/>
  <c r="K1099" i="4"/>
  <c r="J1099" i="4"/>
  <c r="P1098" i="4"/>
  <c r="Q1098" i="4" s="1"/>
  <c r="O1098" i="4"/>
  <c r="N1098" i="4"/>
  <c r="M1098" i="4"/>
  <c r="L1098" i="4"/>
  <c r="K1098" i="4"/>
  <c r="J1098" i="4"/>
  <c r="Q1097" i="4"/>
  <c r="P1097" i="4"/>
  <c r="O1097" i="4"/>
  <c r="N1097" i="4"/>
  <c r="M1097" i="4"/>
  <c r="L1097" i="4"/>
  <c r="K1097" i="4"/>
  <c r="J1097" i="4"/>
  <c r="P1096" i="4"/>
  <c r="Q1096" i="4" s="1"/>
  <c r="O1096" i="4"/>
  <c r="N1096" i="4"/>
  <c r="M1096" i="4"/>
  <c r="L1096" i="4"/>
  <c r="K1096" i="4"/>
  <c r="J1096" i="4"/>
  <c r="P1095" i="4"/>
  <c r="Q1095" i="4" s="1"/>
  <c r="O1095" i="4"/>
  <c r="N1095" i="4"/>
  <c r="M1095" i="4"/>
  <c r="L1095" i="4"/>
  <c r="K1095" i="4"/>
  <c r="J1095" i="4"/>
  <c r="P1094" i="4"/>
  <c r="Q1094" i="4" s="1"/>
  <c r="O1094" i="4"/>
  <c r="N1094" i="4"/>
  <c r="M1094" i="4"/>
  <c r="L1094" i="4"/>
  <c r="K1094" i="4"/>
  <c r="J1094" i="4"/>
  <c r="P1093" i="4"/>
  <c r="Q1093" i="4" s="1"/>
  <c r="O1093" i="4"/>
  <c r="N1093" i="4"/>
  <c r="M1093" i="4"/>
  <c r="L1093" i="4"/>
  <c r="K1093" i="4"/>
  <c r="J1093" i="4"/>
  <c r="P1092" i="4"/>
  <c r="Q1092" i="4" s="1"/>
  <c r="O1092" i="4"/>
  <c r="N1092" i="4"/>
  <c r="M1092" i="4"/>
  <c r="L1092" i="4"/>
  <c r="K1092" i="4"/>
  <c r="J1092" i="4"/>
  <c r="P1091" i="4"/>
  <c r="Q1091" i="4" s="1"/>
  <c r="O1091" i="4"/>
  <c r="N1091" i="4"/>
  <c r="M1091" i="4"/>
  <c r="L1091" i="4"/>
  <c r="K1091" i="4"/>
  <c r="J1091" i="4"/>
  <c r="P1090" i="4"/>
  <c r="Q1090" i="4" s="1"/>
  <c r="O1090" i="4"/>
  <c r="N1090" i="4"/>
  <c r="M1090" i="4"/>
  <c r="L1090" i="4"/>
  <c r="K1090" i="4"/>
  <c r="J1090" i="4"/>
  <c r="P1089" i="4"/>
  <c r="Q1089" i="4" s="1"/>
  <c r="O1089" i="4"/>
  <c r="N1089" i="4"/>
  <c r="M1089" i="4"/>
  <c r="L1089" i="4"/>
  <c r="K1089" i="4"/>
  <c r="J1089" i="4"/>
  <c r="P1088" i="4"/>
  <c r="Q1088" i="4" s="1"/>
  <c r="O1088" i="4"/>
  <c r="N1088" i="4"/>
  <c r="M1088" i="4"/>
  <c r="L1088" i="4"/>
  <c r="K1088" i="4"/>
  <c r="J1088" i="4"/>
  <c r="P1087" i="4"/>
  <c r="Q1087" i="4" s="1"/>
  <c r="O1087" i="4"/>
  <c r="N1087" i="4"/>
  <c r="M1087" i="4"/>
  <c r="L1087" i="4"/>
  <c r="K1087" i="4"/>
  <c r="J1087" i="4"/>
  <c r="P1086" i="4"/>
  <c r="Q1086" i="4" s="1"/>
  <c r="O1086" i="4"/>
  <c r="N1086" i="4"/>
  <c r="M1086" i="4"/>
  <c r="L1086" i="4"/>
  <c r="K1086" i="4"/>
  <c r="J1086" i="4"/>
  <c r="P1085" i="4"/>
  <c r="Q1085" i="4" s="1"/>
  <c r="O1085" i="4"/>
  <c r="N1085" i="4"/>
  <c r="M1085" i="4"/>
  <c r="L1085" i="4"/>
  <c r="K1085" i="4"/>
  <c r="J1085" i="4"/>
  <c r="P1084" i="4"/>
  <c r="Q1084" i="4" s="1"/>
  <c r="O1084" i="4"/>
  <c r="N1084" i="4"/>
  <c r="M1084" i="4"/>
  <c r="L1084" i="4"/>
  <c r="K1084" i="4"/>
  <c r="J1084" i="4"/>
  <c r="P1083" i="4"/>
  <c r="Q1083" i="4" s="1"/>
  <c r="O1083" i="4"/>
  <c r="N1083" i="4"/>
  <c r="M1083" i="4"/>
  <c r="L1083" i="4"/>
  <c r="K1083" i="4"/>
  <c r="J1083" i="4"/>
  <c r="P1082" i="4"/>
  <c r="Q1082" i="4" s="1"/>
  <c r="O1082" i="4"/>
  <c r="N1082" i="4"/>
  <c r="M1082" i="4"/>
  <c r="L1082" i="4"/>
  <c r="K1082" i="4"/>
  <c r="J1082" i="4"/>
  <c r="P1081" i="4"/>
  <c r="Q1081" i="4" s="1"/>
  <c r="O1081" i="4"/>
  <c r="N1081" i="4"/>
  <c r="M1081" i="4"/>
  <c r="L1081" i="4"/>
  <c r="K1081" i="4"/>
  <c r="J1081" i="4"/>
  <c r="P1080" i="4"/>
  <c r="Q1080" i="4" s="1"/>
  <c r="O1080" i="4"/>
  <c r="N1080" i="4"/>
  <c r="M1080" i="4"/>
  <c r="L1080" i="4"/>
  <c r="K1080" i="4"/>
  <c r="J1080" i="4"/>
  <c r="P1079" i="4"/>
  <c r="Q1079" i="4" s="1"/>
  <c r="O1079" i="4"/>
  <c r="N1079" i="4"/>
  <c r="M1079" i="4"/>
  <c r="L1079" i="4"/>
  <c r="K1079" i="4"/>
  <c r="J1079" i="4"/>
  <c r="P1078" i="4"/>
  <c r="Q1078" i="4" s="1"/>
  <c r="O1078" i="4"/>
  <c r="N1078" i="4"/>
  <c r="M1078" i="4"/>
  <c r="L1078" i="4"/>
  <c r="K1078" i="4"/>
  <c r="J1078" i="4"/>
  <c r="P1077" i="4"/>
  <c r="Q1077" i="4" s="1"/>
  <c r="O1077" i="4"/>
  <c r="N1077" i="4"/>
  <c r="M1077" i="4"/>
  <c r="L1077" i="4"/>
  <c r="K1077" i="4"/>
  <c r="J1077" i="4"/>
  <c r="P1076" i="4"/>
  <c r="Q1076" i="4" s="1"/>
  <c r="O1076" i="4"/>
  <c r="N1076" i="4"/>
  <c r="M1076" i="4"/>
  <c r="L1076" i="4"/>
  <c r="K1076" i="4"/>
  <c r="J1076" i="4"/>
  <c r="P1075" i="4"/>
  <c r="Q1075" i="4" s="1"/>
  <c r="O1075" i="4"/>
  <c r="N1075" i="4"/>
  <c r="M1075" i="4"/>
  <c r="L1075" i="4"/>
  <c r="K1075" i="4"/>
  <c r="J1075" i="4"/>
  <c r="P1074" i="4"/>
  <c r="Q1074" i="4" s="1"/>
  <c r="O1074" i="4"/>
  <c r="N1074" i="4"/>
  <c r="M1074" i="4"/>
  <c r="L1074" i="4"/>
  <c r="K1074" i="4"/>
  <c r="J1074" i="4"/>
  <c r="P1073" i="4"/>
  <c r="Q1073" i="4" s="1"/>
  <c r="O1073" i="4"/>
  <c r="N1073" i="4"/>
  <c r="M1073" i="4"/>
  <c r="L1073" i="4"/>
  <c r="K1073" i="4"/>
  <c r="J1073" i="4"/>
  <c r="P1072" i="4"/>
  <c r="Q1072" i="4" s="1"/>
  <c r="O1072" i="4"/>
  <c r="N1072" i="4"/>
  <c r="M1072" i="4"/>
  <c r="L1072" i="4"/>
  <c r="K1072" i="4"/>
  <c r="J1072" i="4"/>
  <c r="P1071" i="4"/>
  <c r="Q1071" i="4" s="1"/>
  <c r="O1071" i="4"/>
  <c r="N1071" i="4"/>
  <c r="M1071" i="4"/>
  <c r="L1071" i="4"/>
  <c r="K1071" i="4"/>
  <c r="J1071" i="4"/>
  <c r="Q1070" i="4"/>
  <c r="P1070" i="4"/>
  <c r="O1070" i="4"/>
  <c r="N1070" i="4"/>
  <c r="M1070" i="4"/>
  <c r="L1070" i="4"/>
  <c r="K1070" i="4"/>
  <c r="J1070" i="4"/>
  <c r="P1069" i="4"/>
  <c r="Q1069" i="4" s="1"/>
  <c r="O1069" i="4"/>
  <c r="N1069" i="4"/>
  <c r="M1069" i="4"/>
  <c r="L1069" i="4"/>
  <c r="K1069" i="4"/>
  <c r="J1069" i="4"/>
  <c r="P1068" i="4"/>
  <c r="Q1068" i="4" s="1"/>
  <c r="O1068" i="4"/>
  <c r="N1068" i="4"/>
  <c r="M1068" i="4"/>
  <c r="L1068" i="4"/>
  <c r="K1068" i="4"/>
  <c r="J1068" i="4"/>
  <c r="P1067" i="4"/>
  <c r="Q1067" i="4" s="1"/>
  <c r="O1067" i="4"/>
  <c r="N1067" i="4"/>
  <c r="M1067" i="4"/>
  <c r="L1067" i="4"/>
  <c r="K1067" i="4"/>
  <c r="J1067" i="4"/>
  <c r="P1066" i="4"/>
  <c r="Q1066" i="4" s="1"/>
  <c r="O1066" i="4"/>
  <c r="N1066" i="4"/>
  <c r="M1066" i="4"/>
  <c r="L1066" i="4"/>
  <c r="K1066" i="4"/>
  <c r="J1066" i="4"/>
  <c r="P1065" i="4"/>
  <c r="Q1065" i="4" s="1"/>
  <c r="O1065" i="4"/>
  <c r="N1065" i="4"/>
  <c r="M1065" i="4"/>
  <c r="L1065" i="4"/>
  <c r="K1065" i="4"/>
  <c r="J1065" i="4"/>
  <c r="P1064" i="4"/>
  <c r="Q1064" i="4" s="1"/>
  <c r="O1064" i="4"/>
  <c r="N1064" i="4"/>
  <c r="M1064" i="4"/>
  <c r="L1064" i="4"/>
  <c r="K1064" i="4"/>
  <c r="J1064" i="4"/>
  <c r="P1063" i="4"/>
  <c r="Q1063" i="4" s="1"/>
  <c r="O1063" i="4"/>
  <c r="N1063" i="4"/>
  <c r="M1063" i="4"/>
  <c r="L1063" i="4"/>
  <c r="K1063" i="4"/>
  <c r="J1063" i="4"/>
  <c r="P1062" i="4"/>
  <c r="Q1062" i="4" s="1"/>
  <c r="O1062" i="4"/>
  <c r="N1062" i="4"/>
  <c r="M1062" i="4"/>
  <c r="L1062" i="4"/>
  <c r="K1062" i="4"/>
  <c r="J1062" i="4"/>
  <c r="Q1061" i="4"/>
  <c r="P1061" i="4"/>
  <c r="O1061" i="4"/>
  <c r="N1061" i="4"/>
  <c r="M1061" i="4"/>
  <c r="L1061" i="4"/>
  <c r="K1061" i="4"/>
  <c r="J1061" i="4"/>
  <c r="P1060" i="4"/>
  <c r="Q1060" i="4" s="1"/>
  <c r="O1060" i="4"/>
  <c r="N1060" i="4"/>
  <c r="M1060" i="4"/>
  <c r="L1060" i="4"/>
  <c r="K1060" i="4"/>
  <c r="J1060" i="4"/>
  <c r="P1059" i="4"/>
  <c r="Q1059" i="4" s="1"/>
  <c r="O1059" i="4"/>
  <c r="N1059" i="4"/>
  <c r="M1059" i="4"/>
  <c r="L1059" i="4"/>
  <c r="K1059" i="4"/>
  <c r="J1059" i="4"/>
  <c r="P1058" i="4"/>
  <c r="Q1058" i="4" s="1"/>
  <c r="O1058" i="4"/>
  <c r="N1058" i="4"/>
  <c r="M1058" i="4"/>
  <c r="L1058" i="4"/>
  <c r="K1058" i="4"/>
  <c r="J1058" i="4"/>
  <c r="P1057" i="4"/>
  <c r="Q1057" i="4" s="1"/>
  <c r="O1057" i="4"/>
  <c r="N1057" i="4"/>
  <c r="M1057" i="4"/>
  <c r="L1057" i="4"/>
  <c r="K1057" i="4"/>
  <c r="J1057" i="4"/>
  <c r="P1056" i="4"/>
  <c r="Q1056" i="4" s="1"/>
  <c r="O1056" i="4"/>
  <c r="N1056" i="4"/>
  <c r="M1056" i="4"/>
  <c r="L1056" i="4"/>
  <c r="K1056" i="4"/>
  <c r="J1056" i="4"/>
  <c r="P1055" i="4"/>
  <c r="Q1055" i="4" s="1"/>
  <c r="O1055" i="4"/>
  <c r="N1055" i="4"/>
  <c r="M1055" i="4"/>
  <c r="L1055" i="4"/>
  <c r="K1055" i="4"/>
  <c r="J1055" i="4"/>
  <c r="P1054" i="4"/>
  <c r="Q1054" i="4" s="1"/>
  <c r="O1054" i="4"/>
  <c r="N1054" i="4"/>
  <c r="M1054" i="4"/>
  <c r="L1054" i="4"/>
  <c r="K1054" i="4"/>
  <c r="J1054" i="4"/>
  <c r="P1053" i="4"/>
  <c r="Q1053" i="4" s="1"/>
  <c r="O1053" i="4"/>
  <c r="N1053" i="4"/>
  <c r="M1053" i="4"/>
  <c r="L1053" i="4"/>
  <c r="K1053" i="4"/>
  <c r="J1053" i="4"/>
  <c r="P1052" i="4"/>
  <c r="Q1052" i="4" s="1"/>
  <c r="O1052" i="4"/>
  <c r="N1052" i="4"/>
  <c r="M1052" i="4"/>
  <c r="L1052" i="4"/>
  <c r="K1052" i="4"/>
  <c r="J1052" i="4"/>
  <c r="P1051" i="4"/>
  <c r="Q1051" i="4" s="1"/>
  <c r="O1051" i="4"/>
  <c r="N1051" i="4"/>
  <c r="M1051" i="4"/>
  <c r="L1051" i="4"/>
  <c r="K1051" i="4"/>
  <c r="J1051" i="4"/>
  <c r="P1050" i="4"/>
  <c r="Q1050" i="4" s="1"/>
  <c r="O1050" i="4"/>
  <c r="N1050" i="4"/>
  <c r="M1050" i="4"/>
  <c r="L1050" i="4"/>
  <c r="K1050" i="4"/>
  <c r="J1050" i="4"/>
  <c r="P1049" i="4"/>
  <c r="Q1049" i="4" s="1"/>
  <c r="O1049" i="4"/>
  <c r="N1049" i="4"/>
  <c r="M1049" i="4"/>
  <c r="L1049" i="4"/>
  <c r="K1049" i="4"/>
  <c r="J1049" i="4"/>
  <c r="P1048" i="4"/>
  <c r="Q1048" i="4" s="1"/>
  <c r="O1048" i="4"/>
  <c r="N1048" i="4"/>
  <c r="M1048" i="4"/>
  <c r="L1048" i="4"/>
  <c r="K1048" i="4"/>
  <c r="J1048" i="4"/>
  <c r="P1047" i="4"/>
  <c r="Q1047" i="4" s="1"/>
  <c r="O1047" i="4"/>
  <c r="N1047" i="4"/>
  <c r="M1047" i="4"/>
  <c r="L1047" i="4"/>
  <c r="K1047" i="4"/>
  <c r="J1047" i="4"/>
  <c r="P1046" i="4"/>
  <c r="Q1046" i="4" s="1"/>
  <c r="O1046" i="4"/>
  <c r="N1046" i="4"/>
  <c r="M1046" i="4"/>
  <c r="L1046" i="4"/>
  <c r="K1046" i="4"/>
  <c r="J1046" i="4"/>
  <c r="P1045" i="4"/>
  <c r="Q1045" i="4" s="1"/>
  <c r="O1045" i="4"/>
  <c r="N1045" i="4"/>
  <c r="M1045" i="4"/>
  <c r="L1045" i="4"/>
  <c r="K1045" i="4"/>
  <c r="J1045" i="4"/>
  <c r="P1044" i="4"/>
  <c r="Q1044" i="4" s="1"/>
  <c r="O1044" i="4"/>
  <c r="N1044" i="4"/>
  <c r="M1044" i="4"/>
  <c r="L1044" i="4"/>
  <c r="K1044" i="4"/>
  <c r="J1044" i="4"/>
  <c r="P1043" i="4"/>
  <c r="Q1043" i="4" s="1"/>
  <c r="O1043" i="4"/>
  <c r="N1043" i="4"/>
  <c r="M1043" i="4"/>
  <c r="L1043" i="4"/>
  <c r="K1043" i="4"/>
  <c r="J1043" i="4"/>
  <c r="P1042" i="4"/>
  <c r="Q1042" i="4" s="1"/>
  <c r="O1042" i="4"/>
  <c r="N1042" i="4"/>
  <c r="M1042" i="4"/>
  <c r="L1042" i="4"/>
  <c r="K1042" i="4"/>
  <c r="J1042" i="4"/>
  <c r="P1041" i="4"/>
  <c r="Q1041" i="4" s="1"/>
  <c r="O1041" i="4"/>
  <c r="N1041" i="4"/>
  <c r="M1041" i="4"/>
  <c r="L1041" i="4"/>
  <c r="K1041" i="4"/>
  <c r="J1041" i="4"/>
  <c r="P1040" i="4"/>
  <c r="Q1040" i="4" s="1"/>
  <c r="O1040" i="4"/>
  <c r="N1040" i="4"/>
  <c r="M1040" i="4"/>
  <c r="L1040" i="4"/>
  <c r="K1040" i="4"/>
  <c r="J1040" i="4"/>
  <c r="P1039" i="4"/>
  <c r="Q1039" i="4" s="1"/>
  <c r="O1039" i="4"/>
  <c r="N1039" i="4"/>
  <c r="M1039" i="4"/>
  <c r="L1039" i="4"/>
  <c r="K1039" i="4"/>
  <c r="J1039" i="4"/>
  <c r="P1038" i="4"/>
  <c r="Q1038" i="4" s="1"/>
  <c r="O1038" i="4"/>
  <c r="N1038" i="4"/>
  <c r="M1038" i="4"/>
  <c r="L1038" i="4"/>
  <c r="K1038" i="4"/>
  <c r="J1038" i="4"/>
  <c r="P1037" i="4"/>
  <c r="Q1037" i="4" s="1"/>
  <c r="O1037" i="4"/>
  <c r="N1037" i="4"/>
  <c r="M1037" i="4"/>
  <c r="L1037" i="4"/>
  <c r="K1037" i="4"/>
  <c r="J1037" i="4"/>
  <c r="P1036" i="4"/>
  <c r="Q1036" i="4" s="1"/>
  <c r="O1036" i="4"/>
  <c r="N1036" i="4"/>
  <c r="M1036" i="4"/>
  <c r="L1036" i="4"/>
  <c r="K1036" i="4"/>
  <c r="J1036" i="4"/>
  <c r="P1035" i="4"/>
  <c r="Q1035" i="4" s="1"/>
  <c r="O1035" i="4"/>
  <c r="N1035" i="4"/>
  <c r="M1035" i="4"/>
  <c r="L1035" i="4"/>
  <c r="K1035" i="4"/>
  <c r="J1035" i="4"/>
  <c r="P1034" i="4"/>
  <c r="Q1034" i="4" s="1"/>
  <c r="O1034" i="4"/>
  <c r="N1034" i="4"/>
  <c r="M1034" i="4"/>
  <c r="L1034" i="4"/>
  <c r="K1034" i="4"/>
  <c r="J1034" i="4"/>
  <c r="P1033" i="4"/>
  <c r="Q1033" i="4" s="1"/>
  <c r="O1033" i="4"/>
  <c r="N1033" i="4"/>
  <c r="M1033" i="4"/>
  <c r="L1033" i="4"/>
  <c r="K1033" i="4"/>
  <c r="J1033" i="4"/>
  <c r="P1032" i="4"/>
  <c r="Q1032" i="4" s="1"/>
  <c r="O1032" i="4"/>
  <c r="N1032" i="4"/>
  <c r="M1032" i="4"/>
  <c r="L1032" i="4"/>
  <c r="K1032" i="4"/>
  <c r="J1032" i="4"/>
  <c r="P1031" i="4"/>
  <c r="Q1031" i="4" s="1"/>
  <c r="O1031" i="4"/>
  <c r="N1031" i="4"/>
  <c r="M1031" i="4"/>
  <c r="L1031" i="4"/>
  <c r="K1031" i="4"/>
  <c r="J1031" i="4"/>
  <c r="Q1030" i="4"/>
  <c r="P1030" i="4"/>
  <c r="O1030" i="4"/>
  <c r="N1030" i="4"/>
  <c r="M1030" i="4"/>
  <c r="L1030" i="4"/>
  <c r="K1030" i="4"/>
  <c r="J1030" i="4"/>
  <c r="P1029" i="4"/>
  <c r="Q1029" i="4" s="1"/>
  <c r="O1029" i="4"/>
  <c r="N1029" i="4"/>
  <c r="M1029" i="4"/>
  <c r="L1029" i="4"/>
  <c r="K1029" i="4"/>
  <c r="J1029" i="4"/>
  <c r="P1028" i="4"/>
  <c r="Q1028" i="4" s="1"/>
  <c r="O1028" i="4"/>
  <c r="N1028" i="4"/>
  <c r="M1028" i="4"/>
  <c r="L1028" i="4"/>
  <c r="K1028" i="4"/>
  <c r="J1028" i="4"/>
  <c r="Q1027" i="4"/>
  <c r="P1027" i="4"/>
  <c r="O1027" i="4"/>
  <c r="N1027" i="4"/>
  <c r="M1027" i="4"/>
  <c r="L1027" i="4"/>
  <c r="K1027" i="4"/>
  <c r="J1027" i="4"/>
  <c r="P1026" i="4"/>
  <c r="Q1026" i="4" s="1"/>
  <c r="O1026" i="4"/>
  <c r="N1026" i="4"/>
  <c r="M1026" i="4"/>
  <c r="L1026" i="4"/>
  <c r="K1026" i="4"/>
  <c r="J1026" i="4"/>
  <c r="P1025" i="4"/>
  <c r="Q1025" i="4" s="1"/>
  <c r="O1025" i="4"/>
  <c r="N1025" i="4"/>
  <c r="M1025" i="4"/>
  <c r="L1025" i="4"/>
  <c r="K1025" i="4"/>
  <c r="J1025" i="4"/>
  <c r="P1024" i="4"/>
  <c r="Q1024" i="4" s="1"/>
  <c r="O1024" i="4"/>
  <c r="N1024" i="4"/>
  <c r="M1024" i="4"/>
  <c r="L1024" i="4"/>
  <c r="K1024" i="4"/>
  <c r="J1024" i="4"/>
  <c r="P1023" i="4"/>
  <c r="Q1023" i="4" s="1"/>
  <c r="O1023" i="4"/>
  <c r="N1023" i="4"/>
  <c r="M1023" i="4"/>
  <c r="L1023" i="4"/>
  <c r="K1023" i="4"/>
  <c r="J1023" i="4"/>
  <c r="P1022" i="4"/>
  <c r="Q1022" i="4" s="1"/>
  <c r="O1022" i="4"/>
  <c r="N1022" i="4"/>
  <c r="M1022" i="4"/>
  <c r="L1022" i="4"/>
  <c r="K1022" i="4"/>
  <c r="J1022" i="4"/>
  <c r="P1021" i="4"/>
  <c r="Q1021" i="4" s="1"/>
  <c r="O1021" i="4"/>
  <c r="N1021" i="4"/>
  <c r="M1021" i="4"/>
  <c r="L1021" i="4"/>
  <c r="K1021" i="4"/>
  <c r="J1021" i="4"/>
  <c r="P1020" i="4"/>
  <c r="Q1020" i="4" s="1"/>
  <c r="O1020" i="4"/>
  <c r="N1020" i="4"/>
  <c r="M1020" i="4"/>
  <c r="L1020" i="4"/>
  <c r="K1020" i="4"/>
  <c r="J1020" i="4"/>
  <c r="P1019" i="4"/>
  <c r="Q1019" i="4" s="1"/>
  <c r="O1019" i="4"/>
  <c r="N1019" i="4"/>
  <c r="M1019" i="4"/>
  <c r="L1019" i="4"/>
  <c r="K1019" i="4"/>
  <c r="J1019" i="4"/>
  <c r="P1018" i="4"/>
  <c r="Q1018" i="4" s="1"/>
  <c r="O1018" i="4"/>
  <c r="N1018" i="4"/>
  <c r="M1018" i="4"/>
  <c r="L1018" i="4"/>
  <c r="K1018" i="4"/>
  <c r="J1018" i="4"/>
  <c r="P1017" i="4"/>
  <c r="Q1017" i="4" s="1"/>
  <c r="O1017" i="4"/>
  <c r="N1017" i="4"/>
  <c r="M1017" i="4"/>
  <c r="L1017" i="4"/>
  <c r="K1017" i="4"/>
  <c r="J1017" i="4"/>
  <c r="P1016" i="4"/>
  <c r="Q1016" i="4" s="1"/>
  <c r="O1016" i="4"/>
  <c r="N1016" i="4"/>
  <c r="M1016" i="4"/>
  <c r="L1016" i="4"/>
  <c r="K1016" i="4"/>
  <c r="J1016" i="4"/>
  <c r="P1015" i="4"/>
  <c r="Q1015" i="4" s="1"/>
  <c r="O1015" i="4"/>
  <c r="N1015" i="4"/>
  <c r="M1015" i="4"/>
  <c r="L1015" i="4"/>
  <c r="K1015" i="4"/>
  <c r="J1015" i="4"/>
  <c r="P1014" i="4"/>
  <c r="Q1014" i="4" s="1"/>
  <c r="O1014" i="4"/>
  <c r="N1014" i="4"/>
  <c r="M1014" i="4"/>
  <c r="L1014" i="4"/>
  <c r="K1014" i="4"/>
  <c r="J1014" i="4"/>
  <c r="P1013" i="4"/>
  <c r="Q1013" i="4" s="1"/>
  <c r="O1013" i="4"/>
  <c r="N1013" i="4"/>
  <c r="M1013" i="4"/>
  <c r="L1013" i="4"/>
  <c r="K1013" i="4"/>
  <c r="J1013" i="4"/>
  <c r="P1012" i="4"/>
  <c r="Q1012" i="4" s="1"/>
  <c r="O1012" i="4"/>
  <c r="N1012" i="4"/>
  <c r="M1012" i="4"/>
  <c r="L1012" i="4"/>
  <c r="K1012" i="4"/>
  <c r="J1012" i="4"/>
  <c r="P1011" i="4"/>
  <c r="Q1011" i="4" s="1"/>
  <c r="O1011" i="4"/>
  <c r="N1011" i="4"/>
  <c r="M1011" i="4"/>
  <c r="L1011" i="4"/>
  <c r="K1011" i="4"/>
  <c r="J1011" i="4"/>
  <c r="P1010" i="4"/>
  <c r="Q1010" i="4" s="1"/>
  <c r="O1010" i="4"/>
  <c r="N1010" i="4"/>
  <c r="M1010" i="4"/>
  <c r="L1010" i="4"/>
  <c r="K1010" i="4"/>
  <c r="J1010" i="4"/>
  <c r="P1009" i="4"/>
  <c r="Q1009" i="4" s="1"/>
  <c r="O1009" i="4"/>
  <c r="N1009" i="4"/>
  <c r="M1009" i="4"/>
  <c r="L1009" i="4"/>
  <c r="K1009" i="4"/>
  <c r="J1009" i="4"/>
  <c r="P1008" i="4"/>
  <c r="Q1008" i="4" s="1"/>
  <c r="O1008" i="4"/>
  <c r="N1008" i="4"/>
  <c r="M1008" i="4"/>
  <c r="L1008" i="4"/>
  <c r="K1008" i="4"/>
  <c r="J1008" i="4"/>
  <c r="P1007" i="4"/>
  <c r="Q1007" i="4" s="1"/>
  <c r="O1007" i="4"/>
  <c r="N1007" i="4"/>
  <c r="M1007" i="4"/>
  <c r="L1007" i="4"/>
  <c r="K1007" i="4"/>
  <c r="J1007" i="4"/>
  <c r="P1006" i="4"/>
  <c r="Q1006" i="4" s="1"/>
  <c r="O1006" i="4"/>
  <c r="N1006" i="4"/>
  <c r="M1006" i="4"/>
  <c r="L1006" i="4"/>
  <c r="K1006" i="4"/>
  <c r="J1006" i="4"/>
  <c r="P1005" i="4"/>
  <c r="Q1005" i="4" s="1"/>
  <c r="O1005" i="4"/>
  <c r="N1005" i="4"/>
  <c r="M1005" i="4"/>
  <c r="L1005" i="4"/>
  <c r="K1005" i="4"/>
  <c r="J1005" i="4"/>
  <c r="P1004" i="4"/>
  <c r="Q1004" i="4" s="1"/>
  <c r="O1004" i="4"/>
  <c r="N1004" i="4"/>
  <c r="M1004" i="4"/>
  <c r="L1004" i="4"/>
  <c r="K1004" i="4"/>
  <c r="J1004" i="4"/>
  <c r="P1003" i="4"/>
  <c r="Q1003" i="4" s="1"/>
  <c r="O1003" i="4"/>
  <c r="N1003" i="4"/>
  <c r="M1003" i="4"/>
  <c r="L1003" i="4"/>
  <c r="K1003" i="4"/>
  <c r="J1003" i="4"/>
  <c r="P1002" i="4"/>
  <c r="Q1002" i="4" s="1"/>
  <c r="O1002" i="4"/>
  <c r="N1002" i="4"/>
  <c r="M1002" i="4"/>
  <c r="L1002" i="4"/>
  <c r="K1002" i="4"/>
  <c r="J1002" i="4"/>
  <c r="P1001" i="4"/>
  <c r="Q1001" i="4" s="1"/>
  <c r="O1001" i="4"/>
  <c r="N1001" i="4"/>
  <c r="M1001" i="4"/>
  <c r="L1001" i="4"/>
  <c r="K1001" i="4"/>
  <c r="J1001" i="4"/>
  <c r="P1000" i="4"/>
  <c r="Q1000" i="4" s="1"/>
  <c r="O1000" i="4"/>
  <c r="N1000" i="4"/>
  <c r="M1000" i="4"/>
  <c r="L1000" i="4"/>
  <c r="K1000" i="4"/>
  <c r="J1000" i="4"/>
  <c r="P999" i="4"/>
  <c r="Q999" i="4" s="1"/>
  <c r="O999" i="4"/>
  <c r="N999" i="4"/>
  <c r="M999" i="4"/>
  <c r="L999" i="4"/>
  <c r="K999" i="4"/>
  <c r="J999" i="4"/>
  <c r="P998" i="4"/>
  <c r="Q998" i="4" s="1"/>
  <c r="O998" i="4"/>
  <c r="N998" i="4"/>
  <c r="M998" i="4"/>
  <c r="L998" i="4"/>
  <c r="K998" i="4"/>
  <c r="J998" i="4"/>
  <c r="P997" i="4"/>
  <c r="Q997" i="4" s="1"/>
  <c r="O997" i="4"/>
  <c r="N997" i="4"/>
  <c r="M997" i="4"/>
  <c r="L997" i="4"/>
  <c r="K997" i="4"/>
  <c r="J997" i="4"/>
  <c r="P996" i="4"/>
  <c r="Q996" i="4" s="1"/>
  <c r="O996" i="4"/>
  <c r="N996" i="4"/>
  <c r="M996" i="4"/>
  <c r="L996" i="4"/>
  <c r="K996" i="4"/>
  <c r="J996" i="4"/>
  <c r="Q995" i="4"/>
  <c r="P995" i="4"/>
  <c r="O995" i="4"/>
  <c r="N995" i="4"/>
  <c r="M995" i="4"/>
  <c r="L995" i="4"/>
  <c r="K995" i="4"/>
  <c r="J995" i="4"/>
  <c r="P994" i="4"/>
  <c r="Q994" i="4" s="1"/>
  <c r="O994" i="4"/>
  <c r="N994" i="4"/>
  <c r="M994" i="4"/>
  <c r="L994" i="4"/>
  <c r="K994" i="4"/>
  <c r="J994" i="4"/>
  <c r="P993" i="4"/>
  <c r="Q993" i="4" s="1"/>
  <c r="O993" i="4"/>
  <c r="N993" i="4"/>
  <c r="M993" i="4"/>
  <c r="L993" i="4"/>
  <c r="K993" i="4"/>
  <c r="J993" i="4"/>
  <c r="P992" i="4"/>
  <c r="Q992" i="4" s="1"/>
  <c r="O992" i="4"/>
  <c r="N992" i="4"/>
  <c r="M992" i="4"/>
  <c r="L992" i="4"/>
  <c r="K992" i="4"/>
  <c r="J992" i="4"/>
  <c r="P991" i="4"/>
  <c r="Q991" i="4" s="1"/>
  <c r="O991" i="4"/>
  <c r="N991" i="4"/>
  <c r="M991" i="4"/>
  <c r="L991" i="4"/>
  <c r="K991" i="4"/>
  <c r="J991" i="4"/>
  <c r="Q990" i="4"/>
  <c r="P990" i="4"/>
  <c r="O990" i="4"/>
  <c r="N990" i="4"/>
  <c r="M990" i="4"/>
  <c r="L990" i="4"/>
  <c r="K990" i="4"/>
  <c r="J990" i="4"/>
  <c r="P989" i="4"/>
  <c r="Q989" i="4" s="1"/>
  <c r="O989" i="4"/>
  <c r="N989" i="4"/>
  <c r="M989" i="4"/>
  <c r="L989" i="4"/>
  <c r="K989" i="4"/>
  <c r="J989" i="4"/>
  <c r="P988" i="4"/>
  <c r="Q988" i="4" s="1"/>
  <c r="O988" i="4"/>
  <c r="N988" i="4"/>
  <c r="M988" i="4"/>
  <c r="L988" i="4"/>
  <c r="K988" i="4"/>
  <c r="J988" i="4"/>
  <c r="Q987" i="4"/>
  <c r="P987" i="4"/>
  <c r="O987" i="4"/>
  <c r="N987" i="4"/>
  <c r="M987" i="4"/>
  <c r="L987" i="4"/>
  <c r="K987" i="4"/>
  <c r="J987" i="4"/>
  <c r="P986" i="4"/>
  <c r="Q986" i="4" s="1"/>
  <c r="O986" i="4"/>
  <c r="N986" i="4"/>
  <c r="M986" i="4"/>
  <c r="L986" i="4"/>
  <c r="K986" i="4"/>
  <c r="J986" i="4"/>
  <c r="P985" i="4"/>
  <c r="Q985" i="4" s="1"/>
  <c r="O985" i="4"/>
  <c r="N985" i="4"/>
  <c r="M985" i="4"/>
  <c r="L985" i="4"/>
  <c r="K985" i="4"/>
  <c r="J985" i="4"/>
  <c r="P984" i="4"/>
  <c r="Q984" i="4" s="1"/>
  <c r="O984" i="4"/>
  <c r="N984" i="4"/>
  <c r="M984" i="4"/>
  <c r="L984" i="4"/>
  <c r="K984" i="4"/>
  <c r="J984" i="4"/>
  <c r="P983" i="4"/>
  <c r="Q983" i="4" s="1"/>
  <c r="O983" i="4"/>
  <c r="N983" i="4"/>
  <c r="M983" i="4"/>
  <c r="L983" i="4"/>
  <c r="K983" i="4"/>
  <c r="J983" i="4"/>
  <c r="P982" i="4"/>
  <c r="Q982" i="4" s="1"/>
  <c r="O982" i="4"/>
  <c r="N982" i="4"/>
  <c r="M982" i="4"/>
  <c r="L982" i="4"/>
  <c r="K982" i="4"/>
  <c r="J982" i="4"/>
  <c r="P981" i="4"/>
  <c r="Q981" i="4" s="1"/>
  <c r="O981" i="4"/>
  <c r="N981" i="4"/>
  <c r="M981" i="4"/>
  <c r="L981" i="4"/>
  <c r="K981" i="4"/>
  <c r="J981" i="4"/>
  <c r="P980" i="4"/>
  <c r="Q980" i="4" s="1"/>
  <c r="O980" i="4"/>
  <c r="N980" i="4"/>
  <c r="M980" i="4"/>
  <c r="L980" i="4"/>
  <c r="K980" i="4"/>
  <c r="J980" i="4"/>
  <c r="P979" i="4"/>
  <c r="Q979" i="4" s="1"/>
  <c r="O979" i="4"/>
  <c r="N979" i="4"/>
  <c r="M979" i="4"/>
  <c r="L979" i="4"/>
  <c r="K979" i="4"/>
  <c r="J979" i="4"/>
  <c r="P978" i="4"/>
  <c r="Q978" i="4" s="1"/>
  <c r="O978" i="4"/>
  <c r="N978" i="4"/>
  <c r="M978" i="4"/>
  <c r="L978" i="4"/>
  <c r="K978" i="4"/>
  <c r="J978" i="4"/>
  <c r="P977" i="4"/>
  <c r="Q977" i="4" s="1"/>
  <c r="O977" i="4"/>
  <c r="N977" i="4"/>
  <c r="M977" i="4"/>
  <c r="L977" i="4"/>
  <c r="K977" i="4"/>
  <c r="J977" i="4"/>
  <c r="Q976" i="4"/>
  <c r="P976" i="4"/>
  <c r="O976" i="4"/>
  <c r="N976" i="4"/>
  <c r="M976" i="4"/>
  <c r="L976" i="4"/>
  <c r="K976" i="4"/>
  <c r="J976" i="4"/>
  <c r="P975" i="4"/>
  <c r="Q975" i="4" s="1"/>
  <c r="O975" i="4"/>
  <c r="N975" i="4"/>
  <c r="M975" i="4"/>
  <c r="L975" i="4"/>
  <c r="K975" i="4"/>
  <c r="J975" i="4"/>
  <c r="P974" i="4"/>
  <c r="Q974" i="4" s="1"/>
  <c r="O974" i="4"/>
  <c r="N974" i="4"/>
  <c r="M974" i="4"/>
  <c r="L974" i="4"/>
  <c r="K974" i="4"/>
  <c r="J974" i="4"/>
  <c r="P973" i="4"/>
  <c r="Q973" i="4" s="1"/>
  <c r="O973" i="4"/>
  <c r="N973" i="4"/>
  <c r="M973" i="4"/>
  <c r="L973" i="4"/>
  <c r="K973" i="4"/>
  <c r="J973" i="4"/>
  <c r="P972" i="4"/>
  <c r="Q972" i="4" s="1"/>
  <c r="O972" i="4"/>
  <c r="N972" i="4"/>
  <c r="M972" i="4"/>
  <c r="L972" i="4"/>
  <c r="K972" i="4"/>
  <c r="J972" i="4"/>
  <c r="P971" i="4"/>
  <c r="Q971" i="4" s="1"/>
  <c r="O971" i="4"/>
  <c r="N971" i="4"/>
  <c r="M971" i="4"/>
  <c r="L971" i="4"/>
  <c r="K971" i="4"/>
  <c r="J971" i="4"/>
  <c r="P970" i="4"/>
  <c r="Q970" i="4" s="1"/>
  <c r="O970" i="4"/>
  <c r="N970" i="4"/>
  <c r="M970" i="4"/>
  <c r="L970" i="4"/>
  <c r="K970" i="4"/>
  <c r="J970" i="4"/>
  <c r="P969" i="4"/>
  <c r="Q969" i="4" s="1"/>
  <c r="O969" i="4"/>
  <c r="N969" i="4"/>
  <c r="M969" i="4"/>
  <c r="L969" i="4"/>
  <c r="K969" i="4"/>
  <c r="J969" i="4"/>
  <c r="P968" i="4"/>
  <c r="Q968" i="4" s="1"/>
  <c r="O968" i="4"/>
  <c r="N968" i="4"/>
  <c r="M968" i="4"/>
  <c r="L968" i="4"/>
  <c r="K968" i="4"/>
  <c r="J968" i="4"/>
  <c r="P967" i="4"/>
  <c r="Q967" i="4" s="1"/>
  <c r="O967" i="4"/>
  <c r="N967" i="4"/>
  <c r="M967" i="4"/>
  <c r="L967" i="4"/>
  <c r="K967" i="4"/>
  <c r="J967" i="4"/>
  <c r="P966" i="4"/>
  <c r="Q966" i="4" s="1"/>
  <c r="O966" i="4"/>
  <c r="N966" i="4"/>
  <c r="M966" i="4"/>
  <c r="L966" i="4"/>
  <c r="K966" i="4"/>
  <c r="J966" i="4"/>
  <c r="P965" i="4"/>
  <c r="Q965" i="4" s="1"/>
  <c r="O965" i="4"/>
  <c r="N965" i="4"/>
  <c r="M965" i="4"/>
  <c r="L965" i="4"/>
  <c r="K965" i="4"/>
  <c r="J965" i="4"/>
  <c r="P964" i="4"/>
  <c r="Q964" i="4" s="1"/>
  <c r="O964" i="4"/>
  <c r="N964" i="4"/>
  <c r="M964" i="4"/>
  <c r="L964" i="4"/>
  <c r="K964" i="4"/>
  <c r="J964" i="4"/>
  <c r="P963" i="4"/>
  <c r="Q963" i="4" s="1"/>
  <c r="O963" i="4"/>
  <c r="N963" i="4"/>
  <c r="M963" i="4"/>
  <c r="L963" i="4"/>
  <c r="K963" i="4"/>
  <c r="J963" i="4"/>
  <c r="P962" i="4"/>
  <c r="Q962" i="4" s="1"/>
  <c r="O962" i="4"/>
  <c r="N962" i="4"/>
  <c r="M962" i="4"/>
  <c r="L962" i="4"/>
  <c r="K962" i="4"/>
  <c r="J962" i="4"/>
  <c r="P961" i="4"/>
  <c r="Q961" i="4" s="1"/>
  <c r="O961" i="4"/>
  <c r="N961" i="4"/>
  <c r="M961" i="4"/>
  <c r="L961" i="4"/>
  <c r="K961" i="4"/>
  <c r="J961" i="4"/>
  <c r="P960" i="4"/>
  <c r="Q960" i="4" s="1"/>
  <c r="O960" i="4"/>
  <c r="N960" i="4"/>
  <c r="M960" i="4"/>
  <c r="L960" i="4"/>
  <c r="K960" i="4"/>
  <c r="J960" i="4"/>
  <c r="P959" i="4"/>
  <c r="Q959" i="4" s="1"/>
  <c r="O959" i="4"/>
  <c r="N959" i="4"/>
  <c r="M959" i="4"/>
  <c r="L959" i="4"/>
  <c r="K959" i="4"/>
  <c r="J959" i="4"/>
  <c r="P958" i="4"/>
  <c r="Q958" i="4" s="1"/>
  <c r="O958" i="4"/>
  <c r="N958" i="4"/>
  <c r="M958" i="4"/>
  <c r="L958" i="4"/>
  <c r="K958" i="4"/>
  <c r="J958" i="4"/>
  <c r="Q957" i="4"/>
  <c r="P957" i="4"/>
  <c r="O957" i="4"/>
  <c r="N957" i="4"/>
  <c r="M957" i="4"/>
  <c r="L957" i="4"/>
  <c r="K957" i="4"/>
  <c r="J957" i="4"/>
  <c r="P956" i="4"/>
  <c r="Q956" i="4" s="1"/>
  <c r="O956" i="4"/>
  <c r="N956" i="4"/>
  <c r="M956" i="4"/>
  <c r="L956" i="4"/>
  <c r="K956" i="4"/>
  <c r="J956" i="4"/>
  <c r="P955" i="4"/>
  <c r="Q955" i="4" s="1"/>
  <c r="O955" i="4"/>
  <c r="N955" i="4"/>
  <c r="M955" i="4"/>
  <c r="L955" i="4"/>
  <c r="K955" i="4"/>
  <c r="J955" i="4"/>
  <c r="P954" i="4"/>
  <c r="Q954" i="4" s="1"/>
  <c r="O954" i="4"/>
  <c r="N954" i="4"/>
  <c r="M954" i="4"/>
  <c r="L954" i="4"/>
  <c r="K954" i="4"/>
  <c r="J954" i="4"/>
  <c r="P953" i="4"/>
  <c r="Q953" i="4" s="1"/>
  <c r="O953" i="4"/>
  <c r="N953" i="4"/>
  <c r="M953" i="4"/>
  <c r="L953" i="4"/>
  <c r="K953" i="4"/>
  <c r="J953" i="4"/>
  <c r="P952" i="4"/>
  <c r="Q952" i="4" s="1"/>
  <c r="O952" i="4"/>
  <c r="N952" i="4"/>
  <c r="M952" i="4"/>
  <c r="L952" i="4"/>
  <c r="K952" i="4"/>
  <c r="J952" i="4"/>
  <c r="P951" i="4"/>
  <c r="Q951" i="4" s="1"/>
  <c r="O951" i="4"/>
  <c r="N951" i="4"/>
  <c r="M951" i="4"/>
  <c r="L951" i="4"/>
  <c r="K951" i="4"/>
  <c r="J951" i="4"/>
  <c r="P950" i="4"/>
  <c r="Q950" i="4" s="1"/>
  <c r="O950" i="4"/>
  <c r="N950" i="4"/>
  <c r="M950" i="4"/>
  <c r="L950" i="4"/>
  <c r="K950" i="4"/>
  <c r="J950" i="4"/>
  <c r="P949" i="4"/>
  <c r="Q949" i="4" s="1"/>
  <c r="O949" i="4"/>
  <c r="N949" i="4"/>
  <c r="M949" i="4"/>
  <c r="L949" i="4"/>
  <c r="K949" i="4"/>
  <c r="J949" i="4"/>
  <c r="P948" i="4"/>
  <c r="Q948" i="4" s="1"/>
  <c r="O948" i="4"/>
  <c r="N948" i="4"/>
  <c r="M948" i="4"/>
  <c r="L948" i="4"/>
  <c r="K948" i="4"/>
  <c r="J948" i="4"/>
  <c r="P947" i="4"/>
  <c r="Q947" i="4" s="1"/>
  <c r="O947" i="4"/>
  <c r="N947" i="4"/>
  <c r="M947" i="4"/>
  <c r="L947" i="4"/>
  <c r="K947" i="4"/>
  <c r="J947" i="4"/>
  <c r="P946" i="4"/>
  <c r="Q946" i="4" s="1"/>
  <c r="O946" i="4"/>
  <c r="N946" i="4"/>
  <c r="M946" i="4"/>
  <c r="L946" i="4"/>
  <c r="K946" i="4"/>
  <c r="J946" i="4"/>
  <c r="Q945" i="4"/>
  <c r="P945" i="4"/>
  <c r="O945" i="4"/>
  <c r="N945" i="4"/>
  <c r="M945" i="4"/>
  <c r="L945" i="4"/>
  <c r="K945" i="4"/>
  <c r="J945" i="4"/>
  <c r="P944" i="4"/>
  <c r="Q944" i="4" s="1"/>
  <c r="O944" i="4"/>
  <c r="N944" i="4"/>
  <c r="M944" i="4"/>
  <c r="L944" i="4"/>
  <c r="K944" i="4"/>
  <c r="J944" i="4"/>
  <c r="P943" i="4"/>
  <c r="Q943" i="4" s="1"/>
  <c r="O943" i="4"/>
  <c r="N943" i="4"/>
  <c r="M943" i="4"/>
  <c r="L943" i="4"/>
  <c r="K943" i="4"/>
  <c r="J943" i="4"/>
  <c r="Q942" i="4"/>
  <c r="P942" i="4"/>
  <c r="O942" i="4"/>
  <c r="N942" i="4"/>
  <c r="M942" i="4"/>
  <c r="L942" i="4"/>
  <c r="K942" i="4"/>
  <c r="J942" i="4"/>
  <c r="P941" i="4"/>
  <c r="Q941" i="4" s="1"/>
  <c r="O941" i="4"/>
  <c r="N941" i="4"/>
  <c r="M941" i="4"/>
  <c r="L941" i="4"/>
  <c r="K941" i="4"/>
  <c r="J941" i="4"/>
  <c r="P940" i="4"/>
  <c r="Q940" i="4" s="1"/>
  <c r="O940" i="4"/>
  <c r="N940" i="4"/>
  <c r="M940" i="4"/>
  <c r="L940" i="4"/>
  <c r="K940" i="4"/>
  <c r="J940" i="4"/>
  <c r="P939" i="4"/>
  <c r="Q939" i="4" s="1"/>
  <c r="O939" i="4"/>
  <c r="N939" i="4"/>
  <c r="M939" i="4"/>
  <c r="L939" i="4"/>
  <c r="K939" i="4"/>
  <c r="J939" i="4"/>
  <c r="P938" i="4"/>
  <c r="Q938" i="4" s="1"/>
  <c r="O938" i="4"/>
  <c r="N938" i="4"/>
  <c r="M938" i="4"/>
  <c r="L938" i="4"/>
  <c r="K938" i="4"/>
  <c r="J938" i="4"/>
  <c r="P937" i="4"/>
  <c r="Q937" i="4" s="1"/>
  <c r="O937" i="4"/>
  <c r="N937" i="4"/>
  <c r="M937" i="4"/>
  <c r="L937" i="4"/>
  <c r="K937" i="4"/>
  <c r="J937" i="4"/>
  <c r="P936" i="4"/>
  <c r="Q936" i="4" s="1"/>
  <c r="O936" i="4"/>
  <c r="N936" i="4"/>
  <c r="M936" i="4"/>
  <c r="L936" i="4"/>
  <c r="K936" i="4"/>
  <c r="J936" i="4"/>
  <c r="P935" i="4"/>
  <c r="Q935" i="4" s="1"/>
  <c r="O935" i="4"/>
  <c r="N935" i="4"/>
  <c r="M935" i="4"/>
  <c r="L935" i="4"/>
  <c r="K935" i="4"/>
  <c r="J935" i="4"/>
  <c r="P934" i="4"/>
  <c r="Q934" i="4" s="1"/>
  <c r="O934" i="4"/>
  <c r="N934" i="4"/>
  <c r="M934" i="4"/>
  <c r="L934" i="4"/>
  <c r="K934" i="4"/>
  <c r="J934" i="4"/>
  <c r="P933" i="4"/>
  <c r="Q933" i="4" s="1"/>
  <c r="O933" i="4"/>
  <c r="N933" i="4"/>
  <c r="M933" i="4"/>
  <c r="L933" i="4"/>
  <c r="K933" i="4"/>
  <c r="J933" i="4"/>
  <c r="P932" i="4"/>
  <c r="Q932" i="4" s="1"/>
  <c r="O932" i="4"/>
  <c r="N932" i="4"/>
  <c r="M932" i="4"/>
  <c r="L932" i="4"/>
  <c r="K932" i="4"/>
  <c r="J932" i="4"/>
  <c r="P931" i="4"/>
  <c r="Q931" i="4" s="1"/>
  <c r="O931" i="4"/>
  <c r="N931" i="4"/>
  <c r="M931" i="4"/>
  <c r="L931" i="4"/>
  <c r="K931" i="4"/>
  <c r="J931" i="4"/>
  <c r="P930" i="4"/>
  <c r="Q930" i="4" s="1"/>
  <c r="O930" i="4"/>
  <c r="N930" i="4"/>
  <c r="M930" i="4"/>
  <c r="L930" i="4"/>
  <c r="K930" i="4"/>
  <c r="J930" i="4"/>
  <c r="P929" i="4"/>
  <c r="Q929" i="4" s="1"/>
  <c r="O929" i="4"/>
  <c r="N929" i="4"/>
  <c r="M929" i="4"/>
  <c r="L929" i="4"/>
  <c r="K929" i="4"/>
  <c r="J929" i="4"/>
  <c r="P928" i="4"/>
  <c r="Q928" i="4" s="1"/>
  <c r="O928" i="4"/>
  <c r="N928" i="4"/>
  <c r="M928" i="4"/>
  <c r="L928" i="4"/>
  <c r="K928" i="4"/>
  <c r="J928" i="4"/>
  <c r="P927" i="4"/>
  <c r="Q927" i="4" s="1"/>
  <c r="O927" i="4"/>
  <c r="N927" i="4"/>
  <c r="M927" i="4"/>
  <c r="L927" i="4"/>
  <c r="K927" i="4"/>
  <c r="J927" i="4"/>
  <c r="P926" i="4"/>
  <c r="Q926" i="4" s="1"/>
  <c r="O926" i="4"/>
  <c r="N926" i="4"/>
  <c r="M926" i="4"/>
  <c r="L926" i="4"/>
  <c r="K926" i="4"/>
  <c r="J926" i="4"/>
  <c r="P925" i="4"/>
  <c r="Q925" i="4" s="1"/>
  <c r="O925" i="4"/>
  <c r="N925" i="4"/>
  <c r="M925" i="4"/>
  <c r="L925" i="4"/>
  <c r="K925" i="4"/>
  <c r="J925" i="4"/>
  <c r="Q924" i="4"/>
  <c r="P924" i="4"/>
  <c r="O924" i="4"/>
  <c r="N924" i="4"/>
  <c r="M924" i="4"/>
  <c r="L924" i="4"/>
  <c r="K924" i="4"/>
  <c r="J924" i="4"/>
  <c r="P923" i="4"/>
  <c r="Q923" i="4" s="1"/>
  <c r="O923" i="4"/>
  <c r="N923" i="4"/>
  <c r="M923" i="4"/>
  <c r="L923" i="4"/>
  <c r="K923" i="4"/>
  <c r="J923" i="4"/>
  <c r="P922" i="4"/>
  <c r="Q922" i="4" s="1"/>
  <c r="O922" i="4"/>
  <c r="N922" i="4"/>
  <c r="M922" i="4"/>
  <c r="L922" i="4"/>
  <c r="K922" i="4"/>
  <c r="J922" i="4"/>
  <c r="P921" i="4"/>
  <c r="Q921" i="4" s="1"/>
  <c r="O921" i="4"/>
  <c r="N921" i="4"/>
  <c r="M921" i="4"/>
  <c r="L921" i="4"/>
  <c r="K921" i="4"/>
  <c r="J921" i="4"/>
  <c r="P920" i="4"/>
  <c r="Q920" i="4" s="1"/>
  <c r="O920" i="4"/>
  <c r="N920" i="4"/>
  <c r="M920" i="4"/>
  <c r="L920" i="4"/>
  <c r="K920" i="4"/>
  <c r="J920" i="4"/>
  <c r="P919" i="4"/>
  <c r="Q919" i="4" s="1"/>
  <c r="O919" i="4"/>
  <c r="N919" i="4"/>
  <c r="M919" i="4"/>
  <c r="L919" i="4"/>
  <c r="K919" i="4"/>
  <c r="J919" i="4"/>
  <c r="Q918" i="4"/>
  <c r="P918" i="4"/>
  <c r="O918" i="4"/>
  <c r="N918" i="4"/>
  <c r="M918" i="4"/>
  <c r="L918" i="4"/>
  <c r="K918" i="4"/>
  <c r="J918" i="4"/>
  <c r="P917" i="4"/>
  <c r="Q917" i="4" s="1"/>
  <c r="O917" i="4"/>
  <c r="N917" i="4"/>
  <c r="M917" i="4"/>
  <c r="L917" i="4"/>
  <c r="K917" i="4"/>
  <c r="J917" i="4"/>
  <c r="P916" i="4"/>
  <c r="Q916" i="4" s="1"/>
  <c r="O916" i="4"/>
  <c r="N916" i="4"/>
  <c r="M916" i="4"/>
  <c r="L916" i="4"/>
  <c r="K916" i="4"/>
  <c r="J916" i="4"/>
  <c r="Q915" i="4"/>
  <c r="P915" i="4"/>
  <c r="O915" i="4"/>
  <c r="N915" i="4"/>
  <c r="M915" i="4"/>
  <c r="L915" i="4"/>
  <c r="K915" i="4"/>
  <c r="J915" i="4"/>
  <c r="P914" i="4"/>
  <c r="Q914" i="4" s="1"/>
  <c r="O914" i="4"/>
  <c r="N914" i="4"/>
  <c r="M914" i="4"/>
  <c r="L914" i="4"/>
  <c r="K914" i="4"/>
  <c r="J914" i="4"/>
  <c r="P913" i="4"/>
  <c r="Q913" i="4" s="1"/>
  <c r="O913" i="4"/>
  <c r="N913" i="4"/>
  <c r="M913" i="4"/>
  <c r="L913" i="4"/>
  <c r="K913" i="4"/>
  <c r="J913" i="4"/>
  <c r="P912" i="4"/>
  <c r="Q912" i="4" s="1"/>
  <c r="O912" i="4"/>
  <c r="N912" i="4"/>
  <c r="M912" i="4"/>
  <c r="L912" i="4"/>
  <c r="K912" i="4"/>
  <c r="J912" i="4"/>
  <c r="P911" i="4"/>
  <c r="Q911" i="4" s="1"/>
  <c r="O911" i="4"/>
  <c r="N911" i="4"/>
  <c r="M911" i="4"/>
  <c r="L911" i="4"/>
  <c r="K911" i="4"/>
  <c r="J911" i="4"/>
  <c r="P910" i="4"/>
  <c r="Q910" i="4" s="1"/>
  <c r="O910" i="4"/>
  <c r="N910" i="4"/>
  <c r="M910" i="4"/>
  <c r="L910" i="4"/>
  <c r="K910" i="4"/>
  <c r="J910" i="4"/>
  <c r="P909" i="4"/>
  <c r="Q909" i="4" s="1"/>
  <c r="O909" i="4"/>
  <c r="N909" i="4"/>
  <c r="M909" i="4"/>
  <c r="L909" i="4"/>
  <c r="K909" i="4"/>
  <c r="J909" i="4"/>
  <c r="P908" i="4"/>
  <c r="Q908" i="4" s="1"/>
  <c r="O908" i="4"/>
  <c r="N908" i="4"/>
  <c r="M908" i="4"/>
  <c r="L908" i="4"/>
  <c r="K908" i="4"/>
  <c r="J908" i="4"/>
  <c r="P907" i="4"/>
  <c r="Q907" i="4" s="1"/>
  <c r="O907" i="4"/>
  <c r="N907" i="4"/>
  <c r="M907" i="4"/>
  <c r="L907" i="4"/>
  <c r="K907" i="4"/>
  <c r="J907" i="4"/>
  <c r="P906" i="4"/>
  <c r="Q906" i="4" s="1"/>
  <c r="O906" i="4"/>
  <c r="N906" i="4"/>
  <c r="M906" i="4"/>
  <c r="L906" i="4"/>
  <c r="K906" i="4"/>
  <c r="J906" i="4"/>
  <c r="P905" i="4"/>
  <c r="Q905" i="4" s="1"/>
  <c r="O905" i="4"/>
  <c r="N905" i="4"/>
  <c r="M905" i="4"/>
  <c r="L905" i="4"/>
  <c r="K905" i="4"/>
  <c r="J905" i="4"/>
  <c r="P904" i="4"/>
  <c r="Q904" i="4" s="1"/>
  <c r="O904" i="4"/>
  <c r="N904" i="4"/>
  <c r="M904" i="4"/>
  <c r="L904" i="4"/>
  <c r="K904" i="4"/>
  <c r="J904" i="4"/>
  <c r="P903" i="4"/>
  <c r="Q903" i="4" s="1"/>
  <c r="O903" i="4"/>
  <c r="N903" i="4"/>
  <c r="M903" i="4"/>
  <c r="L903" i="4"/>
  <c r="K903" i="4"/>
  <c r="J903" i="4"/>
  <c r="P902" i="4"/>
  <c r="Q902" i="4" s="1"/>
  <c r="O902" i="4"/>
  <c r="N902" i="4"/>
  <c r="M902" i="4"/>
  <c r="L902" i="4"/>
  <c r="K902" i="4"/>
  <c r="J902" i="4"/>
  <c r="P901" i="4"/>
  <c r="Q901" i="4" s="1"/>
  <c r="O901" i="4"/>
  <c r="N901" i="4"/>
  <c r="M901" i="4"/>
  <c r="L901" i="4"/>
  <c r="K901" i="4"/>
  <c r="J901" i="4"/>
  <c r="P900" i="4"/>
  <c r="Q900" i="4" s="1"/>
  <c r="O900" i="4"/>
  <c r="N900" i="4"/>
  <c r="M900" i="4"/>
  <c r="L900" i="4"/>
  <c r="K900" i="4"/>
  <c r="J900" i="4"/>
  <c r="P899" i="4"/>
  <c r="Q899" i="4" s="1"/>
  <c r="O899" i="4"/>
  <c r="N899" i="4"/>
  <c r="M899" i="4"/>
  <c r="L899" i="4"/>
  <c r="K899" i="4"/>
  <c r="J899" i="4"/>
  <c r="P898" i="4"/>
  <c r="Q898" i="4" s="1"/>
  <c r="O898" i="4"/>
  <c r="N898" i="4"/>
  <c r="M898" i="4"/>
  <c r="L898" i="4"/>
  <c r="K898" i="4"/>
  <c r="J898" i="4"/>
  <c r="P897" i="4"/>
  <c r="Q897" i="4" s="1"/>
  <c r="O897" i="4"/>
  <c r="N897" i="4"/>
  <c r="M897" i="4"/>
  <c r="L897" i="4"/>
  <c r="K897" i="4"/>
  <c r="J897" i="4"/>
  <c r="P896" i="4"/>
  <c r="Q896" i="4" s="1"/>
  <c r="O896" i="4"/>
  <c r="N896" i="4"/>
  <c r="M896" i="4"/>
  <c r="L896" i="4"/>
  <c r="K896" i="4"/>
  <c r="J896" i="4"/>
  <c r="P895" i="4"/>
  <c r="Q895" i="4" s="1"/>
  <c r="O895" i="4"/>
  <c r="N895" i="4"/>
  <c r="M895" i="4"/>
  <c r="L895" i="4"/>
  <c r="K895" i="4"/>
  <c r="J895" i="4"/>
  <c r="P894" i="4"/>
  <c r="Q894" i="4" s="1"/>
  <c r="O894" i="4"/>
  <c r="N894" i="4"/>
  <c r="M894" i="4"/>
  <c r="L894" i="4"/>
  <c r="K894" i="4"/>
  <c r="J894" i="4"/>
  <c r="P893" i="4"/>
  <c r="Q893" i="4" s="1"/>
  <c r="O893" i="4"/>
  <c r="N893" i="4"/>
  <c r="M893" i="4"/>
  <c r="L893" i="4"/>
  <c r="K893" i="4"/>
  <c r="J893" i="4"/>
  <c r="P892" i="4"/>
  <c r="Q892" i="4" s="1"/>
  <c r="O892" i="4"/>
  <c r="N892" i="4"/>
  <c r="M892" i="4"/>
  <c r="L892" i="4"/>
  <c r="K892" i="4"/>
  <c r="J892" i="4"/>
  <c r="P891" i="4"/>
  <c r="Q891" i="4" s="1"/>
  <c r="O891" i="4"/>
  <c r="N891" i="4"/>
  <c r="M891" i="4"/>
  <c r="L891" i="4"/>
  <c r="K891" i="4"/>
  <c r="J891" i="4"/>
  <c r="P890" i="4"/>
  <c r="Q890" i="4" s="1"/>
  <c r="O890" i="4"/>
  <c r="N890" i="4"/>
  <c r="M890" i="4"/>
  <c r="L890" i="4"/>
  <c r="K890" i="4"/>
  <c r="J890" i="4"/>
  <c r="P889" i="4"/>
  <c r="Q889" i="4" s="1"/>
  <c r="O889" i="4"/>
  <c r="N889" i="4"/>
  <c r="M889" i="4"/>
  <c r="L889" i="4"/>
  <c r="K889" i="4"/>
  <c r="J889" i="4"/>
  <c r="P888" i="4"/>
  <c r="Q888" i="4" s="1"/>
  <c r="O888" i="4"/>
  <c r="N888" i="4"/>
  <c r="M888" i="4"/>
  <c r="L888" i="4"/>
  <c r="K888" i="4"/>
  <c r="J888" i="4"/>
  <c r="Q887" i="4"/>
  <c r="P887" i="4"/>
  <c r="O887" i="4"/>
  <c r="N887" i="4"/>
  <c r="M887" i="4"/>
  <c r="L887" i="4"/>
  <c r="K887" i="4"/>
  <c r="J887" i="4"/>
  <c r="P886" i="4"/>
  <c r="Q886" i="4" s="1"/>
  <c r="O886" i="4"/>
  <c r="N886" i="4"/>
  <c r="M886" i="4"/>
  <c r="L886" i="4"/>
  <c r="K886" i="4"/>
  <c r="J886" i="4"/>
  <c r="P885" i="4"/>
  <c r="Q885" i="4" s="1"/>
  <c r="O885" i="4"/>
  <c r="N885" i="4"/>
  <c r="M885" i="4"/>
  <c r="L885" i="4"/>
  <c r="K885" i="4"/>
  <c r="J885" i="4"/>
  <c r="P884" i="4"/>
  <c r="Q884" i="4" s="1"/>
  <c r="O884" i="4"/>
  <c r="N884" i="4"/>
  <c r="M884" i="4"/>
  <c r="L884" i="4"/>
  <c r="K884" i="4"/>
  <c r="J884" i="4"/>
  <c r="P883" i="4"/>
  <c r="Q883" i="4" s="1"/>
  <c r="O883" i="4"/>
  <c r="N883" i="4"/>
  <c r="M883" i="4"/>
  <c r="L883" i="4"/>
  <c r="K883" i="4"/>
  <c r="J883" i="4"/>
  <c r="P882" i="4"/>
  <c r="Q882" i="4" s="1"/>
  <c r="O882" i="4"/>
  <c r="N882" i="4"/>
  <c r="M882" i="4"/>
  <c r="L882" i="4"/>
  <c r="K882" i="4"/>
  <c r="J882" i="4"/>
  <c r="P881" i="4"/>
  <c r="Q881" i="4" s="1"/>
  <c r="O881" i="4"/>
  <c r="N881" i="4"/>
  <c r="M881" i="4"/>
  <c r="L881" i="4"/>
  <c r="K881" i="4"/>
  <c r="J881" i="4"/>
  <c r="Q880" i="4"/>
  <c r="P880" i="4"/>
  <c r="O880" i="4"/>
  <c r="N880" i="4"/>
  <c r="M880" i="4"/>
  <c r="L880" i="4"/>
  <c r="K880" i="4"/>
  <c r="J880" i="4"/>
  <c r="P879" i="4"/>
  <c r="Q879" i="4" s="1"/>
  <c r="O879" i="4"/>
  <c r="N879" i="4"/>
  <c r="M879" i="4"/>
  <c r="L879" i="4"/>
  <c r="K879" i="4"/>
  <c r="J879" i="4"/>
  <c r="P878" i="4"/>
  <c r="Q878" i="4" s="1"/>
  <c r="O878" i="4"/>
  <c r="N878" i="4"/>
  <c r="M878" i="4"/>
  <c r="L878" i="4"/>
  <c r="K878" i="4"/>
  <c r="J878" i="4"/>
  <c r="P877" i="4"/>
  <c r="Q877" i="4" s="1"/>
  <c r="O877" i="4"/>
  <c r="N877" i="4"/>
  <c r="M877" i="4"/>
  <c r="L877" i="4"/>
  <c r="K877" i="4"/>
  <c r="J877" i="4"/>
  <c r="P876" i="4"/>
  <c r="Q876" i="4" s="1"/>
  <c r="O876" i="4"/>
  <c r="N876" i="4"/>
  <c r="M876" i="4"/>
  <c r="L876" i="4"/>
  <c r="K876" i="4"/>
  <c r="J876" i="4"/>
  <c r="P875" i="4"/>
  <c r="Q875" i="4" s="1"/>
  <c r="O875" i="4"/>
  <c r="N875" i="4"/>
  <c r="M875" i="4"/>
  <c r="L875" i="4"/>
  <c r="K875" i="4"/>
  <c r="J875" i="4"/>
  <c r="P874" i="4"/>
  <c r="Q874" i="4" s="1"/>
  <c r="O874" i="4"/>
  <c r="N874" i="4"/>
  <c r="M874" i="4"/>
  <c r="L874" i="4"/>
  <c r="K874" i="4"/>
  <c r="J874" i="4"/>
  <c r="P873" i="4"/>
  <c r="Q873" i="4" s="1"/>
  <c r="O873" i="4"/>
  <c r="N873" i="4"/>
  <c r="M873" i="4"/>
  <c r="L873" i="4"/>
  <c r="K873" i="4"/>
  <c r="J873" i="4"/>
  <c r="P872" i="4"/>
  <c r="Q872" i="4" s="1"/>
  <c r="O872" i="4"/>
  <c r="N872" i="4"/>
  <c r="M872" i="4"/>
  <c r="L872" i="4"/>
  <c r="K872" i="4"/>
  <c r="J872" i="4"/>
  <c r="P871" i="4"/>
  <c r="Q871" i="4" s="1"/>
  <c r="O871" i="4"/>
  <c r="N871" i="4"/>
  <c r="M871" i="4"/>
  <c r="L871" i="4"/>
  <c r="K871" i="4"/>
  <c r="J871" i="4"/>
  <c r="P870" i="4"/>
  <c r="Q870" i="4" s="1"/>
  <c r="O870" i="4"/>
  <c r="N870" i="4"/>
  <c r="M870" i="4"/>
  <c r="L870" i="4"/>
  <c r="K870" i="4"/>
  <c r="J870" i="4"/>
  <c r="P869" i="4"/>
  <c r="Q869" i="4" s="1"/>
  <c r="O869" i="4"/>
  <c r="N869" i="4"/>
  <c r="M869" i="4"/>
  <c r="L869" i="4"/>
  <c r="K869" i="4"/>
  <c r="J869" i="4"/>
  <c r="P868" i="4"/>
  <c r="Q868" i="4" s="1"/>
  <c r="O868" i="4"/>
  <c r="N868" i="4"/>
  <c r="M868" i="4"/>
  <c r="L868" i="4"/>
  <c r="K868" i="4"/>
  <c r="J868" i="4"/>
  <c r="P867" i="4"/>
  <c r="Q867" i="4" s="1"/>
  <c r="O867" i="4"/>
  <c r="N867" i="4"/>
  <c r="M867" i="4"/>
  <c r="L867" i="4"/>
  <c r="K867" i="4"/>
  <c r="J867" i="4"/>
  <c r="P866" i="4"/>
  <c r="Q866" i="4" s="1"/>
  <c r="O866" i="4"/>
  <c r="N866" i="4"/>
  <c r="M866" i="4"/>
  <c r="L866" i="4"/>
  <c r="K866" i="4"/>
  <c r="J866" i="4"/>
  <c r="P865" i="4"/>
  <c r="Q865" i="4" s="1"/>
  <c r="O865" i="4"/>
  <c r="N865" i="4"/>
  <c r="M865" i="4"/>
  <c r="L865" i="4"/>
  <c r="K865" i="4"/>
  <c r="J865" i="4"/>
  <c r="P864" i="4"/>
  <c r="Q864" i="4" s="1"/>
  <c r="O864" i="4"/>
  <c r="N864" i="4"/>
  <c r="M864" i="4"/>
  <c r="L864" i="4"/>
  <c r="K864" i="4"/>
  <c r="J864" i="4"/>
  <c r="P863" i="4"/>
  <c r="Q863" i="4" s="1"/>
  <c r="O863" i="4"/>
  <c r="N863" i="4"/>
  <c r="M863" i="4"/>
  <c r="L863" i="4"/>
  <c r="K863" i="4"/>
  <c r="J863" i="4"/>
  <c r="P862" i="4"/>
  <c r="Q862" i="4" s="1"/>
  <c r="O862" i="4"/>
  <c r="N862" i="4"/>
  <c r="M862" i="4"/>
  <c r="L862" i="4"/>
  <c r="K862" i="4"/>
  <c r="J862" i="4"/>
  <c r="P861" i="4"/>
  <c r="Q861" i="4" s="1"/>
  <c r="O861" i="4"/>
  <c r="N861" i="4"/>
  <c r="M861" i="4"/>
  <c r="L861" i="4"/>
  <c r="K861" i="4"/>
  <c r="J861" i="4"/>
  <c r="P860" i="4"/>
  <c r="Q860" i="4" s="1"/>
  <c r="O860" i="4"/>
  <c r="N860" i="4"/>
  <c r="M860" i="4"/>
  <c r="L860" i="4"/>
  <c r="K860" i="4"/>
  <c r="J860" i="4"/>
  <c r="P859" i="4"/>
  <c r="Q859" i="4" s="1"/>
  <c r="O859" i="4"/>
  <c r="N859" i="4"/>
  <c r="M859" i="4"/>
  <c r="L859" i="4"/>
  <c r="K859" i="4"/>
  <c r="J859" i="4"/>
  <c r="P858" i="4"/>
  <c r="Q858" i="4" s="1"/>
  <c r="O858" i="4"/>
  <c r="N858" i="4"/>
  <c r="M858" i="4"/>
  <c r="L858" i="4"/>
  <c r="K858" i="4"/>
  <c r="J858" i="4"/>
  <c r="P857" i="4"/>
  <c r="Q857" i="4" s="1"/>
  <c r="O857" i="4"/>
  <c r="N857" i="4"/>
  <c r="M857" i="4"/>
  <c r="L857" i="4"/>
  <c r="K857" i="4"/>
  <c r="J857" i="4"/>
  <c r="Q856" i="4"/>
  <c r="P856" i="4"/>
  <c r="O856" i="4"/>
  <c r="N856" i="4"/>
  <c r="M856" i="4"/>
  <c r="L856" i="4"/>
  <c r="K856" i="4"/>
  <c r="J856" i="4"/>
  <c r="P855" i="4"/>
  <c r="Q855" i="4" s="1"/>
  <c r="O855" i="4"/>
  <c r="N855" i="4"/>
  <c r="M855" i="4"/>
  <c r="L855" i="4"/>
  <c r="K855" i="4"/>
  <c r="J855" i="4"/>
  <c r="P854" i="4"/>
  <c r="Q854" i="4" s="1"/>
  <c r="O854" i="4"/>
  <c r="N854" i="4"/>
  <c r="M854" i="4"/>
  <c r="L854" i="4"/>
  <c r="K854" i="4"/>
  <c r="J854" i="4"/>
  <c r="P853" i="4"/>
  <c r="Q853" i="4" s="1"/>
  <c r="O853" i="4"/>
  <c r="N853" i="4"/>
  <c r="M853" i="4"/>
  <c r="L853" i="4"/>
  <c r="K853" i="4"/>
  <c r="J853" i="4"/>
  <c r="P852" i="4"/>
  <c r="Q852" i="4" s="1"/>
  <c r="O852" i="4"/>
  <c r="N852" i="4"/>
  <c r="M852" i="4"/>
  <c r="L852" i="4"/>
  <c r="K852" i="4"/>
  <c r="J852" i="4"/>
  <c r="P851" i="4"/>
  <c r="Q851" i="4" s="1"/>
  <c r="O851" i="4"/>
  <c r="N851" i="4"/>
  <c r="M851" i="4"/>
  <c r="L851" i="4"/>
  <c r="K851" i="4"/>
  <c r="J851" i="4"/>
  <c r="P850" i="4"/>
  <c r="Q850" i="4" s="1"/>
  <c r="O850" i="4"/>
  <c r="N850" i="4"/>
  <c r="M850" i="4"/>
  <c r="L850" i="4"/>
  <c r="K850" i="4"/>
  <c r="J850" i="4"/>
  <c r="P849" i="4"/>
  <c r="Q849" i="4" s="1"/>
  <c r="O849" i="4"/>
  <c r="N849" i="4"/>
  <c r="M849" i="4"/>
  <c r="L849" i="4"/>
  <c r="K849" i="4"/>
  <c r="J849" i="4"/>
  <c r="P848" i="4"/>
  <c r="Q848" i="4" s="1"/>
  <c r="O848" i="4"/>
  <c r="N848" i="4"/>
  <c r="M848" i="4"/>
  <c r="L848" i="4"/>
  <c r="K848" i="4"/>
  <c r="J848" i="4"/>
  <c r="P847" i="4"/>
  <c r="Q847" i="4" s="1"/>
  <c r="O847" i="4"/>
  <c r="N847" i="4"/>
  <c r="M847" i="4"/>
  <c r="L847" i="4"/>
  <c r="K847" i="4"/>
  <c r="J847" i="4"/>
  <c r="P846" i="4"/>
  <c r="Q846" i="4" s="1"/>
  <c r="O846" i="4"/>
  <c r="N846" i="4"/>
  <c r="M846" i="4"/>
  <c r="L846" i="4"/>
  <c r="K846" i="4"/>
  <c r="J846" i="4"/>
  <c r="Q845" i="4"/>
  <c r="P845" i="4"/>
  <c r="O845" i="4"/>
  <c r="N845" i="4"/>
  <c r="M845" i="4"/>
  <c r="L845" i="4"/>
  <c r="K845" i="4"/>
  <c r="J845" i="4"/>
  <c r="P844" i="4"/>
  <c r="Q844" i="4" s="1"/>
  <c r="O844" i="4"/>
  <c r="N844" i="4"/>
  <c r="M844" i="4"/>
  <c r="L844" i="4"/>
  <c r="K844" i="4"/>
  <c r="J844" i="4"/>
  <c r="P843" i="4"/>
  <c r="Q843" i="4" s="1"/>
  <c r="O843" i="4"/>
  <c r="N843" i="4"/>
  <c r="M843" i="4"/>
  <c r="L843" i="4"/>
  <c r="K843" i="4"/>
  <c r="J843" i="4"/>
  <c r="P842" i="4"/>
  <c r="Q842" i="4" s="1"/>
  <c r="O842" i="4"/>
  <c r="N842" i="4"/>
  <c r="M842" i="4"/>
  <c r="L842" i="4"/>
  <c r="K842" i="4"/>
  <c r="J842" i="4"/>
  <c r="P841" i="4"/>
  <c r="Q841" i="4" s="1"/>
  <c r="O841" i="4"/>
  <c r="N841" i="4"/>
  <c r="M841" i="4"/>
  <c r="L841" i="4"/>
  <c r="K841" i="4"/>
  <c r="J841" i="4"/>
  <c r="P840" i="4"/>
  <c r="Q840" i="4" s="1"/>
  <c r="O840" i="4"/>
  <c r="N840" i="4"/>
  <c r="M840" i="4"/>
  <c r="L840" i="4"/>
  <c r="K840" i="4"/>
  <c r="J840" i="4"/>
  <c r="P839" i="4"/>
  <c r="Q839" i="4" s="1"/>
  <c r="O839" i="4"/>
  <c r="N839" i="4"/>
  <c r="M839" i="4"/>
  <c r="L839" i="4"/>
  <c r="K839" i="4"/>
  <c r="J839" i="4"/>
  <c r="P838" i="4"/>
  <c r="Q838" i="4" s="1"/>
  <c r="O838" i="4"/>
  <c r="N838" i="4"/>
  <c r="M838" i="4"/>
  <c r="L838" i="4"/>
  <c r="K838" i="4"/>
  <c r="J838" i="4"/>
  <c r="P837" i="4"/>
  <c r="Q837" i="4" s="1"/>
  <c r="O837" i="4"/>
  <c r="N837" i="4"/>
  <c r="M837" i="4"/>
  <c r="L837" i="4"/>
  <c r="K837" i="4"/>
  <c r="J837" i="4"/>
  <c r="P836" i="4"/>
  <c r="Q836" i="4" s="1"/>
  <c r="O836" i="4"/>
  <c r="N836" i="4"/>
  <c r="M836" i="4"/>
  <c r="L836" i="4"/>
  <c r="K836" i="4"/>
  <c r="J836" i="4"/>
  <c r="P835" i="4"/>
  <c r="Q835" i="4" s="1"/>
  <c r="O835" i="4"/>
  <c r="N835" i="4"/>
  <c r="M835" i="4"/>
  <c r="L835" i="4"/>
  <c r="K835" i="4"/>
  <c r="J835" i="4"/>
  <c r="Q834" i="4"/>
  <c r="P834" i="4"/>
  <c r="O834" i="4"/>
  <c r="N834" i="4"/>
  <c r="M834" i="4"/>
  <c r="L834" i="4"/>
  <c r="K834" i="4"/>
  <c r="J834" i="4"/>
  <c r="P833" i="4"/>
  <c r="Q833" i="4" s="1"/>
  <c r="O833" i="4"/>
  <c r="N833" i="4"/>
  <c r="M833" i="4"/>
  <c r="L833" i="4"/>
  <c r="K833" i="4"/>
  <c r="J833" i="4"/>
  <c r="P832" i="4"/>
  <c r="Q832" i="4" s="1"/>
  <c r="O832" i="4"/>
  <c r="N832" i="4"/>
  <c r="M832" i="4"/>
  <c r="L832" i="4"/>
  <c r="K832" i="4"/>
  <c r="J832" i="4"/>
  <c r="P831" i="4"/>
  <c r="Q831" i="4" s="1"/>
  <c r="O831" i="4"/>
  <c r="N831" i="4"/>
  <c r="M831" i="4"/>
  <c r="L831" i="4"/>
  <c r="K831" i="4"/>
  <c r="J831" i="4"/>
  <c r="P830" i="4"/>
  <c r="Q830" i="4" s="1"/>
  <c r="O830" i="4"/>
  <c r="N830" i="4"/>
  <c r="M830" i="4"/>
  <c r="L830" i="4"/>
  <c r="K830" i="4"/>
  <c r="J830" i="4"/>
  <c r="P829" i="4"/>
  <c r="Q829" i="4" s="1"/>
  <c r="O829" i="4"/>
  <c r="N829" i="4"/>
  <c r="M829" i="4"/>
  <c r="L829" i="4"/>
  <c r="K829" i="4"/>
  <c r="J829" i="4"/>
  <c r="P828" i="4"/>
  <c r="Q828" i="4" s="1"/>
  <c r="O828" i="4"/>
  <c r="N828" i="4"/>
  <c r="M828" i="4"/>
  <c r="L828" i="4"/>
  <c r="K828" i="4"/>
  <c r="J828" i="4"/>
  <c r="P827" i="4"/>
  <c r="Q827" i="4" s="1"/>
  <c r="O827" i="4"/>
  <c r="N827" i="4"/>
  <c r="M827" i="4"/>
  <c r="L827" i="4"/>
  <c r="K827" i="4"/>
  <c r="J827" i="4"/>
  <c r="P826" i="4"/>
  <c r="Q826" i="4" s="1"/>
  <c r="O826" i="4"/>
  <c r="N826" i="4"/>
  <c r="M826" i="4"/>
  <c r="L826" i="4"/>
  <c r="K826" i="4"/>
  <c r="J826" i="4"/>
  <c r="P825" i="4"/>
  <c r="Q825" i="4" s="1"/>
  <c r="O825" i="4"/>
  <c r="N825" i="4"/>
  <c r="M825" i="4"/>
  <c r="L825" i="4"/>
  <c r="K825" i="4"/>
  <c r="J825" i="4"/>
  <c r="P824" i="4"/>
  <c r="Q824" i="4" s="1"/>
  <c r="O824" i="4"/>
  <c r="N824" i="4"/>
  <c r="M824" i="4"/>
  <c r="L824" i="4"/>
  <c r="K824" i="4"/>
  <c r="J824" i="4"/>
  <c r="P823" i="4"/>
  <c r="Q823" i="4" s="1"/>
  <c r="O823" i="4"/>
  <c r="N823" i="4"/>
  <c r="M823" i="4"/>
  <c r="L823" i="4"/>
  <c r="K823" i="4"/>
  <c r="J823" i="4"/>
  <c r="P822" i="4"/>
  <c r="Q822" i="4" s="1"/>
  <c r="O822" i="4"/>
  <c r="N822" i="4"/>
  <c r="M822" i="4"/>
  <c r="L822" i="4"/>
  <c r="K822" i="4"/>
  <c r="J822" i="4"/>
  <c r="P821" i="4"/>
  <c r="Q821" i="4" s="1"/>
  <c r="O821" i="4"/>
  <c r="N821" i="4"/>
  <c r="M821" i="4"/>
  <c r="L821" i="4"/>
  <c r="K821" i="4"/>
  <c r="J821" i="4"/>
  <c r="P820" i="4"/>
  <c r="Q820" i="4" s="1"/>
  <c r="O820" i="4"/>
  <c r="N820" i="4"/>
  <c r="M820" i="4"/>
  <c r="L820" i="4"/>
  <c r="K820" i="4"/>
  <c r="J820" i="4"/>
  <c r="P819" i="4"/>
  <c r="Q819" i="4" s="1"/>
  <c r="O819" i="4"/>
  <c r="N819" i="4"/>
  <c r="M819" i="4"/>
  <c r="L819" i="4"/>
  <c r="K819" i="4"/>
  <c r="J819" i="4"/>
  <c r="P818" i="4"/>
  <c r="Q818" i="4" s="1"/>
  <c r="O818" i="4"/>
  <c r="N818" i="4"/>
  <c r="M818" i="4"/>
  <c r="L818" i="4"/>
  <c r="K818" i="4"/>
  <c r="J818" i="4"/>
  <c r="P817" i="4"/>
  <c r="Q817" i="4" s="1"/>
  <c r="O817" i="4"/>
  <c r="N817" i="4"/>
  <c r="M817" i="4"/>
  <c r="L817" i="4"/>
  <c r="K817" i="4"/>
  <c r="J817" i="4"/>
  <c r="P816" i="4"/>
  <c r="Q816" i="4" s="1"/>
  <c r="O816" i="4"/>
  <c r="N816" i="4"/>
  <c r="M816" i="4"/>
  <c r="L816" i="4"/>
  <c r="K816" i="4"/>
  <c r="J816" i="4"/>
  <c r="P815" i="4"/>
  <c r="Q815" i="4" s="1"/>
  <c r="O815" i="4"/>
  <c r="N815" i="4"/>
  <c r="M815" i="4"/>
  <c r="L815" i="4"/>
  <c r="K815" i="4"/>
  <c r="J815" i="4"/>
  <c r="P814" i="4"/>
  <c r="Q814" i="4" s="1"/>
  <c r="O814" i="4"/>
  <c r="N814" i="4"/>
  <c r="M814" i="4"/>
  <c r="L814" i="4"/>
  <c r="K814" i="4"/>
  <c r="J814" i="4"/>
  <c r="P813" i="4"/>
  <c r="Q813" i="4" s="1"/>
  <c r="O813" i="4"/>
  <c r="N813" i="4"/>
  <c r="M813" i="4"/>
  <c r="L813" i="4"/>
  <c r="K813" i="4"/>
  <c r="J813" i="4"/>
  <c r="P812" i="4"/>
  <c r="Q812" i="4" s="1"/>
  <c r="O812" i="4"/>
  <c r="N812" i="4"/>
  <c r="M812" i="4"/>
  <c r="L812" i="4"/>
  <c r="K812" i="4"/>
  <c r="J812" i="4"/>
  <c r="P811" i="4"/>
  <c r="Q811" i="4" s="1"/>
  <c r="O811" i="4"/>
  <c r="N811" i="4"/>
  <c r="M811" i="4"/>
  <c r="L811" i="4"/>
  <c r="K811" i="4"/>
  <c r="J811" i="4"/>
  <c r="P810" i="4"/>
  <c r="Q810" i="4" s="1"/>
  <c r="O810" i="4"/>
  <c r="N810" i="4"/>
  <c r="M810" i="4"/>
  <c r="L810" i="4"/>
  <c r="K810" i="4"/>
  <c r="J810" i="4"/>
  <c r="P809" i="4"/>
  <c r="Q809" i="4" s="1"/>
  <c r="O809" i="4"/>
  <c r="N809" i="4"/>
  <c r="M809" i="4"/>
  <c r="L809" i="4"/>
  <c r="K809" i="4"/>
  <c r="J809" i="4"/>
  <c r="P808" i="4"/>
  <c r="Q808" i="4" s="1"/>
  <c r="O808" i="4"/>
  <c r="N808" i="4"/>
  <c r="M808" i="4"/>
  <c r="L808" i="4"/>
  <c r="K808" i="4"/>
  <c r="J808" i="4"/>
  <c r="P807" i="4"/>
  <c r="Q807" i="4" s="1"/>
  <c r="O807" i="4"/>
  <c r="N807" i="4"/>
  <c r="M807" i="4"/>
  <c r="L807" i="4"/>
  <c r="K807" i="4"/>
  <c r="J807" i="4"/>
  <c r="P806" i="4"/>
  <c r="Q806" i="4" s="1"/>
  <c r="O806" i="4"/>
  <c r="N806" i="4"/>
  <c r="M806" i="4"/>
  <c r="L806" i="4"/>
  <c r="K806" i="4"/>
  <c r="J806" i="4"/>
  <c r="P805" i="4"/>
  <c r="Q805" i="4" s="1"/>
  <c r="O805" i="4"/>
  <c r="N805" i="4"/>
  <c r="M805" i="4"/>
  <c r="L805" i="4"/>
  <c r="K805" i="4"/>
  <c r="J805" i="4"/>
  <c r="P804" i="4"/>
  <c r="Q804" i="4" s="1"/>
  <c r="O804" i="4"/>
  <c r="N804" i="4"/>
  <c r="M804" i="4"/>
  <c r="L804" i="4"/>
  <c r="K804" i="4"/>
  <c r="J804" i="4"/>
  <c r="P803" i="4"/>
  <c r="Q803" i="4" s="1"/>
  <c r="O803" i="4"/>
  <c r="N803" i="4"/>
  <c r="M803" i="4"/>
  <c r="L803" i="4"/>
  <c r="K803" i="4"/>
  <c r="J803" i="4"/>
  <c r="P802" i="4"/>
  <c r="Q802" i="4" s="1"/>
  <c r="O802" i="4"/>
  <c r="N802" i="4"/>
  <c r="M802" i="4"/>
  <c r="L802" i="4"/>
  <c r="K802" i="4"/>
  <c r="J802" i="4"/>
  <c r="P801" i="4"/>
  <c r="Q801" i="4" s="1"/>
  <c r="O801" i="4"/>
  <c r="N801" i="4"/>
  <c r="M801" i="4"/>
  <c r="L801" i="4"/>
  <c r="K801" i="4"/>
  <c r="J801" i="4"/>
  <c r="P800" i="4"/>
  <c r="Q800" i="4" s="1"/>
  <c r="O800" i="4"/>
  <c r="N800" i="4"/>
  <c r="M800" i="4"/>
  <c r="L800" i="4"/>
  <c r="K800" i="4"/>
  <c r="J800" i="4"/>
  <c r="P799" i="4"/>
  <c r="Q799" i="4" s="1"/>
  <c r="O799" i="4"/>
  <c r="N799" i="4"/>
  <c r="M799" i="4"/>
  <c r="L799" i="4"/>
  <c r="K799" i="4"/>
  <c r="J799" i="4"/>
  <c r="P798" i="4"/>
  <c r="Q798" i="4" s="1"/>
  <c r="O798" i="4"/>
  <c r="N798" i="4"/>
  <c r="M798" i="4"/>
  <c r="L798" i="4"/>
  <c r="K798" i="4"/>
  <c r="J798" i="4"/>
  <c r="P797" i="4"/>
  <c r="Q797" i="4" s="1"/>
  <c r="O797" i="4"/>
  <c r="N797" i="4"/>
  <c r="M797" i="4"/>
  <c r="L797" i="4"/>
  <c r="K797" i="4"/>
  <c r="J797" i="4"/>
  <c r="P796" i="4"/>
  <c r="Q796" i="4" s="1"/>
  <c r="O796" i="4"/>
  <c r="N796" i="4"/>
  <c r="M796" i="4"/>
  <c r="L796" i="4"/>
  <c r="K796" i="4"/>
  <c r="J796" i="4"/>
  <c r="P795" i="4"/>
  <c r="Q795" i="4" s="1"/>
  <c r="O795" i="4"/>
  <c r="N795" i="4"/>
  <c r="M795" i="4"/>
  <c r="L795" i="4"/>
  <c r="K795" i="4"/>
  <c r="J795" i="4"/>
  <c r="P794" i="4"/>
  <c r="Q794" i="4" s="1"/>
  <c r="O794" i="4"/>
  <c r="N794" i="4"/>
  <c r="M794" i="4"/>
  <c r="L794" i="4"/>
  <c r="K794" i="4"/>
  <c r="J794" i="4"/>
  <c r="P793" i="4"/>
  <c r="Q793" i="4" s="1"/>
  <c r="O793" i="4"/>
  <c r="N793" i="4"/>
  <c r="M793" i="4"/>
  <c r="L793" i="4"/>
  <c r="K793" i="4"/>
  <c r="J793" i="4"/>
  <c r="P792" i="4"/>
  <c r="Q792" i="4" s="1"/>
  <c r="O792" i="4"/>
  <c r="N792" i="4"/>
  <c r="M792" i="4"/>
  <c r="L792" i="4"/>
  <c r="K792" i="4"/>
  <c r="J792" i="4"/>
  <c r="P791" i="4"/>
  <c r="Q791" i="4" s="1"/>
  <c r="O791" i="4"/>
  <c r="N791" i="4"/>
  <c r="M791" i="4"/>
  <c r="L791" i="4"/>
  <c r="K791" i="4"/>
  <c r="J791" i="4"/>
  <c r="P790" i="4"/>
  <c r="Q790" i="4" s="1"/>
  <c r="O790" i="4"/>
  <c r="N790" i="4"/>
  <c r="M790" i="4"/>
  <c r="L790" i="4"/>
  <c r="K790" i="4"/>
  <c r="J790" i="4"/>
  <c r="P789" i="4"/>
  <c r="Q789" i="4" s="1"/>
  <c r="O789" i="4"/>
  <c r="N789" i="4"/>
  <c r="M789" i="4"/>
  <c r="L789" i="4"/>
  <c r="K789" i="4"/>
  <c r="J789" i="4"/>
  <c r="P788" i="4"/>
  <c r="Q788" i="4" s="1"/>
  <c r="O788" i="4"/>
  <c r="N788" i="4"/>
  <c r="M788" i="4"/>
  <c r="L788" i="4"/>
  <c r="K788" i="4"/>
  <c r="J788" i="4"/>
  <c r="P787" i="4"/>
  <c r="Q787" i="4" s="1"/>
  <c r="O787" i="4"/>
  <c r="N787" i="4"/>
  <c r="M787" i="4"/>
  <c r="L787" i="4"/>
  <c r="K787" i="4"/>
  <c r="J787" i="4"/>
  <c r="P786" i="4"/>
  <c r="Q786" i="4" s="1"/>
  <c r="O786" i="4"/>
  <c r="N786" i="4"/>
  <c r="M786" i="4"/>
  <c r="L786" i="4"/>
  <c r="K786" i="4"/>
  <c r="J786" i="4"/>
  <c r="P785" i="4"/>
  <c r="Q785" i="4" s="1"/>
  <c r="O785" i="4"/>
  <c r="N785" i="4"/>
  <c r="M785" i="4"/>
  <c r="L785" i="4"/>
  <c r="K785" i="4"/>
  <c r="J785" i="4"/>
  <c r="P784" i="4"/>
  <c r="Q784" i="4" s="1"/>
  <c r="O784" i="4"/>
  <c r="N784" i="4"/>
  <c r="M784" i="4"/>
  <c r="L784" i="4"/>
  <c r="K784" i="4"/>
  <c r="J784" i="4"/>
  <c r="Q783" i="4"/>
  <c r="P783" i="4"/>
  <c r="O783" i="4"/>
  <c r="N783" i="4"/>
  <c r="M783" i="4"/>
  <c r="L783" i="4"/>
  <c r="K783" i="4"/>
  <c r="J783" i="4"/>
  <c r="P782" i="4"/>
  <c r="Q782" i="4" s="1"/>
  <c r="O782" i="4"/>
  <c r="N782" i="4"/>
  <c r="M782" i="4"/>
  <c r="L782" i="4"/>
  <c r="K782" i="4"/>
  <c r="J782" i="4"/>
  <c r="P781" i="4"/>
  <c r="Q781" i="4" s="1"/>
  <c r="O781" i="4"/>
  <c r="N781" i="4"/>
  <c r="M781" i="4"/>
  <c r="L781" i="4"/>
  <c r="K781" i="4"/>
  <c r="J781" i="4"/>
  <c r="P780" i="4"/>
  <c r="Q780" i="4" s="1"/>
  <c r="O780" i="4"/>
  <c r="N780" i="4"/>
  <c r="M780" i="4"/>
  <c r="L780" i="4"/>
  <c r="K780" i="4"/>
  <c r="J780" i="4"/>
  <c r="P779" i="4"/>
  <c r="Q779" i="4" s="1"/>
  <c r="O779" i="4"/>
  <c r="N779" i="4"/>
  <c r="M779" i="4"/>
  <c r="L779" i="4"/>
  <c r="K779" i="4"/>
  <c r="J779" i="4"/>
  <c r="P778" i="4"/>
  <c r="Q778" i="4" s="1"/>
  <c r="O778" i="4"/>
  <c r="N778" i="4"/>
  <c r="M778" i="4"/>
  <c r="L778" i="4"/>
  <c r="K778" i="4"/>
  <c r="J778" i="4"/>
  <c r="P777" i="4"/>
  <c r="Q777" i="4" s="1"/>
  <c r="O777" i="4"/>
  <c r="N777" i="4"/>
  <c r="M777" i="4"/>
  <c r="L777" i="4"/>
  <c r="K777" i="4"/>
  <c r="J777" i="4"/>
  <c r="P776" i="4"/>
  <c r="Q776" i="4" s="1"/>
  <c r="O776" i="4"/>
  <c r="N776" i="4"/>
  <c r="M776" i="4"/>
  <c r="L776" i="4"/>
  <c r="K776" i="4"/>
  <c r="J776" i="4"/>
  <c r="P775" i="4"/>
  <c r="Q775" i="4" s="1"/>
  <c r="O775" i="4"/>
  <c r="N775" i="4"/>
  <c r="M775" i="4"/>
  <c r="L775" i="4"/>
  <c r="K775" i="4"/>
  <c r="J775" i="4"/>
  <c r="P774" i="4"/>
  <c r="Q774" i="4" s="1"/>
  <c r="O774" i="4"/>
  <c r="N774" i="4"/>
  <c r="M774" i="4"/>
  <c r="L774" i="4"/>
  <c r="K774" i="4"/>
  <c r="J774" i="4"/>
  <c r="P773" i="4"/>
  <c r="Q773" i="4" s="1"/>
  <c r="O773" i="4"/>
  <c r="N773" i="4"/>
  <c r="M773" i="4"/>
  <c r="L773" i="4"/>
  <c r="K773" i="4"/>
  <c r="J773" i="4"/>
  <c r="P772" i="4"/>
  <c r="Q772" i="4" s="1"/>
  <c r="O772" i="4"/>
  <c r="N772" i="4"/>
  <c r="M772" i="4"/>
  <c r="L772" i="4"/>
  <c r="K772" i="4"/>
  <c r="J772" i="4"/>
  <c r="P771" i="4"/>
  <c r="Q771" i="4" s="1"/>
  <c r="O771" i="4"/>
  <c r="N771" i="4"/>
  <c r="M771" i="4"/>
  <c r="L771" i="4"/>
  <c r="K771" i="4"/>
  <c r="J771" i="4"/>
  <c r="Q770" i="4"/>
  <c r="P770" i="4"/>
  <c r="O770" i="4"/>
  <c r="N770" i="4"/>
  <c r="M770" i="4"/>
  <c r="L770" i="4"/>
  <c r="K770" i="4"/>
  <c r="J770" i="4"/>
  <c r="P769" i="4"/>
  <c r="Q769" i="4" s="1"/>
  <c r="O769" i="4"/>
  <c r="N769" i="4"/>
  <c r="M769" i="4"/>
  <c r="L769" i="4"/>
  <c r="K769" i="4"/>
  <c r="J769" i="4"/>
  <c r="P768" i="4"/>
  <c r="Q768" i="4" s="1"/>
  <c r="O768" i="4"/>
  <c r="N768" i="4"/>
  <c r="M768" i="4"/>
  <c r="L768" i="4"/>
  <c r="K768" i="4"/>
  <c r="J768" i="4"/>
  <c r="P767" i="4"/>
  <c r="Q767" i="4" s="1"/>
  <c r="O767" i="4"/>
  <c r="N767" i="4"/>
  <c r="M767" i="4"/>
  <c r="L767" i="4"/>
  <c r="K767" i="4"/>
  <c r="J767" i="4"/>
  <c r="P766" i="4"/>
  <c r="Q766" i="4" s="1"/>
  <c r="O766" i="4"/>
  <c r="N766" i="4"/>
  <c r="M766" i="4"/>
  <c r="L766" i="4"/>
  <c r="K766" i="4"/>
  <c r="J766" i="4"/>
  <c r="P765" i="4"/>
  <c r="Q765" i="4" s="1"/>
  <c r="O765" i="4"/>
  <c r="N765" i="4"/>
  <c r="M765" i="4"/>
  <c r="L765" i="4"/>
  <c r="K765" i="4"/>
  <c r="J765" i="4"/>
  <c r="P764" i="4"/>
  <c r="Q764" i="4" s="1"/>
  <c r="O764" i="4"/>
  <c r="N764" i="4"/>
  <c r="M764" i="4"/>
  <c r="L764" i="4"/>
  <c r="K764" i="4"/>
  <c r="J764" i="4"/>
  <c r="P763" i="4"/>
  <c r="Q763" i="4" s="1"/>
  <c r="O763" i="4"/>
  <c r="N763" i="4"/>
  <c r="M763" i="4"/>
  <c r="L763" i="4"/>
  <c r="K763" i="4"/>
  <c r="J763" i="4"/>
  <c r="P762" i="4"/>
  <c r="Q762" i="4" s="1"/>
  <c r="O762" i="4"/>
  <c r="N762" i="4"/>
  <c r="M762" i="4"/>
  <c r="L762" i="4"/>
  <c r="K762" i="4"/>
  <c r="J762" i="4"/>
  <c r="P761" i="4"/>
  <c r="Q761" i="4" s="1"/>
  <c r="O761" i="4"/>
  <c r="N761" i="4"/>
  <c r="M761" i="4"/>
  <c r="L761" i="4"/>
  <c r="K761" i="4"/>
  <c r="J761" i="4"/>
  <c r="P760" i="4"/>
  <c r="Q760" i="4" s="1"/>
  <c r="O760" i="4"/>
  <c r="N760" i="4"/>
  <c r="M760" i="4"/>
  <c r="L760" i="4"/>
  <c r="K760" i="4"/>
  <c r="J760" i="4"/>
  <c r="P759" i="4"/>
  <c r="Q759" i="4" s="1"/>
  <c r="O759" i="4"/>
  <c r="N759" i="4"/>
  <c r="M759" i="4"/>
  <c r="L759" i="4"/>
  <c r="K759" i="4"/>
  <c r="J759" i="4"/>
  <c r="P758" i="4"/>
  <c r="Q758" i="4" s="1"/>
  <c r="O758" i="4"/>
  <c r="N758" i="4"/>
  <c r="M758" i="4"/>
  <c r="L758" i="4"/>
  <c r="K758" i="4"/>
  <c r="J758" i="4"/>
  <c r="P757" i="4"/>
  <c r="Q757" i="4" s="1"/>
  <c r="O757" i="4"/>
  <c r="N757" i="4"/>
  <c r="M757" i="4"/>
  <c r="L757" i="4"/>
  <c r="K757" i="4"/>
  <c r="J757" i="4"/>
  <c r="P756" i="4"/>
  <c r="Q756" i="4" s="1"/>
  <c r="O756" i="4"/>
  <c r="N756" i="4"/>
  <c r="M756" i="4"/>
  <c r="L756" i="4"/>
  <c r="K756" i="4"/>
  <c r="J756" i="4"/>
  <c r="P755" i="4"/>
  <c r="Q755" i="4" s="1"/>
  <c r="O755" i="4"/>
  <c r="N755" i="4"/>
  <c r="M755" i="4"/>
  <c r="L755" i="4"/>
  <c r="K755" i="4"/>
  <c r="J755" i="4"/>
  <c r="P754" i="4"/>
  <c r="Q754" i="4" s="1"/>
  <c r="O754" i="4"/>
  <c r="N754" i="4"/>
  <c r="M754" i="4"/>
  <c r="L754" i="4"/>
  <c r="K754" i="4"/>
  <c r="J754" i="4"/>
  <c r="P753" i="4"/>
  <c r="Q753" i="4" s="1"/>
  <c r="O753" i="4"/>
  <c r="N753" i="4"/>
  <c r="M753" i="4"/>
  <c r="L753" i="4"/>
  <c r="K753" i="4"/>
  <c r="J753" i="4"/>
  <c r="P752" i="4"/>
  <c r="Q752" i="4" s="1"/>
  <c r="O752" i="4"/>
  <c r="N752" i="4"/>
  <c r="M752" i="4"/>
  <c r="L752" i="4"/>
  <c r="K752" i="4"/>
  <c r="J752" i="4"/>
  <c r="P751" i="4"/>
  <c r="Q751" i="4" s="1"/>
  <c r="O751" i="4"/>
  <c r="N751" i="4"/>
  <c r="M751" i="4"/>
  <c r="L751" i="4"/>
  <c r="K751" i="4"/>
  <c r="J751" i="4"/>
  <c r="P750" i="4"/>
  <c r="Q750" i="4" s="1"/>
  <c r="O750" i="4"/>
  <c r="N750" i="4"/>
  <c r="M750" i="4"/>
  <c r="L750" i="4"/>
  <c r="K750" i="4"/>
  <c r="J750" i="4"/>
  <c r="P749" i="4"/>
  <c r="Q749" i="4" s="1"/>
  <c r="O749" i="4"/>
  <c r="N749" i="4"/>
  <c r="M749" i="4"/>
  <c r="L749" i="4"/>
  <c r="K749" i="4"/>
  <c r="J749" i="4"/>
  <c r="P748" i="4"/>
  <c r="Q748" i="4" s="1"/>
  <c r="O748" i="4"/>
  <c r="N748" i="4"/>
  <c r="M748" i="4"/>
  <c r="L748" i="4"/>
  <c r="K748" i="4"/>
  <c r="J748" i="4"/>
  <c r="P747" i="4"/>
  <c r="Q747" i="4" s="1"/>
  <c r="O747" i="4"/>
  <c r="N747" i="4"/>
  <c r="M747" i="4"/>
  <c r="L747" i="4"/>
  <c r="K747" i="4"/>
  <c r="J747" i="4"/>
  <c r="P746" i="4"/>
  <c r="Q746" i="4" s="1"/>
  <c r="O746" i="4"/>
  <c r="N746" i="4"/>
  <c r="M746" i="4"/>
  <c r="L746" i="4"/>
  <c r="K746" i="4"/>
  <c r="J746" i="4"/>
  <c r="P745" i="4"/>
  <c r="Q745" i="4" s="1"/>
  <c r="O745" i="4"/>
  <c r="N745" i="4"/>
  <c r="M745" i="4"/>
  <c r="L745" i="4"/>
  <c r="K745" i="4"/>
  <c r="J745" i="4"/>
  <c r="P744" i="4"/>
  <c r="Q744" i="4" s="1"/>
  <c r="O744" i="4"/>
  <c r="N744" i="4"/>
  <c r="M744" i="4"/>
  <c r="L744" i="4"/>
  <c r="K744" i="4"/>
  <c r="J744" i="4"/>
  <c r="P743" i="4"/>
  <c r="Q743" i="4" s="1"/>
  <c r="O743" i="4"/>
  <c r="N743" i="4"/>
  <c r="M743" i="4"/>
  <c r="L743" i="4"/>
  <c r="K743" i="4"/>
  <c r="J743" i="4"/>
  <c r="P742" i="4"/>
  <c r="Q742" i="4" s="1"/>
  <c r="O742" i="4"/>
  <c r="N742" i="4"/>
  <c r="M742" i="4"/>
  <c r="L742" i="4"/>
  <c r="K742" i="4"/>
  <c r="J742" i="4"/>
  <c r="Q741" i="4"/>
  <c r="P741" i="4"/>
  <c r="O741" i="4"/>
  <c r="N741" i="4"/>
  <c r="M741" i="4"/>
  <c r="L741" i="4"/>
  <c r="K741" i="4"/>
  <c r="J741" i="4"/>
  <c r="P740" i="4"/>
  <c r="Q740" i="4" s="1"/>
  <c r="O740" i="4"/>
  <c r="N740" i="4"/>
  <c r="M740" i="4"/>
  <c r="L740" i="4"/>
  <c r="K740" i="4"/>
  <c r="J740" i="4"/>
  <c r="P739" i="4"/>
  <c r="Q739" i="4" s="1"/>
  <c r="O739" i="4"/>
  <c r="N739" i="4"/>
  <c r="M739" i="4"/>
  <c r="L739" i="4"/>
  <c r="K739" i="4"/>
  <c r="J739" i="4"/>
  <c r="P738" i="4"/>
  <c r="Q738" i="4" s="1"/>
  <c r="O738" i="4"/>
  <c r="N738" i="4"/>
  <c r="M738" i="4"/>
  <c r="L738" i="4"/>
  <c r="K738" i="4"/>
  <c r="J738" i="4"/>
  <c r="P737" i="4"/>
  <c r="Q737" i="4" s="1"/>
  <c r="O737" i="4"/>
  <c r="N737" i="4"/>
  <c r="M737" i="4"/>
  <c r="L737" i="4"/>
  <c r="K737" i="4"/>
  <c r="J737" i="4"/>
  <c r="P736" i="4"/>
  <c r="Q736" i="4" s="1"/>
  <c r="O736" i="4"/>
  <c r="N736" i="4"/>
  <c r="M736" i="4"/>
  <c r="L736" i="4"/>
  <c r="K736" i="4"/>
  <c r="J736" i="4"/>
  <c r="P735" i="4"/>
  <c r="Q735" i="4" s="1"/>
  <c r="O735" i="4"/>
  <c r="N735" i="4"/>
  <c r="M735" i="4"/>
  <c r="L735" i="4"/>
  <c r="K735" i="4"/>
  <c r="J735" i="4"/>
  <c r="P734" i="4"/>
  <c r="Q734" i="4" s="1"/>
  <c r="O734" i="4"/>
  <c r="N734" i="4"/>
  <c r="M734" i="4"/>
  <c r="L734" i="4"/>
  <c r="K734" i="4"/>
  <c r="J734" i="4"/>
  <c r="P733" i="4"/>
  <c r="Q733" i="4" s="1"/>
  <c r="O733" i="4"/>
  <c r="N733" i="4"/>
  <c r="M733" i="4"/>
  <c r="L733" i="4"/>
  <c r="K733" i="4"/>
  <c r="J733" i="4"/>
  <c r="P732" i="4"/>
  <c r="Q732" i="4" s="1"/>
  <c r="O732" i="4"/>
  <c r="N732" i="4"/>
  <c r="M732" i="4"/>
  <c r="L732" i="4"/>
  <c r="K732" i="4"/>
  <c r="J732" i="4"/>
  <c r="P731" i="4"/>
  <c r="Q731" i="4" s="1"/>
  <c r="O731" i="4"/>
  <c r="N731" i="4"/>
  <c r="M731" i="4"/>
  <c r="L731" i="4"/>
  <c r="K731" i="4"/>
  <c r="J731" i="4"/>
  <c r="Q730" i="4"/>
  <c r="P730" i="4"/>
  <c r="O730" i="4"/>
  <c r="N730" i="4"/>
  <c r="M730" i="4"/>
  <c r="L730" i="4"/>
  <c r="K730" i="4"/>
  <c r="J730" i="4"/>
  <c r="Q729" i="4"/>
  <c r="P729" i="4"/>
  <c r="O729" i="4"/>
  <c r="N729" i="4"/>
  <c r="M729" i="4"/>
  <c r="L729" i="4"/>
  <c r="K729" i="4"/>
  <c r="J729" i="4"/>
  <c r="P728" i="4"/>
  <c r="Q728" i="4" s="1"/>
  <c r="O728" i="4"/>
  <c r="N728" i="4"/>
  <c r="M728" i="4"/>
  <c r="L728" i="4"/>
  <c r="K728" i="4"/>
  <c r="J728" i="4"/>
  <c r="P727" i="4"/>
  <c r="Q727" i="4" s="1"/>
  <c r="O727" i="4"/>
  <c r="N727" i="4"/>
  <c r="M727" i="4"/>
  <c r="L727" i="4"/>
  <c r="K727" i="4"/>
  <c r="J727" i="4"/>
  <c r="P726" i="4"/>
  <c r="Q726" i="4" s="1"/>
  <c r="O726" i="4"/>
  <c r="N726" i="4"/>
  <c r="M726" i="4"/>
  <c r="L726" i="4"/>
  <c r="K726" i="4"/>
  <c r="J726" i="4"/>
  <c r="P725" i="4"/>
  <c r="Q725" i="4" s="1"/>
  <c r="O725" i="4"/>
  <c r="N725" i="4"/>
  <c r="M725" i="4"/>
  <c r="L725" i="4"/>
  <c r="K725" i="4"/>
  <c r="J725" i="4"/>
  <c r="P724" i="4"/>
  <c r="Q724" i="4" s="1"/>
  <c r="O724" i="4"/>
  <c r="N724" i="4"/>
  <c r="M724" i="4"/>
  <c r="L724" i="4"/>
  <c r="K724" i="4"/>
  <c r="J724" i="4"/>
  <c r="P723" i="4"/>
  <c r="Q723" i="4" s="1"/>
  <c r="O723" i="4"/>
  <c r="N723" i="4"/>
  <c r="M723" i="4"/>
  <c r="L723" i="4"/>
  <c r="K723" i="4"/>
  <c r="J723" i="4"/>
  <c r="P722" i="4"/>
  <c r="Q722" i="4" s="1"/>
  <c r="O722" i="4"/>
  <c r="N722" i="4"/>
  <c r="M722" i="4"/>
  <c r="L722" i="4"/>
  <c r="K722" i="4"/>
  <c r="J722" i="4"/>
  <c r="P721" i="4"/>
  <c r="Q721" i="4" s="1"/>
  <c r="O721" i="4"/>
  <c r="N721" i="4"/>
  <c r="M721" i="4"/>
  <c r="L721" i="4"/>
  <c r="K721" i="4"/>
  <c r="J721" i="4"/>
  <c r="P720" i="4"/>
  <c r="Q720" i="4" s="1"/>
  <c r="O720" i="4"/>
  <c r="N720" i="4"/>
  <c r="M720" i="4"/>
  <c r="L720" i="4"/>
  <c r="K720" i="4"/>
  <c r="J720" i="4"/>
  <c r="P719" i="4"/>
  <c r="Q719" i="4" s="1"/>
  <c r="O719" i="4"/>
  <c r="N719" i="4"/>
  <c r="M719" i="4"/>
  <c r="L719" i="4"/>
  <c r="K719" i="4"/>
  <c r="J719" i="4"/>
  <c r="P718" i="4"/>
  <c r="Q718" i="4" s="1"/>
  <c r="O718" i="4"/>
  <c r="N718" i="4"/>
  <c r="M718" i="4"/>
  <c r="L718" i="4"/>
  <c r="K718" i="4"/>
  <c r="J718" i="4"/>
  <c r="P717" i="4"/>
  <c r="Q717" i="4" s="1"/>
  <c r="O717" i="4"/>
  <c r="N717" i="4"/>
  <c r="M717" i="4"/>
  <c r="L717" i="4"/>
  <c r="K717" i="4"/>
  <c r="J717" i="4"/>
  <c r="P716" i="4"/>
  <c r="Q716" i="4" s="1"/>
  <c r="O716" i="4"/>
  <c r="N716" i="4"/>
  <c r="M716" i="4"/>
  <c r="L716" i="4"/>
  <c r="K716" i="4"/>
  <c r="J716" i="4"/>
  <c r="P715" i="4"/>
  <c r="Q715" i="4" s="1"/>
  <c r="O715" i="4"/>
  <c r="N715" i="4"/>
  <c r="M715" i="4"/>
  <c r="L715" i="4"/>
  <c r="K715" i="4"/>
  <c r="J715" i="4"/>
  <c r="P714" i="4"/>
  <c r="Q714" i="4" s="1"/>
  <c r="O714" i="4"/>
  <c r="N714" i="4"/>
  <c r="M714" i="4"/>
  <c r="L714" i="4"/>
  <c r="K714" i="4"/>
  <c r="J714" i="4"/>
  <c r="P713" i="4"/>
  <c r="Q713" i="4" s="1"/>
  <c r="O713" i="4"/>
  <c r="N713" i="4"/>
  <c r="M713" i="4"/>
  <c r="L713" i="4"/>
  <c r="K713" i="4"/>
  <c r="J713" i="4"/>
  <c r="P712" i="4"/>
  <c r="Q712" i="4" s="1"/>
  <c r="O712" i="4"/>
  <c r="N712" i="4"/>
  <c r="M712" i="4"/>
  <c r="L712" i="4"/>
  <c r="K712" i="4"/>
  <c r="J712" i="4"/>
  <c r="P711" i="4"/>
  <c r="Q711" i="4" s="1"/>
  <c r="O711" i="4"/>
  <c r="N711" i="4"/>
  <c r="M711" i="4"/>
  <c r="L711" i="4"/>
  <c r="K711" i="4"/>
  <c r="J711" i="4"/>
  <c r="P710" i="4"/>
  <c r="Q710" i="4" s="1"/>
  <c r="O710" i="4"/>
  <c r="N710" i="4"/>
  <c r="M710" i="4"/>
  <c r="L710" i="4"/>
  <c r="K710" i="4"/>
  <c r="J710" i="4"/>
  <c r="P709" i="4"/>
  <c r="Q709" i="4" s="1"/>
  <c r="O709" i="4"/>
  <c r="N709" i="4"/>
  <c r="M709" i="4"/>
  <c r="L709" i="4"/>
  <c r="K709" i="4"/>
  <c r="J709" i="4"/>
  <c r="P708" i="4"/>
  <c r="Q708" i="4" s="1"/>
  <c r="O708" i="4"/>
  <c r="N708" i="4"/>
  <c r="M708" i="4"/>
  <c r="L708" i="4"/>
  <c r="K708" i="4"/>
  <c r="J708" i="4"/>
  <c r="P707" i="4"/>
  <c r="Q707" i="4" s="1"/>
  <c r="O707" i="4"/>
  <c r="N707" i="4"/>
  <c r="M707" i="4"/>
  <c r="L707" i="4"/>
  <c r="K707" i="4"/>
  <c r="J707" i="4"/>
  <c r="Q706" i="4"/>
  <c r="P706" i="4"/>
  <c r="O706" i="4"/>
  <c r="N706" i="4"/>
  <c r="M706" i="4"/>
  <c r="L706" i="4"/>
  <c r="K706" i="4"/>
  <c r="J706" i="4"/>
  <c r="P705" i="4"/>
  <c r="Q705" i="4" s="1"/>
  <c r="O705" i="4"/>
  <c r="N705" i="4"/>
  <c r="M705" i="4"/>
  <c r="L705" i="4"/>
  <c r="K705" i="4"/>
  <c r="J705" i="4"/>
  <c r="P704" i="4"/>
  <c r="Q704" i="4" s="1"/>
  <c r="O704" i="4"/>
  <c r="N704" i="4"/>
  <c r="M704" i="4"/>
  <c r="L704" i="4"/>
  <c r="K704" i="4"/>
  <c r="J704" i="4"/>
  <c r="P703" i="4"/>
  <c r="Q703" i="4" s="1"/>
  <c r="O703" i="4"/>
  <c r="N703" i="4"/>
  <c r="M703" i="4"/>
  <c r="L703" i="4"/>
  <c r="K703" i="4"/>
  <c r="J703" i="4"/>
  <c r="P702" i="4"/>
  <c r="Q702" i="4" s="1"/>
  <c r="O702" i="4"/>
  <c r="N702" i="4"/>
  <c r="M702" i="4"/>
  <c r="L702" i="4"/>
  <c r="K702" i="4"/>
  <c r="J702" i="4"/>
  <c r="P701" i="4"/>
  <c r="Q701" i="4" s="1"/>
  <c r="O701" i="4"/>
  <c r="N701" i="4"/>
  <c r="M701" i="4"/>
  <c r="L701" i="4"/>
  <c r="K701" i="4"/>
  <c r="J701" i="4"/>
  <c r="P700" i="4"/>
  <c r="Q700" i="4" s="1"/>
  <c r="O700" i="4"/>
  <c r="N700" i="4"/>
  <c r="M700" i="4"/>
  <c r="L700" i="4"/>
  <c r="K700" i="4"/>
  <c r="J700" i="4"/>
  <c r="P699" i="4"/>
  <c r="Q699" i="4" s="1"/>
  <c r="O699" i="4"/>
  <c r="N699" i="4"/>
  <c r="M699" i="4"/>
  <c r="L699" i="4"/>
  <c r="K699" i="4"/>
  <c r="J699" i="4"/>
  <c r="P698" i="4"/>
  <c r="Q698" i="4" s="1"/>
  <c r="O698" i="4"/>
  <c r="N698" i="4"/>
  <c r="M698" i="4"/>
  <c r="L698" i="4"/>
  <c r="K698" i="4"/>
  <c r="J698" i="4"/>
  <c r="P697" i="4"/>
  <c r="Q697" i="4" s="1"/>
  <c r="O697" i="4"/>
  <c r="N697" i="4"/>
  <c r="M697" i="4"/>
  <c r="L697" i="4"/>
  <c r="K697" i="4"/>
  <c r="J697" i="4"/>
  <c r="P696" i="4"/>
  <c r="Q696" i="4" s="1"/>
  <c r="O696" i="4"/>
  <c r="N696" i="4"/>
  <c r="M696" i="4"/>
  <c r="L696" i="4"/>
  <c r="K696" i="4"/>
  <c r="J696" i="4"/>
  <c r="P695" i="4"/>
  <c r="Q695" i="4" s="1"/>
  <c r="O695" i="4"/>
  <c r="N695" i="4"/>
  <c r="M695" i="4"/>
  <c r="L695" i="4"/>
  <c r="K695" i="4"/>
  <c r="J695" i="4"/>
  <c r="P694" i="4"/>
  <c r="Q694" i="4" s="1"/>
  <c r="O694" i="4"/>
  <c r="N694" i="4"/>
  <c r="M694" i="4"/>
  <c r="L694" i="4"/>
  <c r="K694" i="4"/>
  <c r="J694" i="4"/>
  <c r="P693" i="4"/>
  <c r="Q693" i="4" s="1"/>
  <c r="O693" i="4"/>
  <c r="N693" i="4"/>
  <c r="M693" i="4"/>
  <c r="L693" i="4"/>
  <c r="K693" i="4"/>
  <c r="J693" i="4"/>
  <c r="P692" i="4"/>
  <c r="Q692" i="4" s="1"/>
  <c r="O692" i="4"/>
  <c r="N692" i="4"/>
  <c r="M692" i="4"/>
  <c r="L692" i="4"/>
  <c r="K692" i="4"/>
  <c r="J692" i="4"/>
  <c r="P691" i="4"/>
  <c r="Q691" i="4" s="1"/>
  <c r="O691" i="4"/>
  <c r="N691" i="4"/>
  <c r="M691" i="4"/>
  <c r="L691" i="4"/>
  <c r="K691" i="4"/>
  <c r="J691" i="4"/>
  <c r="P690" i="4"/>
  <c r="Q690" i="4" s="1"/>
  <c r="O690" i="4"/>
  <c r="N690" i="4"/>
  <c r="M690" i="4"/>
  <c r="L690" i="4"/>
  <c r="K690" i="4"/>
  <c r="J690" i="4"/>
  <c r="P689" i="4"/>
  <c r="Q689" i="4" s="1"/>
  <c r="O689" i="4"/>
  <c r="N689" i="4"/>
  <c r="M689" i="4"/>
  <c r="L689" i="4"/>
  <c r="K689" i="4"/>
  <c r="J689" i="4"/>
  <c r="P688" i="4"/>
  <c r="Q688" i="4" s="1"/>
  <c r="O688" i="4"/>
  <c r="N688" i="4"/>
  <c r="M688" i="4"/>
  <c r="L688" i="4"/>
  <c r="K688" i="4"/>
  <c r="J688" i="4"/>
  <c r="P687" i="4"/>
  <c r="Q687" i="4" s="1"/>
  <c r="O687" i="4"/>
  <c r="N687" i="4"/>
  <c r="M687" i="4"/>
  <c r="L687" i="4"/>
  <c r="K687" i="4"/>
  <c r="J687" i="4"/>
  <c r="P686" i="4"/>
  <c r="Q686" i="4" s="1"/>
  <c r="O686" i="4"/>
  <c r="N686" i="4"/>
  <c r="M686" i="4"/>
  <c r="L686" i="4"/>
  <c r="K686" i="4"/>
  <c r="J686" i="4"/>
  <c r="Q685" i="4"/>
  <c r="P685" i="4"/>
  <c r="O685" i="4"/>
  <c r="N685" i="4"/>
  <c r="M685" i="4"/>
  <c r="L685" i="4"/>
  <c r="K685" i="4"/>
  <c r="J685" i="4"/>
  <c r="P684" i="4"/>
  <c r="Q684" i="4" s="1"/>
  <c r="O684" i="4"/>
  <c r="N684" i="4"/>
  <c r="M684" i="4"/>
  <c r="L684" i="4"/>
  <c r="K684" i="4"/>
  <c r="J684" i="4"/>
  <c r="Q683" i="4"/>
  <c r="P683" i="4"/>
  <c r="O683" i="4"/>
  <c r="N683" i="4"/>
  <c r="M683" i="4"/>
  <c r="L683" i="4"/>
  <c r="K683" i="4"/>
  <c r="J683" i="4"/>
  <c r="P682" i="4"/>
  <c r="Q682" i="4" s="1"/>
  <c r="O682" i="4"/>
  <c r="N682" i="4"/>
  <c r="M682" i="4"/>
  <c r="L682" i="4"/>
  <c r="K682" i="4"/>
  <c r="J682" i="4"/>
  <c r="P681" i="4"/>
  <c r="Q681" i="4" s="1"/>
  <c r="O681" i="4"/>
  <c r="N681" i="4"/>
  <c r="M681" i="4"/>
  <c r="L681" i="4"/>
  <c r="K681" i="4"/>
  <c r="J681" i="4"/>
  <c r="P680" i="4"/>
  <c r="Q680" i="4" s="1"/>
  <c r="O680" i="4"/>
  <c r="N680" i="4"/>
  <c r="M680" i="4"/>
  <c r="L680" i="4"/>
  <c r="K680" i="4"/>
  <c r="J680" i="4"/>
  <c r="P679" i="4"/>
  <c r="Q679" i="4" s="1"/>
  <c r="O679" i="4"/>
  <c r="N679" i="4"/>
  <c r="M679" i="4"/>
  <c r="L679" i="4"/>
  <c r="K679" i="4"/>
  <c r="J679" i="4"/>
  <c r="P678" i="4"/>
  <c r="Q678" i="4" s="1"/>
  <c r="O678" i="4"/>
  <c r="N678" i="4"/>
  <c r="M678" i="4"/>
  <c r="L678" i="4"/>
  <c r="K678" i="4"/>
  <c r="J678" i="4"/>
  <c r="P677" i="4"/>
  <c r="Q677" i="4" s="1"/>
  <c r="O677" i="4"/>
  <c r="N677" i="4"/>
  <c r="M677" i="4"/>
  <c r="L677" i="4"/>
  <c r="K677" i="4"/>
  <c r="J677" i="4"/>
  <c r="P676" i="4"/>
  <c r="Q676" i="4" s="1"/>
  <c r="O676" i="4"/>
  <c r="N676" i="4"/>
  <c r="M676" i="4"/>
  <c r="L676" i="4"/>
  <c r="K676" i="4"/>
  <c r="J676" i="4"/>
  <c r="P675" i="4"/>
  <c r="Q675" i="4" s="1"/>
  <c r="O675" i="4"/>
  <c r="N675" i="4"/>
  <c r="M675" i="4"/>
  <c r="L675" i="4"/>
  <c r="K675" i="4"/>
  <c r="J675" i="4"/>
  <c r="P674" i="4"/>
  <c r="Q674" i="4" s="1"/>
  <c r="O674" i="4"/>
  <c r="N674" i="4"/>
  <c r="M674" i="4"/>
  <c r="L674" i="4"/>
  <c r="K674" i="4"/>
  <c r="J674" i="4"/>
  <c r="P673" i="4"/>
  <c r="Q673" i="4" s="1"/>
  <c r="O673" i="4"/>
  <c r="N673" i="4"/>
  <c r="M673" i="4"/>
  <c r="L673" i="4"/>
  <c r="K673" i="4"/>
  <c r="J673" i="4"/>
  <c r="P672" i="4"/>
  <c r="Q672" i="4" s="1"/>
  <c r="O672" i="4"/>
  <c r="N672" i="4"/>
  <c r="M672" i="4"/>
  <c r="L672" i="4"/>
  <c r="K672" i="4"/>
  <c r="J672" i="4"/>
  <c r="P671" i="4"/>
  <c r="Q671" i="4" s="1"/>
  <c r="O671" i="4"/>
  <c r="N671" i="4"/>
  <c r="M671" i="4"/>
  <c r="L671" i="4"/>
  <c r="K671" i="4"/>
  <c r="J671" i="4"/>
  <c r="P670" i="4"/>
  <c r="Q670" i="4" s="1"/>
  <c r="O670" i="4"/>
  <c r="N670" i="4"/>
  <c r="M670" i="4"/>
  <c r="L670" i="4"/>
  <c r="K670" i="4"/>
  <c r="J670" i="4"/>
  <c r="P669" i="4"/>
  <c r="Q669" i="4" s="1"/>
  <c r="O669" i="4"/>
  <c r="N669" i="4"/>
  <c r="M669" i="4"/>
  <c r="L669" i="4"/>
  <c r="K669" i="4"/>
  <c r="J669" i="4"/>
  <c r="P668" i="4"/>
  <c r="Q668" i="4" s="1"/>
  <c r="O668" i="4"/>
  <c r="N668" i="4"/>
  <c r="M668" i="4"/>
  <c r="L668" i="4"/>
  <c r="K668" i="4"/>
  <c r="J668" i="4"/>
  <c r="P667" i="4"/>
  <c r="Q667" i="4" s="1"/>
  <c r="O667" i="4"/>
  <c r="N667" i="4"/>
  <c r="M667" i="4"/>
  <c r="L667" i="4"/>
  <c r="K667" i="4"/>
  <c r="J667" i="4"/>
  <c r="P666" i="4"/>
  <c r="Q666" i="4" s="1"/>
  <c r="O666" i="4"/>
  <c r="N666" i="4"/>
  <c r="M666" i="4"/>
  <c r="L666" i="4"/>
  <c r="K666" i="4"/>
  <c r="J666" i="4"/>
  <c r="Q665" i="4"/>
  <c r="P665" i="4"/>
  <c r="O665" i="4"/>
  <c r="N665" i="4"/>
  <c r="M665" i="4"/>
  <c r="L665" i="4"/>
  <c r="K665" i="4"/>
  <c r="J665" i="4"/>
  <c r="P664" i="4"/>
  <c r="Q664" i="4" s="1"/>
  <c r="O664" i="4"/>
  <c r="N664" i="4"/>
  <c r="M664" i="4"/>
  <c r="L664" i="4"/>
  <c r="K664" i="4"/>
  <c r="J664" i="4"/>
  <c r="P663" i="4"/>
  <c r="Q663" i="4" s="1"/>
  <c r="O663" i="4"/>
  <c r="N663" i="4"/>
  <c r="M663" i="4"/>
  <c r="L663" i="4"/>
  <c r="K663" i="4"/>
  <c r="J663" i="4"/>
  <c r="P662" i="4"/>
  <c r="Q662" i="4" s="1"/>
  <c r="O662" i="4"/>
  <c r="N662" i="4"/>
  <c r="M662" i="4"/>
  <c r="L662" i="4"/>
  <c r="K662" i="4"/>
  <c r="J662" i="4"/>
  <c r="P661" i="4"/>
  <c r="Q661" i="4" s="1"/>
  <c r="O661" i="4"/>
  <c r="N661" i="4"/>
  <c r="M661" i="4"/>
  <c r="L661" i="4"/>
  <c r="K661" i="4"/>
  <c r="J661" i="4"/>
  <c r="P660" i="4"/>
  <c r="Q660" i="4" s="1"/>
  <c r="O660" i="4"/>
  <c r="N660" i="4"/>
  <c r="M660" i="4"/>
  <c r="L660" i="4"/>
  <c r="K660" i="4"/>
  <c r="J660" i="4"/>
  <c r="P659" i="4"/>
  <c r="Q659" i="4" s="1"/>
  <c r="O659" i="4"/>
  <c r="N659" i="4"/>
  <c r="M659" i="4"/>
  <c r="L659" i="4"/>
  <c r="K659" i="4"/>
  <c r="J659" i="4"/>
  <c r="P658" i="4"/>
  <c r="Q658" i="4" s="1"/>
  <c r="O658" i="4"/>
  <c r="N658" i="4"/>
  <c r="M658" i="4"/>
  <c r="L658" i="4"/>
  <c r="K658" i="4"/>
  <c r="J658" i="4"/>
  <c r="P657" i="4"/>
  <c r="Q657" i="4" s="1"/>
  <c r="O657" i="4"/>
  <c r="N657" i="4"/>
  <c r="M657" i="4"/>
  <c r="L657" i="4"/>
  <c r="K657" i="4"/>
  <c r="J657" i="4"/>
  <c r="P656" i="4"/>
  <c r="Q656" i="4" s="1"/>
  <c r="O656" i="4"/>
  <c r="N656" i="4"/>
  <c r="M656" i="4"/>
  <c r="L656" i="4"/>
  <c r="K656" i="4"/>
  <c r="J656" i="4"/>
  <c r="P655" i="4"/>
  <c r="Q655" i="4" s="1"/>
  <c r="O655" i="4"/>
  <c r="N655" i="4"/>
  <c r="M655" i="4"/>
  <c r="L655" i="4"/>
  <c r="K655" i="4"/>
  <c r="J655" i="4"/>
  <c r="P654" i="4"/>
  <c r="Q654" i="4" s="1"/>
  <c r="O654" i="4"/>
  <c r="N654" i="4"/>
  <c r="M654" i="4"/>
  <c r="L654" i="4"/>
  <c r="K654" i="4"/>
  <c r="J654" i="4"/>
  <c r="P653" i="4"/>
  <c r="Q653" i="4" s="1"/>
  <c r="O653" i="4"/>
  <c r="N653" i="4"/>
  <c r="M653" i="4"/>
  <c r="L653" i="4"/>
  <c r="K653" i="4"/>
  <c r="J653" i="4"/>
  <c r="Q652" i="4"/>
  <c r="P652" i="4"/>
  <c r="O652" i="4"/>
  <c r="N652" i="4"/>
  <c r="M652" i="4"/>
  <c r="L652" i="4"/>
  <c r="K652" i="4"/>
  <c r="J652" i="4"/>
  <c r="P651" i="4"/>
  <c r="Q651" i="4" s="1"/>
  <c r="O651" i="4"/>
  <c r="N651" i="4"/>
  <c r="M651" i="4"/>
  <c r="L651" i="4"/>
  <c r="K651" i="4"/>
  <c r="J651" i="4"/>
  <c r="P650" i="4"/>
  <c r="Q650" i="4" s="1"/>
  <c r="O650" i="4"/>
  <c r="N650" i="4"/>
  <c r="M650" i="4"/>
  <c r="L650" i="4"/>
  <c r="K650" i="4"/>
  <c r="J650" i="4"/>
  <c r="P649" i="4"/>
  <c r="Q649" i="4" s="1"/>
  <c r="O649" i="4"/>
  <c r="N649" i="4"/>
  <c r="M649" i="4"/>
  <c r="L649" i="4"/>
  <c r="K649" i="4"/>
  <c r="J649" i="4"/>
  <c r="P648" i="4"/>
  <c r="Q648" i="4" s="1"/>
  <c r="O648" i="4"/>
  <c r="N648" i="4"/>
  <c r="M648" i="4"/>
  <c r="L648" i="4"/>
  <c r="K648" i="4"/>
  <c r="J648" i="4"/>
  <c r="P647" i="4"/>
  <c r="Q647" i="4" s="1"/>
  <c r="O647" i="4"/>
  <c r="N647" i="4"/>
  <c r="M647" i="4"/>
  <c r="L647" i="4"/>
  <c r="K647" i="4"/>
  <c r="J647" i="4"/>
  <c r="P646" i="4"/>
  <c r="Q646" i="4" s="1"/>
  <c r="O646" i="4"/>
  <c r="N646" i="4"/>
  <c r="M646" i="4"/>
  <c r="L646" i="4"/>
  <c r="K646" i="4"/>
  <c r="J646" i="4"/>
  <c r="P645" i="4"/>
  <c r="Q645" i="4" s="1"/>
  <c r="O645" i="4"/>
  <c r="N645" i="4"/>
  <c r="M645" i="4"/>
  <c r="L645" i="4"/>
  <c r="K645" i="4"/>
  <c r="J645" i="4"/>
  <c r="P644" i="4"/>
  <c r="Q644" i="4" s="1"/>
  <c r="O644" i="4"/>
  <c r="N644" i="4"/>
  <c r="M644" i="4"/>
  <c r="L644" i="4"/>
  <c r="K644" i="4"/>
  <c r="J644" i="4"/>
  <c r="P643" i="4"/>
  <c r="Q643" i="4" s="1"/>
  <c r="O643" i="4"/>
  <c r="N643" i="4"/>
  <c r="M643" i="4"/>
  <c r="L643" i="4"/>
  <c r="K643" i="4"/>
  <c r="J643" i="4"/>
  <c r="P642" i="4"/>
  <c r="Q642" i="4" s="1"/>
  <c r="O642" i="4"/>
  <c r="N642" i="4"/>
  <c r="M642" i="4"/>
  <c r="L642" i="4"/>
  <c r="K642" i="4"/>
  <c r="J642" i="4"/>
  <c r="P641" i="4"/>
  <c r="Q641" i="4" s="1"/>
  <c r="O641" i="4"/>
  <c r="N641" i="4"/>
  <c r="M641" i="4"/>
  <c r="L641" i="4"/>
  <c r="K641" i="4"/>
  <c r="J641" i="4"/>
  <c r="P640" i="4"/>
  <c r="Q640" i="4" s="1"/>
  <c r="O640" i="4"/>
  <c r="N640" i="4"/>
  <c r="M640" i="4"/>
  <c r="L640" i="4"/>
  <c r="K640" i="4"/>
  <c r="J640" i="4"/>
  <c r="P639" i="4"/>
  <c r="Q639" i="4" s="1"/>
  <c r="O639" i="4"/>
  <c r="N639" i="4"/>
  <c r="M639" i="4"/>
  <c r="L639" i="4"/>
  <c r="K639" i="4"/>
  <c r="J639" i="4"/>
  <c r="P638" i="4"/>
  <c r="Q638" i="4" s="1"/>
  <c r="O638" i="4"/>
  <c r="N638" i="4"/>
  <c r="M638" i="4"/>
  <c r="L638" i="4"/>
  <c r="K638" i="4"/>
  <c r="J638" i="4"/>
  <c r="P637" i="4"/>
  <c r="Q637" i="4" s="1"/>
  <c r="O637" i="4"/>
  <c r="N637" i="4"/>
  <c r="M637" i="4"/>
  <c r="L637" i="4"/>
  <c r="K637" i="4"/>
  <c r="J637" i="4"/>
  <c r="P636" i="4"/>
  <c r="Q636" i="4" s="1"/>
  <c r="O636" i="4"/>
  <c r="N636" i="4"/>
  <c r="M636" i="4"/>
  <c r="L636" i="4"/>
  <c r="K636" i="4"/>
  <c r="J636" i="4"/>
  <c r="P635" i="4"/>
  <c r="Q635" i="4" s="1"/>
  <c r="O635" i="4"/>
  <c r="N635" i="4"/>
  <c r="M635" i="4"/>
  <c r="L635" i="4"/>
  <c r="K635" i="4"/>
  <c r="J635" i="4"/>
  <c r="P634" i="4"/>
  <c r="Q634" i="4" s="1"/>
  <c r="O634" i="4"/>
  <c r="N634" i="4"/>
  <c r="M634" i="4"/>
  <c r="L634" i="4"/>
  <c r="K634" i="4"/>
  <c r="J634" i="4"/>
  <c r="P633" i="4"/>
  <c r="Q633" i="4" s="1"/>
  <c r="O633" i="4"/>
  <c r="N633" i="4"/>
  <c r="M633" i="4"/>
  <c r="L633" i="4"/>
  <c r="K633" i="4"/>
  <c r="J633" i="4"/>
  <c r="P632" i="4"/>
  <c r="Q632" i="4" s="1"/>
  <c r="O632" i="4"/>
  <c r="N632" i="4"/>
  <c r="M632" i="4"/>
  <c r="L632" i="4"/>
  <c r="K632" i="4"/>
  <c r="J632" i="4"/>
  <c r="P631" i="4"/>
  <c r="Q631" i="4" s="1"/>
  <c r="O631" i="4"/>
  <c r="N631" i="4"/>
  <c r="M631" i="4"/>
  <c r="L631" i="4"/>
  <c r="K631" i="4"/>
  <c r="J631" i="4"/>
  <c r="P630" i="4"/>
  <c r="Q630" i="4" s="1"/>
  <c r="O630" i="4"/>
  <c r="N630" i="4"/>
  <c r="M630" i="4"/>
  <c r="L630" i="4"/>
  <c r="K630" i="4"/>
  <c r="J630" i="4"/>
  <c r="P629" i="4"/>
  <c r="Q629" i="4" s="1"/>
  <c r="O629" i="4"/>
  <c r="N629" i="4"/>
  <c r="M629" i="4"/>
  <c r="L629" i="4"/>
  <c r="K629" i="4"/>
  <c r="J629" i="4"/>
  <c r="P628" i="4"/>
  <c r="Q628" i="4" s="1"/>
  <c r="O628" i="4"/>
  <c r="N628" i="4"/>
  <c r="M628" i="4"/>
  <c r="L628" i="4"/>
  <c r="K628" i="4"/>
  <c r="J628" i="4"/>
  <c r="P627" i="4"/>
  <c r="Q627" i="4" s="1"/>
  <c r="O627" i="4"/>
  <c r="N627" i="4"/>
  <c r="M627" i="4"/>
  <c r="L627" i="4"/>
  <c r="K627" i="4"/>
  <c r="J627" i="4"/>
  <c r="P626" i="4"/>
  <c r="Q626" i="4" s="1"/>
  <c r="O626" i="4"/>
  <c r="N626" i="4"/>
  <c r="M626" i="4"/>
  <c r="L626" i="4"/>
  <c r="K626" i="4"/>
  <c r="J626" i="4"/>
  <c r="P625" i="4"/>
  <c r="Q625" i="4" s="1"/>
  <c r="O625" i="4"/>
  <c r="N625" i="4"/>
  <c r="M625" i="4"/>
  <c r="L625" i="4"/>
  <c r="K625" i="4"/>
  <c r="J625" i="4"/>
  <c r="P624" i="4"/>
  <c r="Q624" i="4" s="1"/>
  <c r="O624" i="4"/>
  <c r="N624" i="4"/>
  <c r="M624" i="4"/>
  <c r="L624" i="4"/>
  <c r="K624" i="4"/>
  <c r="J624" i="4"/>
  <c r="P623" i="4"/>
  <c r="Q623" i="4" s="1"/>
  <c r="O623" i="4"/>
  <c r="N623" i="4"/>
  <c r="M623" i="4"/>
  <c r="L623" i="4"/>
  <c r="K623" i="4"/>
  <c r="J623" i="4"/>
  <c r="P622" i="4"/>
  <c r="Q622" i="4" s="1"/>
  <c r="O622" i="4"/>
  <c r="N622" i="4"/>
  <c r="M622" i="4"/>
  <c r="L622" i="4"/>
  <c r="K622" i="4"/>
  <c r="J622" i="4"/>
  <c r="P621" i="4"/>
  <c r="Q621" i="4" s="1"/>
  <c r="O621" i="4"/>
  <c r="N621" i="4"/>
  <c r="M621" i="4"/>
  <c r="L621" i="4"/>
  <c r="K621" i="4"/>
  <c r="J621" i="4"/>
  <c r="P620" i="4"/>
  <c r="Q620" i="4" s="1"/>
  <c r="O620" i="4"/>
  <c r="N620" i="4"/>
  <c r="M620" i="4"/>
  <c r="L620" i="4"/>
  <c r="K620" i="4"/>
  <c r="J620" i="4"/>
  <c r="P619" i="4"/>
  <c r="Q619" i="4" s="1"/>
  <c r="O619" i="4"/>
  <c r="N619" i="4"/>
  <c r="M619" i="4"/>
  <c r="L619" i="4"/>
  <c r="K619" i="4"/>
  <c r="J619" i="4"/>
  <c r="P618" i="4"/>
  <c r="Q618" i="4" s="1"/>
  <c r="O618" i="4"/>
  <c r="N618" i="4"/>
  <c r="M618" i="4"/>
  <c r="L618" i="4"/>
  <c r="K618" i="4"/>
  <c r="J618" i="4"/>
  <c r="P617" i="4"/>
  <c r="Q617" i="4" s="1"/>
  <c r="O617" i="4"/>
  <c r="N617" i="4"/>
  <c r="M617" i="4"/>
  <c r="L617" i="4"/>
  <c r="K617" i="4"/>
  <c r="J617" i="4"/>
  <c r="P616" i="4"/>
  <c r="Q616" i="4" s="1"/>
  <c r="O616" i="4"/>
  <c r="N616" i="4"/>
  <c r="M616" i="4"/>
  <c r="L616" i="4"/>
  <c r="K616" i="4"/>
  <c r="J616" i="4"/>
  <c r="P615" i="4"/>
  <c r="Q615" i="4" s="1"/>
  <c r="O615" i="4"/>
  <c r="N615" i="4"/>
  <c r="M615" i="4"/>
  <c r="L615" i="4"/>
  <c r="K615" i="4"/>
  <c r="J615" i="4"/>
  <c r="P614" i="4"/>
  <c r="Q614" i="4" s="1"/>
  <c r="O614" i="4"/>
  <c r="N614" i="4"/>
  <c r="M614" i="4"/>
  <c r="L614" i="4"/>
  <c r="K614" i="4"/>
  <c r="J614" i="4"/>
  <c r="Q613" i="4"/>
  <c r="P613" i="4"/>
  <c r="O613" i="4"/>
  <c r="N613" i="4"/>
  <c r="M613" i="4"/>
  <c r="L613" i="4"/>
  <c r="K613" i="4"/>
  <c r="J613" i="4"/>
  <c r="P612" i="4"/>
  <c r="Q612" i="4" s="1"/>
  <c r="O612" i="4"/>
  <c r="N612" i="4"/>
  <c r="M612" i="4"/>
  <c r="L612" i="4"/>
  <c r="K612" i="4"/>
  <c r="J612" i="4"/>
  <c r="P611" i="4"/>
  <c r="Q611" i="4" s="1"/>
  <c r="O611" i="4"/>
  <c r="N611" i="4"/>
  <c r="M611" i="4"/>
  <c r="L611" i="4"/>
  <c r="K611" i="4"/>
  <c r="J611" i="4"/>
  <c r="P610" i="4"/>
  <c r="Q610" i="4" s="1"/>
  <c r="O610" i="4"/>
  <c r="N610" i="4"/>
  <c r="M610" i="4"/>
  <c r="L610" i="4"/>
  <c r="K610" i="4"/>
  <c r="J610" i="4"/>
  <c r="P609" i="4"/>
  <c r="Q609" i="4" s="1"/>
  <c r="O609" i="4"/>
  <c r="N609" i="4"/>
  <c r="M609" i="4"/>
  <c r="L609" i="4"/>
  <c r="K609" i="4"/>
  <c r="J609" i="4"/>
  <c r="P608" i="4"/>
  <c r="Q608" i="4" s="1"/>
  <c r="O608" i="4"/>
  <c r="N608" i="4"/>
  <c r="M608" i="4"/>
  <c r="L608" i="4"/>
  <c r="K608" i="4"/>
  <c r="J608" i="4"/>
  <c r="P607" i="4"/>
  <c r="Q607" i="4" s="1"/>
  <c r="O607" i="4"/>
  <c r="N607" i="4"/>
  <c r="M607" i="4"/>
  <c r="L607" i="4"/>
  <c r="K607" i="4"/>
  <c r="J607" i="4"/>
  <c r="P606" i="4"/>
  <c r="Q606" i="4" s="1"/>
  <c r="O606" i="4"/>
  <c r="N606" i="4"/>
  <c r="M606" i="4"/>
  <c r="L606" i="4"/>
  <c r="K606" i="4"/>
  <c r="J606" i="4"/>
  <c r="P605" i="4"/>
  <c r="Q605" i="4" s="1"/>
  <c r="O605" i="4"/>
  <c r="N605" i="4"/>
  <c r="M605" i="4"/>
  <c r="L605" i="4"/>
  <c r="K605" i="4"/>
  <c r="J605" i="4"/>
  <c r="P604" i="4"/>
  <c r="Q604" i="4" s="1"/>
  <c r="O604" i="4"/>
  <c r="N604" i="4"/>
  <c r="M604" i="4"/>
  <c r="L604" i="4"/>
  <c r="K604" i="4"/>
  <c r="J604" i="4"/>
  <c r="P603" i="4"/>
  <c r="Q603" i="4" s="1"/>
  <c r="O603" i="4"/>
  <c r="N603" i="4"/>
  <c r="M603" i="4"/>
  <c r="L603" i="4"/>
  <c r="K603" i="4"/>
  <c r="J603" i="4"/>
  <c r="P602" i="4"/>
  <c r="Q602" i="4" s="1"/>
  <c r="O602" i="4"/>
  <c r="N602" i="4"/>
  <c r="M602" i="4"/>
  <c r="L602" i="4"/>
  <c r="K602" i="4"/>
  <c r="J602" i="4"/>
  <c r="P601" i="4"/>
  <c r="Q601" i="4" s="1"/>
  <c r="O601" i="4"/>
  <c r="N601" i="4"/>
  <c r="M601" i="4"/>
  <c r="L601" i="4"/>
  <c r="K601" i="4"/>
  <c r="J601" i="4"/>
  <c r="P600" i="4"/>
  <c r="Q600" i="4" s="1"/>
  <c r="O600" i="4"/>
  <c r="N600" i="4"/>
  <c r="M600" i="4"/>
  <c r="L600" i="4"/>
  <c r="K600" i="4"/>
  <c r="J600" i="4"/>
  <c r="P599" i="4"/>
  <c r="Q599" i="4" s="1"/>
  <c r="O599" i="4"/>
  <c r="N599" i="4"/>
  <c r="M599" i="4"/>
  <c r="L599" i="4"/>
  <c r="K599" i="4"/>
  <c r="J599" i="4"/>
  <c r="P598" i="4"/>
  <c r="Q598" i="4" s="1"/>
  <c r="O598" i="4"/>
  <c r="N598" i="4"/>
  <c r="M598" i="4"/>
  <c r="L598" i="4"/>
  <c r="K598" i="4"/>
  <c r="J598" i="4"/>
  <c r="P597" i="4"/>
  <c r="Q597" i="4" s="1"/>
  <c r="O597" i="4"/>
  <c r="N597" i="4"/>
  <c r="M597" i="4"/>
  <c r="L597" i="4"/>
  <c r="K597" i="4"/>
  <c r="J597" i="4"/>
  <c r="P596" i="4"/>
  <c r="Q596" i="4" s="1"/>
  <c r="O596" i="4"/>
  <c r="N596" i="4"/>
  <c r="M596" i="4"/>
  <c r="L596" i="4"/>
  <c r="K596" i="4"/>
  <c r="J596" i="4"/>
  <c r="P595" i="4"/>
  <c r="Q595" i="4" s="1"/>
  <c r="O595" i="4"/>
  <c r="N595" i="4"/>
  <c r="M595" i="4"/>
  <c r="L595" i="4"/>
  <c r="K595" i="4"/>
  <c r="J595" i="4"/>
  <c r="P594" i="4"/>
  <c r="Q594" i="4" s="1"/>
  <c r="O594" i="4"/>
  <c r="N594" i="4"/>
  <c r="M594" i="4"/>
  <c r="L594" i="4"/>
  <c r="K594" i="4"/>
  <c r="J594" i="4"/>
  <c r="P593" i="4"/>
  <c r="Q593" i="4" s="1"/>
  <c r="O593" i="4"/>
  <c r="N593" i="4"/>
  <c r="M593" i="4"/>
  <c r="L593" i="4"/>
  <c r="K593" i="4"/>
  <c r="J593" i="4"/>
  <c r="P592" i="4"/>
  <c r="Q592" i="4" s="1"/>
  <c r="O592" i="4"/>
  <c r="N592" i="4"/>
  <c r="M592" i="4"/>
  <c r="L592" i="4"/>
  <c r="K592" i="4"/>
  <c r="J592" i="4"/>
  <c r="P591" i="4"/>
  <c r="Q591" i="4" s="1"/>
  <c r="O591" i="4"/>
  <c r="N591" i="4"/>
  <c r="M591" i="4"/>
  <c r="L591" i="4"/>
  <c r="K591" i="4"/>
  <c r="J591" i="4"/>
  <c r="P590" i="4"/>
  <c r="Q590" i="4" s="1"/>
  <c r="O590" i="4"/>
  <c r="N590" i="4"/>
  <c r="M590" i="4"/>
  <c r="L590" i="4"/>
  <c r="K590" i="4"/>
  <c r="J590" i="4"/>
  <c r="P589" i="4"/>
  <c r="Q589" i="4" s="1"/>
  <c r="O589" i="4"/>
  <c r="N589" i="4"/>
  <c r="M589" i="4"/>
  <c r="L589" i="4"/>
  <c r="K589" i="4"/>
  <c r="J589" i="4"/>
  <c r="P588" i="4"/>
  <c r="Q588" i="4" s="1"/>
  <c r="O588" i="4"/>
  <c r="N588" i="4"/>
  <c r="M588" i="4"/>
  <c r="L588" i="4"/>
  <c r="K588" i="4"/>
  <c r="J588" i="4"/>
  <c r="P587" i="4"/>
  <c r="Q587" i="4" s="1"/>
  <c r="O587" i="4"/>
  <c r="N587" i="4"/>
  <c r="M587" i="4"/>
  <c r="L587" i="4"/>
  <c r="K587" i="4"/>
  <c r="J587" i="4"/>
  <c r="P586" i="4"/>
  <c r="Q586" i="4" s="1"/>
  <c r="O586" i="4"/>
  <c r="N586" i="4"/>
  <c r="M586" i="4"/>
  <c r="L586" i="4"/>
  <c r="K586" i="4"/>
  <c r="J586" i="4"/>
  <c r="P585" i="4"/>
  <c r="Q585" i="4" s="1"/>
  <c r="O585" i="4"/>
  <c r="N585" i="4"/>
  <c r="M585" i="4"/>
  <c r="L585" i="4"/>
  <c r="K585" i="4"/>
  <c r="J585" i="4"/>
  <c r="P584" i="4"/>
  <c r="Q584" i="4" s="1"/>
  <c r="O584" i="4"/>
  <c r="N584" i="4"/>
  <c r="M584" i="4"/>
  <c r="L584" i="4"/>
  <c r="K584" i="4"/>
  <c r="J584" i="4"/>
  <c r="P583" i="4"/>
  <c r="Q583" i="4" s="1"/>
  <c r="O583" i="4"/>
  <c r="N583" i="4"/>
  <c r="M583" i="4"/>
  <c r="L583" i="4"/>
  <c r="K583" i="4"/>
  <c r="J583" i="4"/>
  <c r="P582" i="4"/>
  <c r="Q582" i="4" s="1"/>
  <c r="O582" i="4"/>
  <c r="N582" i="4"/>
  <c r="M582" i="4"/>
  <c r="L582" i="4"/>
  <c r="K582" i="4"/>
  <c r="J582" i="4"/>
  <c r="P581" i="4"/>
  <c r="Q581" i="4" s="1"/>
  <c r="O581" i="4"/>
  <c r="N581" i="4"/>
  <c r="M581" i="4"/>
  <c r="L581" i="4"/>
  <c r="K581" i="4"/>
  <c r="J581" i="4"/>
  <c r="P580" i="4"/>
  <c r="Q580" i="4" s="1"/>
  <c r="O580" i="4"/>
  <c r="N580" i="4"/>
  <c r="M580" i="4"/>
  <c r="L580" i="4"/>
  <c r="K580" i="4"/>
  <c r="J580" i="4"/>
  <c r="P579" i="4"/>
  <c r="Q579" i="4" s="1"/>
  <c r="O579" i="4"/>
  <c r="N579" i="4"/>
  <c r="M579" i="4"/>
  <c r="L579" i="4"/>
  <c r="K579" i="4"/>
  <c r="J579" i="4"/>
  <c r="P578" i="4"/>
  <c r="Q578" i="4" s="1"/>
  <c r="O578" i="4"/>
  <c r="N578" i="4"/>
  <c r="M578" i="4"/>
  <c r="L578" i="4"/>
  <c r="K578" i="4"/>
  <c r="J578" i="4"/>
  <c r="P577" i="4"/>
  <c r="Q577" i="4" s="1"/>
  <c r="O577" i="4"/>
  <c r="N577" i="4"/>
  <c r="M577" i="4"/>
  <c r="L577" i="4"/>
  <c r="K577" i="4"/>
  <c r="J577" i="4"/>
  <c r="Q576" i="4"/>
  <c r="P576" i="4"/>
  <c r="O576" i="4"/>
  <c r="N576" i="4"/>
  <c r="M576" i="4"/>
  <c r="L576" i="4"/>
  <c r="K576" i="4"/>
  <c r="J576" i="4"/>
  <c r="P575" i="4"/>
  <c r="Q575" i="4" s="1"/>
  <c r="O575" i="4"/>
  <c r="N575" i="4"/>
  <c r="M575" i="4"/>
  <c r="L575" i="4"/>
  <c r="K575" i="4"/>
  <c r="J575" i="4"/>
  <c r="P574" i="4"/>
  <c r="Q574" i="4" s="1"/>
  <c r="O574" i="4"/>
  <c r="N574" i="4"/>
  <c r="M574" i="4"/>
  <c r="L574" i="4"/>
  <c r="K574" i="4"/>
  <c r="J574" i="4"/>
  <c r="P573" i="4"/>
  <c r="Q573" i="4" s="1"/>
  <c r="O573" i="4"/>
  <c r="N573" i="4"/>
  <c r="M573" i="4"/>
  <c r="L573" i="4"/>
  <c r="K573" i="4"/>
  <c r="J573" i="4"/>
  <c r="P572" i="4"/>
  <c r="Q572" i="4" s="1"/>
  <c r="O572" i="4"/>
  <c r="N572" i="4"/>
  <c r="M572" i="4"/>
  <c r="L572" i="4"/>
  <c r="K572" i="4"/>
  <c r="J572" i="4"/>
  <c r="P571" i="4"/>
  <c r="Q571" i="4" s="1"/>
  <c r="O571" i="4"/>
  <c r="N571" i="4"/>
  <c r="M571" i="4"/>
  <c r="L571" i="4"/>
  <c r="K571" i="4"/>
  <c r="J571" i="4"/>
  <c r="P570" i="4"/>
  <c r="Q570" i="4" s="1"/>
  <c r="O570" i="4"/>
  <c r="N570" i="4"/>
  <c r="M570" i="4"/>
  <c r="L570" i="4"/>
  <c r="K570" i="4"/>
  <c r="J570" i="4"/>
  <c r="P569" i="4"/>
  <c r="Q569" i="4" s="1"/>
  <c r="O569" i="4"/>
  <c r="N569" i="4"/>
  <c r="M569" i="4"/>
  <c r="L569" i="4"/>
  <c r="K569" i="4"/>
  <c r="J569" i="4"/>
  <c r="P568" i="4"/>
  <c r="Q568" i="4" s="1"/>
  <c r="O568" i="4"/>
  <c r="N568" i="4"/>
  <c r="M568" i="4"/>
  <c r="L568" i="4"/>
  <c r="K568" i="4"/>
  <c r="J568" i="4"/>
  <c r="P567" i="4"/>
  <c r="Q567" i="4" s="1"/>
  <c r="O567" i="4"/>
  <c r="N567" i="4"/>
  <c r="M567" i="4"/>
  <c r="L567" i="4"/>
  <c r="K567" i="4"/>
  <c r="J567" i="4"/>
  <c r="P566" i="4"/>
  <c r="Q566" i="4" s="1"/>
  <c r="O566" i="4"/>
  <c r="N566" i="4"/>
  <c r="M566" i="4"/>
  <c r="L566" i="4"/>
  <c r="K566" i="4"/>
  <c r="J566" i="4"/>
  <c r="Q565" i="4"/>
  <c r="P565" i="4"/>
  <c r="O565" i="4"/>
  <c r="N565" i="4"/>
  <c r="M565" i="4"/>
  <c r="L565" i="4"/>
  <c r="K565" i="4"/>
  <c r="J565" i="4"/>
  <c r="P564" i="4"/>
  <c r="Q564" i="4" s="1"/>
  <c r="O564" i="4"/>
  <c r="N564" i="4"/>
  <c r="M564" i="4"/>
  <c r="L564" i="4"/>
  <c r="K564" i="4"/>
  <c r="J564" i="4"/>
  <c r="P563" i="4"/>
  <c r="Q563" i="4" s="1"/>
  <c r="O563" i="4"/>
  <c r="N563" i="4"/>
  <c r="M563" i="4"/>
  <c r="L563" i="4"/>
  <c r="K563" i="4"/>
  <c r="J563" i="4"/>
  <c r="P562" i="4"/>
  <c r="Q562" i="4" s="1"/>
  <c r="O562" i="4"/>
  <c r="N562" i="4"/>
  <c r="M562" i="4"/>
  <c r="L562" i="4"/>
  <c r="K562" i="4"/>
  <c r="J562" i="4"/>
  <c r="P561" i="4"/>
  <c r="Q561" i="4" s="1"/>
  <c r="O561" i="4"/>
  <c r="N561" i="4"/>
  <c r="M561" i="4"/>
  <c r="L561" i="4"/>
  <c r="K561" i="4"/>
  <c r="J561" i="4"/>
  <c r="P560" i="4"/>
  <c r="Q560" i="4" s="1"/>
  <c r="O560" i="4"/>
  <c r="N560" i="4"/>
  <c r="M560" i="4"/>
  <c r="L560" i="4"/>
  <c r="K560" i="4"/>
  <c r="J560" i="4"/>
  <c r="P559" i="4"/>
  <c r="Q559" i="4" s="1"/>
  <c r="O559" i="4"/>
  <c r="N559" i="4"/>
  <c r="M559" i="4"/>
  <c r="L559" i="4"/>
  <c r="K559" i="4"/>
  <c r="J559" i="4"/>
  <c r="P558" i="4"/>
  <c r="Q558" i="4" s="1"/>
  <c r="O558" i="4"/>
  <c r="N558" i="4"/>
  <c r="M558" i="4"/>
  <c r="L558" i="4"/>
  <c r="K558" i="4"/>
  <c r="J558" i="4"/>
  <c r="P557" i="4"/>
  <c r="Q557" i="4" s="1"/>
  <c r="O557" i="4"/>
  <c r="N557" i="4"/>
  <c r="M557" i="4"/>
  <c r="L557" i="4"/>
  <c r="K557" i="4"/>
  <c r="J557" i="4"/>
  <c r="P556" i="4"/>
  <c r="Q556" i="4" s="1"/>
  <c r="O556" i="4"/>
  <c r="N556" i="4"/>
  <c r="M556" i="4"/>
  <c r="L556" i="4"/>
  <c r="K556" i="4"/>
  <c r="J556" i="4"/>
  <c r="P555" i="4"/>
  <c r="Q555" i="4" s="1"/>
  <c r="O555" i="4"/>
  <c r="N555" i="4"/>
  <c r="M555" i="4"/>
  <c r="L555" i="4"/>
  <c r="K555" i="4"/>
  <c r="J555" i="4"/>
  <c r="P554" i="4"/>
  <c r="Q554" i="4" s="1"/>
  <c r="O554" i="4"/>
  <c r="N554" i="4"/>
  <c r="M554" i="4"/>
  <c r="L554" i="4"/>
  <c r="K554" i="4"/>
  <c r="J554" i="4"/>
  <c r="P553" i="4"/>
  <c r="Q553" i="4" s="1"/>
  <c r="O553" i="4"/>
  <c r="N553" i="4"/>
  <c r="M553" i="4"/>
  <c r="L553" i="4"/>
  <c r="K553" i="4"/>
  <c r="J553" i="4"/>
  <c r="P552" i="4"/>
  <c r="Q552" i="4" s="1"/>
  <c r="O552" i="4"/>
  <c r="N552" i="4"/>
  <c r="M552" i="4"/>
  <c r="L552" i="4"/>
  <c r="K552" i="4"/>
  <c r="J552" i="4"/>
  <c r="P551" i="4"/>
  <c r="Q551" i="4" s="1"/>
  <c r="O551" i="4"/>
  <c r="N551" i="4"/>
  <c r="M551" i="4"/>
  <c r="L551" i="4"/>
  <c r="K551" i="4"/>
  <c r="J551" i="4"/>
  <c r="P550" i="4"/>
  <c r="Q550" i="4" s="1"/>
  <c r="O550" i="4"/>
  <c r="N550" i="4"/>
  <c r="M550" i="4"/>
  <c r="L550" i="4"/>
  <c r="K550" i="4"/>
  <c r="J550" i="4"/>
  <c r="P549" i="4"/>
  <c r="Q549" i="4" s="1"/>
  <c r="O549" i="4"/>
  <c r="N549" i="4"/>
  <c r="M549" i="4"/>
  <c r="L549" i="4"/>
  <c r="K549" i="4"/>
  <c r="J549" i="4"/>
  <c r="P548" i="4"/>
  <c r="Q548" i="4" s="1"/>
  <c r="O548" i="4"/>
  <c r="N548" i="4"/>
  <c r="M548" i="4"/>
  <c r="L548" i="4"/>
  <c r="K548" i="4"/>
  <c r="J548" i="4"/>
  <c r="P547" i="4"/>
  <c r="Q547" i="4" s="1"/>
  <c r="O547" i="4"/>
  <c r="N547" i="4"/>
  <c r="M547" i="4"/>
  <c r="L547" i="4"/>
  <c r="K547" i="4"/>
  <c r="J547" i="4"/>
  <c r="P546" i="4"/>
  <c r="Q546" i="4" s="1"/>
  <c r="O546" i="4"/>
  <c r="N546" i="4"/>
  <c r="M546" i="4"/>
  <c r="L546" i="4"/>
  <c r="K546" i="4"/>
  <c r="J546" i="4"/>
  <c r="P545" i="4"/>
  <c r="Q545" i="4" s="1"/>
  <c r="O545" i="4"/>
  <c r="N545" i="4"/>
  <c r="M545" i="4"/>
  <c r="L545" i="4"/>
  <c r="K545" i="4"/>
  <c r="J545" i="4"/>
  <c r="P544" i="4"/>
  <c r="Q544" i="4" s="1"/>
  <c r="O544" i="4"/>
  <c r="N544" i="4"/>
  <c r="M544" i="4"/>
  <c r="L544" i="4"/>
  <c r="K544" i="4"/>
  <c r="J544" i="4"/>
  <c r="P543" i="4"/>
  <c r="Q543" i="4" s="1"/>
  <c r="O543" i="4"/>
  <c r="N543" i="4"/>
  <c r="M543" i="4"/>
  <c r="L543" i="4"/>
  <c r="K543" i="4"/>
  <c r="J543" i="4"/>
  <c r="P542" i="4"/>
  <c r="Q542" i="4" s="1"/>
  <c r="O542" i="4"/>
  <c r="N542" i="4"/>
  <c r="M542" i="4"/>
  <c r="L542" i="4"/>
  <c r="K542" i="4"/>
  <c r="J542" i="4"/>
  <c r="P541" i="4"/>
  <c r="Q541" i="4" s="1"/>
  <c r="O541" i="4"/>
  <c r="N541" i="4"/>
  <c r="M541" i="4"/>
  <c r="L541" i="4"/>
  <c r="K541" i="4"/>
  <c r="J541" i="4"/>
  <c r="P540" i="4"/>
  <c r="Q540" i="4" s="1"/>
  <c r="O540" i="4"/>
  <c r="N540" i="4"/>
  <c r="M540" i="4"/>
  <c r="L540" i="4"/>
  <c r="K540" i="4"/>
  <c r="J540" i="4"/>
  <c r="P539" i="4"/>
  <c r="Q539" i="4" s="1"/>
  <c r="O539" i="4"/>
  <c r="N539" i="4"/>
  <c r="M539" i="4"/>
  <c r="L539" i="4"/>
  <c r="K539" i="4"/>
  <c r="J539" i="4"/>
  <c r="P538" i="4"/>
  <c r="Q538" i="4" s="1"/>
  <c r="O538" i="4"/>
  <c r="N538" i="4"/>
  <c r="M538" i="4"/>
  <c r="L538" i="4"/>
  <c r="K538" i="4"/>
  <c r="J538" i="4"/>
  <c r="P537" i="4"/>
  <c r="Q537" i="4" s="1"/>
  <c r="O537" i="4"/>
  <c r="N537" i="4"/>
  <c r="M537" i="4"/>
  <c r="L537" i="4"/>
  <c r="K537" i="4"/>
  <c r="J537" i="4"/>
  <c r="P536" i="4"/>
  <c r="Q536" i="4" s="1"/>
  <c r="O536" i="4"/>
  <c r="N536" i="4"/>
  <c r="M536" i="4"/>
  <c r="L536" i="4"/>
  <c r="K536" i="4"/>
  <c r="J536" i="4"/>
  <c r="P535" i="4"/>
  <c r="Q535" i="4" s="1"/>
  <c r="O535" i="4"/>
  <c r="N535" i="4"/>
  <c r="M535" i="4"/>
  <c r="L535" i="4"/>
  <c r="K535" i="4"/>
  <c r="J535" i="4"/>
  <c r="P534" i="4"/>
  <c r="Q534" i="4" s="1"/>
  <c r="O534" i="4"/>
  <c r="N534" i="4"/>
  <c r="M534" i="4"/>
  <c r="L534" i="4"/>
  <c r="K534" i="4"/>
  <c r="J534" i="4"/>
  <c r="P533" i="4"/>
  <c r="Q533" i="4" s="1"/>
  <c r="O533" i="4"/>
  <c r="N533" i="4"/>
  <c r="M533" i="4"/>
  <c r="L533" i="4"/>
  <c r="K533" i="4"/>
  <c r="J533" i="4"/>
  <c r="P532" i="4"/>
  <c r="Q532" i="4" s="1"/>
  <c r="O532" i="4"/>
  <c r="N532" i="4"/>
  <c r="M532" i="4"/>
  <c r="L532" i="4"/>
  <c r="K532" i="4"/>
  <c r="J532" i="4"/>
  <c r="P531" i="4"/>
  <c r="Q531" i="4" s="1"/>
  <c r="O531" i="4"/>
  <c r="N531" i="4"/>
  <c r="M531" i="4"/>
  <c r="L531" i="4"/>
  <c r="K531" i="4"/>
  <c r="J531" i="4"/>
  <c r="P530" i="4"/>
  <c r="Q530" i="4" s="1"/>
  <c r="O530" i="4"/>
  <c r="N530" i="4"/>
  <c r="M530" i="4"/>
  <c r="L530" i="4"/>
  <c r="K530" i="4"/>
  <c r="J530" i="4"/>
  <c r="P529" i="4"/>
  <c r="Q529" i="4" s="1"/>
  <c r="O529" i="4"/>
  <c r="N529" i="4"/>
  <c r="M529" i="4"/>
  <c r="L529" i="4"/>
  <c r="K529" i="4"/>
  <c r="J529" i="4"/>
  <c r="P528" i="4"/>
  <c r="Q528" i="4" s="1"/>
  <c r="O528" i="4"/>
  <c r="N528" i="4"/>
  <c r="M528" i="4"/>
  <c r="L528" i="4"/>
  <c r="K528" i="4"/>
  <c r="J528" i="4"/>
  <c r="P527" i="4"/>
  <c r="Q527" i="4" s="1"/>
  <c r="O527" i="4"/>
  <c r="N527" i="4"/>
  <c r="M527" i="4"/>
  <c r="L527" i="4"/>
  <c r="K527" i="4"/>
  <c r="J527" i="4"/>
  <c r="P526" i="4"/>
  <c r="Q526" i="4" s="1"/>
  <c r="O526" i="4"/>
  <c r="N526" i="4"/>
  <c r="M526" i="4"/>
  <c r="L526" i="4"/>
  <c r="K526" i="4"/>
  <c r="J526" i="4"/>
  <c r="P525" i="4"/>
  <c r="Q525" i="4" s="1"/>
  <c r="O525" i="4"/>
  <c r="N525" i="4"/>
  <c r="M525" i="4"/>
  <c r="L525" i="4"/>
  <c r="K525" i="4"/>
  <c r="J525" i="4"/>
  <c r="P524" i="4"/>
  <c r="Q524" i="4" s="1"/>
  <c r="O524" i="4"/>
  <c r="N524" i="4"/>
  <c r="M524" i="4"/>
  <c r="L524" i="4"/>
  <c r="K524" i="4"/>
  <c r="J524" i="4"/>
  <c r="P523" i="4"/>
  <c r="Q523" i="4" s="1"/>
  <c r="O523" i="4"/>
  <c r="N523" i="4"/>
  <c r="M523" i="4"/>
  <c r="L523" i="4"/>
  <c r="K523" i="4"/>
  <c r="J523" i="4"/>
  <c r="P522" i="4"/>
  <c r="Q522" i="4" s="1"/>
  <c r="O522" i="4"/>
  <c r="N522" i="4"/>
  <c r="M522" i="4"/>
  <c r="L522" i="4"/>
  <c r="K522" i="4"/>
  <c r="J522" i="4"/>
  <c r="P521" i="4"/>
  <c r="Q521" i="4" s="1"/>
  <c r="O521" i="4"/>
  <c r="N521" i="4"/>
  <c r="M521" i="4"/>
  <c r="L521" i="4"/>
  <c r="K521" i="4"/>
  <c r="J521" i="4"/>
  <c r="P520" i="4"/>
  <c r="Q520" i="4" s="1"/>
  <c r="O520" i="4"/>
  <c r="N520" i="4"/>
  <c r="M520" i="4"/>
  <c r="L520" i="4"/>
  <c r="K520" i="4"/>
  <c r="J520" i="4"/>
  <c r="P519" i="4"/>
  <c r="Q519" i="4" s="1"/>
  <c r="O519" i="4"/>
  <c r="N519" i="4"/>
  <c r="M519" i="4"/>
  <c r="L519" i="4"/>
  <c r="K519" i="4"/>
  <c r="J519" i="4"/>
  <c r="P518" i="4"/>
  <c r="Q518" i="4" s="1"/>
  <c r="O518" i="4"/>
  <c r="N518" i="4"/>
  <c r="M518" i="4"/>
  <c r="L518" i="4"/>
  <c r="K518" i="4"/>
  <c r="J518" i="4"/>
  <c r="Q517" i="4"/>
  <c r="P517" i="4"/>
  <c r="O517" i="4"/>
  <c r="N517" i="4"/>
  <c r="M517" i="4"/>
  <c r="L517" i="4"/>
  <c r="K517" i="4"/>
  <c r="J517" i="4"/>
  <c r="P516" i="4"/>
  <c r="Q516" i="4" s="1"/>
  <c r="O516" i="4"/>
  <c r="N516" i="4"/>
  <c r="M516" i="4"/>
  <c r="L516" i="4"/>
  <c r="K516" i="4"/>
  <c r="J516" i="4"/>
  <c r="P515" i="4"/>
  <c r="Q515" i="4" s="1"/>
  <c r="O515" i="4"/>
  <c r="N515" i="4"/>
  <c r="M515" i="4"/>
  <c r="L515" i="4"/>
  <c r="K515" i="4"/>
  <c r="J515" i="4"/>
  <c r="P514" i="4"/>
  <c r="Q514" i="4" s="1"/>
  <c r="O514" i="4"/>
  <c r="N514" i="4"/>
  <c r="M514" i="4"/>
  <c r="L514" i="4"/>
  <c r="K514" i="4"/>
  <c r="J514" i="4"/>
  <c r="P513" i="4"/>
  <c r="Q513" i="4" s="1"/>
  <c r="O513" i="4"/>
  <c r="N513" i="4"/>
  <c r="M513" i="4"/>
  <c r="L513" i="4"/>
  <c r="K513" i="4"/>
  <c r="J513" i="4"/>
  <c r="P512" i="4"/>
  <c r="Q512" i="4" s="1"/>
  <c r="O512" i="4"/>
  <c r="N512" i="4"/>
  <c r="M512" i="4"/>
  <c r="L512" i="4"/>
  <c r="K512" i="4"/>
  <c r="J512" i="4"/>
  <c r="P511" i="4"/>
  <c r="Q511" i="4" s="1"/>
  <c r="O511" i="4"/>
  <c r="N511" i="4"/>
  <c r="M511" i="4"/>
  <c r="L511" i="4"/>
  <c r="K511" i="4"/>
  <c r="J511" i="4"/>
  <c r="P510" i="4"/>
  <c r="Q510" i="4" s="1"/>
  <c r="O510" i="4"/>
  <c r="N510" i="4"/>
  <c r="M510" i="4"/>
  <c r="L510" i="4"/>
  <c r="K510" i="4"/>
  <c r="J510" i="4"/>
  <c r="P509" i="4"/>
  <c r="Q509" i="4" s="1"/>
  <c r="O509" i="4"/>
  <c r="N509" i="4"/>
  <c r="M509" i="4"/>
  <c r="L509" i="4"/>
  <c r="K509" i="4"/>
  <c r="J509" i="4"/>
  <c r="P508" i="4"/>
  <c r="Q508" i="4" s="1"/>
  <c r="O508" i="4"/>
  <c r="N508" i="4"/>
  <c r="M508" i="4"/>
  <c r="L508" i="4"/>
  <c r="K508" i="4"/>
  <c r="J508" i="4"/>
  <c r="P507" i="4"/>
  <c r="Q507" i="4" s="1"/>
  <c r="O507" i="4"/>
  <c r="N507" i="4"/>
  <c r="M507" i="4"/>
  <c r="L507" i="4"/>
  <c r="K507" i="4"/>
  <c r="J507" i="4"/>
  <c r="P506" i="4"/>
  <c r="Q506" i="4" s="1"/>
  <c r="O506" i="4"/>
  <c r="N506" i="4"/>
  <c r="M506" i="4"/>
  <c r="L506" i="4"/>
  <c r="K506" i="4"/>
  <c r="J506" i="4"/>
  <c r="P505" i="4"/>
  <c r="Q505" i="4" s="1"/>
  <c r="O505" i="4"/>
  <c r="N505" i="4"/>
  <c r="M505" i="4"/>
  <c r="L505" i="4"/>
  <c r="K505" i="4"/>
  <c r="J505" i="4"/>
  <c r="P504" i="4"/>
  <c r="Q504" i="4" s="1"/>
  <c r="O504" i="4"/>
  <c r="N504" i="4"/>
  <c r="M504" i="4"/>
  <c r="L504" i="4"/>
  <c r="K504" i="4"/>
  <c r="J504" i="4"/>
  <c r="P503" i="4"/>
  <c r="Q503" i="4" s="1"/>
  <c r="O503" i="4"/>
  <c r="N503" i="4"/>
  <c r="M503" i="4"/>
  <c r="L503" i="4"/>
  <c r="K503" i="4"/>
  <c r="J503" i="4"/>
  <c r="P502" i="4"/>
  <c r="Q502" i="4" s="1"/>
  <c r="O502" i="4"/>
  <c r="N502" i="4"/>
  <c r="M502" i="4"/>
  <c r="L502" i="4"/>
  <c r="K502" i="4"/>
  <c r="J502" i="4"/>
  <c r="P501" i="4"/>
  <c r="Q501" i="4" s="1"/>
  <c r="O501" i="4"/>
  <c r="N501" i="4"/>
  <c r="M501" i="4"/>
  <c r="L501" i="4"/>
  <c r="K501" i="4"/>
  <c r="J501" i="4"/>
  <c r="P500" i="4"/>
  <c r="Q500" i="4" s="1"/>
  <c r="O500" i="4"/>
  <c r="N500" i="4"/>
  <c r="M500" i="4"/>
  <c r="L500" i="4"/>
  <c r="K500" i="4"/>
  <c r="J500" i="4"/>
  <c r="P499" i="4"/>
  <c r="Q499" i="4" s="1"/>
  <c r="O499" i="4"/>
  <c r="N499" i="4"/>
  <c r="M499" i="4"/>
  <c r="L499" i="4"/>
  <c r="K499" i="4"/>
  <c r="J499" i="4"/>
  <c r="P498" i="4"/>
  <c r="Q498" i="4" s="1"/>
  <c r="O498" i="4"/>
  <c r="N498" i="4"/>
  <c r="M498" i="4"/>
  <c r="L498" i="4"/>
  <c r="K498" i="4"/>
  <c r="J498" i="4"/>
  <c r="P497" i="4"/>
  <c r="Q497" i="4" s="1"/>
  <c r="O497" i="4"/>
  <c r="N497" i="4"/>
  <c r="M497" i="4"/>
  <c r="L497" i="4"/>
  <c r="K497" i="4"/>
  <c r="J497" i="4"/>
  <c r="P496" i="4"/>
  <c r="Q496" i="4" s="1"/>
  <c r="O496" i="4"/>
  <c r="N496" i="4"/>
  <c r="M496" i="4"/>
  <c r="L496" i="4"/>
  <c r="K496" i="4"/>
  <c r="J496" i="4"/>
  <c r="P495" i="4"/>
  <c r="Q495" i="4" s="1"/>
  <c r="O495" i="4"/>
  <c r="N495" i="4"/>
  <c r="M495" i="4"/>
  <c r="L495" i="4"/>
  <c r="K495" i="4"/>
  <c r="J495" i="4"/>
  <c r="P494" i="4"/>
  <c r="Q494" i="4" s="1"/>
  <c r="O494" i="4"/>
  <c r="N494" i="4"/>
  <c r="M494" i="4"/>
  <c r="L494" i="4"/>
  <c r="K494" i="4"/>
  <c r="J494" i="4"/>
  <c r="P493" i="4"/>
  <c r="Q493" i="4" s="1"/>
  <c r="O493" i="4"/>
  <c r="N493" i="4"/>
  <c r="M493" i="4"/>
  <c r="L493" i="4"/>
  <c r="K493" i="4"/>
  <c r="J493" i="4"/>
  <c r="P492" i="4"/>
  <c r="Q492" i="4" s="1"/>
  <c r="O492" i="4"/>
  <c r="N492" i="4"/>
  <c r="M492" i="4"/>
  <c r="L492" i="4"/>
  <c r="K492" i="4"/>
  <c r="J492" i="4"/>
  <c r="Q491" i="4"/>
  <c r="P491" i="4"/>
  <c r="O491" i="4"/>
  <c r="N491" i="4"/>
  <c r="M491" i="4"/>
  <c r="L491" i="4"/>
  <c r="K491" i="4"/>
  <c r="J491" i="4"/>
  <c r="P490" i="4"/>
  <c r="Q490" i="4" s="1"/>
  <c r="O490" i="4"/>
  <c r="N490" i="4"/>
  <c r="M490" i="4"/>
  <c r="L490" i="4"/>
  <c r="K490" i="4"/>
  <c r="J490" i="4"/>
  <c r="P489" i="4"/>
  <c r="Q489" i="4" s="1"/>
  <c r="O489" i="4"/>
  <c r="N489" i="4"/>
  <c r="M489" i="4"/>
  <c r="L489" i="4"/>
  <c r="K489" i="4"/>
  <c r="J489" i="4"/>
  <c r="Q488" i="4"/>
  <c r="P488" i="4"/>
  <c r="O488" i="4"/>
  <c r="N488" i="4"/>
  <c r="M488" i="4"/>
  <c r="L488" i="4"/>
  <c r="K488" i="4"/>
  <c r="J488" i="4"/>
  <c r="Q487" i="4"/>
  <c r="P487" i="4"/>
  <c r="O487" i="4"/>
  <c r="N487" i="4"/>
  <c r="M487" i="4"/>
  <c r="L487" i="4"/>
  <c r="K487" i="4"/>
  <c r="J487" i="4"/>
  <c r="P486" i="4"/>
  <c r="Q486" i="4" s="1"/>
  <c r="O486" i="4"/>
  <c r="N486" i="4"/>
  <c r="M486" i="4"/>
  <c r="L486" i="4"/>
  <c r="K486" i="4"/>
  <c r="J486" i="4"/>
  <c r="P485" i="4"/>
  <c r="Q485" i="4" s="1"/>
  <c r="O485" i="4"/>
  <c r="N485" i="4"/>
  <c r="M485" i="4"/>
  <c r="L485" i="4"/>
  <c r="K485" i="4"/>
  <c r="J485" i="4"/>
  <c r="P484" i="4"/>
  <c r="Q484" i="4" s="1"/>
  <c r="O484" i="4"/>
  <c r="N484" i="4"/>
  <c r="M484" i="4"/>
  <c r="L484" i="4"/>
  <c r="K484" i="4"/>
  <c r="J484" i="4"/>
  <c r="P483" i="4"/>
  <c r="Q483" i="4" s="1"/>
  <c r="O483" i="4"/>
  <c r="N483" i="4"/>
  <c r="M483" i="4"/>
  <c r="L483" i="4"/>
  <c r="K483" i="4"/>
  <c r="J483" i="4"/>
  <c r="P482" i="4"/>
  <c r="Q482" i="4" s="1"/>
  <c r="O482" i="4"/>
  <c r="N482" i="4"/>
  <c r="M482" i="4"/>
  <c r="L482" i="4"/>
  <c r="K482" i="4"/>
  <c r="J482" i="4"/>
  <c r="P481" i="4"/>
  <c r="Q481" i="4" s="1"/>
  <c r="O481" i="4"/>
  <c r="N481" i="4"/>
  <c r="M481" i="4"/>
  <c r="L481" i="4"/>
  <c r="K481" i="4"/>
  <c r="J481" i="4"/>
  <c r="P480" i="4"/>
  <c r="Q480" i="4" s="1"/>
  <c r="O480" i="4"/>
  <c r="N480" i="4"/>
  <c r="M480" i="4"/>
  <c r="L480" i="4"/>
  <c r="K480" i="4"/>
  <c r="J480" i="4"/>
  <c r="P479" i="4"/>
  <c r="Q479" i="4" s="1"/>
  <c r="O479" i="4"/>
  <c r="N479" i="4"/>
  <c r="M479" i="4"/>
  <c r="L479" i="4"/>
  <c r="K479" i="4"/>
  <c r="J479" i="4"/>
  <c r="P478" i="4"/>
  <c r="Q478" i="4" s="1"/>
  <c r="O478" i="4"/>
  <c r="N478" i="4"/>
  <c r="M478" i="4"/>
  <c r="L478" i="4"/>
  <c r="K478" i="4"/>
  <c r="J478" i="4"/>
  <c r="P477" i="4"/>
  <c r="Q477" i="4" s="1"/>
  <c r="O477" i="4"/>
  <c r="N477" i="4"/>
  <c r="M477" i="4"/>
  <c r="L477" i="4"/>
  <c r="K477" i="4"/>
  <c r="J477" i="4"/>
  <c r="P476" i="4"/>
  <c r="Q476" i="4" s="1"/>
  <c r="O476" i="4"/>
  <c r="N476" i="4"/>
  <c r="M476" i="4"/>
  <c r="L476" i="4"/>
  <c r="K476" i="4"/>
  <c r="J476" i="4"/>
  <c r="P475" i="4"/>
  <c r="Q475" i="4" s="1"/>
  <c r="O475" i="4"/>
  <c r="N475" i="4"/>
  <c r="M475" i="4"/>
  <c r="L475" i="4"/>
  <c r="K475" i="4"/>
  <c r="J475" i="4"/>
  <c r="P474" i="4"/>
  <c r="Q474" i="4" s="1"/>
  <c r="O474" i="4"/>
  <c r="N474" i="4"/>
  <c r="M474" i="4"/>
  <c r="L474" i="4"/>
  <c r="K474" i="4"/>
  <c r="J474" i="4"/>
  <c r="P473" i="4"/>
  <c r="Q473" i="4" s="1"/>
  <c r="O473" i="4"/>
  <c r="N473" i="4"/>
  <c r="M473" i="4"/>
  <c r="L473" i="4"/>
  <c r="K473" i="4"/>
  <c r="J473" i="4"/>
  <c r="P472" i="4"/>
  <c r="Q472" i="4" s="1"/>
  <c r="O472" i="4"/>
  <c r="N472" i="4"/>
  <c r="M472" i="4"/>
  <c r="L472" i="4"/>
  <c r="K472" i="4"/>
  <c r="J472" i="4"/>
  <c r="P471" i="4"/>
  <c r="Q471" i="4" s="1"/>
  <c r="O471" i="4"/>
  <c r="N471" i="4"/>
  <c r="M471" i="4"/>
  <c r="L471" i="4"/>
  <c r="K471" i="4"/>
  <c r="J471" i="4"/>
  <c r="P470" i="4"/>
  <c r="Q470" i="4" s="1"/>
  <c r="O470" i="4"/>
  <c r="N470" i="4"/>
  <c r="M470" i="4"/>
  <c r="L470" i="4"/>
  <c r="K470" i="4"/>
  <c r="J470" i="4"/>
  <c r="P469" i="4"/>
  <c r="Q469" i="4" s="1"/>
  <c r="O469" i="4"/>
  <c r="N469" i="4"/>
  <c r="M469" i="4"/>
  <c r="L469" i="4"/>
  <c r="K469" i="4"/>
  <c r="J469" i="4"/>
  <c r="Q468" i="4"/>
  <c r="P468" i="4"/>
  <c r="O468" i="4"/>
  <c r="N468" i="4"/>
  <c r="M468" i="4"/>
  <c r="L468" i="4"/>
  <c r="K468" i="4"/>
  <c r="J468" i="4"/>
  <c r="P467" i="4"/>
  <c r="Q467" i="4" s="1"/>
  <c r="O467" i="4"/>
  <c r="N467" i="4"/>
  <c r="M467" i="4"/>
  <c r="L467" i="4"/>
  <c r="K467" i="4"/>
  <c r="J467" i="4"/>
  <c r="P466" i="4"/>
  <c r="Q466" i="4" s="1"/>
  <c r="O466" i="4"/>
  <c r="N466" i="4"/>
  <c r="M466" i="4"/>
  <c r="L466" i="4"/>
  <c r="K466" i="4"/>
  <c r="J466" i="4"/>
  <c r="P465" i="4"/>
  <c r="Q465" i="4" s="1"/>
  <c r="O465" i="4"/>
  <c r="N465" i="4"/>
  <c r="M465" i="4"/>
  <c r="L465" i="4"/>
  <c r="K465" i="4"/>
  <c r="J465" i="4"/>
  <c r="P464" i="4"/>
  <c r="Q464" i="4" s="1"/>
  <c r="O464" i="4"/>
  <c r="N464" i="4"/>
  <c r="M464" i="4"/>
  <c r="L464" i="4"/>
  <c r="K464" i="4"/>
  <c r="J464" i="4"/>
  <c r="P463" i="4"/>
  <c r="Q463" i="4" s="1"/>
  <c r="O463" i="4"/>
  <c r="N463" i="4"/>
  <c r="M463" i="4"/>
  <c r="L463" i="4"/>
  <c r="K463" i="4"/>
  <c r="J463" i="4"/>
  <c r="P462" i="4"/>
  <c r="Q462" i="4" s="1"/>
  <c r="O462" i="4"/>
  <c r="N462" i="4"/>
  <c r="M462" i="4"/>
  <c r="L462" i="4"/>
  <c r="K462" i="4"/>
  <c r="J462" i="4"/>
  <c r="P461" i="4"/>
  <c r="Q461" i="4" s="1"/>
  <c r="O461" i="4"/>
  <c r="N461" i="4"/>
  <c r="M461" i="4"/>
  <c r="L461" i="4"/>
  <c r="K461" i="4"/>
  <c r="J461" i="4"/>
  <c r="P460" i="4"/>
  <c r="Q460" i="4" s="1"/>
  <c r="O460" i="4"/>
  <c r="N460" i="4"/>
  <c r="M460" i="4"/>
  <c r="L460" i="4"/>
  <c r="K460" i="4"/>
  <c r="J460" i="4"/>
  <c r="P459" i="4"/>
  <c r="Q459" i="4" s="1"/>
  <c r="O459" i="4"/>
  <c r="N459" i="4"/>
  <c r="M459" i="4"/>
  <c r="L459" i="4"/>
  <c r="K459" i="4"/>
  <c r="J459" i="4"/>
  <c r="P458" i="4"/>
  <c r="Q458" i="4" s="1"/>
  <c r="O458" i="4"/>
  <c r="N458" i="4"/>
  <c r="M458" i="4"/>
  <c r="L458" i="4"/>
  <c r="K458" i="4"/>
  <c r="J458" i="4"/>
  <c r="P457" i="4"/>
  <c r="Q457" i="4" s="1"/>
  <c r="O457" i="4"/>
  <c r="N457" i="4"/>
  <c r="M457" i="4"/>
  <c r="L457" i="4"/>
  <c r="K457" i="4"/>
  <c r="J457" i="4"/>
  <c r="P456" i="4"/>
  <c r="Q456" i="4" s="1"/>
  <c r="O456" i="4"/>
  <c r="N456" i="4"/>
  <c r="M456" i="4"/>
  <c r="L456" i="4"/>
  <c r="K456" i="4"/>
  <c r="J456" i="4"/>
  <c r="P455" i="4"/>
  <c r="Q455" i="4" s="1"/>
  <c r="O455" i="4"/>
  <c r="N455" i="4"/>
  <c r="M455" i="4"/>
  <c r="L455" i="4"/>
  <c r="K455" i="4"/>
  <c r="J455" i="4"/>
  <c r="P454" i="4"/>
  <c r="Q454" i="4" s="1"/>
  <c r="O454" i="4"/>
  <c r="N454" i="4"/>
  <c r="M454" i="4"/>
  <c r="L454" i="4"/>
  <c r="K454" i="4"/>
  <c r="J454" i="4"/>
  <c r="P453" i="4"/>
  <c r="Q453" i="4" s="1"/>
  <c r="O453" i="4"/>
  <c r="N453" i="4"/>
  <c r="M453" i="4"/>
  <c r="L453" i="4"/>
  <c r="K453" i="4"/>
  <c r="J453" i="4"/>
  <c r="P452" i="4"/>
  <c r="Q452" i="4" s="1"/>
  <c r="O452" i="4"/>
  <c r="N452" i="4"/>
  <c r="M452" i="4"/>
  <c r="L452" i="4"/>
  <c r="K452" i="4"/>
  <c r="J452" i="4"/>
  <c r="P451" i="4"/>
  <c r="Q451" i="4" s="1"/>
  <c r="O451" i="4"/>
  <c r="N451" i="4"/>
  <c r="M451" i="4"/>
  <c r="L451" i="4"/>
  <c r="K451" i="4"/>
  <c r="J451" i="4"/>
  <c r="P450" i="4"/>
  <c r="Q450" i="4" s="1"/>
  <c r="O450" i="4"/>
  <c r="N450" i="4"/>
  <c r="M450" i="4"/>
  <c r="L450" i="4"/>
  <c r="K450" i="4"/>
  <c r="J450" i="4"/>
  <c r="P449" i="4"/>
  <c r="Q449" i="4" s="1"/>
  <c r="O449" i="4"/>
  <c r="N449" i="4"/>
  <c r="M449" i="4"/>
  <c r="L449" i="4"/>
  <c r="K449" i="4"/>
  <c r="J449" i="4"/>
  <c r="P448" i="4"/>
  <c r="Q448" i="4" s="1"/>
  <c r="O448" i="4"/>
  <c r="N448" i="4"/>
  <c r="M448" i="4"/>
  <c r="L448" i="4"/>
  <c r="K448" i="4"/>
  <c r="J448" i="4"/>
  <c r="P447" i="4"/>
  <c r="Q447" i="4" s="1"/>
  <c r="O447" i="4"/>
  <c r="N447" i="4"/>
  <c r="M447" i="4"/>
  <c r="L447" i="4"/>
  <c r="K447" i="4"/>
  <c r="J447" i="4"/>
  <c r="P446" i="4"/>
  <c r="Q446" i="4" s="1"/>
  <c r="O446" i="4"/>
  <c r="N446" i="4"/>
  <c r="M446" i="4"/>
  <c r="L446" i="4"/>
  <c r="K446" i="4"/>
  <c r="J446" i="4"/>
  <c r="Q445" i="4"/>
  <c r="P445" i="4"/>
  <c r="O445" i="4"/>
  <c r="N445" i="4"/>
  <c r="M445" i="4"/>
  <c r="L445" i="4"/>
  <c r="K445" i="4"/>
  <c r="J445" i="4"/>
  <c r="P444" i="4"/>
  <c r="Q444" i="4" s="1"/>
  <c r="O444" i="4"/>
  <c r="N444" i="4"/>
  <c r="M444" i="4"/>
  <c r="L444" i="4"/>
  <c r="K444" i="4"/>
  <c r="J444" i="4"/>
  <c r="P443" i="4"/>
  <c r="Q443" i="4" s="1"/>
  <c r="O443" i="4"/>
  <c r="N443" i="4"/>
  <c r="M443" i="4"/>
  <c r="L443" i="4"/>
  <c r="K443" i="4"/>
  <c r="J443" i="4"/>
  <c r="P442" i="4"/>
  <c r="Q442" i="4" s="1"/>
  <c r="O442" i="4"/>
  <c r="N442" i="4"/>
  <c r="M442" i="4"/>
  <c r="L442" i="4"/>
  <c r="K442" i="4"/>
  <c r="J442" i="4"/>
  <c r="P441" i="4"/>
  <c r="Q441" i="4" s="1"/>
  <c r="O441" i="4"/>
  <c r="N441" i="4"/>
  <c r="M441" i="4"/>
  <c r="L441" i="4"/>
  <c r="K441" i="4"/>
  <c r="J441" i="4"/>
  <c r="P440" i="4"/>
  <c r="Q440" i="4" s="1"/>
  <c r="O440" i="4"/>
  <c r="N440" i="4"/>
  <c r="M440" i="4"/>
  <c r="L440" i="4"/>
  <c r="K440" i="4"/>
  <c r="J440" i="4"/>
  <c r="P439" i="4"/>
  <c r="Q439" i="4" s="1"/>
  <c r="O439" i="4"/>
  <c r="N439" i="4"/>
  <c r="M439" i="4"/>
  <c r="L439" i="4"/>
  <c r="K439" i="4"/>
  <c r="J439" i="4"/>
  <c r="P438" i="4"/>
  <c r="Q438" i="4" s="1"/>
  <c r="O438" i="4"/>
  <c r="N438" i="4"/>
  <c r="M438" i="4"/>
  <c r="L438" i="4"/>
  <c r="K438" i="4"/>
  <c r="J438" i="4"/>
  <c r="P437" i="4"/>
  <c r="Q437" i="4" s="1"/>
  <c r="O437" i="4"/>
  <c r="N437" i="4"/>
  <c r="M437" i="4"/>
  <c r="L437" i="4"/>
  <c r="K437" i="4"/>
  <c r="J437" i="4"/>
  <c r="P436" i="4"/>
  <c r="Q436" i="4" s="1"/>
  <c r="O436" i="4"/>
  <c r="N436" i="4"/>
  <c r="M436" i="4"/>
  <c r="L436" i="4"/>
  <c r="K436" i="4"/>
  <c r="J436" i="4"/>
  <c r="P435" i="4"/>
  <c r="Q435" i="4" s="1"/>
  <c r="O435" i="4"/>
  <c r="N435" i="4"/>
  <c r="M435" i="4"/>
  <c r="L435" i="4"/>
  <c r="K435" i="4"/>
  <c r="J435" i="4"/>
  <c r="P434" i="4"/>
  <c r="Q434" i="4" s="1"/>
  <c r="O434" i="4"/>
  <c r="N434" i="4"/>
  <c r="M434" i="4"/>
  <c r="L434" i="4"/>
  <c r="K434" i="4"/>
  <c r="J434" i="4"/>
  <c r="P433" i="4"/>
  <c r="Q433" i="4" s="1"/>
  <c r="O433" i="4"/>
  <c r="N433" i="4"/>
  <c r="M433" i="4"/>
  <c r="L433" i="4"/>
  <c r="K433" i="4"/>
  <c r="J433" i="4"/>
  <c r="P432" i="4"/>
  <c r="Q432" i="4" s="1"/>
  <c r="O432" i="4"/>
  <c r="N432" i="4"/>
  <c r="M432" i="4"/>
  <c r="L432" i="4"/>
  <c r="K432" i="4"/>
  <c r="J432" i="4"/>
  <c r="P431" i="4"/>
  <c r="Q431" i="4" s="1"/>
  <c r="O431" i="4"/>
  <c r="N431" i="4"/>
  <c r="M431" i="4"/>
  <c r="L431" i="4"/>
  <c r="K431" i="4"/>
  <c r="J431" i="4"/>
  <c r="P430" i="4"/>
  <c r="Q430" i="4" s="1"/>
  <c r="O430" i="4"/>
  <c r="N430" i="4"/>
  <c r="M430" i="4"/>
  <c r="L430" i="4"/>
  <c r="K430" i="4"/>
  <c r="J430" i="4"/>
  <c r="P429" i="4"/>
  <c r="Q429" i="4" s="1"/>
  <c r="O429" i="4"/>
  <c r="N429" i="4"/>
  <c r="M429" i="4"/>
  <c r="L429" i="4"/>
  <c r="K429" i="4"/>
  <c r="J429" i="4"/>
  <c r="P428" i="4"/>
  <c r="Q428" i="4" s="1"/>
  <c r="O428" i="4"/>
  <c r="N428" i="4"/>
  <c r="M428" i="4"/>
  <c r="L428" i="4"/>
  <c r="K428" i="4"/>
  <c r="J428" i="4"/>
  <c r="P427" i="4"/>
  <c r="Q427" i="4" s="1"/>
  <c r="O427" i="4"/>
  <c r="N427" i="4"/>
  <c r="M427" i="4"/>
  <c r="L427" i="4"/>
  <c r="K427" i="4"/>
  <c r="J427" i="4"/>
  <c r="P426" i="4"/>
  <c r="Q426" i="4" s="1"/>
  <c r="O426" i="4"/>
  <c r="N426" i="4"/>
  <c r="M426" i="4"/>
  <c r="L426" i="4"/>
  <c r="K426" i="4"/>
  <c r="J426" i="4"/>
  <c r="P425" i="4"/>
  <c r="Q425" i="4" s="1"/>
  <c r="O425" i="4"/>
  <c r="N425" i="4"/>
  <c r="M425" i="4"/>
  <c r="L425" i="4"/>
  <c r="K425" i="4"/>
  <c r="J425" i="4"/>
  <c r="P424" i="4"/>
  <c r="Q424" i="4" s="1"/>
  <c r="O424" i="4"/>
  <c r="N424" i="4"/>
  <c r="M424" i="4"/>
  <c r="L424" i="4"/>
  <c r="K424" i="4"/>
  <c r="J424" i="4"/>
  <c r="P423" i="4"/>
  <c r="Q423" i="4" s="1"/>
  <c r="O423" i="4"/>
  <c r="N423" i="4"/>
  <c r="M423" i="4"/>
  <c r="L423" i="4"/>
  <c r="K423" i="4"/>
  <c r="J423" i="4"/>
  <c r="P422" i="4"/>
  <c r="Q422" i="4" s="1"/>
  <c r="O422" i="4"/>
  <c r="N422" i="4"/>
  <c r="M422" i="4"/>
  <c r="L422" i="4"/>
  <c r="K422" i="4"/>
  <c r="J422" i="4"/>
  <c r="P421" i="4"/>
  <c r="Q421" i="4" s="1"/>
  <c r="O421" i="4"/>
  <c r="N421" i="4"/>
  <c r="M421" i="4"/>
  <c r="L421" i="4"/>
  <c r="K421" i="4"/>
  <c r="J421" i="4"/>
  <c r="P420" i="4"/>
  <c r="Q420" i="4" s="1"/>
  <c r="O420" i="4"/>
  <c r="N420" i="4"/>
  <c r="M420" i="4"/>
  <c r="L420" i="4"/>
  <c r="K420" i="4"/>
  <c r="J420" i="4"/>
  <c r="P419" i="4"/>
  <c r="Q419" i="4" s="1"/>
  <c r="O419" i="4"/>
  <c r="N419" i="4"/>
  <c r="M419" i="4"/>
  <c r="L419" i="4"/>
  <c r="K419" i="4"/>
  <c r="J419" i="4"/>
  <c r="P418" i="4"/>
  <c r="Q418" i="4" s="1"/>
  <c r="O418" i="4"/>
  <c r="N418" i="4"/>
  <c r="M418" i="4"/>
  <c r="L418" i="4"/>
  <c r="K418" i="4"/>
  <c r="J418" i="4"/>
  <c r="P417" i="4"/>
  <c r="Q417" i="4" s="1"/>
  <c r="O417" i="4"/>
  <c r="N417" i="4"/>
  <c r="M417" i="4"/>
  <c r="L417" i="4"/>
  <c r="K417" i="4"/>
  <c r="J417" i="4"/>
  <c r="P416" i="4"/>
  <c r="Q416" i="4" s="1"/>
  <c r="O416" i="4"/>
  <c r="N416" i="4"/>
  <c r="M416" i="4"/>
  <c r="L416" i="4"/>
  <c r="K416" i="4"/>
  <c r="J416" i="4"/>
  <c r="P415" i="4"/>
  <c r="Q415" i="4" s="1"/>
  <c r="O415" i="4"/>
  <c r="N415" i="4"/>
  <c r="M415" i="4"/>
  <c r="L415" i="4"/>
  <c r="K415" i="4"/>
  <c r="J415" i="4"/>
  <c r="P414" i="4"/>
  <c r="Q414" i="4" s="1"/>
  <c r="O414" i="4"/>
  <c r="N414" i="4"/>
  <c r="M414" i="4"/>
  <c r="L414" i="4"/>
  <c r="K414" i="4"/>
  <c r="J414" i="4"/>
  <c r="P413" i="4"/>
  <c r="Q413" i="4" s="1"/>
  <c r="O413" i="4"/>
  <c r="N413" i="4"/>
  <c r="M413" i="4"/>
  <c r="L413" i="4"/>
  <c r="K413" i="4"/>
  <c r="J413" i="4"/>
  <c r="P412" i="4"/>
  <c r="Q412" i="4" s="1"/>
  <c r="O412" i="4"/>
  <c r="N412" i="4"/>
  <c r="M412" i="4"/>
  <c r="L412" i="4"/>
  <c r="K412" i="4"/>
  <c r="J412" i="4"/>
  <c r="P411" i="4"/>
  <c r="Q411" i="4" s="1"/>
  <c r="O411" i="4"/>
  <c r="N411" i="4"/>
  <c r="M411" i="4"/>
  <c r="L411" i="4"/>
  <c r="K411" i="4"/>
  <c r="J411" i="4"/>
  <c r="P410" i="4"/>
  <c r="Q410" i="4" s="1"/>
  <c r="O410" i="4"/>
  <c r="N410" i="4"/>
  <c r="M410" i="4"/>
  <c r="L410" i="4"/>
  <c r="K410" i="4"/>
  <c r="J410" i="4"/>
  <c r="P409" i="4"/>
  <c r="Q409" i="4" s="1"/>
  <c r="O409" i="4"/>
  <c r="N409" i="4"/>
  <c r="M409" i="4"/>
  <c r="L409" i="4"/>
  <c r="K409" i="4"/>
  <c r="J409" i="4"/>
  <c r="P408" i="4"/>
  <c r="Q408" i="4" s="1"/>
  <c r="O408" i="4"/>
  <c r="N408" i="4"/>
  <c r="M408" i="4"/>
  <c r="L408" i="4"/>
  <c r="K408" i="4"/>
  <c r="J408" i="4"/>
  <c r="P407" i="4"/>
  <c r="Q407" i="4" s="1"/>
  <c r="O407" i="4"/>
  <c r="N407" i="4"/>
  <c r="M407" i="4"/>
  <c r="L407" i="4"/>
  <c r="K407" i="4"/>
  <c r="J407" i="4"/>
  <c r="P406" i="4"/>
  <c r="Q406" i="4" s="1"/>
  <c r="O406" i="4"/>
  <c r="N406" i="4"/>
  <c r="M406" i="4"/>
  <c r="L406" i="4"/>
  <c r="K406" i="4"/>
  <c r="J406" i="4"/>
  <c r="P405" i="4"/>
  <c r="Q405" i="4" s="1"/>
  <c r="O405" i="4"/>
  <c r="N405" i="4"/>
  <c r="M405" i="4"/>
  <c r="L405" i="4"/>
  <c r="K405" i="4"/>
  <c r="J405" i="4"/>
  <c r="P404" i="4"/>
  <c r="Q404" i="4" s="1"/>
  <c r="O404" i="4"/>
  <c r="N404" i="4"/>
  <c r="M404" i="4"/>
  <c r="L404" i="4"/>
  <c r="K404" i="4"/>
  <c r="J404" i="4"/>
  <c r="P403" i="4"/>
  <c r="Q403" i="4" s="1"/>
  <c r="O403" i="4"/>
  <c r="N403" i="4"/>
  <c r="M403" i="4"/>
  <c r="L403" i="4"/>
  <c r="K403" i="4"/>
  <c r="J403" i="4"/>
  <c r="P402" i="4"/>
  <c r="Q402" i="4" s="1"/>
  <c r="O402" i="4"/>
  <c r="N402" i="4"/>
  <c r="M402" i="4"/>
  <c r="L402" i="4"/>
  <c r="K402" i="4"/>
  <c r="J402" i="4"/>
  <c r="P401" i="4"/>
  <c r="Q401" i="4" s="1"/>
  <c r="O401" i="4"/>
  <c r="N401" i="4"/>
  <c r="M401" i="4"/>
  <c r="L401" i="4"/>
  <c r="K401" i="4"/>
  <c r="J401" i="4"/>
  <c r="P400" i="4"/>
  <c r="Q400" i="4" s="1"/>
  <c r="O400" i="4"/>
  <c r="N400" i="4"/>
  <c r="M400" i="4"/>
  <c r="L400" i="4"/>
  <c r="K400" i="4"/>
  <c r="J400" i="4"/>
  <c r="P399" i="4"/>
  <c r="Q399" i="4" s="1"/>
  <c r="O399" i="4"/>
  <c r="N399" i="4"/>
  <c r="M399" i="4"/>
  <c r="L399" i="4"/>
  <c r="K399" i="4"/>
  <c r="J399" i="4"/>
  <c r="P398" i="4"/>
  <c r="Q398" i="4" s="1"/>
  <c r="O398" i="4"/>
  <c r="N398" i="4"/>
  <c r="M398" i="4"/>
  <c r="L398" i="4"/>
  <c r="K398" i="4"/>
  <c r="J398" i="4"/>
  <c r="P397" i="4"/>
  <c r="Q397" i="4" s="1"/>
  <c r="O397" i="4"/>
  <c r="N397" i="4"/>
  <c r="M397" i="4"/>
  <c r="L397" i="4"/>
  <c r="K397" i="4"/>
  <c r="J397" i="4"/>
  <c r="P396" i="4"/>
  <c r="Q396" i="4" s="1"/>
  <c r="O396" i="4"/>
  <c r="N396" i="4"/>
  <c r="M396" i="4"/>
  <c r="L396" i="4"/>
  <c r="K396" i="4"/>
  <c r="J396" i="4"/>
  <c r="P395" i="4"/>
  <c r="Q395" i="4" s="1"/>
  <c r="O395" i="4"/>
  <c r="N395" i="4"/>
  <c r="M395" i="4"/>
  <c r="L395" i="4"/>
  <c r="K395" i="4"/>
  <c r="J395" i="4"/>
  <c r="P394" i="4"/>
  <c r="Q394" i="4" s="1"/>
  <c r="O394" i="4"/>
  <c r="N394" i="4"/>
  <c r="M394" i="4"/>
  <c r="L394" i="4"/>
  <c r="K394" i="4"/>
  <c r="J394" i="4"/>
  <c r="P393" i="4"/>
  <c r="Q393" i="4" s="1"/>
  <c r="O393" i="4"/>
  <c r="N393" i="4"/>
  <c r="M393" i="4"/>
  <c r="L393" i="4"/>
  <c r="K393" i="4"/>
  <c r="J393" i="4"/>
  <c r="P392" i="4"/>
  <c r="Q392" i="4" s="1"/>
  <c r="O392" i="4"/>
  <c r="N392" i="4"/>
  <c r="M392" i="4"/>
  <c r="L392" i="4"/>
  <c r="K392" i="4"/>
  <c r="J392" i="4"/>
  <c r="P391" i="4"/>
  <c r="Q391" i="4" s="1"/>
  <c r="O391" i="4"/>
  <c r="N391" i="4"/>
  <c r="M391" i="4"/>
  <c r="L391" i="4"/>
  <c r="K391" i="4"/>
  <c r="J391" i="4"/>
  <c r="P390" i="4"/>
  <c r="Q390" i="4" s="1"/>
  <c r="O390" i="4"/>
  <c r="N390" i="4"/>
  <c r="M390" i="4"/>
  <c r="L390" i="4"/>
  <c r="K390" i="4"/>
  <c r="J390" i="4"/>
  <c r="P389" i="4"/>
  <c r="Q389" i="4" s="1"/>
  <c r="O389" i="4"/>
  <c r="N389" i="4"/>
  <c r="M389" i="4"/>
  <c r="L389" i="4"/>
  <c r="K389" i="4"/>
  <c r="J389" i="4"/>
  <c r="P388" i="4"/>
  <c r="Q388" i="4" s="1"/>
  <c r="O388" i="4"/>
  <c r="N388" i="4"/>
  <c r="M388" i="4"/>
  <c r="L388" i="4"/>
  <c r="K388" i="4"/>
  <c r="J388" i="4"/>
  <c r="P387" i="4"/>
  <c r="Q387" i="4" s="1"/>
  <c r="O387" i="4"/>
  <c r="N387" i="4"/>
  <c r="M387" i="4"/>
  <c r="L387" i="4"/>
  <c r="K387" i="4"/>
  <c r="J387" i="4"/>
  <c r="P386" i="4"/>
  <c r="Q386" i="4" s="1"/>
  <c r="O386" i="4"/>
  <c r="N386" i="4"/>
  <c r="M386" i="4"/>
  <c r="L386" i="4"/>
  <c r="K386" i="4"/>
  <c r="J386" i="4"/>
  <c r="P385" i="4"/>
  <c r="Q385" i="4" s="1"/>
  <c r="O385" i="4"/>
  <c r="N385" i="4"/>
  <c r="M385" i="4"/>
  <c r="L385" i="4"/>
  <c r="K385" i="4"/>
  <c r="J385" i="4"/>
  <c r="P384" i="4"/>
  <c r="Q384" i="4" s="1"/>
  <c r="O384" i="4"/>
  <c r="N384" i="4"/>
  <c r="M384" i="4"/>
  <c r="L384" i="4"/>
  <c r="K384" i="4"/>
  <c r="J384" i="4"/>
  <c r="P383" i="4"/>
  <c r="Q383" i="4" s="1"/>
  <c r="O383" i="4"/>
  <c r="N383" i="4"/>
  <c r="M383" i="4"/>
  <c r="L383" i="4"/>
  <c r="K383" i="4"/>
  <c r="J383" i="4"/>
  <c r="P382" i="4"/>
  <c r="Q382" i="4" s="1"/>
  <c r="O382" i="4"/>
  <c r="N382" i="4"/>
  <c r="M382" i="4"/>
  <c r="L382" i="4"/>
  <c r="K382" i="4"/>
  <c r="J382" i="4"/>
  <c r="P381" i="4"/>
  <c r="Q381" i="4" s="1"/>
  <c r="O381" i="4"/>
  <c r="N381" i="4"/>
  <c r="M381" i="4"/>
  <c r="L381" i="4"/>
  <c r="K381" i="4"/>
  <c r="J381" i="4"/>
  <c r="P380" i="4"/>
  <c r="Q380" i="4" s="1"/>
  <c r="O380" i="4"/>
  <c r="N380" i="4"/>
  <c r="M380" i="4"/>
  <c r="L380" i="4"/>
  <c r="K380" i="4"/>
  <c r="J380" i="4"/>
  <c r="P379" i="4"/>
  <c r="Q379" i="4" s="1"/>
  <c r="O379" i="4"/>
  <c r="N379" i="4"/>
  <c r="M379" i="4"/>
  <c r="L379" i="4"/>
  <c r="K379" i="4"/>
  <c r="J379" i="4"/>
  <c r="Q378" i="4"/>
  <c r="P378" i="4"/>
  <c r="O378" i="4"/>
  <c r="N378" i="4"/>
  <c r="M378" i="4"/>
  <c r="L378" i="4"/>
  <c r="K378" i="4"/>
  <c r="J378" i="4"/>
  <c r="P377" i="4"/>
  <c r="Q377" i="4" s="1"/>
  <c r="O377" i="4"/>
  <c r="N377" i="4"/>
  <c r="M377" i="4"/>
  <c r="L377" i="4"/>
  <c r="K377" i="4"/>
  <c r="J377" i="4"/>
  <c r="P376" i="4"/>
  <c r="Q376" i="4" s="1"/>
  <c r="O376" i="4"/>
  <c r="N376" i="4"/>
  <c r="M376" i="4"/>
  <c r="L376" i="4"/>
  <c r="K376" i="4"/>
  <c r="J376" i="4"/>
  <c r="P375" i="4"/>
  <c r="Q375" i="4" s="1"/>
  <c r="O375" i="4"/>
  <c r="N375" i="4"/>
  <c r="M375" i="4"/>
  <c r="L375" i="4"/>
  <c r="K375" i="4"/>
  <c r="J375" i="4"/>
  <c r="P374" i="4"/>
  <c r="Q374" i="4" s="1"/>
  <c r="O374" i="4"/>
  <c r="N374" i="4"/>
  <c r="M374" i="4"/>
  <c r="L374" i="4"/>
  <c r="K374" i="4"/>
  <c r="J374" i="4"/>
  <c r="P373" i="4"/>
  <c r="Q373" i="4" s="1"/>
  <c r="O373" i="4"/>
  <c r="N373" i="4"/>
  <c r="M373" i="4"/>
  <c r="L373" i="4"/>
  <c r="K373" i="4"/>
  <c r="J373" i="4"/>
  <c r="P372" i="4"/>
  <c r="Q372" i="4" s="1"/>
  <c r="O372" i="4"/>
  <c r="N372" i="4"/>
  <c r="M372" i="4"/>
  <c r="L372" i="4"/>
  <c r="K372" i="4"/>
  <c r="J372" i="4"/>
  <c r="P371" i="4"/>
  <c r="Q371" i="4" s="1"/>
  <c r="O371" i="4"/>
  <c r="N371" i="4"/>
  <c r="M371" i="4"/>
  <c r="L371" i="4"/>
  <c r="K371" i="4"/>
  <c r="J371" i="4"/>
  <c r="P370" i="4"/>
  <c r="Q370" i="4" s="1"/>
  <c r="O370" i="4"/>
  <c r="N370" i="4"/>
  <c r="M370" i="4"/>
  <c r="L370" i="4"/>
  <c r="K370" i="4"/>
  <c r="J370" i="4"/>
  <c r="P369" i="4"/>
  <c r="Q369" i="4" s="1"/>
  <c r="O369" i="4"/>
  <c r="N369" i="4"/>
  <c r="M369" i="4"/>
  <c r="L369" i="4"/>
  <c r="K369" i="4"/>
  <c r="J369" i="4"/>
  <c r="P368" i="4"/>
  <c r="Q368" i="4" s="1"/>
  <c r="O368" i="4"/>
  <c r="N368" i="4"/>
  <c r="M368" i="4"/>
  <c r="L368" i="4"/>
  <c r="K368" i="4"/>
  <c r="J368" i="4"/>
  <c r="P367" i="4"/>
  <c r="Q367" i="4" s="1"/>
  <c r="O367" i="4"/>
  <c r="N367" i="4"/>
  <c r="M367" i="4"/>
  <c r="L367" i="4"/>
  <c r="K367" i="4"/>
  <c r="J367" i="4"/>
  <c r="P366" i="4"/>
  <c r="Q366" i="4" s="1"/>
  <c r="O366" i="4"/>
  <c r="N366" i="4"/>
  <c r="M366" i="4"/>
  <c r="L366" i="4"/>
  <c r="K366" i="4"/>
  <c r="J366" i="4"/>
  <c r="Q365" i="4"/>
  <c r="P365" i="4"/>
  <c r="O365" i="4"/>
  <c r="N365" i="4"/>
  <c r="M365" i="4"/>
  <c r="L365" i="4"/>
  <c r="K365" i="4"/>
  <c r="J365" i="4"/>
  <c r="P364" i="4"/>
  <c r="Q364" i="4" s="1"/>
  <c r="O364" i="4"/>
  <c r="N364" i="4"/>
  <c r="M364" i="4"/>
  <c r="L364" i="4"/>
  <c r="K364" i="4"/>
  <c r="J364" i="4"/>
  <c r="P363" i="4"/>
  <c r="Q363" i="4" s="1"/>
  <c r="O363" i="4"/>
  <c r="N363" i="4"/>
  <c r="M363" i="4"/>
  <c r="L363" i="4"/>
  <c r="K363" i="4"/>
  <c r="J363" i="4"/>
  <c r="P362" i="4"/>
  <c r="Q362" i="4" s="1"/>
  <c r="O362" i="4"/>
  <c r="N362" i="4"/>
  <c r="M362" i="4"/>
  <c r="L362" i="4"/>
  <c r="K362" i="4"/>
  <c r="J362" i="4"/>
  <c r="P361" i="4"/>
  <c r="Q361" i="4" s="1"/>
  <c r="O361" i="4"/>
  <c r="N361" i="4"/>
  <c r="M361" i="4"/>
  <c r="L361" i="4"/>
  <c r="K361" i="4"/>
  <c r="J361" i="4"/>
  <c r="P360" i="4"/>
  <c r="Q360" i="4" s="1"/>
  <c r="O360" i="4"/>
  <c r="N360" i="4"/>
  <c r="M360" i="4"/>
  <c r="L360" i="4"/>
  <c r="K360" i="4"/>
  <c r="J360" i="4"/>
  <c r="P359" i="4"/>
  <c r="Q359" i="4" s="1"/>
  <c r="O359" i="4"/>
  <c r="N359" i="4"/>
  <c r="M359" i="4"/>
  <c r="L359" i="4"/>
  <c r="K359" i="4"/>
  <c r="J359" i="4"/>
  <c r="P358" i="4"/>
  <c r="Q358" i="4" s="1"/>
  <c r="O358" i="4"/>
  <c r="N358" i="4"/>
  <c r="M358" i="4"/>
  <c r="L358" i="4"/>
  <c r="K358" i="4"/>
  <c r="J358" i="4"/>
  <c r="P357" i="4"/>
  <c r="Q357" i="4" s="1"/>
  <c r="O357" i="4"/>
  <c r="N357" i="4"/>
  <c r="M357" i="4"/>
  <c r="L357" i="4"/>
  <c r="K357" i="4"/>
  <c r="J357" i="4"/>
  <c r="P356" i="4"/>
  <c r="Q356" i="4" s="1"/>
  <c r="O356" i="4"/>
  <c r="N356" i="4"/>
  <c r="M356" i="4"/>
  <c r="L356" i="4"/>
  <c r="K356" i="4"/>
  <c r="J356" i="4"/>
  <c r="P355" i="4"/>
  <c r="Q355" i="4" s="1"/>
  <c r="O355" i="4"/>
  <c r="N355" i="4"/>
  <c r="M355" i="4"/>
  <c r="L355" i="4"/>
  <c r="K355" i="4"/>
  <c r="J355" i="4"/>
  <c r="P354" i="4"/>
  <c r="Q354" i="4" s="1"/>
  <c r="O354" i="4"/>
  <c r="N354" i="4"/>
  <c r="M354" i="4"/>
  <c r="L354" i="4"/>
  <c r="K354" i="4"/>
  <c r="J354" i="4"/>
  <c r="P353" i="4"/>
  <c r="Q353" i="4" s="1"/>
  <c r="O353" i="4"/>
  <c r="N353" i="4"/>
  <c r="M353" i="4"/>
  <c r="L353" i="4"/>
  <c r="K353" i="4"/>
  <c r="J353" i="4"/>
  <c r="P352" i="4"/>
  <c r="Q352" i="4" s="1"/>
  <c r="O352" i="4"/>
  <c r="N352" i="4"/>
  <c r="M352" i="4"/>
  <c r="L352" i="4"/>
  <c r="K352" i="4"/>
  <c r="J352" i="4"/>
  <c r="P351" i="4"/>
  <c r="Q351" i="4" s="1"/>
  <c r="O351" i="4"/>
  <c r="N351" i="4"/>
  <c r="M351" i="4"/>
  <c r="L351" i="4"/>
  <c r="K351" i="4"/>
  <c r="J351" i="4"/>
  <c r="P350" i="4"/>
  <c r="Q350" i="4" s="1"/>
  <c r="O350" i="4"/>
  <c r="N350" i="4"/>
  <c r="M350" i="4"/>
  <c r="L350" i="4"/>
  <c r="K350" i="4"/>
  <c r="J350" i="4"/>
  <c r="P349" i="4"/>
  <c r="Q349" i="4" s="1"/>
  <c r="O349" i="4"/>
  <c r="N349" i="4"/>
  <c r="M349" i="4"/>
  <c r="L349" i="4"/>
  <c r="K349" i="4"/>
  <c r="J349" i="4"/>
  <c r="P348" i="4"/>
  <c r="Q348" i="4" s="1"/>
  <c r="O348" i="4"/>
  <c r="N348" i="4"/>
  <c r="M348" i="4"/>
  <c r="L348" i="4"/>
  <c r="K348" i="4"/>
  <c r="J348" i="4"/>
  <c r="P347" i="4"/>
  <c r="Q347" i="4" s="1"/>
  <c r="O347" i="4"/>
  <c r="N347" i="4"/>
  <c r="M347" i="4"/>
  <c r="L347" i="4"/>
  <c r="K347" i="4"/>
  <c r="J347" i="4"/>
  <c r="P346" i="4"/>
  <c r="Q346" i="4" s="1"/>
  <c r="O346" i="4"/>
  <c r="N346" i="4"/>
  <c r="M346" i="4"/>
  <c r="L346" i="4"/>
  <c r="K346" i="4"/>
  <c r="J346" i="4"/>
  <c r="P345" i="4"/>
  <c r="Q345" i="4" s="1"/>
  <c r="O345" i="4"/>
  <c r="N345" i="4"/>
  <c r="M345" i="4"/>
  <c r="L345" i="4"/>
  <c r="K345" i="4"/>
  <c r="J345" i="4"/>
  <c r="P344" i="4"/>
  <c r="Q344" i="4" s="1"/>
  <c r="O344" i="4"/>
  <c r="N344" i="4"/>
  <c r="M344" i="4"/>
  <c r="L344" i="4"/>
  <c r="K344" i="4"/>
  <c r="J344" i="4"/>
  <c r="P343" i="4"/>
  <c r="Q343" i="4" s="1"/>
  <c r="O343" i="4"/>
  <c r="N343" i="4"/>
  <c r="M343" i="4"/>
  <c r="L343" i="4"/>
  <c r="K343" i="4"/>
  <c r="J343" i="4"/>
  <c r="P342" i="4"/>
  <c r="Q342" i="4" s="1"/>
  <c r="O342" i="4"/>
  <c r="N342" i="4"/>
  <c r="M342" i="4"/>
  <c r="L342" i="4"/>
  <c r="K342" i="4"/>
  <c r="J342" i="4"/>
  <c r="P341" i="4"/>
  <c r="Q341" i="4" s="1"/>
  <c r="O341" i="4"/>
  <c r="N341" i="4"/>
  <c r="M341" i="4"/>
  <c r="L341" i="4"/>
  <c r="K341" i="4"/>
  <c r="J341" i="4"/>
  <c r="P340" i="4"/>
  <c r="Q340" i="4" s="1"/>
  <c r="O340" i="4"/>
  <c r="N340" i="4"/>
  <c r="M340" i="4"/>
  <c r="L340" i="4"/>
  <c r="K340" i="4"/>
  <c r="J340" i="4"/>
  <c r="P339" i="4"/>
  <c r="Q339" i="4" s="1"/>
  <c r="O339" i="4"/>
  <c r="N339" i="4"/>
  <c r="M339" i="4"/>
  <c r="L339" i="4"/>
  <c r="K339" i="4"/>
  <c r="J339" i="4"/>
  <c r="P338" i="4"/>
  <c r="Q338" i="4" s="1"/>
  <c r="O338" i="4"/>
  <c r="N338" i="4"/>
  <c r="M338" i="4"/>
  <c r="L338" i="4"/>
  <c r="K338" i="4"/>
  <c r="J338" i="4"/>
  <c r="Q337" i="4"/>
  <c r="P337" i="4"/>
  <c r="O337" i="4"/>
  <c r="N337" i="4"/>
  <c r="M337" i="4"/>
  <c r="L337" i="4"/>
  <c r="K337" i="4"/>
  <c r="J337" i="4"/>
  <c r="P336" i="4"/>
  <c r="Q336" i="4" s="1"/>
  <c r="O336" i="4"/>
  <c r="N336" i="4"/>
  <c r="M336" i="4"/>
  <c r="L336" i="4"/>
  <c r="K336" i="4"/>
  <c r="J336" i="4"/>
  <c r="P335" i="4"/>
  <c r="Q335" i="4" s="1"/>
  <c r="O335" i="4"/>
  <c r="N335" i="4"/>
  <c r="M335" i="4"/>
  <c r="L335" i="4"/>
  <c r="K335" i="4"/>
  <c r="J335" i="4"/>
  <c r="P334" i="4"/>
  <c r="Q334" i="4" s="1"/>
  <c r="O334" i="4"/>
  <c r="N334" i="4"/>
  <c r="M334" i="4"/>
  <c r="L334" i="4"/>
  <c r="K334" i="4"/>
  <c r="J334" i="4"/>
  <c r="P333" i="4"/>
  <c r="Q333" i="4" s="1"/>
  <c r="O333" i="4"/>
  <c r="N333" i="4"/>
  <c r="M333" i="4"/>
  <c r="L333" i="4"/>
  <c r="K333" i="4"/>
  <c r="J333" i="4"/>
  <c r="P332" i="4"/>
  <c r="Q332" i="4" s="1"/>
  <c r="O332" i="4"/>
  <c r="N332" i="4"/>
  <c r="M332" i="4"/>
  <c r="L332" i="4"/>
  <c r="K332" i="4"/>
  <c r="J332" i="4"/>
  <c r="P331" i="4"/>
  <c r="Q331" i="4" s="1"/>
  <c r="O331" i="4"/>
  <c r="N331" i="4"/>
  <c r="M331" i="4"/>
  <c r="L331" i="4"/>
  <c r="K331" i="4"/>
  <c r="J331" i="4"/>
  <c r="P330" i="4"/>
  <c r="Q330" i="4" s="1"/>
  <c r="O330" i="4"/>
  <c r="N330" i="4"/>
  <c r="M330" i="4"/>
  <c r="L330" i="4"/>
  <c r="K330" i="4"/>
  <c r="J330" i="4"/>
  <c r="P329" i="4"/>
  <c r="Q329" i="4" s="1"/>
  <c r="O329" i="4"/>
  <c r="N329" i="4"/>
  <c r="M329" i="4"/>
  <c r="L329" i="4"/>
  <c r="K329" i="4"/>
  <c r="J329" i="4"/>
  <c r="P328" i="4"/>
  <c r="Q328" i="4" s="1"/>
  <c r="O328" i="4"/>
  <c r="N328" i="4"/>
  <c r="M328" i="4"/>
  <c r="L328" i="4"/>
  <c r="K328" i="4"/>
  <c r="J328" i="4"/>
  <c r="P327" i="4"/>
  <c r="Q327" i="4" s="1"/>
  <c r="O327" i="4"/>
  <c r="N327" i="4"/>
  <c r="M327" i="4"/>
  <c r="L327" i="4"/>
  <c r="K327" i="4"/>
  <c r="J327" i="4"/>
  <c r="P326" i="4"/>
  <c r="Q326" i="4" s="1"/>
  <c r="O326" i="4"/>
  <c r="N326" i="4"/>
  <c r="M326" i="4"/>
  <c r="L326" i="4"/>
  <c r="K326" i="4"/>
  <c r="J326" i="4"/>
  <c r="P325" i="4"/>
  <c r="Q325" i="4" s="1"/>
  <c r="O325" i="4"/>
  <c r="N325" i="4"/>
  <c r="M325" i="4"/>
  <c r="L325" i="4"/>
  <c r="K325" i="4"/>
  <c r="J325" i="4"/>
  <c r="P324" i="4"/>
  <c r="Q324" i="4" s="1"/>
  <c r="O324" i="4"/>
  <c r="N324" i="4"/>
  <c r="M324" i="4"/>
  <c r="L324" i="4"/>
  <c r="K324" i="4"/>
  <c r="J324" i="4"/>
  <c r="P323" i="4"/>
  <c r="Q323" i="4" s="1"/>
  <c r="O323" i="4"/>
  <c r="N323" i="4"/>
  <c r="M323" i="4"/>
  <c r="L323" i="4"/>
  <c r="K323" i="4"/>
  <c r="J323" i="4"/>
  <c r="P322" i="4"/>
  <c r="Q322" i="4" s="1"/>
  <c r="O322" i="4"/>
  <c r="N322" i="4"/>
  <c r="M322" i="4"/>
  <c r="L322" i="4"/>
  <c r="K322" i="4"/>
  <c r="J322" i="4"/>
  <c r="P321" i="4"/>
  <c r="Q321" i="4" s="1"/>
  <c r="O321" i="4"/>
  <c r="N321" i="4"/>
  <c r="M321" i="4"/>
  <c r="L321" i="4"/>
  <c r="K321" i="4"/>
  <c r="J321" i="4"/>
  <c r="P320" i="4"/>
  <c r="Q320" i="4" s="1"/>
  <c r="O320" i="4"/>
  <c r="N320" i="4"/>
  <c r="M320" i="4"/>
  <c r="L320" i="4"/>
  <c r="K320" i="4"/>
  <c r="J320" i="4"/>
  <c r="P319" i="4"/>
  <c r="Q319" i="4" s="1"/>
  <c r="O319" i="4"/>
  <c r="N319" i="4"/>
  <c r="M319" i="4"/>
  <c r="L319" i="4"/>
  <c r="K319" i="4"/>
  <c r="J319" i="4"/>
  <c r="Q318" i="4"/>
  <c r="P318" i="4"/>
  <c r="O318" i="4"/>
  <c r="N318" i="4"/>
  <c r="M318" i="4"/>
  <c r="L318" i="4"/>
  <c r="K318" i="4"/>
  <c r="J318" i="4"/>
  <c r="P317" i="4"/>
  <c r="Q317" i="4" s="1"/>
  <c r="O317" i="4"/>
  <c r="N317" i="4"/>
  <c r="M317" i="4"/>
  <c r="L317" i="4"/>
  <c r="K317" i="4"/>
  <c r="J317" i="4"/>
  <c r="P316" i="4"/>
  <c r="Q316" i="4" s="1"/>
  <c r="O316" i="4"/>
  <c r="N316" i="4"/>
  <c r="M316" i="4"/>
  <c r="L316" i="4"/>
  <c r="K316" i="4"/>
  <c r="J316" i="4"/>
  <c r="P315" i="4"/>
  <c r="Q315" i="4" s="1"/>
  <c r="O315" i="4"/>
  <c r="N315" i="4"/>
  <c r="M315" i="4"/>
  <c r="L315" i="4"/>
  <c r="K315" i="4"/>
  <c r="J315" i="4"/>
  <c r="P314" i="4"/>
  <c r="Q314" i="4" s="1"/>
  <c r="O314" i="4"/>
  <c r="N314" i="4"/>
  <c r="M314" i="4"/>
  <c r="L314" i="4"/>
  <c r="K314" i="4"/>
  <c r="J314" i="4"/>
  <c r="P313" i="4"/>
  <c r="Q313" i="4" s="1"/>
  <c r="O313" i="4"/>
  <c r="N313" i="4"/>
  <c r="M313" i="4"/>
  <c r="L313" i="4"/>
  <c r="K313" i="4"/>
  <c r="J313" i="4"/>
  <c r="P312" i="4"/>
  <c r="Q312" i="4" s="1"/>
  <c r="O312" i="4"/>
  <c r="N312" i="4"/>
  <c r="M312" i="4"/>
  <c r="L312" i="4"/>
  <c r="K312" i="4"/>
  <c r="J312" i="4"/>
  <c r="P311" i="4"/>
  <c r="Q311" i="4" s="1"/>
  <c r="O311" i="4"/>
  <c r="N311" i="4"/>
  <c r="M311" i="4"/>
  <c r="L311" i="4"/>
  <c r="K311" i="4"/>
  <c r="J311" i="4"/>
  <c r="P310" i="4"/>
  <c r="Q310" i="4" s="1"/>
  <c r="O310" i="4"/>
  <c r="N310" i="4"/>
  <c r="M310" i="4"/>
  <c r="L310" i="4"/>
  <c r="K310" i="4"/>
  <c r="J310" i="4"/>
  <c r="P309" i="4"/>
  <c r="Q309" i="4" s="1"/>
  <c r="O309" i="4"/>
  <c r="N309" i="4"/>
  <c r="M309" i="4"/>
  <c r="L309" i="4"/>
  <c r="K309" i="4"/>
  <c r="J309" i="4"/>
  <c r="P308" i="4"/>
  <c r="Q308" i="4" s="1"/>
  <c r="O308" i="4"/>
  <c r="N308" i="4"/>
  <c r="M308" i="4"/>
  <c r="L308" i="4"/>
  <c r="K308" i="4"/>
  <c r="J308" i="4"/>
  <c r="P307" i="4"/>
  <c r="Q307" i="4" s="1"/>
  <c r="O307" i="4"/>
  <c r="N307" i="4"/>
  <c r="M307" i="4"/>
  <c r="L307" i="4"/>
  <c r="K307" i="4"/>
  <c r="J307" i="4"/>
  <c r="P306" i="4"/>
  <c r="Q306" i="4" s="1"/>
  <c r="O306" i="4"/>
  <c r="N306" i="4"/>
  <c r="M306" i="4"/>
  <c r="L306" i="4"/>
  <c r="K306" i="4"/>
  <c r="J306" i="4"/>
  <c r="P305" i="4"/>
  <c r="Q305" i="4" s="1"/>
  <c r="O305" i="4"/>
  <c r="N305" i="4"/>
  <c r="M305" i="4"/>
  <c r="L305" i="4"/>
  <c r="K305" i="4"/>
  <c r="J305" i="4"/>
  <c r="P304" i="4"/>
  <c r="Q304" i="4" s="1"/>
  <c r="O304" i="4"/>
  <c r="N304" i="4"/>
  <c r="M304" i="4"/>
  <c r="L304" i="4"/>
  <c r="K304" i="4"/>
  <c r="J304" i="4"/>
  <c r="P303" i="4"/>
  <c r="Q303" i="4" s="1"/>
  <c r="O303" i="4"/>
  <c r="N303" i="4"/>
  <c r="M303" i="4"/>
  <c r="L303" i="4"/>
  <c r="K303" i="4"/>
  <c r="J303" i="4"/>
  <c r="P302" i="4"/>
  <c r="Q302" i="4" s="1"/>
  <c r="O302" i="4"/>
  <c r="N302" i="4"/>
  <c r="M302" i="4"/>
  <c r="L302" i="4"/>
  <c r="K302" i="4"/>
  <c r="J302" i="4"/>
  <c r="P301" i="4"/>
  <c r="Q301" i="4" s="1"/>
  <c r="O301" i="4"/>
  <c r="N301" i="4"/>
  <c r="M301" i="4"/>
  <c r="L301" i="4"/>
  <c r="K301" i="4"/>
  <c r="J301" i="4"/>
  <c r="P300" i="4"/>
  <c r="Q300" i="4" s="1"/>
  <c r="O300" i="4"/>
  <c r="N300" i="4"/>
  <c r="M300" i="4"/>
  <c r="L300" i="4"/>
  <c r="K300" i="4"/>
  <c r="J300" i="4"/>
  <c r="P299" i="4"/>
  <c r="Q299" i="4" s="1"/>
  <c r="O299" i="4"/>
  <c r="N299" i="4"/>
  <c r="M299" i="4"/>
  <c r="L299" i="4"/>
  <c r="K299" i="4"/>
  <c r="J299" i="4"/>
  <c r="Q298" i="4"/>
  <c r="P298" i="4"/>
  <c r="O298" i="4"/>
  <c r="N298" i="4"/>
  <c r="M298" i="4"/>
  <c r="L298" i="4"/>
  <c r="K298" i="4"/>
  <c r="J298" i="4"/>
  <c r="P297" i="4"/>
  <c r="Q297" i="4" s="1"/>
  <c r="O297" i="4"/>
  <c r="N297" i="4"/>
  <c r="M297" i="4"/>
  <c r="L297" i="4"/>
  <c r="K297" i="4"/>
  <c r="J297" i="4"/>
  <c r="P296" i="4"/>
  <c r="Q296" i="4" s="1"/>
  <c r="O296" i="4"/>
  <c r="N296" i="4"/>
  <c r="M296" i="4"/>
  <c r="L296" i="4"/>
  <c r="K296" i="4"/>
  <c r="J296" i="4"/>
  <c r="P295" i="4"/>
  <c r="Q295" i="4" s="1"/>
  <c r="O295" i="4"/>
  <c r="N295" i="4"/>
  <c r="M295" i="4"/>
  <c r="L295" i="4"/>
  <c r="K295" i="4"/>
  <c r="J295" i="4"/>
  <c r="P294" i="4"/>
  <c r="Q294" i="4" s="1"/>
  <c r="O294" i="4"/>
  <c r="N294" i="4"/>
  <c r="M294" i="4"/>
  <c r="L294" i="4"/>
  <c r="K294" i="4"/>
  <c r="J294" i="4"/>
  <c r="P293" i="4"/>
  <c r="Q293" i="4" s="1"/>
  <c r="O293" i="4"/>
  <c r="N293" i="4"/>
  <c r="M293" i="4"/>
  <c r="L293" i="4"/>
  <c r="K293" i="4"/>
  <c r="J293" i="4"/>
  <c r="P292" i="4"/>
  <c r="Q292" i="4" s="1"/>
  <c r="O292" i="4"/>
  <c r="N292" i="4"/>
  <c r="M292" i="4"/>
  <c r="L292" i="4"/>
  <c r="K292" i="4"/>
  <c r="J292" i="4"/>
  <c r="P291" i="4"/>
  <c r="Q291" i="4" s="1"/>
  <c r="O291" i="4"/>
  <c r="N291" i="4"/>
  <c r="M291" i="4"/>
  <c r="L291" i="4"/>
  <c r="K291" i="4"/>
  <c r="J291" i="4"/>
  <c r="P290" i="4"/>
  <c r="Q290" i="4" s="1"/>
  <c r="O290" i="4"/>
  <c r="N290" i="4"/>
  <c r="M290" i="4"/>
  <c r="L290" i="4"/>
  <c r="K290" i="4"/>
  <c r="J290" i="4"/>
  <c r="Q289" i="4"/>
  <c r="P289" i="4"/>
  <c r="O289" i="4"/>
  <c r="N289" i="4"/>
  <c r="M289" i="4"/>
  <c r="L289" i="4"/>
  <c r="K289" i="4"/>
  <c r="J289" i="4"/>
  <c r="P288" i="4"/>
  <c r="Q288" i="4" s="1"/>
  <c r="O288" i="4"/>
  <c r="N288" i="4"/>
  <c r="M288" i="4"/>
  <c r="L288" i="4"/>
  <c r="K288" i="4"/>
  <c r="J288" i="4"/>
  <c r="P287" i="4"/>
  <c r="Q287" i="4" s="1"/>
  <c r="O287" i="4"/>
  <c r="N287" i="4"/>
  <c r="M287" i="4"/>
  <c r="L287" i="4"/>
  <c r="K287" i="4"/>
  <c r="J287" i="4"/>
  <c r="Q286" i="4"/>
  <c r="P286" i="4"/>
  <c r="O286" i="4"/>
  <c r="N286" i="4"/>
  <c r="M286" i="4"/>
  <c r="L286" i="4"/>
  <c r="K286" i="4"/>
  <c r="J286" i="4"/>
  <c r="P285" i="4"/>
  <c r="Q285" i="4" s="1"/>
  <c r="O285" i="4"/>
  <c r="N285" i="4"/>
  <c r="M285" i="4"/>
  <c r="L285" i="4"/>
  <c r="K285" i="4"/>
  <c r="J285" i="4"/>
  <c r="Q284" i="4"/>
  <c r="P284" i="4"/>
  <c r="O284" i="4"/>
  <c r="N284" i="4"/>
  <c r="M284" i="4"/>
  <c r="L284" i="4"/>
  <c r="K284" i="4"/>
  <c r="J284" i="4"/>
  <c r="P283" i="4"/>
  <c r="Q283" i="4" s="1"/>
  <c r="O283" i="4"/>
  <c r="N283" i="4"/>
  <c r="M283" i="4"/>
  <c r="L283" i="4"/>
  <c r="K283" i="4"/>
  <c r="J283" i="4"/>
  <c r="P282" i="4"/>
  <c r="Q282" i="4" s="1"/>
  <c r="O282" i="4"/>
  <c r="N282" i="4"/>
  <c r="M282" i="4"/>
  <c r="L282" i="4"/>
  <c r="K282" i="4"/>
  <c r="J282" i="4"/>
  <c r="P281" i="4"/>
  <c r="Q281" i="4" s="1"/>
  <c r="O281" i="4"/>
  <c r="N281" i="4"/>
  <c r="M281" i="4"/>
  <c r="L281" i="4"/>
  <c r="K281" i="4"/>
  <c r="J281" i="4"/>
  <c r="P280" i="4"/>
  <c r="Q280" i="4" s="1"/>
  <c r="O280" i="4"/>
  <c r="N280" i="4"/>
  <c r="M280" i="4"/>
  <c r="L280" i="4"/>
  <c r="K280" i="4"/>
  <c r="J280" i="4"/>
  <c r="P279" i="4"/>
  <c r="Q279" i="4" s="1"/>
  <c r="O279" i="4"/>
  <c r="N279" i="4"/>
  <c r="M279" i="4"/>
  <c r="L279" i="4"/>
  <c r="K279" i="4"/>
  <c r="J279" i="4"/>
  <c r="P278" i="4"/>
  <c r="Q278" i="4" s="1"/>
  <c r="O278" i="4"/>
  <c r="N278" i="4"/>
  <c r="M278" i="4"/>
  <c r="L278" i="4"/>
  <c r="K278" i="4"/>
  <c r="J278" i="4"/>
  <c r="P277" i="4"/>
  <c r="Q277" i="4" s="1"/>
  <c r="O277" i="4"/>
  <c r="N277" i="4"/>
  <c r="M277" i="4"/>
  <c r="L277" i="4"/>
  <c r="K277" i="4"/>
  <c r="J277" i="4"/>
  <c r="P276" i="4"/>
  <c r="Q276" i="4" s="1"/>
  <c r="O276" i="4"/>
  <c r="N276" i="4"/>
  <c r="M276" i="4"/>
  <c r="L276" i="4"/>
  <c r="K276" i="4"/>
  <c r="J276" i="4"/>
  <c r="P275" i="4"/>
  <c r="Q275" i="4" s="1"/>
  <c r="O275" i="4"/>
  <c r="N275" i="4"/>
  <c r="M275" i="4"/>
  <c r="L275" i="4"/>
  <c r="K275" i="4"/>
  <c r="J275" i="4"/>
  <c r="P274" i="4"/>
  <c r="Q274" i="4" s="1"/>
  <c r="O274" i="4"/>
  <c r="N274" i="4"/>
  <c r="M274" i="4"/>
  <c r="L274" i="4"/>
  <c r="K274" i="4"/>
  <c r="J274" i="4"/>
  <c r="P273" i="4"/>
  <c r="Q273" i="4" s="1"/>
  <c r="O273" i="4"/>
  <c r="N273" i="4"/>
  <c r="M273" i="4"/>
  <c r="L273" i="4"/>
  <c r="K273" i="4"/>
  <c r="J273" i="4"/>
  <c r="P272" i="4"/>
  <c r="Q272" i="4" s="1"/>
  <c r="O272" i="4"/>
  <c r="N272" i="4"/>
  <c r="M272" i="4"/>
  <c r="L272" i="4"/>
  <c r="K272" i="4"/>
  <c r="J272" i="4"/>
  <c r="P271" i="4"/>
  <c r="Q271" i="4" s="1"/>
  <c r="O271" i="4"/>
  <c r="N271" i="4"/>
  <c r="M271" i="4"/>
  <c r="L271" i="4"/>
  <c r="K271" i="4"/>
  <c r="J271" i="4"/>
  <c r="P270" i="4"/>
  <c r="Q270" i="4" s="1"/>
  <c r="O270" i="4"/>
  <c r="N270" i="4"/>
  <c r="M270" i="4"/>
  <c r="L270" i="4"/>
  <c r="K270" i="4"/>
  <c r="J270" i="4"/>
  <c r="Q269" i="4"/>
  <c r="P269" i="4"/>
  <c r="O269" i="4"/>
  <c r="N269" i="4"/>
  <c r="M269" i="4"/>
  <c r="L269" i="4"/>
  <c r="K269" i="4"/>
  <c r="J269" i="4"/>
  <c r="P268" i="4"/>
  <c r="Q268" i="4" s="1"/>
  <c r="O268" i="4"/>
  <c r="N268" i="4"/>
  <c r="M268" i="4"/>
  <c r="L268" i="4"/>
  <c r="K268" i="4"/>
  <c r="J268" i="4"/>
  <c r="P267" i="4"/>
  <c r="Q267" i="4" s="1"/>
  <c r="O267" i="4"/>
  <c r="N267" i="4"/>
  <c r="M267" i="4"/>
  <c r="L267" i="4"/>
  <c r="K267" i="4"/>
  <c r="J267" i="4"/>
  <c r="Q266" i="4"/>
  <c r="P266" i="4"/>
  <c r="O266" i="4"/>
  <c r="N266" i="4"/>
  <c r="M266" i="4"/>
  <c r="L266" i="4"/>
  <c r="K266" i="4"/>
  <c r="J266" i="4"/>
  <c r="P265" i="4"/>
  <c r="Q265" i="4" s="1"/>
  <c r="O265" i="4"/>
  <c r="N265" i="4"/>
  <c r="M265" i="4"/>
  <c r="L265" i="4"/>
  <c r="K265" i="4"/>
  <c r="J265" i="4"/>
  <c r="P264" i="4"/>
  <c r="Q264" i="4" s="1"/>
  <c r="O264" i="4"/>
  <c r="N264" i="4"/>
  <c r="M264" i="4"/>
  <c r="L264" i="4"/>
  <c r="K264" i="4"/>
  <c r="J264" i="4"/>
  <c r="P263" i="4"/>
  <c r="Q263" i="4" s="1"/>
  <c r="O263" i="4"/>
  <c r="N263" i="4"/>
  <c r="M263" i="4"/>
  <c r="L263" i="4"/>
  <c r="K263" i="4"/>
  <c r="J263" i="4"/>
  <c r="P262" i="4"/>
  <c r="Q262" i="4" s="1"/>
  <c r="O262" i="4"/>
  <c r="N262" i="4"/>
  <c r="M262" i="4"/>
  <c r="L262" i="4"/>
  <c r="K262" i="4"/>
  <c r="J262" i="4"/>
  <c r="P261" i="4"/>
  <c r="Q261" i="4" s="1"/>
  <c r="O261" i="4"/>
  <c r="N261" i="4"/>
  <c r="M261" i="4"/>
  <c r="L261" i="4"/>
  <c r="K261" i="4"/>
  <c r="J261" i="4"/>
  <c r="P260" i="4"/>
  <c r="Q260" i="4" s="1"/>
  <c r="O260" i="4"/>
  <c r="N260" i="4"/>
  <c r="M260" i="4"/>
  <c r="L260" i="4"/>
  <c r="K260" i="4"/>
  <c r="J260" i="4"/>
  <c r="P259" i="4"/>
  <c r="Q259" i="4" s="1"/>
  <c r="O259" i="4"/>
  <c r="N259" i="4"/>
  <c r="M259" i="4"/>
  <c r="L259" i="4"/>
  <c r="K259" i="4"/>
  <c r="J259" i="4"/>
  <c r="P258" i="4"/>
  <c r="Q258" i="4" s="1"/>
  <c r="O258" i="4"/>
  <c r="N258" i="4"/>
  <c r="M258" i="4"/>
  <c r="L258" i="4"/>
  <c r="K258" i="4"/>
  <c r="J258" i="4"/>
  <c r="P257" i="4"/>
  <c r="Q257" i="4" s="1"/>
  <c r="O257" i="4"/>
  <c r="N257" i="4"/>
  <c r="M257" i="4"/>
  <c r="L257" i="4"/>
  <c r="K257" i="4"/>
  <c r="J257" i="4"/>
  <c r="P256" i="4"/>
  <c r="Q256" i="4" s="1"/>
  <c r="O256" i="4"/>
  <c r="N256" i="4"/>
  <c r="M256" i="4"/>
  <c r="L256" i="4"/>
  <c r="K256" i="4"/>
  <c r="J256" i="4"/>
  <c r="P255" i="4"/>
  <c r="Q255" i="4" s="1"/>
  <c r="O255" i="4"/>
  <c r="N255" i="4"/>
  <c r="M255" i="4"/>
  <c r="L255" i="4"/>
  <c r="K255" i="4"/>
  <c r="J255" i="4"/>
  <c r="P254" i="4"/>
  <c r="Q254" i="4" s="1"/>
  <c r="O254" i="4"/>
  <c r="N254" i="4"/>
  <c r="M254" i="4"/>
  <c r="L254" i="4"/>
  <c r="K254" i="4"/>
  <c r="J254" i="4"/>
  <c r="Q253" i="4"/>
  <c r="P253" i="4"/>
  <c r="O253" i="4"/>
  <c r="N253" i="4"/>
  <c r="M253" i="4"/>
  <c r="L253" i="4"/>
  <c r="K253" i="4"/>
  <c r="J253" i="4"/>
  <c r="P252" i="4"/>
  <c r="Q252" i="4" s="1"/>
  <c r="O252" i="4"/>
  <c r="N252" i="4"/>
  <c r="M252" i="4"/>
  <c r="L252" i="4"/>
  <c r="K252" i="4"/>
  <c r="J252" i="4"/>
  <c r="P251" i="4"/>
  <c r="Q251" i="4" s="1"/>
  <c r="O251" i="4"/>
  <c r="N251" i="4"/>
  <c r="M251" i="4"/>
  <c r="L251" i="4"/>
  <c r="K251" i="4"/>
  <c r="J251" i="4"/>
  <c r="P250" i="4"/>
  <c r="Q250" i="4" s="1"/>
  <c r="O250" i="4"/>
  <c r="N250" i="4"/>
  <c r="M250" i="4"/>
  <c r="L250" i="4"/>
  <c r="K250" i="4"/>
  <c r="J250" i="4"/>
  <c r="P249" i="4"/>
  <c r="Q249" i="4" s="1"/>
  <c r="O249" i="4"/>
  <c r="N249" i="4"/>
  <c r="M249" i="4"/>
  <c r="L249" i="4"/>
  <c r="K249" i="4"/>
  <c r="J249" i="4"/>
  <c r="P248" i="4"/>
  <c r="Q248" i="4" s="1"/>
  <c r="O248" i="4"/>
  <c r="N248" i="4"/>
  <c r="M248" i="4"/>
  <c r="L248" i="4"/>
  <c r="K248" i="4"/>
  <c r="J248" i="4"/>
  <c r="P247" i="4"/>
  <c r="Q247" i="4" s="1"/>
  <c r="O247" i="4"/>
  <c r="N247" i="4"/>
  <c r="M247" i="4"/>
  <c r="L247" i="4"/>
  <c r="K247" i="4"/>
  <c r="J247" i="4"/>
  <c r="P246" i="4"/>
  <c r="Q246" i="4" s="1"/>
  <c r="O246" i="4"/>
  <c r="N246" i="4"/>
  <c r="M246" i="4"/>
  <c r="L246" i="4"/>
  <c r="K246" i="4"/>
  <c r="J246" i="4"/>
  <c r="P245" i="4"/>
  <c r="Q245" i="4" s="1"/>
  <c r="O245" i="4"/>
  <c r="N245" i="4"/>
  <c r="M245" i="4"/>
  <c r="L245" i="4"/>
  <c r="K245" i="4"/>
  <c r="J245" i="4"/>
  <c r="P244" i="4"/>
  <c r="Q244" i="4" s="1"/>
  <c r="O244" i="4"/>
  <c r="N244" i="4"/>
  <c r="M244" i="4"/>
  <c r="L244" i="4"/>
  <c r="K244" i="4"/>
  <c r="J244" i="4"/>
  <c r="Q243" i="4"/>
  <c r="P243" i="4"/>
  <c r="O243" i="4"/>
  <c r="N243" i="4"/>
  <c r="M243" i="4"/>
  <c r="L243" i="4"/>
  <c r="K243" i="4"/>
  <c r="J243" i="4"/>
  <c r="P242" i="4"/>
  <c r="Q242" i="4" s="1"/>
  <c r="O242" i="4"/>
  <c r="N242" i="4"/>
  <c r="M242" i="4"/>
  <c r="L242" i="4"/>
  <c r="K242" i="4"/>
  <c r="J242" i="4"/>
  <c r="Q241" i="4"/>
  <c r="P241" i="4"/>
  <c r="O241" i="4"/>
  <c r="N241" i="4"/>
  <c r="M241" i="4"/>
  <c r="L241" i="4"/>
  <c r="K241" i="4"/>
  <c r="J241" i="4"/>
  <c r="P240" i="4"/>
  <c r="Q240" i="4" s="1"/>
  <c r="O240" i="4"/>
  <c r="N240" i="4"/>
  <c r="M240" i="4"/>
  <c r="L240" i="4"/>
  <c r="K240" i="4"/>
  <c r="J240" i="4"/>
  <c r="P239" i="4"/>
  <c r="Q239" i="4" s="1"/>
  <c r="O239" i="4"/>
  <c r="N239" i="4"/>
  <c r="M239" i="4"/>
  <c r="L239" i="4"/>
  <c r="K239" i="4"/>
  <c r="J239" i="4"/>
  <c r="P238" i="4"/>
  <c r="Q238" i="4" s="1"/>
  <c r="O238" i="4"/>
  <c r="N238" i="4"/>
  <c r="M238" i="4"/>
  <c r="L238" i="4"/>
  <c r="K238" i="4"/>
  <c r="J238" i="4"/>
  <c r="P237" i="4"/>
  <c r="Q237" i="4" s="1"/>
  <c r="O237" i="4"/>
  <c r="N237" i="4"/>
  <c r="M237" i="4"/>
  <c r="L237" i="4"/>
  <c r="K237" i="4"/>
  <c r="J237" i="4"/>
  <c r="P236" i="4"/>
  <c r="Q236" i="4" s="1"/>
  <c r="O236" i="4"/>
  <c r="N236" i="4"/>
  <c r="M236" i="4"/>
  <c r="L236" i="4"/>
  <c r="K236" i="4"/>
  <c r="J236" i="4"/>
  <c r="Q235" i="4"/>
  <c r="P235" i="4"/>
  <c r="O235" i="4"/>
  <c r="N235" i="4"/>
  <c r="M235" i="4"/>
  <c r="L235" i="4"/>
  <c r="K235" i="4"/>
  <c r="J235" i="4"/>
  <c r="P234" i="4"/>
  <c r="Q234" i="4" s="1"/>
  <c r="O234" i="4"/>
  <c r="N234" i="4"/>
  <c r="M234" i="4"/>
  <c r="L234" i="4"/>
  <c r="K234" i="4"/>
  <c r="J234" i="4"/>
  <c r="Q233" i="4"/>
  <c r="P233" i="4"/>
  <c r="O233" i="4"/>
  <c r="N233" i="4"/>
  <c r="M233" i="4"/>
  <c r="L233" i="4"/>
  <c r="K233" i="4"/>
  <c r="J233" i="4"/>
  <c r="P232" i="4"/>
  <c r="Q232" i="4" s="1"/>
  <c r="O232" i="4"/>
  <c r="N232" i="4"/>
  <c r="M232" i="4"/>
  <c r="L232" i="4"/>
  <c r="K232" i="4"/>
  <c r="J232" i="4"/>
  <c r="P231" i="4"/>
  <c r="Q231" i="4" s="1"/>
  <c r="O231" i="4"/>
  <c r="N231" i="4"/>
  <c r="M231" i="4"/>
  <c r="L231" i="4"/>
  <c r="K231" i="4"/>
  <c r="J231" i="4"/>
  <c r="P230" i="4"/>
  <c r="Q230" i="4" s="1"/>
  <c r="O230" i="4"/>
  <c r="N230" i="4"/>
  <c r="M230" i="4"/>
  <c r="L230" i="4"/>
  <c r="K230" i="4"/>
  <c r="J230" i="4"/>
  <c r="P229" i="4"/>
  <c r="Q229" i="4" s="1"/>
  <c r="O229" i="4"/>
  <c r="N229" i="4"/>
  <c r="M229" i="4"/>
  <c r="L229" i="4"/>
  <c r="K229" i="4"/>
  <c r="J229" i="4"/>
  <c r="P228" i="4"/>
  <c r="Q228" i="4" s="1"/>
  <c r="O228" i="4"/>
  <c r="N228" i="4"/>
  <c r="M228" i="4"/>
  <c r="L228" i="4"/>
  <c r="K228" i="4"/>
  <c r="J228" i="4"/>
  <c r="P227" i="4"/>
  <c r="Q227" i="4" s="1"/>
  <c r="O227" i="4"/>
  <c r="N227" i="4"/>
  <c r="M227" i="4"/>
  <c r="L227" i="4"/>
  <c r="K227" i="4"/>
  <c r="J227" i="4"/>
  <c r="Q226" i="4"/>
  <c r="P226" i="4"/>
  <c r="O226" i="4"/>
  <c r="N226" i="4"/>
  <c r="M226" i="4"/>
  <c r="L226" i="4"/>
  <c r="K226" i="4"/>
  <c r="J226" i="4"/>
  <c r="Q225" i="4"/>
  <c r="P225" i="4"/>
  <c r="O225" i="4"/>
  <c r="N225" i="4"/>
  <c r="M225" i="4"/>
  <c r="L225" i="4"/>
  <c r="K225" i="4"/>
  <c r="J225" i="4"/>
  <c r="P224" i="4"/>
  <c r="Q224" i="4" s="1"/>
  <c r="O224" i="4"/>
  <c r="N224" i="4"/>
  <c r="M224" i="4"/>
  <c r="L224" i="4"/>
  <c r="K224" i="4"/>
  <c r="J224" i="4"/>
  <c r="P223" i="4"/>
  <c r="Q223" i="4" s="1"/>
  <c r="O223" i="4"/>
  <c r="N223" i="4"/>
  <c r="M223" i="4"/>
  <c r="L223" i="4"/>
  <c r="K223" i="4"/>
  <c r="J223" i="4"/>
  <c r="P222" i="4"/>
  <c r="Q222" i="4" s="1"/>
  <c r="O222" i="4"/>
  <c r="N222" i="4"/>
  <c r="M222" i="4"/>
  <c r="L222" i="4"/>
  <c r="K222" i="4"/>
  <c r="J222" i="4"/>
  <c r="P221" i="4"/>
  <c r="Q221" i="4" s="1"/>
  <c r="O221" i="4"/>
  <c r="N221" i="4"/>
  <c r="M221" i="4"/>
  <c r="L221" i="4"/>
  <c r="K221" i="4"/>
  <c r="J221" i="4"/>
  <c r="P220" i="4"/>
  <c r="Q220" i="4" s="1"/>
  <c r="O220" i="4"/>
  <c r="N220" i="4"/>
  <c r="M220" i="4"/>
  <c r="L220" i="4"/>
  <c r="K220" i="4"/>
  <c r="J220" i="4"/>
  <c r="P219" i="4"/>
  <c r="Q219" i="4" s="1"/>
  <c r="O219" i="4"/>
  <c r="N219" i="4"/>
  <c r="M219" i="4"/>
  <c r="L219" i="4"/>
  <c r="K219" i="4"/>
  <c r="J219" i="4"/>
  <c r="P218" i="4"/>
  <c r="Q218" i="4" s="1"/>
  <c r="O218" i="4"/>
  <c r="N218" i="4"/>
  <c r="M218" i="4"/>
  <c r="L218" i="4"/>
  <c r="K218" i="4"/>
  <c r="J218" i="4"/>
  <c r="P217" i="4"/>
  <c r="Q217" i="4" s="1"/>
  <c r="O217" i="4"/>
  <c r="N217" i="4"/>
  <c r="M217" i="4"/>
  <c r="L217" i="4"/>
  <c r="K217" i="4"/>
  <c r="J217" i="4"/>
  <c r="P216" i="4"/>
  <c r="Q216" i="4" s="1"/>
  <c r="O216" i="4"/>
  <c r="N216" i="4"/>
  <c r="M216" i="4"/>
  <c r="L216" i="4"/>
  <c r="K216" i="4"/>
  <c r="J216" i="4"/>
  <c r="P215" i="4"/>
  <c r="Q215" i="4" s="1"/>
  <c r="O215" i="4"/>
  <c r="N215" i="4"/>
  <c r="M215" i="4"/>
  <c r="L215" i="4"/>
  <c r="K215" i="4"/>
  <c r="J215" i="4"/>
  <c r="P214" i="4"/>
  <c r="Q214" i="4" s="1"/>
  <c r="O214" i="4"/>
  <c r="N214" i="4"/>
  <c r="M214" i="4"/>
  <c r="L214" i="4"/>
  <c r="K214" i="4"/>
  <c r="J214" i="4"/>
  <c r="P213" i="4"/>
  <c r="Q213" i="4" s="1"/>
  <c r="O213" i="4"/>
  <c r="N213" i="4"/>
  <c r="M213" i="4"/>
  <c r="L213" i="4"/>
  <c r="K213" i="4"/>
  <c r="J213" i="4"/>
  <c r="P212" i="4"/>
  <c r="Q212" i="4" s="1"/>
  <c r="O212" i="4"/>
  <c r="N212" i="4"/>
  <c r="M212" i="4"/>
  <c r="L212" i="4"/>
  <c r="K212" i="4"/>
  <c r="J212" i="4"/>
  <c r="P211" i="4"/>
  <c r="Q211" i="4" s="1"/>
  <c r="O211" i="4"/>
  <c r="N211" i="4"/>
  <c r="M211" i="4"/>
  <c r="L211" i="4"/>
  <c r="K211" i="4"/>
  <c r="J211" i="4"/>
  <c r="P210" i="4"/>
  <c r="Q210" i="4" s="1"/>
  <c r="O210" i="4"/>
  <c r="N210" i="4"/>
  <c r="M210" i="4"/>
  <c r="L210" i="4"/>
  <c r="K210" i="4"/>
  <c r="J210" i="4"/>
  <c r="P209" i="4"/>
  <c r="Q209" i="4" s="1"/>
  <c r="O209" i="4"/>
  <c r="N209" i="4"/>
  <c r="M209" i="4"/>
  <c r="L209" i="4"/>
  <c r="K209" i="4"/>
  <c r="J209" i="4"/>
  <c r="P208" i="4"/>
  <c r="Q208" i="4" s="1"/>
  <c r="O208" i="4"/>
  <c r="N208" i="4"/>
  <c r="M208" i="4"/>
  <c r="L208" i="4"/>
  <c r="K208" i="4"/>
  <c r="J208" i="4"/>
  <c r="P207" i="4"/>
  <c r="Q207" i="4" s="1"/>
  <c r="O207" i="4"/>
  <c r="N207" i="4"/>
  <c r="M207" i="4"/>
  <c r="L207" i="4"/>
  <c r="K207" i="4"/>
  <c r="J207" i="4"/>
  <c r="P206" i="4"/>
  <c r="Q206" i="4" s="1"/>
  <c r="O206" i="4"/>
  <c r="N206" i="4"/>
  <c r="M206" i="4"/>
  <c r="L206" i="4"/>
  <c r="K206" i="4"/>
  <c r="J206" i="4"/>
  <c r="P205" i="4"/>
  <c r="Q205" i="4" s="1"/>
  <c r="O205" i="4"/>
  <c r="N205" i="4"/>
  <c r="M205" i="4"/>
  <c r="L205" i="4"/>
  <c r="K205" i="4"/>
  <c r="J205" i="4"/>
  <c r="P204" i="4"/>
  <c r="Q204" i="4" s="1"/>
  <c r="O204" i="4"/>
  <c r="N204" i="4"/>
  <c r="M204" i="4"/>
  <c r="L204" i="4"/>
  <c r="K204" i="4"/>
  <c r="J204" i="4"/>
  <c r="P203" i="4"/>
  <c r="Q203" i="4" s="1"/>
  <c r="O203" i="4"/>
  <c r="N203" i="4"/>
  <c r="M203" i="4"/>
  <c r="L203" i="4"/>
  <c r="K203" i="4"/>
  <c r="J203" i="4"/>
  <c r="P202" i="4"/>
  <c r="Q202" i="4" s="1"/>
  <c r="O202" i="4"/>
  <c r="N202" i="4"/>
  <c r="M202" i="4"/>
  <c r="L202" i="4"/>
  <c r="K202" i="4"/>
  <c r="J202" i="4"/>
  <c r="P201" i="4"/>
  <c r="Q201" i="4" s="1"/>
  <c r="O201" i="4"/>
  <c r="N201" i="4"/>
  <c r="M201" i="4"/>
  <c r="L201" i="4"/>
  <c r="K201" i="4"/>
  <c r="J201" i="4"/>
  <c r="P200" i="4"/>
  <c r="Q200" i="4" s="1"/>
  <c r="O200" i="4"/>
  <c r="N200" i="4"/>
  <c r="M200" i="4"/>
  <c r="L200" i="4"/>
  <c r="K200" i="4"/>
  <c r="J200" i="4"/>
  <c r="P199" i="4"/>
  <c r="Q199" i="4" s="1"/>
  <c r="O199" i="4"/>
  <c r="N199" i="4"/>
  <c r="M199" i="4"/>
  <c r="L199" i="4"/>
  <c r="K199" i="4"/>
  <c r="J199" i="4"/>
  <c r="P198" i="4"/>
  <c r="Q198" i="4" s="1"/>
  <c r="O198" i="4"/>
  <c r="N198" i="4"/>
  <c r="M198" i="4"/>
  <c r="L198" i="4"/>
  <c r="K198" i="4"/>
  <c r="J198" i="4"/>
  <c r="P197" i="4"/>
  <c r="Q197" i="4" s="1"/>
  <c r="O197" i="4"/>
  <c r="N197" i="4"/>
  <c r="M197" i="4"/>
  <c r="L197" i="4"/>
  <c r="K197" i="4"/>
  <c r="J197" i="4"/>
  <c r="P196" i="4"/>
  <c r="Q196" i="4" s="1"/>
  <c r="O196" i="4"/>
  <c r="N196" i="4"/>
  <c r="M196" i="4"/>
  <c r="L196" i="4"/>
  <c r="K196" i="4"/>
  <c r="J196" i="4"/>
  <c r="P195" i="4"/>
  <c r="Q195" i="4" s="1"/>
  <c r="O195" i="4"/>
  <c r="N195" i="4"/>
  <c r="M195" i="4"/>
  <c r="L195" i="4"/>
  <c r="K195" i="4"/>
  <c r="J195" i="4"/>
  <c r="P194" i="4"/>
  <c r="Q194" i="4" s="1"/>
  <c r="O194" i="4"/>
  <c r="N194" i="4"/>
  <c r="M194" i="4"/>
  <c r="L194" i="4"/>
  <c r="K194" i="4"/>
  <c r="J194" i="4"/>
  <c r="P193" i="4"/>
  <c r="Q193" i="4" s="1"/>
  <c r="O193" i="4"/>
  <c r="N193" i="4"/>
  <c r="M193" i="4"/>
  <c r="L193" i="4"/>
  <c r="K193" i="4"/>
  <c r="J193" i="4"/>
  <c r="P192" i="4"/>
  <c r="Q192" i="4" s="1"/>
  <c r="O192" i="4"/>
  <c r="N192" i="4"/>
  <c r="M192" i="4"/>
  <c r="L192" i="4"/>
  <c r="K192" i="4"/>
  <c r="J192" i="4"/>
  <c r="P191" i="4"/>
  <c r="Q191" i="4" s="1"/>
  <c r="O191" i="4"/>
  <c r="N191" i="4"/>
  <c r="M191" i="4"/>
  <c r="L191" i="4"/>
  <c r="K191" i="4"/>
  <c r="J191" i="4"/>
  <c r="P190" i="4"/>
  <c r="Q190" i="4" s="1"/>
  <c r="O190" i="4"/>
  <c r="N190" i="4"/>
  <c r="M190" i="4"/>
  <c r="L190" i="4"/>
  <c r="K190" i="4"/>
  <c r="J190" i="4"/>
  <c r="P189" i="4"/>
  <c r="Q189" i="4" s="1"/>
  <c r="O189" i="4"/>
  <c r="N189" i="4"/>
  <c r="M189" i="4"/>
  <c r="L189" i="4"/>
  <c r="K189" i="4"/>
  <c r="J189" i="4"/>
  <c r="P188" i="4"/>
  <c r="Q188" i="4" s="1"/>
  <c r="O188" i="4"/>
  <c r="N188" i="4"/>
  <c r="M188" i="4"/>
  <c r="L188" i="4"/>
  <c r="K188" i="4"/>
  <c r="J188" i="4"/>
  <c r="P187" i="4"/>
  <c r="Q187" i="4" s="1"/>
  <c r="O187" i="4"/>
  <c r="N187" i="4"/>
  <c r="M187" i="4"/>
  <c r="L187" i="4"/>
  <c r="K187" i="4"/>
  <c r="J187" i="4"/>
  <c r="P186" i="4"/>
  <c r="Q186" i="4" s="1"/>
  <c r="O186" i="4"/>
  <c r="N186" i="4"/>
  <c r="M186" i="4"/>
  <c r="L186" i="4"/>
  <c r="K186" i="4"/>
  <c r="J186" i="4"/>
  <c r="P185" i="4"/>
  <c r="Q185" i="4" s="1"/>
  <c r="O185" i="4"/>
  <c r="N185" i="4"/>
  <c r="M185" i="4"/>
  <c r="L185" i="4"/>
  <c r="K185" i="4"/>
  <c r="J185" i="4"/>
  <c r="P184" i="4"/>
  <c r="Q184" i="4" s="1"/>
  <c r="O184" i="4"/>
  <c r="N184" i="4"/>
  <c r="M184" i="4"/>
  <c r="L184" i="4"/>
  <c r="K184" i="4"/>
  <c r="J184" i="4"/>
  <c r="P183" i="4"/>
  <c r="Q183" i="4" s="1"/>
  <c r="O183" i="4"/>
  <c r="N183" i="4"/>
  <c r="M183" i="4"/>
  <c r="L183" i="4"/>
  <c r="K183" i="4"/>
  <c r="J183" i="4"/>
  <c r="P182" i="4"/>
  <c r="Q182" i="4" s="1"/>
  <c r="O182" i="4"/>
  <c r="N182" i="4"/>
  <c r="M182" i="4"/>
  <c r="L182" i="4"/>
  <c r="K182" i="4"/>
  <c r="J182" i="4"/>
  <c r="P181" i="4"/>
  <c r="Q181" i="4" s="1"/>
  <c r="O181" i="4"/>
  <c r="N181" i="4"/>
  <c r="M181" i="4"/>
  <c r="L181" i="4"/>
  <c r="K181" i="4"/>
  <c r="J181" i="4"/>
  <c r="P180" i="4"/>
  <c r="Q180" i="4" s="1"/>
  <c r="O180" i="4"/>
  <c r="N180" i="4"/>
  <c r="M180" i="4"/>
  <c r="L180" i="4"/>
  <c r="K180" i="4"/>
  <c r="J180" i="4"/>
  <c r="P179" i="4"/>
  <c r="Q179" i="4" s="1"/>
  <c r="O179" i="4"/>
  <c r="N179" i="4"/>
  <c r="M179" i="4"/>
  <c r="L179" i="4"/>
  <c r="K179" i="4"/>
  <c r="J179" i="4"/>
  <c r="P178" i="4"/>
  <c r="Q178" i="4" s="1"/>
  <c r="O178" i="4"/>
  <c r="N178" i="4"/>
  <c r="M178" i="4"/>
  <c r="L178" i="4"/>
  <c r="K178" i="4"/>
  <c r="J178" i="4"/>
  <c r="P177" i="4"/>
  <c r="Q177" i="4" s="1"/>
  <c r="O177" i="4"/>
  <c r="N177" i="4"/>
  <c r="M177" i="4"/>
  <c r="L177" i="4"/>
  <c r="K177" i="4"/>
  <c r="J177" i="4"/>
  <c r="P176" i="4"/>
  <c r="Q176" i="4" s="1"/>
  <c r="O176" i="4"/>
  <c r="N176" i="4"/>
  <c r="M176" i="4"/>
  <c r="L176" i="4"/>
  <c r="K176" i="4"/>
  <c r="J176" i="4"/>
  <c r="P175" i="4"/>
  <c r="Q175" i="4" s="1"/>
  <c r="O175" i="4"/>
  <c r="N175" i="4"/>
  <c r="M175" i="4"/>
  <c r="L175" i="4"/>
  <c r="K175" i="4"/>
  <c r="J175" i="4"/>
  <c r="P174" i="4"/>
  <c r="Q174" i="4" s="1"/>
  <c r="O174" i="4"/>
  <c r="N174" i="4"/>
  <c r="M174" i="4"/>
  <c r="L174" i="4"/>
  <c r="K174" i="4"/>
  <c r="J174" i="4"/>
  <c r="P173" i="4"/>
  <c r="Q173" i="4" s="1"/>
  <c r="O173" i="4"/>
  <c r="N173" i="4"/>
  <c r="M173" i="4"/>
  <c r="L173" i="4"/>
  <c r="K173" i="4"/>
  <c r="J173" i="4"/>
  <c r="P172" i="4"/>
  <c r="Q172" i="4" s="1"/>
  <c r="O172" i="4"/>
  <c r="N172" i="4"/>
  <c r="M172" i="4"/>
  <c r="L172" i="4"/>
  <c r="K172" i="4"/>
  <c r="J172" i="4"/>
  <c r="P171" i="4"/>
  <c r="Q171" i="4" s="1"/>
  <c r="O171" i="4"/>
  <c r="N171" i="4"/>
  <c r="M171" i="4"/>
  <c r="L171" i="4"/>
  <c r="K171" i="4"/>
  <c r="J171" i="4"/>
  <c r="P170" i="4"/>
  <c r="Q170" i="4" s="1"/>
  <c r="O170" i="4"/>
  <c r="N170" i="4"/>
  <c r="M170" i="4"/>
  <c r="L170" i="4"/>
  <c r="K170" i="4"/>
  <c r="J170" i="4"/>
  <c r="P169" i="4"/>
  <c r="Q169" i="4" s="1"/>
  <c r="O169" i="4"/>
  <c r="N169" i="4"/>
  <c r="M169" i="4"/>
  <c r="L169" i="4"/>
  <c r="K169" i="4"/>
  <c r="J169" i="4"/>
  <c r="P168" i="4"/>
  <c r="Q168" i="4" s="1"/>
  <c r="O168" i="4"/>
  <c r="N168" i="4"/>
  <c r="M168" i="4"/>
  <c r="L168" i="4"/>
  <c r="K168" i="4"/>
  <c r="J168" i="4"/>
  <c r="P167" i="4"/>
  <c r="Q167" i="4" s="1"/>
  <c r="O167" i="4"/>
  <c r="N167" i="4"/>
  <c r="M167" i="4"/>
  <c r="L167" i="4"/>
  <c r="K167" i="4"/>
  <c r="J167" i="4"/>
  <c r="P166" i="4"/>
  <c r="Q166" i="4" s="1"/>
  <c r="O166" i="4"/>
  <c r="N166" i="4"/>
  <c r="M166" i="4"/>
  <c r="L166" i="4"/>
  <c r="K166" i="4"/>
  <c r="J166" i="4"/>
  <c r="P165" i="4"/>
  <c r="Q165" i="4" s="1"/>
  <c r="O165" i="4"/>
  <c r="N165" i="4"/>
  <c r="M165" i="4"/>
  <c r="L165" i="4"/>
  <c r="K165" i="4"/>
  <c r="J165" i="4"/>
  <c r="P164" i="4"/>
  <c r="Q164" i="4" s="1"/>
  <c r="O164" i="4"/>
  <c r="N164" i="4"/>
  <c r="M164" i="4"/>
  <c r="L164" i="4"/>
  <c r="K164" i="4"/>
  <c r="J164" i="4"/>
  <c r="P163" i="4"/>
  <c r="Q163" i="4" s="1"/>
  <c r="O163" i="4"/>
  <c r="N163" i="4"/>
  <c r="M163" i="4"/>
  <c r="L163" i="4"/>
  <c r="K163" i="4"/>
  <c r="J163" i="4"/>
  <c r="P162" i="4"/>
  <c r="Q162" i="4" s="1"/>
  <c r="O162" i="4"/>
  <c r="N162" i="4"/>
  <c r="M162" i="4"/>
  <c r="L162" i="4"/>
  <c r="K162" i="4"/>
  <c r="J162" i="4"/>
  <c r="P161" i="4"/>
  <c r="Q161" i="4" s="1"/>
  <c r="O161" i="4"/>
  <c r="N161" i="4"/>
  <c r="M161" i="4"/>
  <c r="L161" i="4"/>
  <c r="K161" i="4"/>
  <c r="J161" i="4"/>
  <c r="P160" i="4"/>
  <c r="Q160" i="4" s="1"/>
  <c r="O160" i="4"/>
  <c r="N160" i="4"/>
  <c r="M160" i="4"/>
  <c r="L160" i="4"/>
  <c r="K160" i="4"/>
  <c r="J160" i="4"/>
  <c r="P159" i="4"/>
  <c r="Q159" i="4" s="1"/>
  <c r="O159" i="4"/>
  <c r="N159" i="4"/>
  <c r="M159" i="4"/>
  <c r="L159" i="4"/>
  <c r="K159" i="4"/>
  <c r="J159" i="4"/>
  <c r="P158" i="4"/>
  <c r="Q158" i="4" s="1"/>
  <c r="O158" i="4"/>
  <c r="N158" i="4"/>
  <c r="M158" i="4"/>
  <c r="L158" i="4"/>
  <c r="K158" i="4"/>
  <c r="J158" i="4"/>
  <c r="P157" i="4"/>
  <c r="Q157" i="4" s="1"/>
  <c r="O157" i="4"/>
  <c r="N157" i="4"/>
  <c r="M157" i="4"/>
  <c r="L157" i="4"/>
  <c r="K157" i="4"/>
  <c r="J157" i="4"/>
  <c r="P156" i="4"/>
  <c r="Q156" i="4" s="1"/>
  <c r="O156" i="4"/>
  <c r="N156" i="4"/>
  <c r="M156" i="4"/>
  <c r="L156" i="4"/>
  <c r="K156" i="4"/>
  <c r="J156" i="4"/>
  <c r="P155" i="4"/>
  <c r="Q155" i="4" s="1"/>
  <c r="O155" i="4"/>
  <c r="N155" i="4"/>
  <c r="M155" i="4"/>
  <c r="L155" i="4"/>
  <c r="K155" i="4"/>
  <c r="J155" i="4"/>
  <c r="P154" i="4"/>
  <c r="Q154" i="4" s="1"/>
  <c r="O154" i="4"/>
  <c r="N154" i="4"/>
  <c r="M154" i="4"/>
  <c r="L154" i="4"/>
  <c r="K154" i="4"/>
  <c r="J154" i="4"/>
  <c r="P153" i="4"/>
  <c r="Q153" i="4" s="1"/>
  <c r="O153" i="4"/>
  <c r="N153" i="4"/>
  <c r="M153" i="4"/>
  <c r="L153" i="4"/>
  <c r="K153" i="4"/>
  <c r="J153" i="4"/>
  <c r="P152" i="4"/>
  <c r="Q152" i="4" s="1"/>
  <c r="O152" i="4"/>
  <c r="N152" i="4"/>
  <c r="M152" i="4"/>
  <c r="L152" i="4"/>
  <c r="K152" i="4"/>
  <c r="J152" i="4"/>
  <c r="P151" i="4"/>
  <c r="Q151" i="4" s="1"/>
  <c r="O151" i="4"/>
  <c r="N151" i="4"/>
  <c r="M151" i="4"/>
  <c r="L151" i="4"/>
  <c r="K151" i="4"/>
  <c r="J151" i="4"/>
  <c r="P150" i="4"/>
  <c r="Q150" i="4" s="1"/>
  <c r="O150" i="4"/>
  <c r="N150" i="4"/>
  <c r="M150" i="4"/>
  <c r="L150" i="4"/>
  <c r="K150" i="4"/>
  <c r="J150" i="4"/>
  <c r="P149" i="4"/>
  <c r="Q149" i="4" s="1"/>
  <c r="O149" i="4"/>
  <c r="N149" i="4"/>
  <c r="M149" i="4"/>
  <c r="L149" i="4"/>
  <c r="K149" i="4"/>
  <c r="J149" i="4"/>
  <c r="P148" i="4"/>
  <c r="Q148" i="4" s="1"/>
  <c r="O148" i="4"/>
  <c r="N148" i="4"/>
  <c r="M148" i="4"/>
  <c r="L148" i="4"/>
  <c r="K148" i="4"/>
  <c r="J148" i="4"/>
  <c r="P147" i="4"/>
  <c r="Q147" i="4" s="1"/>
  <c r="O147" i="4"/>
  <c r="N147" i="4"/>
  <c r="M147" i="4"/>
  <c r="L147" i="4"/>
  <c r="K147" i="4"/>
  <c r="J147" i="4"/>
  <c r="P146" i="4"/>
  <c r="Q146" i="4" s="1"/>
  <c r="O146" i="4"/>
  <c r="N146" i="4"/>
  <c r="M146" i="4"/>
  <c r="L146" i="4"/>
  <c r="K146" i="4"/>
  <c r="J146" i="4"/>
  <c r="P145" i="4"/>
  <c r="Q145" i="4" s="1"/>
  <c r="O145" i="4"/>
  <c r="N145" i="4"/>
  <c r="M145" i="4"/>
  <c r="L145" i="4"/>
  <c r="K145" i="4"/>
  <c r="J145" i="4"/>
  <c r="P144" i="4"/>
  <c r="Q144" i="4" s="1"/>
  <c r="O144" i="4"/>
  <c r="N144" i="4"/>
  <c r="M144" i="4"/>
  <c r="L144" i="4"/>
  <c r="K144" i="4"/>
  <c r="J144" i="4"/>
  <c r="P143" i="4"/>
  <c r="Q143" i="4" s="1"/>
  <c r="O143" i="4"/>
  <c r="N143" i="4"/>
  <c r="M143" i="4"/>
  <c r="L143" i="4"/>
  <c r="K143" i="4"/>
  <c r="J143" i="4"/>
  <c r="P142" i="4"/>
  <c r="Q142" i="4" s="1"/>
  <c r="O142" i="4"/>
  <c r="N142" i="4"/>
  <c r="M142" i="4"/>
  <c r="L142" i="4"/>
  <c r="K142" i="4"/>
  <c r="J142" i="4"/>
  <c r="P141" i="4"/>
  <c r="Q141" i="4" s="1"/>
  <c r="O141" i="4"/>
  <c r="N141" i="4"/>
  <c r="M141" i="4"/>
  <c r="L141" i="4"/>
  <c r="K141" i="4"/>
  <c r="J141" i="4"/>
  <c r="Q140" i="4"/>
  <c r="P140" i="4"/>
  <c r="O140" i="4"/>
  <c r="N140" i="4"/>
  <c r="M140" i="4"/>
  <c r="L140" i="4"/>
  <c r="K140" i="4"/>
  <c r="J140" i="4"/>
  <c r="P139" i="4"/>
  <c r="Q139" i="4" s="1"/>
  <c r="O139" i="4"/>
  <c r="N139" i="4"/>
  <c r="M139" i="4"/>
  <c r="L139" i="4"/>
  <c r="K139" i="4"/>
  <c r="J139" i="4"/>
  <c r="P138" i="4"/>
  <c r="Q138" i="4" s="1"/>
  <c r="O138" i="4"/>
  <c r="N138" i="4"/>
  <c r="M138" i="4"/>
  <c r="L138" i="4"/>
  <c r="K138" i="4"/>
  <c r="J138" i="4"/>
  <c r="Q137" i="4"/>
  <c r="P137" i="4"/>
  <c r="O137" i="4"/>
  <c r="N137" i="4"/>
  <c r="M137" i="4"/>
  <c r="L137" i="4"/>
  <c r="K137" i="4"/>
  <c r="J137" i="4"/>
  <c r="P136" i="4"/>
  <c r="Q136" i="4" s="1"/>
  <c r="O136" i="4"/>
  <c r="N136" i="4"/>
  <c r="M136" i="4"/>
  <c r="L136" i="4"/>
  <c r="K136" i="4"/>
  <c r="J136" i="4"/>
  <c r="P135" i="4"/>
  <c r="Q135" i="4" s="1"/>
  <c r="O135" i="4"/>
  <c r="N135" i="4"/>
  <c r="M135" i="4"/>
  <c r="L135" i="4"/>
  <c r="K135" i="4"/>
  <c r="J135" i="4"/>
  <c r="P134" i="4"/>
  <c r="Q134" i="4" s="1"/>
  <c r="O134" i="4"/>
  <c r="N134" i="4"/>
  <c r="M134" i="4"/>
  <c r="L134" i="4"/>
  <c r="K134" i="4"/>
  <c r="J134" i="4"/>
  <c r="P133" i="4"/>
  <c r="Q133" i="4" s="1"/>
  <c r="O133" i="4"/>
  <c r="N133" i="4"/>
  <c r="M133" i="4"/>
  <c r="L133" i="4"/>
  <c r="K133" i="4"/>
  <c r="J133" i="4"/>
  <c r="P132" i="4"/>
  <c r="Q132" i="4" s="1"/>
  <c r="O132" i="4"/>
  <c r="N132" i="4"/>
  <c r="M132" i="4"/>
  <c r="L132" i="4"/>
  <c r="K132" i="4"/>
  <c r="J132" i="4"/>
  <c r="P131" i="4"/>
  <c r="Q131" i="4" s="1"/>
  <c r="O131" i="4"/>
  <c r="N131" i="4"/>
  <c r="M131" i="4"/>
  <c r="L131" i="4"/>
  <c r="K131" i="4"/>
  <c r="J131" i="4"/>
  <c r="P130" i="4"/>
  <c r="Q130" i="4" s="1"/>
  <c r="O130" i="4"/>
  <c r="N130" i="4"/>
  <c r="M130" i="4"/>
  <c r="L130" i="4"/>
  <c r="K130" i="4"/>
  <c r="J130" i="4"/>
  <c r="P129" i="4"/>
  <c r="Q129" i="4" s="1"/>
  <c r="O129" i="4"/>
  <c r="N129" i="4"/>
  <c r="M129" i="4"/>
  <c r="L129" i="4"/>
  <c r="K129" i="4"/>
  <c r="J129" i="4"/>
  <c r="P128" i="4"/>
  <c r="Q128" i="4" s="1"/>
  <c r="O128" i="4"/>
  <c r="N128" i="4"/>
  <c r="M128" i="4"/>
  <c r="L128" i="4"/>
  <c r="K128" i="4"/>
  <c r="J128" i="4"/>
  <c r="P127" i="4"/>
  <c r="Q127" i="4" s="1"/>
  <c r="O127" i="4"/>
  <c r="N127" i="4"/>
  <c r="M127" i="4"/>
  <c r="L127" i="4"/>
  <c r="K127" i="4"/>
  <c r="J127" i="4"/>
  <c r="P126" i="4"/>
  <c r="Q126" i="4" s="1"/>
  <c r="O126" i="4"/>
  <c r="N126" i="4"/>
  <c r="M126" i="4"/>
  <c r="L126" i="4"/>
  <c r="K126" i="4"/>
  <c r="J126" i="4"/>
  <c r="P125" i="4"/>
  <c r="Q125" i="4" s="1"/>
  <c r="O125" i="4"/>
  <c r="N125" i="4"/>
  <c r="M125" i="4"/>
  <c r="L125" i="4"/>
  <c r="K125" i="4"/>
  <c r="J125" i="4"/>
  <c r="P124" i="4"/>
  <c r="Q124" i="4" s="1"/>
  <c r="O124" i="4"/>
  <c r="N124" i="4"/>
  <c r="M124" i="4"/>
  <c r="L124" i="4"/>
  <c r="K124" i="4"/>
  <c r="J124" i="4"/>
  <c r="P123" i="4"/>
  <c r="Q123" i="4" s="1"/>
  <c r="O123" i="4"/>
  <c r="N123" i="4"/>
  <c r="M123" i="4"/>
  <c r="L123" i="4"/>
  <c r="K123" i="4"/>
  <c r="J123" i="4"/>
  <c r="P122" i="4"/>
  <c r="Q122" i="4" s="1"/>
  <c r="O122" i="4"/>
  <c r="N122" i="4"/>
  <c r="M122" i="4"/>
  <c r="L122" i="4"/>
  <c r="K122" i="4"/>
  <c r="J122" i="4"/>
  <c r="P121" i="4"/>
  <c r="Q121" i="4" s="1"/>
  <c r="O121" i="4"/>
  <c r="N121" i="4"/>
  <c r="M121" i="4"/>
  <c r="L121" i="4"/>
  <c r="K121" i="4"/>
  <c r="J121" i="4"/>
  <c r="P120" i="4"/>
  <c r="Q120" i="4" s="1"/>
  <c r="O120" i="4"/>
  <c r="N120" i="4"/>
  <c r="M120" i="4"/>
  <c r="L120" i="4"/>
  <c r="K120" i="4"/>
  <c r="J120" i="4"/>
  <c r="P119" i="4"/>
  <c r="Q119" i="4" s="1"/>
  <c r="O119" i="4"/>
  <c r="N119" i="4"/>
  <c r="M119" i="4"/>
  <c r="L119" i="4"/>
  <c r="K119" i="4"/>
  <c r="J119" i="4"/>
  <c r="P118" i="4"/>
  <c r="Q118" i="4" s="1"/>
  <c r="O118" i="4"/>
  <c r="N118" i="4"/>
  <c r="M118" i="4"/>
  <c r="L118" i="4"/>
  <c r="K118" i="4"/>
  <c r="J118" i="4"/>
  <c r="P117" i="4"/>
  <c r="Q117" i="4" s="1"/>
  <c r="O117" i="4"/>
  <c r="N117" i="4"/>
  <c r="M117" i="4"/>
  <c r="L117" i="4"/>
  <c r="K117" i="4"/>
  <c r="J117" i="4"/>
  <c r="P116" i="4"/>
  <c r="Q116" i="4" s="1"/>
  <c r="O116" i="4"/>
  <c r="N116" i="4"/>
  <c r="M116" i="4"/>
  <c r="L116" i="4"/>
  <c r="K116" i="4"/>
  <c r="J116" i="4"/>
  <c r="P115" i="4"/>
  <c r="Q115" i="4" s="1"/>
  <c r="O115" i="4"/>
  <c r="N115" i="4"/>
  <c r="M115" i="4"/>
  <c r="L115" i="4"/>
  <c r="K115" i="4"/>
  <c r="J115" i="4"/>
  <c r="P114" i="4"/>
  <c r="Q114" i="4" s="1"/>
  <c r="O114" i="4"/>
  <c r="N114" i="4"/>
  <c r="M114" i="4"/>
  <c r="L114" i="4"/>
  <c r="K114" i="4"/>
  <c r="J114" i="4"/>
  <c r="P113" i="4"/>
  <c r="Q113" i="4" s="1"/>
  <c r="O113" i="4"/>
  <c r="N113" i="4"/>
  <c r="M113" i="4"/>
  <c r="L113" i="4"/>
  <c r="K113" i="4"/>
  <c r="J113" i="4"/>
  <c r="P112" i="4"/>
  <c r="Q112" i="4" s="1"/>
  <c r="O112" i="4"/>
  <c r="N112" i="4"/>
  <c r="M112" i="4"/>
  <c r="L112" i="4"/>
  <c r="K112" i="4"/>
  <c r="J112" i="4"/>
  <c r="P111" i="4"/>
  <c r="Q111" i="4" s="1"/>
  <c r="O111" i="4"/>
  <c r="N111" i="4"/>
  <c r="M111" i="4"/>
  <c r="L111" i="4"/>
  <c r="K111" i="4"/>
  <c r="J111" i="4"/>
  <c r="P110" i="4"/>
  <c r="Q110" i="4" s="1"/>
  <c r="O110" i="4"/>
  <c r="N110" i="4"/>
  <c r="M110" i="4"/>
  <c r="L110" i="4"/>
  <c r="K110" i="4"/>
  <c r="J110" i="4"/>
  <c r="P109" i="4"/>
  <c r="Q109" i="4" s="1"/>
  <c r="O109" i="4"/>
  <c r="N109" i="4"/>
  <c r="M109" i="4"/>
  <c r="L109" i="4"/>
  <c r="K109" i="4"/>
  <c r="J109" i="4"/>
  <c r="P108" i="4"/>
  <c r="Q108" i="4" s="1"/>
  <c r="O108" i="4"/>
  <c r="N108" i="4"/>
  <c r="M108" i="4"/>
  <c r="L108" i="4"/>
  <c r="K108" i="4"/>
  <c r="J108" i="4"/>
  <c r="P107" i="4"/>
  <c r="Q107" i="4" s="1"/>
  <c r="O107" i="4"/>
  <c r="N107" i="4"/>
  <c r="M107" i="4"/>
  <c r="L107" i="4"/>
  <c r="K107" i="4"/>
  <c r="J107" i="4"/>
  <c r="P106" i="4"/>
  <c r="Q106" i="4" s="1"/>
  <c r="O106" i="4"/>
  <c r="N106" i="4"/>
  <c r="M106" i="4"/>
  <c r="L106" i="4"/>
  <c r="K106" i="4"/>
  <c r="J106" i="4"/>
  <c r="P105" i="4"/>
  <c r="Q105" i="4" s="1"/>
  <c r="O105" i="4"/>
  <c r="N105" i="4"/>
  <c r="M105" i="4"/>
  <c r="L105" i="4"/>
  <c r="K105" i="4"/>
  <c r="J105" i="4"/>
  <c r="P104" i="4"/>
  <c r="Q104" i="4" s="1"/>
  <c r="O104" i="4"/>
  <c r="N104" i="4"/>
  <c r="M104" i="4"/>
  <c r="L104" i="4"/>
  <c r="K104" i="4"/>
  <c r="J104" i="4"/>
  <c r="P103" i="4"/>
  <c r="Q103" i="4" s="1"/>
  <c r="O103" i="4"/>
  <c r="N103" i="4"/>
  <c r="M103" i="4"/>
  <c r="L103" i="4"/>
  <c r="K103" i="4"/>
  <c r="J103" i="4"/>
  <c r="P102" i="4"/>
  <c r="Q102" i="4" s="1"/>
  <c r="O102" i="4"/>
  <c r="N102" i="4"/>
  <c r="M102" i="4"/>
  <c r="L102" i="4"/>
  <c r="K102" i="4"/>
  <c r="J102" i="4"/>
  <c r="P101" i="4"/>
  <c r="Q101" i="4" s="1"/>
  <c r="O101" i="4"/>
  <c r="N101" i="4"/>
  <c r="M101" i="4"/>
  <c r="L101" i="4"/>
  <c r="K101" i="4"/>
  <c r="J101" i="4"/>
  <c r="P100" i="4"/>
  <c r="Q100" i="4" s="1"/>
  <c r="O100" i="4"/>
  <c r="N100" i="4"/>
  <c r="M100" i="4"/>
  <c r="L100" i="4"/>
  <c r="K100" i="4"/>
  <c r="J100" i="4"/>
  <c r="P99" i="4"/>
  <c r="Q99" i="4" s="1"/>
  <c r="O99" i="4"/>
  <c r="N99" i="4"/>
  <c r="M99" i="4"/>
  <c r="L99" i="4"/>
  <c r="K99" i="4"/>
  <c r="J99" i="4"/>
  <c r="P98" i="4"/>
  <c r="Q98" i="4" s="1"/>
  <c r="O98" i="4"/>
  <c r="N98" i="4"/>
  <c r="M98" i="4"/>
  <c r="L98" i="4"/>
  <c r="K98" i="4"/>
  <c r="J98" i="4"/>
  <c r="P97" i="4"/>
  <c r="Q97" i="4" s="1"/>
  <c r="O97" i="4"/>
  <c r="N97" i="4"/>
  <c r="M97" i="4"/>
  <c r="L97" i="4"/>
  <c r="K97" i="4"/>
  <c r="J97" i="4"/>
  <c r="P96" i="4"/>
  <c r="Q96" i="4" s="1"/>
  <c r="O96" i="4"/>
  <c r="N96" i="4"/>
  <c r="M96" i="4"/>
  <c r="L96" i="4"/>
  <c r="K96" i="4"/>
  <c r="J96" i="4"/>
  <c r="P95" i="4"/>
  <c r="Q95" i="4" s="1"/>
  <c r="O95" i="4"/>
  <c r="N95" i="4"/>
  <c r="M95" i="4"/>
  <c r="L95" i="4"/>
  <c r="K95" i="4"/>
  <c r="J95" i="4"/>
  <c r="P94" i="4"/>
  <c r="Q94" i="4" s="1"/>
  <c r="O94" i="4"/>
  <c r="N94" i="4"/>
  <c r="M94" i="4"/>
  <c r="L94" i="4"/>
  <c r="K94" i="4"/>
  <c r="J94" i="4"/>
  <c r="P93" i="4"/>
  <c r="Q93" i="4" s="1"/>
  <c r="O93" i="4"/>
  <c r="N93" i="4"/>
  <c r="M93" i="4"/>
  <c r="L93" i="4"/>
  <c r="K93" i="4"/>
  <c r="J93" i="4"/>
  <c r="P92" i="4"/>
  <c r="Q92" i="4" s="1"/>
  <c r="O92" i="4"/>
  <c r="N92" i="4"/>
  <c r="M92" i="4"/>
  <c r="L92" i="4"/>
  <c r="K92" i="4"/>
  <c r="J92" i="4"/>
  <c r="P91" i="4"/>
  <c r="Q91" i="4" s="1"/>
  <c r="O91" i="4"/>
  <c r="N91" i="4"/>
  <c r="M91" i="4"/>
  <c r="L91" i="4"/>
  <c r="K91" i="4"/>
  <c r="J91" i="4"/>
  <c r="P90" i="4"/>
  <c r="Q90" i="4" s="1"/>
  <c r="O90" i="4"/>
  <c r="N90" i="4"/>
  <c r="M90" i="4"/>
  <c r="L90" i="4"/>
  <c r="K90" i="4"/>
  <c r="J90" i="4"/>
  <c r="P89" i="4"/>
  <c r="Q89" i="4" s="1"/>
  <c r="O89" i="4"/>
  <c r="N89" i="4"/>
  <c r="M89" i="4"/>
  <c r="L89" i="4"/>
  <c r="K89" i="4"/>
  <c r="J89" i="4"/>
  <c r="P88" i="4"/>
  <c r="Q88" i="4" s="1"/>
  <c r="O88" i="4"/>
  <c r="N88" i="4"/>
  <c r="M88" i="4"/>
  <c r="L88" i="4"/>
  <c r="K88" i="4"/>
  <c r="J88" i="4"/>
  <c r="P87" i="4"/>
  <c r="Q87" i="4" s="1"/>
  <c r="O87" i="4"/>
  <c r="N87" i="4"/>
  <c r="M87" i="4"/>
  <c r="L87" i="4"/>
  <c r="K87" i="4"/>
  <c r="J87" i="4"/>
  <c r="P86" i="4"/>
  <c r="Q86" i="4" s="1"/>
  <c r="O86" i="4"/>
  <c r="N86" i="4"/>
  <c r="M86" i="4"/>
  <c r="L86" i="4"/>
  <c r="K86" i="4"/>
  <c r="J86" i="4"/>
  <c r="P85" i="4"/>
  <c r="Q85" i="4" s="1"/>
  <c r="O85" i="4"/>
  <c r="N85" i="4"/>
  <c r="M85" i="4"/>
  <c r="L85" i="4"/>
  <c r="K85" i="4"/>
  <c r="J85" i="4"/>
  <c r="P84" i="4"/>
  <c r="Q84" i="4" s="1"/>
  <c r="O84" i="4"/>
  <c r="N84" i="4"/>
  <c r="M84" i="4"/>
  <c r="L84" i="4"/>
  <c r="K84" i="4"/>
  <c r="J84" i="4"/>
  <c r="P83" i="4"/>
  <c r="Q83" i="4" s="1"/>
  <c r="O83" i="4"/>
  <c r="N83" i="4"/>
  <c r="M83" i="4"/>
  <c r="L83" i="4"/>
  <c r="K83" i="4"/>
  <c r="J83" i="4"/>
  <c r="P82" i="4"/>
  <c r="Q82" i="4" s="1"/>
  <c r="O82" i="4"/>
  <c r="N82" i="4"/>
  <c r="M82" i="4"/>
  <c r="L82" i="4"/>
  <c r="K82" i="4"/>
  <c r="J82" i="4"/>
  <c r="P81" i="4"/>
  <c r="Q81" i="4" s="1"/>
  <c r="O81" i="4"/>
  <c r="N81" i="4"/>
  <c r="M81" i="4"/>
  <c r="L81" i="4"/>
  <c r="K81" i="4"/>
  <c r="J81" i="4"/>
  <c r="P80" i="4"/>
  <c r="Q80" i="4" s="1"/>
  <c r="O80" i="4"/>
  <c r="N80" i="4"/>
  <c r="M80" i="4"/>
  <c r="L80" i="4"/>
  <c r="K80" i="4"/>
  <c r="J80" i="4"/>
  <c r="P79" i="4"/>
  <c r="Q79" i="4" s="1"/>
  <c r="O79" i="4"/>
  <c r="N79" i="4"/>
  <c r="M79" i="4"/>
  <c r="L79" i="4"/>
  <c r="K79" i="4"/>
  <c r="J79" i="4"/>
  <c r="Q78" i="4"/>
  <c r="P78" i="4"/>
  <c r="O78" i="4"/>
  <c r="N78" i="4"/>
  <c r="M78" i="4"/>
  <c r="L78" i="4"/>
  <c r="K78" i="4"/>
  <c r="J78" i="4"/>
  <c r="P77" i="4"/>
  <c r="Q77" i="4" s="1"/>
  <c r="O77" i="4"/>
  <c r="N77" i="4"/>
  <c r="M77" i="4"/>
  <c r="L77" i="4"/>
  <c r="K77" i="4"/>
  <c r="J77" i="4"/>
  <c r="P76" i="4"/>
  <c r="Q76" i="4" s="1"/>
  <c r="O76" i="4"/>
  <c r="N76" i="4"/>
  <c r="M76" i="4"/>
  <c r="L76" i="4"/>
  <c r="K76" i="4"/>
  <c r="J76" i="4"/>
  <c r="P75" i="4"/>
  <c r="Q75" i="4" s="1"/>
  <c r="O75" i="4"/>
  <c r="N75" i="4"/>
  <c r="M75" i="4"/>
  <c r="L75" i="4"/>
  <c r="K75" i="4"/>
  <c r="J75" i="4"/>
  <c r="P74" i="4"/>
  <c r="Q74" i="4" s="1"/>
  <c r="O74" i="4"/>
  <c r="N74" i="4"/>
  <c r="M74" i="4"/>
  <c r="L74" i="4"/>
  <c r="K74" i="4"/>
  <c r="J74" i="4"/>
  <c r="P73" i="4"/>
  <c r="Q73" i="4" s="1"/>
  <c r="O73" i="4"/>
  <c r="N73" i="4"/>
  <c r="M73" i="4"/>
  <c r="L73" i="4"/>
  <c r="K73" i="4"/>
  <c r="J73" i="4"/>
  <c r="Q72" i="4"/>
  <c r="P72" i="4"/>
  <c r="O72" i="4"/>
  <c r="N72" i="4"/>
  <c r="M72" i="4"/>
  <c r="L72" i="4"/>
  <c r="K72" i="4"/>
  <c r="J72" i="4"/>
  <c r="P71" i="4"/>
  <c r="Q71" i="4" s="1"/>
  <c r="O71" i="4"/>
  <c r="N71" i="4"/>
  <c r="M71" i="4"/>
  <c r="L71" i="4"/>
  <c r="K71" i="4"/>
  <c r="J71" i="4"/>
  <c r="P70" i="4"/>
  <c r="Q70" i="4" s="1"/>
  <c r="O70" i="4"/>
  <c r="N70" i="4"/>
  <c r="M70" i="4"/>
  <c r="L70" i="4"/>
  <c r="K70" i="4"/>
  <c r="J70" i="4"/>
  <c r="P69" i="4"/>
  <c r="Q69" i="4" s="1"/>
  <c r="O69" i="4"/>
  <c r="N69" i="4"/>
  <c r="M69" i="4"/>
  <c r="L69" i="4"/>
  <c r="K69" i="4"/>
  <c r="J69" i="4"/>
  <c r="P68" i="4"/>
  <c r="Q68" i="4" s="1"/>
  <c r="O68" i="4"/>
  <c r="N68" i="4"/>
  <c r="M68" i="4"/>
  <c r="L68" i="4"/>
  <c r="K68" i="4"/>
  <c r="J68" i="4"/>
  <c r="P67" i="4"/>
  <c r="Q67" i="4" s="1"/>
  <c r="O67" i="4"/>
  <c r="N67" i="4"/>
  <c r="M67" i="4"/>
  <c r="L67" i="4"/>
  <c r="K67" i="4"/>
  <c r="J67" i="4"/>
  <c r="P66" i="4"/>
  <c r="Q66" i="4" s="1"/>
  <c r="O66" i="4"/>
  <c r="N66" i="4"/>
  <c r="M66" i="4"/>
  <c r="L66" i="4"/>
  <c r="K66" i="4"/>
  <c r="J66" i="4"/>
  <c r="P65" i="4"/>
  <c r="Q65" i="4" s="1"/>
  <c r="O65" i="4"/>
  <c r="N65" i="4"/>
  <c r="M65" i="4"/>
  <c r="L65" i="4"/>
  <c r="K65" i="4"/>
  <c r="J65" i="4"/>
  <c r="P64" i="4"/>
  <c r="Q64" i="4" s="1"/>
  <c r="O64" i="4"/>
  <c r="N64" i="4"/>
  <c r="M64" i="4"/>
  <c r="L64" i="4"/>
  <c r="K64" i="4"/>
  <c r="J64" i="4"/>
  <c r="P63" i="4"/>
  <c r="Q63" i="4" s="1"/>
  <c r="O63" i="4"/>
  <c r="N63" i="4"/>
  <c r="M63" i="4"/>
  <c r="L63" i="4"/>
  <c r="K63" i="4"/>
  <c r="J63" i="4"/>
  <c r="P62" i="4"/>
  <c r="Q62" i="4" s="1"/>
  <c r="O62" i="4"/>
  <c r="N62" i="4"/>
  <c r="M62" i="4"/>
  <c r="L62" i="4"/>
  <c r="K62" i="4"/>
  <c r="J62" i="4"/>
  <c r="P61" i="4"/>
  <c r="Q61" i="4" s="1"/>
  <c r="O61" i="4"/>
  <c r="N61" i="4"/>
  <c r="M61" i="4"/>
  <c r="L61" i="4"/>
  <c r="K61" i="4"/>
  <c r="J61" i="4"/>
  <c r="P60" i="4"/>
  <c r="Q60" i="4" s="1"/>
  <c r="O60" i="4"/>
  <c r="N60" i="4"/>
  <c r="M60" i="4"/>
  <c r="L60" i="4"/>
  <c r="K60" i="4"/>
  <c r="J60" i="4"/>
  <c r="P59" i="4"/>
  <c r="Q59" i="4" s="1"/>
  <c r="O59" i="4"/>
  <c r="N59" i="4"/>
  <c r="M59" i="4"/>
  <c r="L59" i="4"/>
  <c r="K59" i="4"/>
  <c r="J59" i="4"/>
  <c r="P58" i="4"/>
  <c r="Q58" i="4" s="1"/>
  <c r="O58" i="4"/>
  <c r="N58" i="4"/>
  <c r="M58" i="4"/>
  <c r="L58" i="4"/>
  <c r="K58" i="4"/>
  <c r="J58" i="4"/>
  <c r="P57" i="4"/>
  <c r="Q57" i="4" s="1"/>
  <c r="O57" i="4"/>
  <c r="N57" i="4"/>
  <c r="M57" i="4"/>
  <c r="L57" i="4"/>
  <c r="K57" i="4"/>
  <c r="J57" i="4"/>
  <c r="P56" i="4"/>
  <c r="Q56" i="4" s="1"/>
  <c r="O56" i="4"/>
  <c r="N56" i="4"/>
  <c r="M56" i="4"/>
  <c r="L56" i="4"/>
  <c r="K56" i="4"/>
  <c r="J56" i="4"/>
  <c r="P55" i="4"/>
  <c r="Q55" i="4" s="1"/>
  <c r="O55" i="4"/>
  <c r="N55" i="4"/>
  <c r="M55" i="4"/>
  <c r="L55" i="4"/>
  <c r="K55" i="4"/>
  <c r="J55" i="4"/>
  <c r="P54" i="4"/>
  <c r="Q54" i="4" s="1"/>
  <c r="O54" i="4"/>
  <c r="N54" i="4"/>
  <c r="M54" i="4"/>
  <c r="L54" i="4"/>
  <c r="K54" i="4"/>
  <c r="J54" i="4"/>
  <c r="P53" i="4"/>
  <c r="Q53" i="4" s="1"/>
  <c r="O53" i="4"/>
  <c r="N53" i="4"/>
  <c r="M53" i="4"/>
  <c r="L53" i="4"/>
  <c r="K53" i="4"/>
  <c r="J53" i="4"/>
  <c r="P52" i="4"/>
  <c r="Q52" i="4" s="1"/>
  <c r="O52" i="4"/>
  <c r="N52" i="4"/>
  <c r="M52" i="4"/>
  <c r="L52" i="4"/>
  <c r="K52" i="4"/>
  <c r="J52" i="4"/>
  <c r="P51" i="4"/>
  <c r="Q51" i="4" s="1"/>
  <c r="O51" i="4"/>
  <c r="N51" i="4"/>
  <c r="M51" i="4"/>
  <c r="L51" i="4"/>
  <c r="K51" i="4"/>
  <c r="J51" i="4"/>
  <c r="P50" i="4"/>
  <c r="Q50" i="4" s="1"/>
  <c r="O50" i="4"/>
  <c r="N50" i="4"/>
  <c r="M50" i="4"/>
  <c r="L50" i="4"/>
  <c r="K50" i="4"/>
  <c r="J50" i="4"/>
  <c r="P49" i="4"/>
  <c r="Q49" i="4" s="1"/>
  <c r="O49" i="4"/>
  <c r="N49" i="4"/>
  <c r="M49" i="4"/>
  <c r="L49" i="4"/>
  <c r="K49" i="4"/>
  <c r="J49" i="4"/>
  <c r="P48" i="4"/>
  <c r="Q48" i="4" s="1"/>
  <c r="O48" i="4"/>
  <c r="N48" i="4"/>
  <c r="M48" i="4"/>
  <c r="L48" i="4"/>
  <c r="K48" i="4"/>
  <c r="J48" i="4"/>
  <c r="P47" i="4"/>
  <c r="Q47" i="4" s="1"/>
  <c r="O47" i="4"/>
  <c r="N47" i="4"/>
  <c r="M47" i="4"/>
  <c r="L47" i="4"/>
  <c r="K47" i="4"/>
  <c r="J47" i="4"/>
  <c r="Q46" i="4"/>
  <c r="P46" i="4"/>
  <c r="O46" i="4"/>
  <c r="N46" i="4"/>
  <c r="M46" i="4"/>
  <c r="L46" i="4"/>
  <c r="K46" i="4"/>
  <c r="J46" i="4"/>
  <c r="P45" i="4"/>
  <c r="Q45" i="4" s="1"/>
  <c r="O45" i="4"/>
  <c r="N45" i="4"/>
  <c r="M45" i="4"/>
  <c r="L45" i="4"/>
  <c r="K45" i="4"/>
  <c r="J45" i="4"/>
  <c r="P44" i="4"/>
  <c r="Q44" i="4" s="1"/>
  <c r="O44" i="4"/>
  <c r="N44" i="4"/>
  <c r="M44" i="4"/>
  <c r="L44" i="4"/>
  <c r="K44" i="4"/>
  <c r="J44" i="4"/>
  <c r="P43" i="4"/>
  <c r="Q43" i="4" s="1"/>
  <c r="O43" i="4"/>
  <c r="N43" i="4"/>
  <c r="M43" i="4"/>
  <c r="L43" i="4"/>
  <c r="K43" i="4"/>
  <c r="J43" i="4"/>
  <c r="P42" i="4"/>
  <c r="Q42" i="4" s="1"/>
  <c r="O42" i="4"/>
  <c r="N42" i="4"/>
  <c r="M42" i="4"/>
  <c r="L42" i="4"/>
  <c r="K42" i="4"/>
  <c r="J42" i="4"/>
  <c r="P41" i="4"/>
  <c r="Q41" i="4" s="1"/>
  <c r="O41" i="4"/>
  <c r="N41" i="4"/>
  <c r="M41" i="4"/>
  <c r="L41" i="4"/>
  <c r="K41" i="4"/>
  <c r="J41" i="4"/>
  <c r="P40" i="4"/>
  <c r="Q40" i="4" s="1"/>
  <c r="O40" i="4"/>
  <c r="N40" i="4"/>
  <c r="M40" i="4"/>
  <c r="L40" i="4"/>
  <c r="K40" i="4"/>
  <c r="J40" i="4"/>
  <c r="Q39" i="4"/>
  <c r="P39" i="4"/>
  <c r="O39" i="4"/>
  <c r="N39" i="4"/>
  <c r="M39" i="4"/>
  <c r="L39" i="4"/>
  <c r="K39" i="4"/>
  <c r="J39" i="4"/>
  <c r="P38" i="4"/>
  <c r="Q38" i="4" s="1"/>
  <c r="O38" i="4"/>
  <c r="N38" i="4"/>
  <c r="M38" i="4"/>
  <c r="L38" i="4"/>
  <c r="K38" i="4"/>
  <c r="J38" i="4"/>
  <c r="P37" i="4"/>
  <c r="Q37" i="4" s="1"/>
  <c r="O37" i="4"/>
  <c r="N37" i="4"/>
  <c r="M37" i="4"/>
  <c r="L37" i="4"/>
  <c r="K37" i="4"/>
  <c r="J37" i="4"/>
  <c r="P36" i="4"/>
  <c r="Q36" i="4" s="1"/>
  <c r="O36" i="4"/>
  <c r="N36" i="4"/>
  <c r="M36" i="4"/>
  <c r="L36" i="4"/>
  <c r="K36" i="4"/>
  <c r="J36" i="4"/>
  <c r="P35" i="4"/>
  <c r="Q35" i="4" s="1"/>
  <c r="O35" i="4"/>
  <c r="N35" i="4"/>
  <c r="M35" i="4"/>
  <c r="L35" i="4"/>
  <c r="K35" i="4"/>
  <c r="J35" i="4"/>
  <c r="P34" i="4"/>
  <c r="Q34" i="4" s="1"/>
  <c r="O34" i="4"/>
  <c r="N34" i="4"/>
  <c r="M34" i="4"/>
  <c r="L34" i="4"/>
  <c r="K34" i="4"/>
  <c r="J34" i="4"/>
  <c r="P33" i="4"/>
  <c r="Q33" i="4" s="1"/>
  <c r="O33" i="4"/>
  <c r="N33" i="4"/>
  <c r="M33" i="4"/>
  <c r="L33" i="4"/>
  <c r="K33" i="4"/>
  <c r="J33" i="4"/>
  <c r="P32" i="4"/>
  <c r="Q32" i="4" s="1"/>
  <c r="O32" i="4"/>
  <c r="N32" i="4"/>
  <c r="M32" i="4"/>
  <c r="L32" i="4"/>
  <c r="K32" i="4"/>
  <c r="J32" i="4"/>
  <c r="P31" i="4"/>
  <c r="Q31" i="4" s="1"/>
  <c r="O31" i="4"/>
  <c r="N31" i="4"/>
  <c r="M31" i="4"/>
  <c r="L31" i="4"/>
  <c r="K31" i="4"/>
  <c r="J31" i="4"/>
  <c r="P30" i="4"/>
  <c r="Q30" i="4" s="1"/>
  <c r="O30" i="4"/>
  <c r="N30" i="4"/>
  <c r="M30" i="4"/>
  <c r="L30" i="4"/>
  <c r="K30" i="4"/>
  <c r="J30" i="4"/>
  <c r="P29" i="4"/>
  <c r="Q29" i="4" s="1"/>
  <c r="O29" i="4"/>
  <c r="N29" i="4"/>
  <c r="M29" i="4"/>
  <c r="L29" i="4"/>
  <c r="K29" i="4"/>
  <c r="J29" i="4"/>
  <c r="P28" i="4"/>
  <c r="Q28" i="4" s="1"/>
  <c r="O28" i="4"/>
  <c r="N28" i="4"/>
  <c r="M28" i="4"/>
  <c r="L28" i="4"/>
  <c r="K28" i="4"/>
  <c r="J28" i="4"/>
  <c r="P27" i="4"/>
  <c r="Q27" i="4" s="1"/>
  <c r="O27" i="4"/>
  <c r="N27" i="4"/>
  <c r="M27" i="4"/>
  <c r="L27" i="4"/>
  <c r="K27" i="4"/>
  <c r="J27" i="4"/>
  <c r="P26" i="4"/>
  <c r="Q26" i="4" s="1"/>
  <c r="O26" i="4"/>
  <c r="N26" i="4"/>
  <c r="M26" i="4"/>
  <c r="L26" i="4"/>
  <c r="K26" i="4"/>
  <c r="J26" i="4"/>
  <c r="P25" i="4"/>
  <c r="Q25" i="4" s="1"/>
  <c r="O25" i="4"/>
  <c r="N25" i="4"/>
  <c r="M25" i="4"/>
  <c r="L25" i="4"/>
  <c r="K25" i="4"/>
  <c r="J25" i="4"/>
  <c r="P24" i="4"/>
  <c r="Q24" i="4" s="1"/>
  <c r="O24" i="4"/>
  <c r="N24" i="4"/>
  <c r="M24" i="4"/>
  <c r="L24" i="4"/>
  <c r="K24" i="4"/>
  <c r="J24" i="4"/>
  <c r="P23" i="4"/>
  <c r="Q23" i="4" s="1"/>
  <c r="O23" i="4"/>
  <c r="N23" i="4"/>
  <c r="M23" i="4"/>
  <c r="L23" i="4"/>
  <c r="K23" i="4"/>
  <c r="J23" i="4"/>
  <c r="P22" i="4"/>
  <c r="Q22" i="4" s="1"/>
  <c r="O22" i="4"/>
  <c r="N22" i="4"/>
  <c r="M22" i="4"/>
  <c r="L22" i="4"/>
  <c r="K22" i="4"/>
  <c r="J22" i="4"/>
  <c r="P21" i="4"/>
  <c r="Q21" i="4" s="1"/>
  <c r="O21" i="4"/>
  <c r="N21" i="4"/>
  <c r="M21" i="4"/>
  <c r="L21" i="4"/>
  <c r="K21" i="4"/>
  <c r="J21" i="4"/>
  <c r="P20" i="4"/>
  <c r="Q20" i="4" s="1"/>
  <c r="O20" i="4"/>
  <c r="N20" i="4"/>
  <c r="M20" i="4"/>
  <c r="L20" i="4"/>
  <c r="K20" i="4"/>
  <c r="J20" i="4"/>
  <c r="P19" i="4"/>
  <c r="Q19" i="4" s="1"/>
  <c r="O19" i="4"/>
  <c r="N19" i="4"/>
  <c r="M19" i="4"/>
  <c r="L19" i="4"/>
  <c r="K19" i="4"/>
  <c r="J19" i="4"/>
  <c r="P18" i="4"/>
  <c r="Q18" i="4" s="1"/>
  <c r="O18" i="4"/>
  <c r="N18" i="4"/>
  <c r="M18" i="4"/>
  <c r="L18" i="4"/>
  <c r="K18" i="4"/>
  <c r="J18" i="4"/>
  <c r="P17" i="4"/>
  <c r="Q17" i="4" s="1"/>
  <c r="O17" i="4"/>
  <c r="N17" i="4"/>
  <c r="M17" i="4"/>
  <c r="L17" i="4"/>
  <c r="K17" i="4"/>
  <c r="J17" i="4"/>
  <c r="P16" i="4"/>
  <c r="Q16" i="4" s="1"/>
  <c r="O16" i="4"/>
  <c r="N16" i="4"/>
  <c r="M16" i="4"/>
  <c r="L16" i="4"/>
  <c r="K16" i="4"/>
  <c r="J16" i="4"/>
  <c r="P15" i="4"/>
  <c r="Q15" i="4" s="1"/>
  <c r="O15" i="4"/>
  <c r="N15" i="4"/>
  <c r="M15" i="4"/>
  <c r="L15" i="4"/>
  <c r="K15" i="4"/>
  <c r="J15" i="4"/>
  <c r="P14" i="4"/>
  <c r="Q14" i="4" s="1"/>
  <c r="O14" i="4"/>
  <c r="N14" i="4"/>
  <c r="M14" i="4"/>
  <c r="L14" i="4"/>
  <c r="K14" i="4"/>
  <c r="J14" i="4"/>
  <c r="P13" i="4"/>
  <c r="Q13" i="4" s="1"/>
  <c r="O13" i="4"/>
  <c r="N13" i="4"/>
  <c r="M13" i="4"/>
  <c r="L13" i="4"/>
  <c r="K13" i="4"/>
  <c r="J13" i="4"/>
  <c r="P12" i="4"/>
  <c r="Q12" i="4" s="1"/>
  <c r="O12" i="4"/>
  <c r="N12" i="4"/>
  <c r="M12" i="4"/>
  <c r="L12" i="4"/>
  <c r="K12" i="4"/>
  <c r="J12" i="4"/>
  <c r="Q11" i="4"/>
  <c r="P11" i="4"/>
  <c r="O11" i="4"/>
  <c r="N11" i="4"/>
  <c r="M11" i="4"/>
  <c r="L11" i="4"/>
  <c r="K11" i="4"/>
  <c r="J11" i="4"/>
  <c r="P10" i="4"/>
  <c r="Q10" i="4" s="1"/>
  <c r="O10" i="4"/>
  <c r="N10" i="4"/>
  <c r="M10" i="4"/>
  <c r="L10" i="4"/>
  <c r="K10" i="4"/>
  <c r="J10" i="4"/>
  <c r="P9" i="4"/>
  <c r="Q9" i="4" s="1"/>
  <c r="O9" i="4"/>
  <c r="N9" i="4"/>
  <c r="M9" i="4"/>
  <c r="L9" i="4"/>
  <c r="K9" i="4"/>
  <c r="J9" i="4"/>
  <c r="P8" i="4"/>
  <c r="Q8" i="4" s="1"/>
  <c r="O8" i="4"/>
  <c r="N8" i="4"/>
  <c r="M8" i="4"/>
  <c r="L8" i="4"/>
  <c r="K8" i="4"/>
  <c r="J8" i="4"/>
  <c r="P7" i="4"/>
  <c r="Q7" i="4" s="1"/>
  <c r="O7" i="4"/>
  <c r="N7" i="4"/>
  <c r="M7" i="4"/>
  <c r="L7" i="4"/>
  <c r="K7" i="4"/>
  <c r="J7" i="4"/>
  <c r="P6" i="4"/>
  <c r="Q6" i="4" s="1"/>
  <c r="O6" i="4"/>
  <c r="N6" i="4"/>
  <c r="M6" i="4"/>
  <c r="L6" i="4"/>
  <c r="K6" i="4"/>
  <c r="J6" i="4"/>
  <c r="P5" i="4"/>
  <c r="Q5" i="4" s="1"/>
  <c r="O5" i="4"/>
  <c r="N5" i="4"/>
  <c r="M5" i="4"/>
  <c r="L5" i="4"/>
  <c r="K5" i="4"/>
  <c r="J5" i="4"/>
  <c r="P4" i="4"/>
  <c r="Q4" i="4" s="1"/>
  <c r="O4" i="4"/>
  <c r="N4" i="4"/>
  <c r="M4" i="4"/>
  <c r="L4" i="4"/>
  <c r="K4" i="4"/>
  <c r="J4" i="4"/>
  <c r="P3" i="4"/>
  <c r="Q3" i="4" s="1"/>
  <c r="O3" i="4"/>
  <c r="N3" i="4"/>
  <c r="M3" i="4"/>
  <c r="L3" i="4"/>
  <c r="K3" i="4"/>
  <c r="J3" i="4"/>
  <c r="P2" i="4"/>
  <c r="Q2" i="4" s="1"/>
  <c r="O2" i="4"/>
  <c r="N2" i="4"/>
  <c r="M2" i="4"/>
  <c r="L2" i="4"/>
  <c r="K2" i="4"/>
  <c r="J2" i="4"/>
  <c r="B4" i="5" l="1"/>
  <c r="B2" i="5"/>
  <c r="B7" i="5"/>
  <c r="B6" i="5"/>
  <c r="B5" i="5"/>
  <c r="B8" i="5"/>
  <c r="B3" i="5"/>
</calcChain>
</file>

<file path=xl/sharedStrings.xml><?xml version="1.0" encoding="utf-8"?>
<sst xmlns="http://schemas.openxmlformats.org/spreadsheetml/2006/main" count="33665" uniqueCount="3335">
  <si>
    <t>Day 26 Solution - Data Quality &amp; Auditing</t>
  </si>
  <si>
    <t>Data: 'Returns Audit' sheet, 2500 rows. Built 2026-07-03.</t>
  </si>
  <si>
    <t>Task 1: Flag Missing Product Codes or Return Reasons.</t>
  </si>
  <si>
    <t>Sheet: 'Returns Audit (Solved)', column J.</t>
  </si>
  <si>
    <t>Formula (J2): =IF(OR(ISBLANK(C2),ISBLANK(D2)),"Missing","")</t>
  </si>
  <si>
    <t>ANSWER: 247 rows flagged Missing (pandas cross-check: Product Code blank OR Return Reason blank - matches).</t>
  </si>
  <si>
    <t>Task 2: Identify Duplicate Return IDs.</t>
  </si>
  <si>
    <t>Sheet: 'Returns Audit (Solved)', column K.</t>
  </si>
  <si>
    <t>Formula (K2): =IF(COUNTIF($A$2:$A$2501,A2)&gt;1,"Duplicate","")</t>
  </si>
  <si>
    <t>ANSWER: 270 rows flagged Duplicate (270 rows belonging to 128 Return IDs that each appear more than once - pandas cross-check matches).</t>
  </si>
  <si>
    <t>Task 3: Flag Unusual Refund Amounts.</t>
  </si>
  <si>
    <t>Sheet: 'Returns Audit (Solved)', column L. 'Unusual' = $0 (no refund actually issued) or over $10,000.</t>
  </si>
  <si>
    <t>Formula (L2): =IF(OR(E2=0,E2&gt;10000),"Unusual","")</t>
  </si>
  <si>
    <t>ANSWER: 610 rows flagged Unusual (266 at $0, 344 over $10,000 - pandas cross-check matches).</t>
  </si>
  <si>
    <t>Task 4: Highlight Invalid Customer Emails.</t>
  </si>
  <si>
    <t>Sheet: 'Returns Audit (Solved)', column M. Invalid = blank, OR no '@', OR no '.' in the part after the '@' (no domain, e.g. 'nina@example').</t>
  </si>
  <si>
    <t>Formula (M2): =IF(OR(ISBLANK(G2),ISERROR(FIND("@",G2)),ISERROR(FIND(".",G2,FIND("@",G2)+1))),"Invalid","")</t>
  </si>
  <si>
    <t>ANSWER: 462 rows flagged Invalid (243 blank + 219 present but malformed - pandas cross-check matches).</t>
  </si>
  <si>
    <t>Task 5: Spot Invalid Countries.</t>
  </si>
  <si>
    <t>Sheet: 'Returns Audit (Solved)', column N, validated against the list in $S$2:$S$6 (USA, Canada, UK, Australia, Germany). Blank countries also fail the match and are flagged Invalid.</t>
  </si>
  <si>
    <t>Formula (N2): =IF(COUNTIF($S$2:$S$6,H2)=0,"Invalid","")</t>
  </si>
  <si>
    <t>ANSWER: 1378 rows flagged Invalid (values seen include misspellings 'Canaada'/'U.S.A.' and non-countries 'Earth'/'Mars'/'UAE', plus blanks - pandas cross-check matches).</t>
  </si>
  <si>
    <t>Task 6: Check for Outdated Return Dates.</t>
  </si>
  <si>
    <t>Sheet: 'Returns Audit (Solved)', column O. Outdated = Return Date older than 12 months before today.</t>
  </si>
  <si>
    <t>Formula (O2): =IF(F2&lt;EDATE(TODAY(),-12),"Outdated","")</t>
  </si>
  <si>
    <t>ANSWER (as at 2026-07-03, cutoff 2025-07-03): 2444 of 2500 rows flagged Outdated - pandas cross-check matches. NOTE: this uses TODAY(), so the count recalculates automatically every time the workbook is opened and will change as time passes.</t>
  </si>
  <si>
    <t>Task 7: Catch Inconsistent Return Reasons.</t>
  </si>
  <si>
    <t>Sheet: 'Returns Audit (Solved)', column P standardises each reason to proper case/trimmed text (e.g. 'wrong item' -&gt; 'Wrong Item'); column Q flags any row whose original text does not exactly match that standardised version (typos / inconsistent casing).</t>
  </si>
  <si>
    <t>Formula (P2): =IF(ISBLANK(D2),"",PROPER(TRIM(D2)))</t>
  </si>
  <si>
    <t>Formula (Q2): =IF(ISBLANK(D2),"",IF(EXACT(D2,P2),"","Inconsistent"))</t>
  </si>
  <si>
    <t>ANSWER: 356 rows flagged Inconsistent - all case variants of the 4 canonical reasons (Wrong Item, Damaged, Late Delivery, Not As Described): 'DAMAGED'=117, 'Wrong item'=128, 'damaged'=111 - pandas cross-check matches.</t>
  </si>
  <si>
    <t>Task 8: Build Data Quality Summary.</t>
  </si>
  <si>
    <t>Sheet: 'Data Quality Summary'. Table of live =COUNTIF(...) formulas rolling up each flag column from 'Returns Audit (Solved)', plus a bar chart (count per issue category) and a pie chart (share of each issue type) built directly off that table.</t>
  </si>
  <si>
    <t>ANSWER (counts as at build time): Missing (Product Code / Return Reason)=247, Duplicate Return ID=270, Unusual Refund Amount=610, Invalid Customer Email=462, Invalid Country=1378, Outdated Return Date=2444, Inconsistent Return Reason=356.</t>
  </si>
  <si>
    <t>Instructions</t>
  </si>
  <si>
    <t>Day 26 - Data Quality Audit Exercise</t>
  </si>
  <si>
    <t>Scenario:</t>
  </si>
  <si>
    <t>You've been asked to audit the Returns and Damaged Goods data before presenting to Finance.</t>
  </si>
  <si>
    <t>Some fields may be missing, inconsistent or duplicated.</t>
  </si>
  <si>
    <t>Task</t>
  </si>
  <si>
    <t>Description</t>
  </si>
  <si>
    <t>🔧 Task 1: Flag Missing Product Codes or Return Reasons</t>
  </si>
  <si>
    <t>Check if 'Product Code' or 'Return Reason' is blank. If so, flag the row as 'Missing'.</t>
  </si>
  <si>
    <t>🔧 Task 2: Identify Duplicate Return IDs</t>
  </si>
  <si>
    <t>Check if 'Return ID' appears more than once. Flag these as 'Duplicate'.</t>
  </si>
  <si>
    <t>🔧 Task 3: Flag Unusual Refund Amounts</t>
  </si>
  <si>
    <t>If 'Refund Amount ($)' is 0 or unusually high (e.g., over $10,000), flag it as 'Unusual'.</t>
  </si>
  <si>
    <t>🔧 Task 4: Highlight Invalid Customer Emails</t>
  </si>
  <si>
    <t>Check if 'Customer Email' is missing or does not contain '@' and a domain. Flag as 'Invalid'.</t>
  </si>
  <si>
    <t>🔧 Task 5: Spot Invalid Countries</t>
  </si>
  <si>
    <t>Validate 'Country' against this list: USA, Canada, UK, Australia, Germany. Others should be flagged as 'Invalid'.</t>
  </si>
  <si>
    <t>🔧 Task 6: Check for Outdated Return Dates</t>
  </si>
  <si>
    <t>Flag any 'Return Date' that is older than 12 months from today.</t>
  </si>
  <si>
    <t>🔧 Task 7: Catch Inconsistent Return Reasons</t>
  </si>
  <si>
    <t>Standardize 'Return Reason' values (e.g., wrong item, damaged). Flag any with typos or inconsistent casing.</t>
  </si>
  <si>
    <t>🔧 Task 8: Build Data Quality Summary</t>
  </si>
  <si>
    <t>Create a table summarizing the count of each flagged issue and visualize it using a bar and pie chart.</t>
  </si>
  <si>
    <t>Optional:</t>
  </si>
  <si>
    <t>- Create a bar chart showing number of issues per category.</t>
  </si>
  <si>
    <t>- Create a pie chart showing which issue type is most common.</t>
  </si>
  <si>
    <t>Goal:</t>
  </si>
  <si>
    <t>To practice data auditing and gain confidence in spotting data quality issues before presenting to stakeholders.</t>
  </si>
  <si>
    <t>Return ID</t>
  </si>
  <si>
    <t>Customer Name</t>
  </si>
  <si>
    <t>Product Code</t>
  </si>
  <si>
    <t>Return Reason</t>
  </si>
  <si>
    <t>Refund Amount ($)</t>
  </si>
  <si>
    <t>Return Date</t>
  </si>
  <si>
    <t>Customer Email</t>
  </si>
  <si>
    <t>Country</t>
  </si>
  <si>
    <t>Product Category</t>
  </si>
  <si>
    <t>R-1000</t>
  </si>
  <si>
    <t>Kwame Patel</t>
  </si>
  <si>
    <t>P-960</t>
  </si>
  <si>
    <t>Wrong Item</t>
  </si>
  <si>
    <t>kwame.patel@example.com</t>
  </si>
  <si>
    <t>UK</t>
  </si>
  <si>
    <t>Beauty</t>
  </si>
  <si>
    <t>R-1001</t>
  </si>
  <si>
    <t>Elena Sato</t>
  </si>
  <si>
    <t>P-171</t>
  </si>
  <si>
    <t>USA</t>
  </si>
  <si>
    <t>Homeware</t>
  </si>
  <si>
    <t>R-1002</t>
  </si>
  <si>
    <t>P-714</t>
  </si>
  <si>
    <t>Late Delivery</t>
  </si>
  <si>
    <t>elena.sato@example.com</t>
  </si>
  <si>
    <t>Canaada</t>
  </si>
  <si>
    <t>Books</t>
  </si>
  <si>
    <t>R-1003</t>
  </si>
  <si>
    <t>Samuel Gomez</t>
  </si>
  <si>
    <t>P-314</t>
  </si>
  <si>
    <t>Not As Described</t>
  </si>
  <si>
    <t>samuel.gomez@example.com</t>
  </si>
  <si>
    <t>R-1004</t>
  </si>
  <si>
    <t>Zara Williams</t>
  </si>
  <si>
    <t>P-187</t>
  </si>
  <si>
    <t>zara.williams@example.com</t>
  </si>
  <si>
    <t>R-1005</t>
  </si>
  <si>
    <t>Lucia Khan</t>
  </si>
  <si>
    <t>P-971</t>
  </si>
  <si>
    <t>Damaged</t>
  </si>
  <si>
    <t>lucia.khan@example.com</t>
  </si>
  <si>
    <t>R-1006</t>
  </si>
  <si>
    <t>Omar Silva</t>
  </si>
  <si>
    <t>P-761</t>
  </si>
  <si>
    <t>damaged</t>
  </si>
  <si>
    <t>Germany</t>
  </si>
  <si>
    <t>R-1007</t>
  </si>
  <si>
    <t>Mei Patel</t>
  </si>
  <si>
    <t>P-443</t>
  </si>
  <si>
    <t>mei.patel@example.com</t>
  </si>
  <si>
    <t>Clothing</t>
  </si>
  <si>
    <t>R-1008</t>
  </si>
  <si>
    <t>P-905</t>
  </si>
  <si>
    <t>omar.silva@example.com</t>
  </si>
  <si>
    <t>Canada</t>
  </si>
  <si>
    <t>R-1009</t>
  </si>
  <si>
    <t>U.S.A.</t>
  </si>
  <si>
    <t>Electronics</t>
  </si>
  <si>
    <t>R-1010</t>
  </si>
  <si>
    <t>P-260</t>
  </si>
  <si>
    <t>R-2813</t>
  </si>
  <si>
    <t>P-121</t>
  </si>
  <si>
    <t>R-1012</t>
  </si>
  <si>
    <t>R-2305</t>
  </si>
  <si>
    <t>R-2181</t>
  </si>
  <si>
    <t>P-610</t>
  </si>
  <si>
    <t>Earth</t>
  </si>
  <si>
    <t>R-1015</t>
  </si>
  <si>
    <t>P-575</t>
  </si>
  <si>
    <t>R-1016</t>
  </si>
  <si>
    <t>P-882</t>
  </si>
  <si>
    <t>Mars</t>
  </si>
  <si>
    <t>R-1017</t>
  </si>
  <si>
    <t>P-786</t>
  </si>
  <si>
    <t>UAE</t>
  </si>
  <si>
    <t>R-1018</t>
  </si>
  <si>
    <t>Nina Ivanov</t>
  </si>
  <si>
    <t>P-975</t>
  </si>
  <si>
    <t>nina.ivanov@example.com</t>
  </si>
  <si>
    <t>R-1019</t>
  </si>
  <si>
    <t>P-931</t>
  </si>
  <si>
    <t>R-1020</t>
  </si>
  <si>
    <t>P-584</t>
  </si>
  <si>
    <t>Australia</t>
  </si>
  <si>
    <t>R-1021</t>
  </si>
  <si>
    <t>P-120</t>
  </si>
  <si>
    <t>Wrong item</t>
  </si>
  <si>
    <t>R-1022</t>
  </si>
  <si>
    <t>P-373</t>
  </si>
  <si>
    <t>R-1023</t>
  </si>
  <si>
    <t>P-415</t>
  </si>
  <si>
    <t>R-1024</t>
  </si>
  <si>
    <t>P-876</t>
  </si>
  <si>
    <t>DAMAGED</t>
  </si>
  <si>
    <t>R-2141</t>
  </si>
  <si>
    <t>R-1026</t>
  </si>
  <si>
    <t>P-191</t>
  </si>
  <si>
    <t>R-1027</t>
  </si>
  <si>
    <t>P-554</t>
  </si>
  <si>
    <t>R-1028</t>
  </si>
  <si>
    <t>P-875</t>
  </si>
  <si>
    <t>Toys</t>
  </si>
  <si>
    <t>R-2327</t>
  </si>
  <si>
    <t>R-1030</t>
  </si>
  <si>
    <t>P-661</t>
  </si>
  <si>
    <t>R-1031</t>
  </si>
  <si>
    <t>P-101</t>
  </si>
  <si>
    <t>R-1032</t>
  </si>
  <si>
    <t>P-665</t>
  </si>
  <si>
    <t>R-1033</t>
  </si>
  <si>
    <t>Victor Adu</t>
  </si>
  <si>
    <t>P-921</t>
  </si>
  <si>
    <t>victor.adu@example.com</t>
  </si>
  <si>
    <t>R-1034</t>
  </si>
  <si>
    <t>R-1035</t>
  </si>
  <si>
    <t>P-655</t>
  </si>
  <si>
    <t>R-1036</t>
  </si>
  <si>
    <t>P-369</t>
  </si>
  <si>
    <t>R-2750</t>
  </si>
  <si>
    <t>P-370</t>
  </si>
  <si>
    <t>R-3494</t>
  </si>
  <si>
    <t>P-826</t>
  </si>
  <si>
    <t>R-1039</t>
  </si>
  <si>
    <t>P-801</t>
  </si>
  <si>
    <t>R-1040</t>
  </si>
  <si>
    <t>P-819</t>
  </si>
  <si>
    <t>R-1041</t>
  </si>
  <si>
    <t>P-978</t>
  </si>
  <si>
    <t>R-1042</t>
  </si>
  <si>
    <t>P-316</t>
  </si>
  <si>
    <t>R-1043</t>
  </si>
  <si>
    <t>P-479</t>
  </si>
  <si>
    <t>nina@example</t>
  </si>
  <si>
    <t>R-2235</t>
  </si>
  <si>
    <t>P-256</t>
  </si>
  <si>
    <t>R-1045</t>
  </si>
  <si>
    <t>P-164</t>
  </si>
  <si>
    <t>R-1046</t>
  </si>
  <si>
    <t>R-1047</t>
  </si>
  <si>
    <t>P-228</t>
  </si>
  <si>
    <t>R-1048</t>
  </si>
  <si>
    <t>P-571</t>
  </si>
  <si>
    <t>R-1049</t>
  </si>
  <si>
    <t>R-1050</t>
  </si>
  <si>
    <t>P-491</t>
  </si>
  <si>
    <t>R-1051</t>
  </si>
  <si>
    <t>P-388</t>
  </si>
  <si>
    <t>R-1052</t>
  </si>
  <si>
    <t>P-589</t>
  </si>
  <si>
    <t>R-1053</t>
  </si>
  <si>
    <t>P-140</t>
  </si>
  <si>
    <t>R-1054</t>
  </si>
  <si>
    <t>P-300</t>
  </si>
  <si>
    <t>R-1055</t>
  </si>
  <si>
    <t>P-132</t>
  </si>
  <si>
    <t>R-1614</t>
  </si>
  <si>
    <t>P-506</t>
  </si>
  <si>
    <t>R-1057</t>
  </si>
  <si>
    <t>P-904</t>
  </si>
  <si>
    <t>R-1058</t>
  </si>
  <si>
    <t>R-1059</t>
  </si>
  <si>
    <t>P-646</t>
  </si>
  <si>
    <t>R-1060</t>
  </si>
  <si>
    <t>P-712</t>
  </si>
  <si>
    <t>R-1061</t>
  </si>
  <si>
    <t>P-742</t>
  </si>
  <si>
    <t>R-1062</t>
  </si>
  <si>
    <t>P-317</t>
  </si>
  <si>
    <t>R-1063</t>
  </si>
  <si>
    <t>P-497</t>
  </si>
  <si>
    <t>R-1064</t>
  </si>
  <si>
    <t>P-492</t>
  </si>
  <si>
    <t>R-1065</t>
  </si>
  <si>
    <t>P-957</t>
  </si>
  <si>
    <t>victor@example</t>
  </si>
  <si>
    <t>R-1066</t>
  </si>
  <si>
    <t>R-1067</t>
  </si>
  <si>
    <t>P-674</t>
  </si>
  <si>
    <t>R-1068</t>
  </si>
  <si>
    <t>P-340</t>
  </si>
  <si>
    <t>R-2624</t>
  </si>
  <si>
    <t>P-195</t>
  </si>
  <si>
    <t>R-1070</t>
  </si>
  <si>
    <t>R-1071</t>
  </si>
  <si>
    <t>P-848</t>
  </si>
  <si>
    <t>omar@example</t>
  </si>
  <si>
    <t>R-1072</t>
  </si>
  <si>
    <t>P-640</t>
  </si>
  <si>
    <t>R-1073</t>
  </si>
  <si>
    <t>P-259</t>
  </si>
  <si>
    <t>R-1074</t>
  </si>
  <si>
    <t>P-342</t>
  </si>
  <si>
    <t>R-1075</t>
  </si>
  <si>
    <t>P-677</t>
  </si>
  <si>
    <t>R-1076</t>
  </si>
  <si>
    <t>P-673</t>
  </si>
  <si>
    <t>R-1077</t>
  </si>
  <si>
    <t>P-745</t>
  </si>
  <si>
    <t>R-1078</t>
  </si>
  <si>
    <t>P-719</t>
  </si>
  <si>
    <t>R-1079</t>
  </si>
  <si>
    <t>P-897</t>
  </si>
  <si>
    <t>R-1080</t>
  </si>
  <si>
    <t>P-739</t>
  </si>
  <si>
    <t>R-1081</t>
  </si>
  <si>
    <t>P-447</t>
  </si>
  <si>
    <t>R-1082</t>
  </si>
  <si>
    <t>P-289</t>
  </si>
  <si>
    <t>R-2930</t>
  </si>
  <si>
    <t>P-476</t>
  </si>
  <si>
    <t>R-1084</t>
  </si>
  <si>
    <t>P-732</t>
  </si>
  <si>
    <t>R-1085</t>
  </si>
  <si>
    <t>P-844</t>
  </si>
  <si>
    <t>R-1086</t>
  </si>
  <si>
    <t>P-809</t>
  </si>
  <si>
    <t>elena@example</t>
  </si>
  <si>
    <t>R-1087</t>
  </si>
  <si>
    <t>P-748</t>
  </si>
  <si>
    <t>R-1088</t>
  </si>
  <si>
    <t>P-324</t>
  </si>
  <si>
    <t>R-1089</t>
  </si>
  <si>
    <t>P-783</t>
  </si>
  <si>
    <t>lucia@example</t>
  </si>
  <si>
    <t>R-1090</t>
  </si>
  <si>
    <t>P-926</t>
  </si>
  <si>
    <t>R-1091</t>
  </si>
  <si>
    <t>P-707</t>
  </si>
  <si>
    <t>R-1092</t>
  </si>
  <si>
    <t>P-791</t>
  </si>
  <si>
    <t>R-1093</t>
  </si>
  <si>
    <t>P-596</t>
  </si>
  <si>
    <t>R-1094</t>
  </si>
  <si>
    <t>P-367</t>
  </si>
  <si>
    <t>samuel@example</t>
  </si>
  <si>
    <t>R-1095</t>
  </si>
  <si>
    <t>P-485</t>
  </si>
  <si>
    <t>R-1096</t>
  </si>
  <si>
    <t>R-1097</t>
  </si>
  <si>
    <t>P-180</t>
  </si>
  <si>
    <t>R-1098</t>
  </si>
  <si>
    <t>R-1099</t>
  </si>
  <si>
    <t>R-1100</t>
  </si>
  <si>
    <t>R-1101</t>
  </si>
  <si>
    <t>P-484</t>
  </si>
  <si>
    <t>mei@example</t>
  </si>
  <si>
    <t>R-1102</t>
  </si>
  <si>
    <t>P-229</t>
  </si>
  <si>
    <t>R-1103</t>
  </si>
  <si>
    <t>P-829</t>
  </si>
  <si>
    <t>R-1104</t>
  </si>
  <si>
    <t>P-515</t>
  </si>
  <si>
    <t>R-1105</t>
  </si>
  <si>
    <t>P-538</t>
  </si>
  <si>
    <t>R-1106</t>
  </si>
  <si>
    <t>P-222</t>
  </si>
  <si>
    <t>R-1107</t>
  </si>
  <si>
    <t>P-393</t>
  </si>
  <si>
    <t>R-1108</t>
  </si>
  <si>
    <t>P-983</t>
  </si>
  <si>
    <t>R-1109</t>
  </si>
  <si>
    <t>R-1110</t>
  </si>
  <si>
    <t>P-708</t>
  </si>
  <si>
    <t>R-1111</t>
  </si>
  <si>
    <t>P-286</t>
  </si>
  <si>
    <t>R-1112</t>
  </si>
  <si>
    <t>P-448</t>
  </si>
  <si>
    <t>R-1113</t>
  </si>
  <si>
    <t>P-863</t>
  </si>
  <si>
    <t>R-1114</t>
  </si>
  <si>
    <t>P-502</t>
  </si>
  <si>
    <t>R-1115</t>
  </si>
  <si>
    <t>R-1116</t>
  </si>
  <si>
    <t>P-963</t>
  </si>
  <si>
    <t>zara@example</t>
  </si>
  <si>
    <t>R-1117</t>
  </si>
  <si>
    <t>P-588</t>
  </si>
  <si>
    <t>R-1118</t>
  </si>
  <si>
    <t>R-1119</t>
  </si>
  <si>
    <t>R-1120</t>
  </si>
  <si>
    <t>P-572</t>
  </si>
  <si>
    <t>R-1121</t>
  </si>
  <si>
    <t>P-514</t>
  </si>
  <si>
    <t>R-1122</t>
  </si>
  <si>
    <t>P-710</t>
  </si>
  <si>
    <t>R-1123</t>
  </si>
  <si>
    <t>P-243</t>
  </si>
  <si>
    <t>R-1124</t>
  </si>
  <si>
    <t>P-671</t>
  </si>
  <si>
    <t>R-1125</t>
  </si>
  <si>
    <t>P-996</t>
  </si>
  <si>
    <t>R-1126</t>
  </si>
  <si>
    <t>P-751</t>
  </si>
  <si>
    <t>R-1127</t>
  </si>
  <si>
    <t>R-1128</t>
  </si>
  <si>
    <t>P-108</t>
  </si>
  <si>
    <t>R-1129</t>
  </si>
  <si>
    <t>P-758</t>
  </si>
  <si>
    <t>R-1130</t>
  </si>
  <si>
    <t>P-230</t>
  </si>
  <si>
    <t>R-1131</t>
  </si>
  <si>
    <t>P-153</t>
  </si>
  <si>
    <t>R-1132</t>
  </si>
  <si>
    <t>P-727</t>
  </si>
  <si>
    <t>R-1133</t>
  </si>
  <si>
    <t>P-519</t>
  </si>
  <si>
    <t>R-1134</t>
  </si>
  <si>
    <t>P-951</t>
  </si>
  <si>
    <t>R-1135</t>
  </si>
  <si>
    <t>P-211</t>
  </si>
  <si>
    <t>R-1136</t>
  </si>
  <si>
    <t>P-198</t>
  </si>
  <si>
    <t>R-1137</t>
  </si>
  <si>
    <t>P-995</t>
  </si>
  <si>
    <t>R-1138</t>
  </si>
  <si>
    <t>P-805</t>
  </si>
  <si>
    <t>R-1139</t>
  </si>
  <si>
    <t>R-1140</t>
  </si>
  <si>
    <t>R-1141</t>
  </si>
  <si>
    <t>R-1142</t>
  </si>
  <si>
    <t>P-915</t>
  </si>
  <si>
    <t>R-1143</t>
  </si>
  <si>
    <t>R-1144</t>
  </si>
  <si>
    <t>P-294</t>
  </si>
  <si>
    <t>R-1145</t>
  </si>
  <si>
    <t>R-1727</t>
  </si>
  <si>
    <t>P-982</t>
  </si>
  <si>
    <t>R-1900</t>
  </si>
  <si>
    <t>R-1148</t>
  </si>
  <si>
    <t>P-137</t>
  </si>
  <si>
    <t>R-1149</t>
  </si>
  <si>
    <t>P-662</t>
  </si>
  <si>
    <t>R-1150</t>
  </si>
  <si>
    <t>P-382</t>
  </si>
  <si>
    <t>R-1151</t>
  </si>
  <si>
    <t>P-376</t>
  </si>
  <si>
    <t>R-1152</t>
  </si>
  <si>
    <t>P-383</t>
  </si>
  <si>
    <t>R-1153</t>
  </si>
  <si>
    <t>P-580</t>
  </si>
  <si>
    <t>R-1154</t>
  </si>
  <si>
    <t>P-928</t>
  </si>
  <si>
    <t>R-1155</t>
  </si>
  <si>
    <t>P-615</t>
  </si>
  <si>
    <t>R-1156</t>
  </si>
  <si>
    <t>R-1157</t>
  </si>
  <si>
    <t>P-116</t>
  </si>
  <si>
    <t>R-1158</t>
  </si>
  <si>
    <t>P-257</t>
  </si>
  <si>
    <t>R-1159</t>
  </si>
  <si>
    <t>P-472</t>
  </si>
  <si>
    <t>R-1160</t>
  </si>
  <si>
    <t>P-991</t>
  </si>
  <si>
    <t>R-1161</t>
  </si>
  <si>
    <t>R-1162</t>
  </si>
  <si>
    <t>R-1163</t>
  </si>
  <si>
    <t>P-706</t>
  </si>
  <si>
    <t>R-1164</t>
  </si>
  <si>
    <t>P-215</t>
  </si>
  <si>
    <t>R-1165</t>
  </si>
  <si>
    <t>R-1166</t>
  </si>
  <si>
    <t>P-227</t>
  </si>
  <si>
    <t>R-1167</t>
  </si>
  <si>
    <t>P-834</t>
  </si>
  <si>
    <t>R-1168</t>
  </si>
  <si>
    <t>P-422</t>
  </si>
  <si>
    <t>R-1169</t>
  </si>
  <si>
    <t>P-891</t>
  </si>
  <si>
    <t>R-1170</t>
  </si>
  <si>
    <t>P-953</t>
  </si>
  <si>
    <t>R-1171</t>
  </si>
  <si>
    <t>P-738</t>
  </si>
  <si>
    <t>R-1172</t>
  </si>
  <si>
    <t>R-1173</t>
  </si>
  <si>
    <t>P-203</t>
  </si>
  <si>
    <t>R-1174</t>
  </si>
  <si>
    <t>P-910</t>
  </si>
  <si>
    <t>R-1175</t>
  </si>
  <si>
    <t>P-138</t>
  </si>
  <si>
    <t>R-1176</t>
  </si>
  <si>
    <t>P-858</t>
  </si>
  <si>
    <t>R-1177</t>
  </si>
  <si>
    <t>P-917</t>
  </si>
  <si>
    <t>R-1178</t>
  </si>
  <si>
    <t>P-624</t>
  </si>
  <si>
    <t>R-1179</t>
  </si>
  <si>
    <t>P-924</t>
  </si>
  <si>
    <t>R-1180</t>
  </si>
  <si>
    <t>P-119</t>
  </si>
  <si>
    <t>R-1181</t>
  </si>
  <si>
    <t>P-611</t>
  </si>
  <si>
    <t>R-2670</t>
  </si>
  <si>
    <t>P-753</t>
  </si>
  <si>
    <t>R-1183</t>
  </si>
  <si>
    <t>P-570</t>
  </si>
  <si>
    <t>R-1184</t>
  </si>
  <si>
    <t>R-1185</t>
  </si>
  <si>
    <t>P-899</t>
  </si>
  <si>
    <t>R-1186</t>
  </si>
  <si>
    <t>R-1187</t>
  </si>
  <si>
    <t>P-797</t>
  </si>
  <si>
    <t>R-1188</t>
  </si>
  <si>
    <t>P-224</t>
  </si>
  <si>
    <t>R-1189</t>
  </si>
  <si>
    <t>P-669</t>
  </si>
  <si>
    <t>R-1190</t>
  </si>
  <si>
    <t>R-1191</t>
  </si>
  <si>
    <t>R-1192</t>
  </si>
  <si>
    <t>R-1972</t>
  </si>
  <si>
    <t>R-1194</t>
  </si>
  <si>
    <t>P-152</t>
  </si>
  <si>
    <t>R-1195</t>
  </si>
  <si>
    <t>R-1196</t>
  </si>
  <si>
    <t>P-295</t>
  </si>
  <si>
    <t>R-2756</t>
  </si>
  <si>
    <t>R-1198</t>
  </si>
  <si>
    <t>P-966</t>
  </si>
  <si>
    <t>R-1199</t>
  </si>
  <si>
    <t>P-919</t>
  </si>
  <si>
    <t>R-1200</t>
  </si>
  <si>
    <t>P-469</t>
  </si>
  <si>
    <t>R-1201</t>
  </si>
  <si>
    <t>P-769</t>
  </si>
  <si>
    <t>R-1202</t>
  </si>
  <si>
    <t>R-1203</t>
  </si>
  <si>
    <t>P-886</t>
  </si>
  <si>
    <t>R-1204</t>
  </si>
  <si>
    <t>P-445</t>
  </si>
  <si>
    <t>R-1205</t>
  </si>
  <si>
    <t>R-1206</t>
  </si>
  <si>
    <t>P-890</t>
  </si>
  <si>
    <t>R-1207</t>
  </si>
  <si>
    <t>P-740</t>
  </si>
  <si>
    <t>R-1208</t>
  </si>
  <si>
    <t>P-612</t>
  </si>
  <si>
    <t>R-1209</t>
  </si>
  <si>
    <t>R-1210</t>
  </si>
  <si>
    <t>P-659</t>
  </si>
  <si>
    <t>R-1211</t>
  </si>
  <si>
    <t>P-336</t>
  </si>
  <si>
    <t>R-1212</t>
  </si>
  <si>
    <t>P-371</t>
  </si>
  <si>
    <t>R-1213</t>
  </si>
  <si>
    <t>P-803</t>
  </si>
  <si>
    <t>R-1214</t>
  </si>
  <si>
    <t>P-889</t>
  </si>
  <si>
    <t>R-1215</t>
  </si>
  <si>
    <t>P-175</t>
  </si>
  <si>
    <t>R-1216</t>
  </si>
  <si>
    <t>P-534</t>
  </si>
  <si>
    <t>R-1217</t>
  </si>
  <si>
    <t>P-796</t>
  </si>
  <si>
    <t>R-1218</t>
  </si>
  <si>
    <t>P-319</t>
  </si>
  <si>
    <t>R-1219</t>
  </si>
  <si>
    <t>R-1220</t>
  </si>
  <si>
    <t>R-1221</t>
  </si>
  <si>
    <t>P-552</t>
  </si>
  <si>
    <t>R-1222</t>
  </si>
  <si>
    <t>kwame@example</t>
  </si>
  <si>
    <t>R-1223</t>
  </si>
  <si>
    <t>P-440</t>
  </si>
  <si>
    <t>R-1224</t>
  </si>
  <si>
    <t>R-1225</t>
  </si>
  <si>
    <t>P-456</t>
  </si>
  <si>
    <t>R-1226</t>
  </si>
  <si>
    <t>P-621</t>
  </si>
  <si>
    <t>R-1227</t>
  </si>
  <si>
    <t>P-199</t>
  </si>
  <si>
    <t>R-1228</t>
  </si>
  <si>
    <t>R-1229</t>
  </si>
  <si>
    <t>P-861</t>
  </si>
  <si>
    <t>R-1230</t>
  </si>
  <si>
    <t>R-1231</t>
  </si>
  <si>
    <t>P-424</t>
  </si>
  <si>
    <t>R-1232</t>
  </si>
  <si>
    <t>P-115</t>
  </si>
  <si>
    <t>R-1233</t>
  </si>
  <si>
    <t>R-1234</t>
  </si>
  <si>
    <t>R-1235</t>
  </si>
  <si>
    <t>R-1236</t>
  </si>
  <si>
    <t>P-789</t>
  </si>
  <si>
    <t>R-1237</t>
  </si>
  <si>
    <t>P-644</t>
  </si>
  <si>
    <t>R-1238</t>
  </si>
  <si>
    <t>P-790</t>
  </si>
  <si>
    <t>R-1239</t>
  </si>
  <si>
    <t>R-1240</t>
  </si>
  <si>
    <t>P-516</t>
  </si>
  <si>
    <t>R-1241</t>
  </si>
  <si>
    <t>P-142</t>
  </si>
  <si>
    <t>R-1242</t>
  </si>
  <si>
    <t>P-496</t>
  </si>
  <si>
    <t>R-1243</t>
  </si>
  <si>
    <t>P-401</t>
  </si>
  <si>
    <t>R-1244</t>
  </si>
  <si>
    <t>R-1245</t>
  </si>
  <si>
    <t>P-134</t>
  </si>
  <si>
    <t>R-1246</t>
  </si>
  <si>
    <t>P-189</t>
  </si>
  <si>
    <t>R-1247</t>
  </si>
  <si>
    <t>P-701</t>
  </si>
  <si>
    <t>R-1248</t>
  </si>
  <si>
    <t>P-214</t>
  </si>
  <si>
    <t>R-1249</t>
  </si>
  <si>
    <t>R-1250</t>
  </si>
  <si>
    <t>P-725</t>
  </si>
  <si>
    <t>R-1251</t>
  </si>
  <si>
    <t>P-512</t>
  </si>
  <si>
    <t>R-1252</t>
  </si>
  <si>
    <t>R-1253</t>
  </si>
  <si>
    <t>P-860</t>
  </si>
  <si>
    <t>R-1254</t>
  </si>
  <si>
    <t>P-968</t>
  </si>
  <si>
    <t>R-1255</t>
  </si>
  <si>
    <t>P-291</t>
  </si>
  <si>
    <t>R-1256</t>
  </si>
  <si>
    <t>R-1257</t>
  </si>
  <si>
    <t>R-1258</t>
  </si>
  <si>
    <t>R-1259</t>
  </si>
  <si>
    <t>P-879</t>
  </si>
  <si>
    <t>R-1260</t>
  </si>
  <si>
    <t>R-1261</t>
  </si>
  <si>
    <t>R-1262</t>
  </si>
  <si>
    <t>P-372</t>
  </si>
  <si>
    <t>R-1263</t>
  </si>
  <si>
    <t>P-695</t>
  </si>
  <si>
    <t>R-1264</t>
  </si>
  <si>
    <t>P-441</t>
  </si>
  <si>
    <t>R-1265</t>
  </si>
  <si>
    <t>P-118</t>
  </si>
  <si>
    <t>R-1594</t>
  </si>
  <si>
    <t>P-495</t>
  </si>
  <si>
    <t>R-1267</t>
  </si>
  <si>
    <t>R-1268</t>
  </si>
  <si>
    <t>P-895</t>
  </si>
  <si>
    <t>R-1269</t>
  </si>
  <si>
    <t>P-483</t>
  </si>
  <si>
    <t>R-1270</t>
  </si>
  <si>
    <t>P-605</t>
  </si>
  <si>
    <t>R-1271</t>
  </si>
  <si>
    <t>P-984</t>
  </si>
  <si>
    <t>R-1272</t>
  </si>
  <si>
    <t>R-1273</t>
  </si>
  <si>
    <t>P-990</t>
  </si>
  <si>
    <t>R-1274</t>
  </si>
  <si>
    <t>P-664</t>
  </si>
  <si>
    <t>R-1275</t>
  </si>
  <si>
    <t>P-668</t>
  </si>
  <si>
    <t>R-1276</t>
  </si>
  <si>
    <t>P-792</t>
  </si>
  <si>
    <t>R-1277</t>
  </si>
  <si>
    <t>R-1278</t>
  </si>
  <si>
    <t>P-232</t>
  </si>
  <si>
    <t>R-1279</t>
  </si>
  <si>
    <t>P-832</t>
  </si>
  <si>
    <t>R-1280</t>
  </si>
  <si>
    <t>P-757</t>
  </si>
  <si>
    <t>R-1281</t>
  </si>
  <si>
    <t>R-1282</t>
  </si>
  <si>
    <t>P-591</t>
  </si>
  <si>
    <t>R-1283</t>
  </si>
  <si>
    <t>P-329</t>
  </si>
  <si>
    <t>R-1284</t>
  </si>
  <si>
    <t>P-752</t>
  </si>
  <si>
    <t>R-1285</t>
  </si>
  <si>
    <t>R-1286</t>
  </si>
  <si>
    <t>P-733</t>
  </si>
  <si>
    <t>R-3432</t>
  </si>
  <si>
    <t>P-128</t>
  </si>
  <si>
    <t>R-1288</t>
  </si>
  <si>
    <t>P-438</t>
  </si>
  <si>
    <t>R-1289</t>
  </si>
  <si>
    <t>P-464</t>
  </si>
  <si>
    <t>R-2890</t>
  </si>
  <si>
    <t>P-599</t>
  </si>
  <si>
    <t>R-1291</t>
  </si>
  <si>
    <t>P-426</t>
  </si>
  <si>
    <t>R-1292</t>
  </si>
  <si>
    <t>P-231</t>
  </si>
  <si>
    <t>R-1293</t>
  </si>
  <si>
    <t>P-351</t>
  </si>
  <si>
    <t>R-1294</t>
  </si>
  <si>
    <t>P-544</t>
  </si>
  <si>
    <t>R-1295</t>
  </si>
  <si>
    <t>P-266</t>
  </si>
  <si>
    <t>R-1296</t>
  </si>
  <si>
    <t>R-2424</t>
  </si>
  <si>
    <t>P-225</t>
  </si>
  <si>
    <t>R-1298</t>
  </si>
  <si>
    <t>R-1299</t>
  </si>
  <si>
    <t>P-737</t>
  </si>
  <si>
    <t>R-1300</t>
  </si>
  <si>
    <t>R-1301</t>
  </si>
  <si>
    <t>P-994</t>
  </si>
  <si>
    <t>R-1302</t>
  </si>
  <si>
    <t>P-100</t>
  </si>
  <si>
    <t>R-1303</t>
  </si>
  <si>
    <t>R-1304</t>
  </si>
  <si>
    <t>P-290</t>
  </si>
  <si>
    <t>R-1305</t>
  </si>
  <si>
    <t>P-508</t>
  </si>
  <si>
    <t>R-1306</t>
  </si>
  <si>
    <t>P-216</t>
  </si>
  <si>
    <t>R-1307</t>
  </si>
  <si>
    <t>R-1308</t>
  </si>
  <si>
    <t>P-272</t>
  </si>
  <si>
    <t>R-1309</t>
  </si>
  <si>
    <t>R-1310</t>
  </si>
  <si>
    <t>P-985</t>
  </si>
  <si>
    <t>R-1311</t>
  </si>
  <si>
    <t>R-1433</t>
  </si>
  <si>
    <t>P-326</t>
  </si>
  <si>
    <t>R-1313</t>
  </si>
  <si>
    <t>P-540</t>
  </si>
  <si>
    <t>R-1314</t>
  </si>
  <si>
    <t>P-332</t>
  </si>
  <si>
    <t>R-1315</t>
  </si>
  <si>
    <t>P-242</t>
  </si>
  <si>
    <t>R-1316</t>
  </si>
  <si>
    <t>R-1317</t>
  </si>
  <si>
    <t>P-358</t>
  </si>
  <si>
    <t>R-1318</t>
  </si>
  <si>
    <t>P-111</t>
  </si>
  <si>
    <t>R-1319</t>
  </si>
  <si>
    <t>P-883</t>
  </si>
  <si>
    <t>R-1320</t>
  </si>
  <si>
    <t>P-507</t>
  </si>
  <si>
    <t>R-1321</t>
  </si>
  <si>
    <t>P-107</t>
  </si>
  <si>
    <t>R-1322</t>
  </si>
  <si>
    <t>P-775</t>
  </si>
  <si>
    <t>R-1323</t>
  </si>
  <si>
    <t>R-1324</t>
  </si>
  <si>
    <t>P-639</t>
  </si>
  <si>
    <t>R-1325</t>
  </si>
  <si>
    <t>R-1326</t>
  </si>
  <si>
    <t>P-601</t>
  </si>
  <si>
    <t>R-1327</t>
  </si>
  <si>
    <t>R-2827</t>
  </si>
  <si>
    <t>P-823</t>
  </si>
  <si>
    <t>R-1329</t>
  </si>
  <si>
    <t>P-851</t>
  </si>
  <si>
    <t>R-1330</t>
  </si>
  <si>
    <t>P-657</t>
  </si>
  <si>
    <t>R-1331</t>
  </si>
  <si>
    <t>P-489</t>
  </si>
  <si>
    <t>R-1332</t>
  </si>
  <si>
    <t>P-355</t>
  </si>
  <si>
    <t>R-1333</t>
  </si>
  <si>
    <t>P-549</t>
  </si>
  <si>
    <t>R-1334</t>
  </si>
  <si>
    <t>R-1335</t>
  </si>
  <si>
    <t>P-976</t>
  </si>
  <si>
    <t>R-1336</t>
  </si>
  <si>
    <t>P-900</t>
  </si>
  <si>
    <t>R-1363</t>
  </si>
  <si>
    <t>P-245</t>
  </si>
  <si>
    <t>R-1338</t>
  </si>
  <si>
    <t>P-276</t>
  </si>
  <si>
    <t>R-1339</t>
  </si>
  <si>
    <t>P-381</t>
  </si>
  <si>
    <t>R-1340</t>
  </si>
  <si>
    <t>R-1482</t>
  </si>
  <si>
    <t>P-788</t>
  </si>
  <si>
    <t>R-1342</t>
  </si>
  <si>
    <t>P-709</t>
  </si>
  <si>
    <t>R-1343</t>
  </si>
  <si>
    <t>R-1344</t>
  </si>
  <si>
    <t>P-504</t>
  </si>
  <si>
    <t>R-1345</t>
  </si>
  <si>
    <t>P-617</t>
  </si>
  <si>
    <t>R-1346</t>
  </si>
  <si>
    <t>P-808</t>
  </si>
  <si>
    <t>R-1347</t>
  </si>
  <si>
    <t>P-969</t>
  </si>
  <si>
    <t>R-1348</t>
  </si>
  <si>
    <t>P-122</t>
  </si>
  <si>
    <t>R-3216</t>
  </si>
  <si>
    <t>P-776</t>
  </si>
  <si>
    <t>R-1350</t>
  </si>
  <si>
    <t>P-182</t>
  </si>
  <si>
    <t>R-1351</t>
  </si>
  <si>
    <t>P-177</t>
  </si>
  <si>
    <t>R-1352</t>
  </si>
  <si>
    <t>R-1353</t>
  </si>
  <si>
    <t>P-816</t>
  </si>
  <si>
    <t>P-548</t>
  </si>
  <si>
    <t>R-1355</t>
  </si>
  <si>
    <t>R-1356</t>
  </si>
  <si>
    <t>R-1357</t>
  </si>
  <si>
    <t>P-650</t>
  </si>
  <si>
    <t>R-1358</t>
  </si>
  <si>
    <t>P-773</t>
  </si>
  <si>
    <t>R-1359</t>
  </si>
  <si>
    <t>P-870</t>
  </si>
  <si>
    <t>R-1360</t>
  </si>
  <si>
    <t>R-1361</t>
  </si>
  <si>
    <t>P-335</t>
  </si>
  <si>
    <t>R-1362</t>
  </si>
  <si>
    <t>P-833</t>
  </si>
  <si>
    <t>R-1665</t>
  </si>
  <si>
    <t>P-500</t>
  </si>
  <si>
    <t>R-1364</t>
  </si>
  <si>
    <t>P-402</t>
  </si>
  <si>
    <t>R-1365</t>
  </si>
  <si>
    <t>P-328</t>
  </si>
  <si>
    <t>R-1366</t>
  </si>
  <si>
    <t>R-1367</t>
  </si>
  <si>
    <t>P-202</t>
  </si>
  <si>
    <t>R-1368</t>
  </si>
  <si>
    <t>R-1369</t>
  </si>
  <si>
    <t>P-405</t>
  </si>
  <si>
    <t>R-1370</t>
  </si>
  <si>
    <t>R-1371</t>
  </si>
  <si>
    <t>R-1372</t>
  </si>
  <si>
    <t>P-407</t>
  </si>
  <si>
    <t>R-1373</t>
  </si>
  <si>
    <t>R-1374</t>
  </si>
  <si>
    <t>P-641</t>
  </si>
  <si>
    <t>R-1375</t>
  </si>
  <si>
    <t>R-1376</t>
  </si>
  <si>
    <t>P-896</t>
  </si>
  <si>
    <t>P-283</t>
  </si>
  <si>
    <t>R-1378</t>
  </si>
  <si>
    <t>P-884</t>
  </si>
  <si>
    <t>R-1379</t>
  </si>
  <si>
    <t>P-168</t>
  </si>
  <si>
    <t>R-1380</t>
  </si>
  <si>
    <t>R-1381</t>
  </si>
  <si>
    <t>R-1382</t>
  </si>
  <si>
    <t>R-1383</t>
  </si>
  <si>
    <t>P-210</t>
  </si>
  <si>
    <t>R-1384</t>
  </si>
  <si>
    <t>P-282</t>
  </si>
  <si>
    <t>R-1385</t>
  </si>
  <si>
    <t>P-473</t>
  </si>
  <si>
    <t>P-459</t>
  </si>
  <si>
    <t>R-1387</t>
  </si>
  <si>
    <t>P-380</t>
  </si>
  <si>
    <t>R-1388</t>
  </si>
  <si>
    <t>R-1389</t>
  </si>
  <si>
    <t>P-771</t>
  </si>
  <si>
    <t>R-1390</t>
  </si>
  <si>
    <t>R-1391</t>
  </si>
  <si>
    <t>P-888</t>
  </si>
  <si>
    <t>R-1392</t>
  </si>
  <si>
    <t>P-703</t>
  </si>
  <si>
    <t>R-1393</t>
  </si>
  <si>
    <t>P-633</t>
  </si>
  <si>
    <t>R-1394</t>
  </si>
  <si>
    <t>R-1395</t>
  </si>
  <si>
    <t>P-623</t>
  </si>
  <si>
    <t>R-1396</t>
  </si>
  <si>
    <t>P-645</t>
  </si>
  <si>
    <t>R-1397</t>
  </si>
  <si>
    <t>R-1398</t>
  </si>
  <si>
    <t>P-172</t>
  </si>
  <si>
    <t>R-1399</t>
  </si>
  <si>
    <t>P-146</t>
  </si>
  <si>
    <t>R-1400</t>
  </si>
  <si>
    <t>P-338</t>
  </si>
  <si>
    <t>R-1401</t>
  </si>
  <si>
    <t>P-206</t>
  </si>
  <si>
    <t>R-1402</t>
  </si>
  <si>
    <t>P-672</t>
  </si>
  <si>
    <t>R-1403</t>
  </si>
  <si>
    <t>R-1404</t>
  </si>
  <si>
    <t>R-1405</t>
  </si>
  <si>
    <t>P-352</t>
  </si>
  <si>
    <t>R-1406</t>
  </si>
  <si>
    <t>R-1407</t>
  </si>
  <si>
    <t>P-825</t>
  </si>
  <si>
    <t>R-1498</t>
  </si>
  <si>
    <t>P-127</t>
  </si>
  <si>
    <t>R-1409</t>
  </si>
  <si>
    <t>P-315</t>
  </si>
  <si>
    <t>R-1410</t>
  </si>
  <si>
    <t>P-765</t>
  </si>
  <si>
    <t>R-1411</t>
  </si>
  <si>
    <t>R-1412</t>
  </si>
  <si>
    <t>P-106</t>
  </si>
  <si>
    <t>R-1413</t>
  </si>
  <si>
    <t>P-849</t>
  </si>
  <si>
    <t>R-1414</t>
  </si>
  <si>
    <t>P-607</t>
  </si>
  <si>
    <t>R-1415</t>
  </si>
  <si>
    <t>R-1416</t>
  </si>
  <si>
    <t>R-1417</t>
  </si>
  <si>
    <t>P-730</t>
  </si>
  <si>
    <t>R-1418</t>
  </si>
  <si>
    <t>P-813</t>
  </si>
  <si>
    <t>R-1419</t>
  </si>
  <si>
    <t>R-1420</t>
  </si>
  <si>
    <t>P-573</t>
  </si>
  <si>
    <t>R-1421</t>
  </si>
  <si>
    <t>P-636</t>
  </si>
  <si>
    <t>R-1422</t>
  </si>
  <si>
    <t>P-311</t>
  </si>
  <si>
    <t>R-1423</t>
  </si>
  <si>
    <t>P-493</t>
  </si>
  <si>
    <t>R-1424</t>
  </si>
  <si>
    <t>P-208</t>
  </si>
  <si>
    <t>R-3286</t>
  </si>
  <si>
    <t>P-327</t>
  </si>
  <si>
    <t>R-1426</t>
  </si>
  <si>
    <t>P-133</t>
  </si>
  <si>
    <t>R-1427</t>
  </si>
  <si>
    <t>P-468</t>
  </si>
  <si>
    <t>R-1428</t>
  </si>
  <si>
    <t>P-653</t>
  </si>
  <si>
    <t>R-1429</t>
  </si>
  <si>
    <t>R-1430</t>
  </si>
  <si>
    <t>P-419</t>
  </si>
  <si>
    <t>R-1431</t>
  </si>
  <si>
    <t>P-414</t>
  </si>
  <si>
    <t>R-1432</t>
  </si>
  <si>
    <t>P-840</t>
  </si>
  <si>
    <t>P-536</t>
  </si>
  <si>
    <t>R-1434</t>
  </si>
  <si>
    <t>R-1435</t>
  </si>
  <si>
    <t>P-723</t>
  </si>
  <si>
    <t>P-942</t>
  </si>
  <si>
    <t>R-1437</t>
  </si>
  <si>
    <t>P-449</t>
  </si>
  <si>
    <t>R-1438</t>
  </si>
  <si>
    <t>P-922</t>
  </si>
  <si>
    <t>R-1439</t>
  </si>
  <si>
    <t>P-998</t>
  </si>
  <si>
    <t>R-1440</t>
  </si>
  <si>
    <t>P-139</t>
  </si>
  <si>
    <t>R-1441</t>
  </si>
  <si>
    <t>P-322</t>
  </si>
  <si>
    <t>R-1442</t>
  </si>
  <si>
    <t>P-567</t>
  </si>
  <si>
    <t>R-1443</t>
  </si>
  <si>
    <t>P-103</t>
  </si>
  <si>
    <t>R-1444</t>
  </si>
  <si>
    <t>R-1445</t>
  </si>
  <si>
    <t>P-705</t>
  </si>
  <si>
    <t>R-1446</t>
  </si>
  <si>
    <t>R-1447</t>
  </si>
  <si>
    <t>P-946</t>
  </si>
  <si>
    <t>R-1448</t>
  </si>
  <si>
    <t>P-125</t>
  </si>
  <si>
    <t>R-1449</t>
  </si>
  <si>
    <t>P-399</t>
  </si>
  <si>
    <t>R-1450</t>
  </si>
  <si>
    <t>P-509</t>
  </si>
  <si>
    <t>R-1451</t>
  </si>
  <si>
    <t>R-1452</t>
  </si>
  <si>
    <t>P-631</t>
  </si>
  <si>
    <t>R-1453</t>
  </si>
  <si>
    <t>P-658</t>
  </si>
  <si>
    <t>R-1454</t>
  </si>
  <si>
    <t>R-1455</t>
  </si>
  <si>
    <t>R-1456</t>
  </si>
  <si>
    <t>R-1457</t>
  </si>
  <si>
    <t>R-1458</t>
  </si>
  <si>
    <t>R-1459</t>
  </si>
  <si>
    <t>P-360</t>
  </si>
  <si>
    <t>R-1460</t>
  </si>
  <si>
    <t>P-271</t>
  </si>
  <si>
    <t>R-1461</t>
  </si>
  <si>
    <t>P-267</t>
  </si>
  <si>
    <t>R-1462</t>
  </si>
  <si>
    <t>P-420</t>
  </si>
  <si>
    <t>R-1463</t>
  </si>
  <si>
    <t>P-428</t>
  </si>
  <si>
    <t>R-1464</t>
  </si>
  <si>
    <t>P-649</t>
  </si>
  <si>
    <t>R-1465</t>
  </si>
  <si>
    <t>R-1466</t>
  </si>
  <si>
    <t>P-680</t>
  </si>
  <si>
    <t>R-1467</t>
  </si>
  <si>
    <t>R-1468</t>
  </si>
  <si>
    <t>R-1469</t>
  </si>
  <si>
    <t>P-236</t>
  </si>
  <si>
    <t>R-1470</t>
  </si>
  <si>
    <t>R-1471</t>
  </si>
  <si>
    <t>R-1472</t>
  </si>
  <si>
    <t>R-1473</t>
  </si>
  <si>
    <t>P-878</t>
  </si>
  <si>
    <t>R-2255</t>
  </si>
  <si>
    <t>R-1475</t>
  </si>
  <si>
    <t>P-390</t>
  </si>
  <si>
    <t>R-1476</t>
  </si>
  <si>
    <t>P-104</t>
  </si>
  <si>
    <t>R-1477</t>
  </si>
  <si>
    <t>R-1478</t>
  </si>
  <si>
    <t>R-1479</t>
  </si>
  <si>
    <t>P-141</t>
  </si>
  <si>
    <t>R-1480</t>
  </si>
  <si>
    <t>P-395</t>
  </si>
  <si>
    <t>R-1481</t>
  </si>
  <si>
    <t>P-715</t>
  </si>
  <si>
    <t>R-1483</t>
  </si>
  <si>
    <t>P-964</t>
  </si>
  <si>
    <t>R-1484</t>
  </si>
  <si>
    <t>R-1485</t>
  </si>
  <si>
    <t>P-244</t>
  </si>
  <si>
    <t>R-1486</t>
  </si>
  <si>
    <t>P-602</t>
  </si>
  <si>
    <t>R-1487</t>
  </si>
  <si>
    <t>P-920</t>
  </si>
  <si>
    <t>R-1488</t>
  </si>
  <si>
    <t>R-1489</t>
  </si>
  <si>
    <t>R-1490</t>
  </si>
  <si>
    <t>P-278</t>
  </si>
  <si>
    <t>R-1491</t>
  </si>
  <si>
    <t>P-547</t>
  </si>
  <si>
    <t>R-1492</t>
  </si>
  <si>
    <t>P-722</t>
  </si>
  <si>
    <t>R-1493</t>
  </si>
  <si>
    <t>P-577</t>
  </si>
  <si>
    <t>R-1494</t>
  </si>
  <si>
    <t>R-1495</t>
  </si>
  <si>
    <t>R-1496</t>
  </si>
  <si>
    <t>P-510</t>
  </si>
  <si>
    <t>R-1497</t>
  </si>
  <si>
    <t>P-353</t>
  </si>
  <si>
    <t>P-933</t>
  </si>
  <si>
    <t>R-1499</t>
  </si>
  <si>
    <t>P-734</t>
  </si>
  <si>
    <t>R-1500</t>
  </si>
  <si>
    <t>P-217</t>
  </si>
  <si>
    <t>R-2040</t>
  </si>
  <si>
    <t>P-258</t>
  </si>
  <si>
    <t>R-1502</t>
  </si>
  <si>
    <t>R-1503</t>
  </si>
  <si>
    <t>P-795</t>
  </si>
  <si>
    <t>R-1504</t>
  </si>
  <si>
    <t>P-747</t>
  </si>
  <si>
    <t>R-1505</t>
  </si>
  <si>
    <t>R-1506</t>
  </si>
  <si>
    <t>P-784</t>
  </si>
  <si>
    <t>R-3039</t>
  </si>
  <si>
    <t>P-194</t>
  </si>
  <si>
    <t>R-1508</t>
  </si>
  <si>
    <t>P-391</t>
  </si>
  <si>
    <t>R-1509</t>
  </si>
  <si>
    <t>R-1510</t>
  </si>
  <si>
    <t>P-110</t>
  </si>
  <si>
    <t>R-1511</t>
  </si>
  <si>
    <t>R-1512</t>
  </si>
  <si>
    <t>P-811</t>
  </si>
  <si>
    <t>R-1513</t>
  </si>
  <si>
    <t>R-1514</t>
  </si>
  <si>
    <t>R-1515</t>
  </si>
  <si>
    <t>R-1516</t>
  </si>
  <si>
    <t>R-1517</t>
  </si>
  <si>
    <t>P-782</t>
  </si>
  <si>
    <t>R-1518</t>
  </si>
  <si>
    <t>P-455</t>
  </si>
  <si>
    <t>R-1519</t>
  </si>
  <si>
    <t>R-1520</t>
  </si>
  <si>
    <t>P-939</t>
  </si>
  <si>
    <t>R-1521</t>
  </si>
  <si>
    <t>R-1522</t>
  </si>
  <si>
    <t>P-150</t>
  </si>
  <si>
    <t>R-1523</t>
  </si>
  <si>
    <t>R-1524</t>
  </si>
  <si>
    <t>R-1764</t>
  </si>
  <si>
    <t>P-913</t>
  </si>
  <si>
    <t>R-1526</t>
  </si>
  <si>
    <t>R-1527</t>
  </si>
  <si>
    <t>P-281</t>
  </si>
  <si>
    <t>R-1528</t>
  </si>
  <si>
    <t>P-666</t>
  </si>
  <si>
    <t>R-1530</t>
  </si>
  <si>
    <t>P-760</t>
  </si>
  <si>
    <t>R-1531</t>
  </si>
  <si>
    <t>P-408</t>
  </si>
  <si>
    <t>R-1532</t>
  </si>
  <si>
    <t>P-535</t>
  </si>
  <si>
    <t>R-1533</t>
  </si>
  <si>
    <t>R-1534</t>
  </si>
  <si>
    <t>R-1535</t>
  </si>
  <si>
    <t>R-2169</t>
  </si>
  <si>
    <t>R-1537</t>
  </si>
  <si>
    <t>P-574</t>
  </si>
  <si>
    <t>R-1538</t>
  </si>
  <si>
    <t>P-628</t>
  </si>
  <si>
    <t>R-1539</t>
  </si>
  <si>
    <t>R-1540</t>
  </si>
  <si>
    <t>R-1541</t>
  </si>
  <si>
    <t>P-279</t>
  </si>
  <si>
    <t>R-1542</t>
  </si>
  <si>
    <t>P-955</t>
  </si>
  <si>
    <t>R-1543</t>
  </si>
  <si>
    <t>P-384</t>
  </si>
  <si>
    <t>R-1544</t>
  </si>
  <si>
    <t>R-1545</t>
  </si>
  <si>
    <t>P-981</t>
  </si>
  <si>
    <t>R-1546</t>
  </si>
  <si>
    <t>P-948</t>
  </si>
  <si>
    <t>R-1555</t>
  </si>
  <si>
    <t>R-1548</t>
  </si>
  <si>
    <t>R-1549</t>
  </si>
  <si>
    <t>P-800</t>
  </si>
  <si>
    <t>R-1550</t>
  </si>
  <si>
    <t>R-1551</t>
  </si>
  <si>
    <t>P-240</t>
  </si>
  <si>
    <t>R-1552</t>
  </si>
  <si>
    <t>R-1553</t>
  </si>
  <si>
    <t>P-822</t>
  </si>
  <si>
    <t>R-1554</t>
  </si>
  <si>
    <t>P-528</t>
  </si>
  <si>
    <t>R-1556</t>
  </si>
  <si>
    <t>R-1557</t>
  </si>
  <si>
    <t>P-117</t>
  </si>
  <si>
    <t>R-1558</t>
  </si>
  <si>
    <t>P-470</t>
  </si>
  <si>
    <t>R-1559</t>
  </si>
  <si>
    <t>P-293</t>
  </si>
  <si>
    <t>R-1560</t>
  </si>
  <si>
    <t>P-212</t>
  </si>
  <si>
    <t>R-1561</t>
  </si>
  <si>
    <t>P-777</t>
  </si>
  <si>
    <t>P-743</t>
  </si>
  <si>
    <t>R-1563</t>
  </si>
  <si>
    <t>P-154</t>
  </si>
  <si>
    <t>R-1564</t>
  </si>
  <si>
    <t>R-1565</t>
  </si>
  <si>
    <t>P-977</t>
  </si>
  <si>
    <t>R-1566</t>
  </si>
  <si>
    <t>P-186</t>
  </si>
  <si>
    <t>R-1567</t>
  </si>
  <si>
    <t>R-1568</t>
  </si>
  <si>
    <t>R-1569</t>
  </si>
  <si>
    <t>P-412</t>
  </si>
  <si>
    <t>R-1570</t>
  </si>
  <si>
    <t>P-542</t>
  </si>
  <si>
    <t>R-1571</t>
  </si>
  <si>
    <t>P-427</t>
  </si>
  <si>
    <t>R-1572</t>
  </si>
  <si>
    <t>R-1573</t>
  </si>
  <si>
    <t>R-1574</t>
  </si>
  <si>
    <t>P-363</t>
  </si>
  <si>
    <t>R-1575</t>
  </si>
  <si>
    <t>R-1576</t>
  </si>
  <si>
    <t>P-387</t>
  </si>
  <si>
    <t>R-1577</t>
  </si>
  <si>
    <t>P-590</t>
  </si>
  <si>
    <t>R-1578</t>
  </si>
  <si>
    <t>R-1579</t>
  </si>
  <si>
    <t>P-568</t>
  </si>
  <si>
    <t>R-1580</t>
  </si>
  <si>
    <t>R-1581</t>
  </si>
  <si>
    <t>R-1582</t>
  </si>
  <si>
    <t>P-772</t>
  </si>
  <si>
    <t>R-1583</t>
  </si>
  <si>
    <t>P-246</t>
  </si>
  <si>
    <t>R-1584</t>
  </si>
  <si>
    <t>P-647</t>
  </si>
  <si>
    <t>R-1585</t>
  </si>
  <si>
    <t>P-181</t>
  </si>
  <si>
    <t>R-1586</t>
  </si>
  <si>
    <t>P-914</t>
  </si>
  <si>
    <t>R-1587</t>
  </si>
  <si>
    <t>P-622</t>
  </si>
  <si>
    <t>R-1588</t>
  </si>
  <si>
    <t>R-1589</t>
  </si>
  <si>
    <t>P-218</t>
  </si>
  <si>
    <t>R-1590</t>
  </si>
  <si>
    <t>R-1591</t>
  </si>
  <si>
    <t>R-1592</t>
  </si>
  <si>
    <t>P-325</t>
  </si>
  <si>
    <t>R-3422</t>
  </si>
  <si>
    <t>R-1595</t>
  </si>
  <si>
    <t>P-692</t>
  </si>
  <si>
    <t>R-1596</t>
  </si>
  <si>
    <t>P-731</t>
  </si>
  <si>
    <t>R-1597</t>
  </si>
  <si>
    <t>R-1598</t>
  </si>
  <si>
    <t>P-820</t>
  </si>
  <si>
    <t>R-1599</t>
  </si>
  <si>
    <t>P-308</t>
  </si>
  <si>
    <t>R-1600</t>
  </si>
  <si>
    <t>P-651</t>
  </si>
  <si>
    <t>R-1601</t>
  </si>
  <si>
    <t>R-1602</t>
  </si>
  <si>
    <t>P-857</t>
  </si>
  <si>
    <t>R-1603</t>
  </si>
  <si>
    <t>P-593</t>
  </si>
  <si>
    <t>R-3032</t>
  </si>
  <si>
    <t>P-541</t>
  </si>
  <si>
    <t>R-1605</t>
  </si>
  <si>
    <t>P-174</t>
  </si>
  <si>
    <t>R-1607</t>
  </si>
  <si>
    <t>R-3027</t>
  </si>
  <si>
    <t>R-1609</t>
  </si>
  <si>
    <t>R-1610</t>
  </si>
  <si>
    <t>P-252</t>
  </si>
  <si>
    <t>R-1611</t>
  </si>
  <si>
    <t>P-687</t>
  </si>
  <si>
    <t>R-1612</t>
  </si>
  <si>
    <t>P-973</t>
  </si>
  <si>
    <t>R-1613</t>
  </si>
  <si>
    <t>P-126</t>
  </si>
  <si>
    <t>R-1615</t>
  </si>
  <si>
    <t>R-1616</t>
  </si>
  <si>
    <t>R-1617</t>
  </si>
  <si>
    <t>R-1618</t>
  </si>
  <si>
    <t>R-1619</t>
  </si>
  <si>
    <t>R-1620</t>
  </si>
  <si>
    <t>R-1621</t>
  </si>
  <si>
    <t>P-462</t>
  </si>
  <si>
    <t>R-1622</t>
  </si>
  <si>
    <t>R-1623</t>
  </si>
  <si>
    <t>P-893</t>
  </si>
  <si>
    <t>R-1624</t>
  </si>
  <si>
    <t>R-1625</t>
  </si>
  <si>
    <t>R-3078</t>
  </si>
  <si>
    <t>R-1627</t>
  </si>
  <si>
    <t>R-1628</t>
  </si>
  <si>
    <t>R-1629</t>
  </si>
  <si>
    <t>R-1630</t>
  </si>
  <si>
    <t>P-411</t>
  </si>
  <si>
    <t>R-1631</t>
  </si>
  <si>
    <t>R-1632</t>
  </si>
  <si>
    <t>P-566</t>
  </si>
  <si>
    <t>R-1633</t>
  </si>
  <si>
    <t>R-1634</t>
  </si>
  <si>
    <t>P-606</t>
  </si>
  <si>
    <t>R-1635</t>
  </si>
  <si>
    <t>P-581</t>
  </si>
  <si>
    <t>R-1636</t>
  </si>
  <si>
    <t>R-1637</t>
  </si>
  <si>
    <t>P-812</t>
  </si>
  <si>
    <t>R-1638</t>
  </si>
  <si>
    <t>R-1640</t>
  </si>
  <si>
    <t>R-1641</t>
  </si>
  <si>
    <t>P-597</t>
  </si>
  <si>
    <t>R-1642</t>
  </si>
  <si>
    <t>R-1643</t>
  </si>
  <si>
    <t>P-201</t>
  </si>
  <si>
    <t>R-1644</t>
  </si>
  <si>
    <t>P-374</t>
  </si>
  <si>
    <t>R-1645</t>
  </si>
  <si>
    <t>P-916</t>
  </si>
  <si>
    <t>R-1646</t>
  </si>
  <si>
    <t>P-429</t>
  </si>
  <si>
    <t>R-1647</t>
  </si>
  <si>
    <t>R-1648</t>
  </si>
  <si>
    <t>P-417</t>
  </si>
  <si>
    <t>R-1649</t>
  </si>
  <si>
    <t>R-1650</t>
  </si>
  <si>
    <t>R-1651</t>
  </si>
  <si>
    <t>R-1652</t>
  </si>
  <si>
    <t>R-1653</t>
  </si>
  <si>
    <t>P-565</t>
  </si>
  <si>
    <t>R-1654</t>
  </si>
  <si>
    <t>P-754</t>
  </si>
  <si>
    <t>R-1655</t>
  </si>
  <si>
    <t>R-1656</t>
  </si>
  <si>
    <t>R-1657</t>
  </si>
  <si>
    <t>R-1658</t>
  </si>
  <si>
    <t>R-1659</t>
  </si>
  <si>
    <t>P-185</t>
  </si>
  <si>
    <t>R-1660</t>
  </si>
  <si>
    <t>P-881</t>
  </si>
  <si>
    <t>R-1661</t>
  </si>
  <si>
    <t>P-618</t>
  </si>
  <si>
    <t>R-1662</t>
  </si>
  <si>
    <t>P-787</t>
  </si>
  <si>
    <t>R-1663</t>
  </si>
  <si>
    <t>R-1664</t>
  </si>
  <si>
    <t>P-693</t>
  </si>
  <si>
    <t>P-471</t>
  </si>
  <si>
    <t>R-1666</t>
  </si>
  <si>
    <t>P-501</t>
  </si>
  <si>
    <t>R-1667</t>
  </si>
  <si>
    <t>R-1668</t>
  </si>
  <si>
    <t>R-1669</t>
  </si>
  <si>
    <t>R-1670</t>
  </si>
  <si>
    <t>P-197</t>
  </si>
  <si>
    <t>R-1671</t>
  </si>
  <si>
    <t>P-270</t>
  </si>
  <si>
    <t>R-1672</t>
  </si>
  <si>
    <t>R-1673</t>
  </si>
  <si>
    <t>R-1674</t>
  </si>
  <si>
    <t>R-1675</t>
  </si>
  <si>
    <t>R-1676</t>
  </si>
  <si>
    <t>R-1677</t>
  </si>
  <si>
    <t>P-207</t>
  </si>
  <si>
    <t>R-1678</t>
  </si>
  <si>
    <t>P-410</t>
  </si>
  <si>
    <t>R-1679</t>
  </si>
  <si>
    <t>R-1680</t>
  </si>
  <si>
    <t>R-1681</t>
  </si>
  <si>
    <t>R-1682</t>
  </si>
  <si>
    <t>R-1683</t>
  </si>
  <si>
    <t>R-1684</t>
  </si>
  <si>
    <t>R-1685</t>
  </si>
  <si>
    <t>P-576</t>
  </si>
  <si>
    <t>R-1686</t>
  </si>
  <si>
    <t>R-1687</t>
  </si>
  <si>
    <t>R-1688</t>
  </si>
  <si>
    <t>P-458</t>
  </si>
  <si>
    <t>R-1690</t>
  </si>
  <si>
    <t>P-676</t>
  </si>
  <si>
    <t>R-1691</t>
  </si>
  <si>
    <t>P-102</t>
  </si>
  <si>
    <t>R-1692</t>
  </si>
  <si>
    <t>P-475</t>
  </si>
  <si>
    <t>R-1693</t>
  </si>
  <si>
    <t>P-423</t>
  </si>
  <si>
    <t>R-1694</t>
  </si>
  <si>
    <t>P-392</t>
  </si>
  <si>
    <t>R-1695</t>
  </si>
  <si>
    <t>R-1696</t>
  </si>
  <si>
    <t>R-1697</t>
  </si>
  <si>
    <t>P-684</t>
  </si>
  <si>
    <t>R-1698</t>
  </si>
  <si>
    <t>P-988</t>
  </si>
  <si>
    <t>R-1699</t>
  </si>
  <si>
    <t>P-239</t>
  </si>
  <si>
    <t>R-1700</t>
  </si>
  <si>
    <t>R-1701</t>
  </si>
  <si>
    <t>R-1702</t>
  </si>
  <si>
    <t>P-539</t>
  </si>
  <si>
    <t>R-1703</t>
  </si>
  <si>
    <t>R-1704</t>
  </si>
  <si>
    <t>P-944</t>
  </si>
  <si>
    <t>R-1705</t>
  </si>
  <si>
    <t>P-810</t>
  </si>
  <si>
    <t>R-1706</t>
  </si>
  <si>
    <t>P-670</t>
  </si>
  <si>
    <t>R-1707</t>
  </si>
  <si>
    <t>R-1708</t>
  </si>
  <si>
    <t>R-1709</t>
  </si>
  <si>
    <t>P-465</t>
  </si>
  <si>
    <t>R-1710</t>
  </si>
  <si>
    <t>R-1711</t>
  </si>
  <si>
    <t>P-852</t>
  </si>
  <si>
    <t>R-1712</t>
  </si>
  <si>
    <t>P-987</t>
  </si>
  <si>
    <t>R-1713</t>
  </si>
  <si>
    <t>P-872</t>
  </si>
  <si>
    <t>R-1714</t>
  </si>
  <si>
    <t>R-1715</t>
  </si>
  <si>
    <t>R-1716</t>
  </si>
  <si>
    <t>R-1717</t>
  </si>
  <si>
    <t>R-1718</t>
  </si>
  <si>
    <t>P-949</t>
  </si>
  <si>
    <t>R-1719</t>
  </si>
  <si>
    <t>R-1720</t>
  </si>
  <si>
    <t>P-838</t>
  </si>
  <si>
    <t>R-1721</t>
  </si>
  <si>
    <t>P-219</t>
  </si>
  <si>
    <t>R-1722</t>
  </si>
  <si>
    <t>P-188</t>
  </si>
  <si>
    <t>R-1724</t>
  </si>
  <si>
    <t>P-716</t>
  </si>
  <si>
    <t>R-1725</t>
  </si>
  <si>
    <t>R-1726</t>
  </si>
  <si>
    <t>R-1728</t>
  </si>
  <si>
    <t>P-269</t>
  </si>
  <si>
    <t>R-1729</t>
  </si>
  <si>
    <t>R-1730</t>
  </si>
  <si>
    <t>P-494</t>
  </si>
  <si>
    <t>R-1731</t>
  </si>
  <si>
    <t>P-223</t>
  </si>
  <si>
    <t>R-1732</t>
  </si>
  <si>
    <t>R-1733</t>
  </si>
  <si>
    <t>P-275</t>
  </si>
  <si>
    <t>R-1734</t>
  </si>
  <si>
    <t>P-553</t>
  </si>
  <si>
    <t>R-1735</t>
  </si>
  <si>
    <t>R-1736</t>
  </si>
  <si>
    <t>R-1737</t>
  </si>
  <si>
    <t>P-400</t>
  </si>
  <si>
    <t>R-1738</t>
  </si>
  <si>
    <t>R-1739</t>
  </si>
  <si>
    <t>R-1740</t>
  </si>
  <si>
    <t>P-965</t>
  </si>
  <si>
    <t>R-1741</t>
  </si>
  <si>
    <t>R-1742</t>
  </si>
  <si>
    <t>R-1743</t>
  </si>
  <si>
    <t>R-2488</t>
  </si>
  <si>
    <t>R-1745</t>
  </si>
  <si>
    <t>P-780</t>
  </si>
  <si>
    <t>R-1746</t>
  </si>
  <si>
    <t>P-656</t>
  </si>
  <si>
    <t>R-1747</t>
  </si>
  <si>
    <t>R-1748</t>
  </si>
  <si>
    <t>P-766</t>
  </si>
  <si>
    <t>R-1749</t>
  </si>
  <si>
    <t>R-1750</t>
  </si>
  <si>
    <t>R-1751</t>
  </si>
  <si>
    <t>P-130</t>
  </si>
  <si>
    <t>R-1752</t>
  </si>
  <si>
    <t>R-1753</t>
  </si>
  <si>
    <t>R-1754</t>
  </si>
  <si>
    <t>R-1755</t>
  </si>
  <si>
    <t>P-817</t>
  </si>
  <si>
    <t>R-1756</t>
  </si>
  <si>
    <t>R-1757</t>
  </si>
  <si>
    <t>R-1758</t>
  </si>
  <si>
    <t>P-145</t>
  </si>
  <si>
    <t>R-1759</t>
  </si>
  <si>
    <t>R-1760</t>
  </si>
  <si>
    <t>R-1761</t>
  </si>
  <si>
    <t>R-1762</t>
  </si>
  <si>
    <t>P-774</t>
  </si>
  <si>
    <t>R-1763</t>
  </si>
  <si>
    <t>P-685</t>
  </si>
  <si>
    <t>R-1765</t>
  </si>
  <si>
    <t>P-930</t>
  </si>
  <si>
    <t>R-1766</t>
  </si>
  <si>
    <t>P-434</t>
  </si>
  <si>
    <t>R-1767</t>
  </si>
  <si>
    <t>P-377</t>
  </si>
  <si>
    <t>R-1768</t>
  </si>
  <si>
    <t>R-1769</t>
  </si>
  <si>
    <t>R-1770</t>
  </si>
  <si>
    <t>R-1771</t>
  </si>
  <si>
    <t>R-1772</t>
  </si>
  <si>
    <t>P-804</t>
  </si>
  <si>
    <t>R-1773</t>
  </si>
  <si>
    <t>R-1774</t>
  </si>
  <si>
    <t>R-2611</t>
  </si>
  <si>
    <t>R-1776</t>
  </si>
  <si>
    <t>P-815</t>
  </si>
  <si>
    <t>R-1777</t>
  </si>
  <si>
    <t>R-1778</t>
  </si>
  <si>
    <t>P-559</t>
  </si>
  <si>
    <t>R-1779</t>
  </si>
  <si>
    <t>R-1780</t>
  </si>
  <si>
    <t>R-1781</t>
  </si>
  <si>
    <t>P-178</t>
  </si>
  <si>
    <t>R-1782</t>
  </si>
  <si>
    <t>P-558</t>
  </si>
  <si>
    <t>R-1783</t>
  </si>
  <si>
    <t>P-637</t>
  </si>
  <si>
    <t>R-1784</t>
  </si>
  <si>
    <t>P-837</t>
  </si>
  <si>
    <t>R-1785</t>
  </si>
  <si>
    <t>R-1786</t>
  </si>
  <si>
    <t>R-3116</t>
  </si>
  <si>
    <t>R-1788</t>
  </si>
  <si>
    <t>R-1789</t>
  </si>
  <si>
    <t>R-1790</t>
  </si>
  <si>
    <t>R-1791</t>
  </si>
  <si>
    <t>P-806</t>
  </si>
  <si>
    <t>R-1792</t>
  </si>
  <si>
    <t>P-847</t>
  </si>
  <si>
    <t>R-1793</t>
  </si>
  <si>
    <t>R-1794</t>
  </si>
  <si>
    <t>R-1795</t>
  </si>
  <si>
    <t>P-183</t>
  </si>
  <si>
    <t>R-1796</t>
  </si>
  <si>
    <t>R-1797</t>
  </si>
  <si>
    <t>P-356</t>
  </si>
  <si>
    <t>R-1798</t>
  </si>
  <si>
    <t>P-626</t>
  </si>
  <si>
    <t>R-1799</t>
  </si>
  <si>
    <t>P-262</t>
  </si>
  <si>
    <t>R-1800</t>
  </si>
  <si>
    <t>R-1801</t>
  </si>
  <si>
    <t>R-1802</t>
  </si>
  <si>
    <t>R-1803</t>
  </si>
  <si>
    <t>P-683</t>
  </si>
  <si>
    <t>R-1804</t>
  </si>
  <si>
    <t>P-756</t>
  </si>
  <si>
    <t>R-1805</t>
  </si>
  <si>
    <t>P-619</t>
  </si>
  <si>
    <t>R-1806</t>
  </si>
  <si>
    <t>P-785</t>
  </si>
  <si>
    <t>R-1807</t>
  </si>
  <si>
    <t>P-298</t>
  </si>
  <si>
    <t>R-1808</t>
  </si>
  <si>
    <t>R-1809</t>
  </si>
  <si>
    <t>P-477</t>
  </si>
  <si>
    <t>R-1810</t>
  </si>
  <si>
    <t>R-1811</t>
  </si>
  <si>
    <t>R-1813</t>
  </si>
  <si>
    <t>R-1814</t>
  </si>
  <si>
    <t>R-1815</t>
  </si>
  <si>
    <t>R-1816</t>
  </si>
  <si>
    <t>P-600</t>
  </si>
  <si>
    <t>R-1817</t>
  </si>
  <si>
    <t>R-1818</t>
  </si>
  <si>
    <t>P-163</t>
  </si>
  <si>
    <t>R-1819</t>
  </si>
  <si>
    <t>R-2363</t>
  </si>
  <si>
    <t>R-1821</t>
  </si>
  <si>
    <t>P-594</t>
  </si>
  <si>
    <t>R-1822</t>
  </si>
  <si>
    <t>P-643</t>
  </si>
  <si>
    <t>R-1823</t>
  </si>
  <si>
    <t>P-828</t>
  </si>
  <si>
    <t>R-1824</t>
  </si>
  <si>
    <t>R-1825</t>
  </si>
  <si>
    <t>R-1826</t>
  </si>
  <si>
    <t>R-1827</t>
  </si>
  <si>
    <t>R-1828</t>
  </si>
  <si>
    <t>R-1829</t>
  </si>
  <si>
    <t>R-1830</t>
  </si>
  <si>
    <t>R-1831</t>
  </si>
  <si>
    <t>R-1832</t>
  </si>
  <si>
    <t>P-341</t>
  </si>
  <si>
    <t>R-1833</t>
  </si>
  <si>
    <t>R-1834</t>
  </si>
  <si>
    <t>R-1835</t>
  </si>
  <si>
    <t>P-688</t>
  </si>
  <si>
    <t>R-1836</t>
  </si>
  <si>
    <t>R-1837</t>
  </si>
  <si>
    <t>P-970</t>
  </si>
  <si>
    <t>R-1838</t>
  </si>
  <si>
    <t>P-221</t>
  </si>
  <si>
    <t>R-1839</t>
  </si>
  <si>
    <t>P-205</t>
  </si>
  <si>
    <t>R-1933</t>
  </si>
  <si>
    <t>P-404</t>
  </si>
  <si>
    <t>R-1841</t>
  </si>
  <si>
    <t>P-416</t>
  </si>
  <si>
    <t>R-1842</t>
  </si>
  <si>
    <t>R-1843</t>
  </si>
  <si>
    <t>R-1844</t>
  </si>
  <si>
    <t>P-652</t>
  </si>
  <si>
    <t>R-1845</t>
  </si>
  <si>
    <t>R-1846</t>
  </si>
  <si>
    <t>P-959</t>
  </si>
  <si>
    <t>R-1847</t>
  </si>
  <si>
    <t>R-1848</t>
  </si>
  <si>
    <t>P-482</t>
  </si>
  <si>
    <t>R-1850</t>
  </si>
  <si>
    <t>R-1851</t>
  </si>
  <si>
    <t>R-1852</t>
  </si>
  <si>
    <t>P-226</t>
  </si>
  <si>
    <t>R-1854</t>
  </si>
  <si>
    <t>R-1855</t>
  </si>
  <si>
    <t>R-2749</t>
  </si>
  <si>
    <t>R-1857</t>
  </si>
  <si>
    <t>R-1858</t>
  </si>
  <si>
    <t>R-1859</t>
  </si>
  <si>
    <t>P-794</t>
  </si>
  <si>
    <t>R-1860</t>
  </si>
  <si>
    <t>R-1861</t>
  </si>
  <si>
    <t>R-1862</t>
  </si>
  <si>
    <t>P-451</t>
  </si>
  <si>
    <t>R-1863</t>
  </si>
  <si>
    <t>P-158</t>
  </si>
  <si>
    <t>R-1864</t>
  </si>
  <si>
    <t>R-1865</t>
  </si>
  <si>
    <t>R-1866</t>
  </si>
  <si>
    <t>P-306</t>
  </si>
  <si>
    <t>R-1867</t>
  </si>
  <si>
    <t>P-431</t>
  </si>
  <si>
    <t>R-1868</t>
  </si>
  <si>
    <t>P-824</t>
  </si>
  <si>
    <t>R-1869</t>
  </si>
  <si>
    <t>P-123</t>
  </si>
  <si>
    <t>R-1870</t>
  </si>
  <si>
    <t>R-1871</t>
  </si>
  <si>
    <t>P-481</t>
  </si>
  <si>
    <t>R-1872</t>
  </si>
  <si>
    <t>P-251</t>
  </si>
  <si>
    <t>R-1873</t>
  </si>
  <si>
    <t>R-1874</t>
  </si>
  <si>
    <t>P-349</t>
  </si>
  <si>
    <t>R-1875</t>
  </si>
  <si>
    <t>R-1876</t>
  </si>
  <si>
    <t>R-1877</t>
  </si>
  <si>
    <t>P-873</t>
  </si>
  <si>
    <t>R-1878</t>
  </si>
  <si>
    <t>P-854</t>
  </si>
  <si>
    <t>R-1879</t>
  </si>
  <si>
    <t>P-345</t>
  </si>
  <si>
    <t>R-1880</t>
  </si>
  <si>
    <t>R-1881</t>
  </si>
  <si>
    <t>R-1882</t>
  </si>
  <si>
    <t>P-836</t>
  </si>
  <si>
    <t>R-1883</t>
  </si>
  <si>
    <t>R-1884</t>
  </si>
  <si>
    <t>R-1885</t>
  </si>
  <si>
    <t>P-625</t>
  </si>
  <si>
    <t>R-2094</t>
  </si>
  <si>
    <t>P-474</t>
  </si>
  <si>
    <t>R-1887</t>
  </si>
  <si>
    <t>R-1888</t>
  </si>
  <si>
    <t>P-927</t>
  </si>
  <si>
    <t>R-1889</t>
  </si>
  <si>
    <t>P-113</t>
  </si>
  <si>
    <t>R-1890</t>
  </si>
  <si>
    <t>R-1891</t>
  </si>
  <si>
    <t>P-937</t>
  </si>
  <si>
    <t>R-1892</t>
  </si>
  <si>
    <t>P-956</t>
  </si>
  <si>
    <t>R-1893</t>
  </si>
  <si>
    <t>P-165</t>
  </si>
  <si>
    <t>R-1894</t>
  </si>
  <si>
    <t>R-1895</t>
  </si>
  <si>
    <t>P-523</t>
  </si>
  <si>
    <t>R-1896</t>
  </si>
  <si>
    <t>R-1897</t>
  </si>
  <si>
    <t>R-1898</t>
  </si>
  <si>
    <t>P-109</t>
  </si>
  <si>
    <t>R-1899</t>
  </si>
  <si>
    <t>P-704</t>
  </si>
  <si>
    <t>R-1901</t>
  </si>
  <si>
    <t>P-961</t>
  </si>
  <si>
    <t>R-1902</t>
  </si>
  <si>
    <t>R-1903</t>
  </si>
  <si>
    <t>R-1904</t>
  </si>
  <si>
    <t>R-1905</t>
  </si>
  <si>
    <t>R-1906</t>
  </si>
  <si>
    <t>R-1907</t>
  </si>
  <si>
    <t>P-303</t>
  </si>
  <si>
    <t>R-1908</t>
  </si>
  <si>
    <t>R-1909</t>
  </si>
  <si>
    <t>P-923</t>
  </si>
  <si>
    <t>R-1910</t>
  </si>
  <si>
    <t>P-818</t>
  </si>
  <si>
    <t>R-1911</t>
  </si>
  <si>
    <t>P-350</t>
  </si>
  <si>
    <t>R-1912</t>
  </si>
  <si>
    <t>R-1913</t>
  </si>
  <si>
    <t>R-1914</t>
  </si>
  <si>
    <t>R-1915</t>
  </si>
  <si>
    <t>R-1916</t>
  </si>
  <si>
    <t>P-297</t>
  </si>
  <si>
    <t>R-1917</t>
  </si>
  <si>
    <t>R-1918</t>
  </si>
  <si>
    <t>R-1919</t>
  </si>
  <si>
    <t>R-1920</t>
  </si>
  <si>
    <t>R-1921</t>
  </si>
  <si>
    <t>R-1922</t>
  </si>
  <si>
    <t>R-1924</t>
  </si>
  <si>
    <t>R-1925</t>
  </si>
  <si>
    <t>P-527</t>
  </si>
  <si>
    <t>R-1927</t>
  </si>
  <si>
    <t>P-250</t>
  </si>
  <si>
    <t>R-1928</t>
  </si>
  <si>
    <t>R-1929</t>
  </si>
  <si>
    <t>P-435</t>
  </si>
  <si>
    <t>R-1930</t>
  </si>
  <si>
    <t>R-1931</t>
  </si>
  <si>
    <t>R-1932</t>
  </si>
  <si>
    <t>P-457</t>
  </si>
  <si>
    <t>R-1934</t>
  </si>
  <si>
    <t>R-1935</t>
  </si>
  <si>
    <t>P-292</t>
  </si>
  <si>
    <t>R-1936</t>
  </si>
  <si>
    <t>R-1937</t>
  </si>
  <si>
    <t>P-513</t>
  </si>
  <si>
    <t>R-1938</t>
  </si>
  <si>
    <t>R-1939</t>
  </si>
  <si>
    <t>R-1940</t>
  </si>
  <si>
    <t>R-1941</t>
  </si>
  <si>
    <t>P-444</t>
  </si>
  <si>
    <t>R-1942</t>
  </si>
  <si>
    <t>R-1943</t>
  </si>
  <si>
    <t>P-386</t>
  </si>
  <si>
    <t>R-1944</t>
  </si>
  <si>
    <t>R-1945</t>
  </si>
  <si>
    <t>P-460</t>
  </si>
  <si>
    <t>R-1946</t>
  </si>
  <si>
    <t>R-1947</t>
  </si>
  <si>
    <t>R-1948</t>
  </si>
  <si>
    <t>R-1949</t>
  </si>
  <si>
    <t>R-1950</t>
  </si>
  <si>
    <t>P-880</t>
  </si>
  <si>
    <t>R-3217</t>
  </si>
  <si>
    <t>R-1952</t>
  </si>
  <si>
    <t>R-1953</t>
  </si>
  <si>
    <t>R-3375</t>
  </si>
  <si>
    <t>P-713</t>
  </si>
  <si>
    <t>R-1955</t>
  </si>
  <si>
    <t>R-1956</t>
  </si>
  <si>
    <t>P-378</t>
  </si>
  <si>
    <t>R-1957</t>
  </si>
  <si>
    <t>P-430</t>
  </si>
  <si>
    <t>R-1958</t>
  </si>
  <si>
    <t>R-1959</t>
  </si>
  <si>
    <t>R-1961</t>
  </si>
  <si>
    <t>R-1962</t>
  </si>
  <si>
    <t>R-1963</t>
  </si>
  <si>
    <t>R-1964</t>
  </si>
  <si>
    <t>R-1965</t>
  </si>
  <si>
    <t>R-1966</t>
  </si>
  <si>
    <t>R-1967</t>
  </si>
  <si>
    <t>P-941</t>
  </si>
  <si>
    <t>R-1968</t>
  </si>
  <si>
    <t>R-1970</t>
  </si>
  <si>
    <t>P-728</t>
  </si>
  <si>
    <t>P-764</t>
  </si>
  <si>
    <t>R-1973</t>
  </si>
  <si>
    <t>P-403</t>
  </si>
  <si>
    <t>R-1974</t>
  </si>
  <si>
    <t>R-1975</t>
  </si>
  <si>
    <t>R-1976</t>
  </si>
  <si>
    <t>P-425</t>
  </si>
  <si>
    <t>R-1977</t>
  </si>
  <si>
    <t>P-463</t>
  </si>
  <si>
    <t>R-1978</t>
  </si>
  <si>
    <t>R-1979</t>
  </si>
  <si>
    <t>R-1980</t>
  </si>
  <si>
    <t>R-1981</t>
  </si>
  <si>
    <t>P-903</t>
  </si>
  <si>
    <t>R-1982</t>
  </si>
  <si>
    <t>R-1983</t>
  </si>
  <si>
    <t>R-1984</t>
  </si>
  <si>
    <t>P-901</t>
  </si>
  <si>
    <t>R-1985</t>
  </si>
  <si>
    <t>R-1986</t>
  </si>
  <si>
    <t>P-638</t>
  </si>
  <si>
    <t>R-1987</t>
  </si>
  <si>
    <t>P-255</t>
  </si>
  <si>
    <t>R-1988</t>
  </si>
  <si>
    <t>R-1989</t>
  </si>
  <si>
    <t>R-1990</t>
  </si>
  <si>
    <t>R-1991</t>
  </si>
  <si>
    <t>R-1992</t>
  </si>
  <si>
    <t>P-362</t>
  </si>
  <si>
    <t>R-1993</t>
  </si>
  <si>
    <t>R-1994</t>
  </si>
  <si>
    <t>R-1995</t>
  </si>
  <si>
    <t>R-1996</t>
  </si>
  <si>
    <t>R-1997</t>
  </si>
  <si>
    <t>P-135</t>
  </si>
  <si>
    <t>R-1998</t>
  </si>
  <si>
    <t>R-1999</t>
  </si>
  <si>
    <t>R-2000</t>
  </si>
  <si>
    <t>R-2001</t>
  </si>
  <si>
    <t>R-2002</t>
  </si>
  <si>
    <t>R-2003</t>
  </si>
  <si>
    <t>R-2004</t>
  </si>
  <si>
    <t>R-2005</t>
  </si>
  <si>
    <t>R-2006</t>
  </si>
  <si>
    <t>R-2007</t>
  </si>
  <si>
    <t>R-2008</t>
  </si>
  <si>
    <t>P-148</t>
  </si>
  <si>
    <t>R-2010</t>
  </si>
  <si>
    <t>P-763</t>
  </si>
  <si>
    <t>R-2011</t>
  </si>
  <si>
    <t>P-159</t>
  </si>
  <si>
    <t>R-2012</t>
  </si>
  <si>
    <t>R-2013</t>
  </si>
  <si>
    <t>R-2014</t>
  </si>
  <si>
    <t>R-2015</t>
  </si>
  <si>
    <t>R-2016</t>
  </si>
  <si>
    <t>R-2017</t>
  </si>
  <si>
    <t>R-2018</t>
  </si>
  <si>
    <t>R-3255</t>
  </si>
  <si>
    <t>R-2020</t>
  </si>
  <si>
    <t>R-3211</t>
  </si>
  <si>
    <t>P-749</t>
  </si>
  <si>
    <t>R-2022</t>
  </si>
  <si>
    <t>P-176</t>
  </si>
  <si>
    <t>R-2023</t>
  </si>
  <si>
    <t>R-2024</t>
  </si>
  <si>
    <t>R-2025</t>
  </si>
  <si>
    <t>P-696</t>
  </si>
  <si>
    <t>R-2026</t>
  </si>
  <si>
    <t>R-2027</t>
  </si>
  <si>
    <t>P-799</t>
  </si>
  <si>
    <t>R-2030</t>
  </si>
  <si>
    <t>P-679</t>
  </si>
  <si>
    <t>R-2031</t>
  </si>
  <si>
    <t>R-2032</t>
  </si>
  <si>
    <t>P-720</t>
  </si>
  <si>
    <t>R-2033</t>
  </si>
  <si>
    <t>P-843</t>
  </si>
  <si>
    <t>R-2034</t>
  </si>
  <si>
    <t>R-2035</t>
  </si>
  <si>
    <t>R-2036</t>
  </si>
  <si>
    <t>P-169</t>
  </si>
  <si>
    <t>R-2037</t>
  </si>
  <si>
    <t>P-807</t>
  </si>
  <si>
    <t>R-2038</t>
  </si>
  <si>
    <t>R-2039</t>
  </si>
  <si>
    <t>P-616</t>
  </si>
  <si>
    <t>R-2041</t>
  </si>
  <si>
    <t>R-2042</t>
  </si>
  <si>
    <t>P-166</t>
  </si>
  <si>
    <t>R-2043</t>
  </si>
  <si>
    <t>P-480</t>
  </si>
  <si>
    <t>R-2304</t>
  </si>
  <si>
    <t>R-2045</t>
  </si>
  <si>
    <t>R-2046</t>
  </si>
  <si>
    <t>R-2047</t>
  </si>
  <si>
    <t>P-453</t>
  </si>
  <si>
    <t>R-2048</t>
  </si>
  <si>
    <t>R-2049</t>
  </si>
  <si>
    <t>P-911</t>
  </si>
  <si>
    <t>R-2050</t>
  </si>
  <si>
    <t>R-2051</t>
  </si>
  <si>
    <t>R-2052</t>
  </si>
  <si>
    <t>R-2053</t>
  </si>
  <si>
    <t>P-545</t>
  </si>
  <si>
    <t>R-2054</t>
  </si>
  <si>
    <t>R-2055</t>
  </si>
  <si>
    <t>R-2056</t>
  </si>
  <si>
    <t>R-2452</t>
  </si>
  <si>
    <t>P-755</t>
  </si>
  <si>
    <t>R-2058</t>
  </si>
  <si>
    <t>R-2059</t>
  </si>
  <si>
    <t>R-2060</t>
  </si>
  <si>
    <t>R-2061</t>
  </si>
  <si>
    <t>P-347</t>
  </si>
  <si>
    <t>R-2062</t>
  </si>
  <si>
    <t>R-2063</t>
  </si>
  <si>
    <t>P-555</t>
  </si>
  <si>
    <t>R-2065</t>
  </si>
  <si>
    <t>R-2066</t>
  </si>
  <si>
    <t>R-2067</t>
  </si>
  <si>
    <t>R-2068</t>
  </si>
  <si>
    <t>R-2069</t>
  </si>
  <si>
    <t>P-213</t>
  </si>
  <si>
    <t>R-2070</t>
  </si>
  <si>
    <t>R-2071</t>
  </si>
  <si>
    <t>R-2072</t>
  </si>
  <si>
    <t>R-2073</t>
  </si>
  <si>
    <t>R-2074</t>
  </si>
  <si>
    <t>R-2075</t>
  </si>
  <si>
    <t>P-361</t>
  </si>
  <si>
    <t>R-2076</t>
  </si>
  <si>
    <t>R-2077</t>
  </si>
  <si>
    <t>P-200</t>
  </si>
  <si>
    <t>R-2078</t>
  </si>
  <si>
    <t>R-2079</t>
  </si>
  <si>
    <t>R-2080</t>
  </si>
  <si>
    <t>R-2081</t>
  </si>
  <si>
    <t>R-2082</t>
  </si>
  <si>
    <t>P-561</t>
  </si>
  <si>
    <t>R-2083</t>
  </si>
  <si>
    <t>P-947</t>
  </si>
  <si>
    <t>R-2084</t>
  </si>
  <si>
    <t>R-2085</t>
  </si>
  <si>
    <t>R-2086</t>
  </si>
  <si>
    <t>R-2087</t>
  </si>
  <si>
    <t>R-2088</t>
  </si>
  <si>
    <t>P-867</t>
  </si>
  <si>
    <t>R-2089</t>
  </si>
  <si>
    <t>P-892</t>
  </si>
  <si>
    <t>R-2090</t>
  </si>
  <si>
    <t>R-2091</t>
  </si>
  <si>
    <t>R-2092</t>
  </si>
  <si>
    <t>R-2093</t>
  </si>
  <si>
    <t>P-582</t>
  </si>
  <si>
    <t>R-2095</t>
  </si>
  <si>
    <t>P-124</t>
  </si>
  <si>
    <t>R-2096</t>
  </si>
  <si>
    <t>R-2097</t>
  </si>
  <si>
    <t>R-2098</t>
  </si>
  <si>
    <t>R-2099</t>
  </si>
  <si>
    <t>R-2100</t>
  </si>
  <si>
    <t>R-2101</t>
  </si>
  <si>
    <t>P-945</t>
  </si>
  <si>
    <t>R-2102</t>
  </si>
  <si>
    <t>R-2103</t>
  </si>
  <si>
    <t>R-2104</t>
  </si>
  <si>
    <t>R-2105</t>
  </si>
  <si>
    <t>P-762</t>
  </si>
  <si>
    <t>R-2106</t>
  </si>
  <si>
    <t>R-2107</t>
  </si>
  <si>
    <t>P-877</t>
  </si>
  <si>
    <t>R-2108</t>
  </si>
  <si>
    <t>R-2109</t>
  </si>
  <si>
    <t>P-562</t>
  </si>
  <si>
    <t>R-2111</t>
  </si>
  <si>
    <t>R-2112</t>
  </si>
  <si>
    <t>P-248</t>
  </si>
  <si>
    <t>R-2113</t>
  </si>
  <si>
    <t>R-2114</t>
  </si>
  <si>
    <t>R-2115</t>
  </si>
  <si>
    <t>R-2116</t>
  </si>
  <si>
    <t>P-871</t>
  </si>
  <si>
    <t>R-2117</t>
  </si>
  <si>
    <t>R-2118</t>
  </si>
  <si>
    <t>R-2120</t>
  </si>
  <si>
    <t>P-521</t>
  </si>
  <si>
    <t>R-2121</t>
  </si>
  <si>
    <t>P-162</t>
  </si>
  <si>
    <t>R-2122</t>
  </si>
  <si>
    <t>P-802</t>
  </si>
  <si>
    <t>R-2123</t>
  </si>
  <si>
    <t>R-2124</t>
  </si>
  <si>
    <t>R-3371</t>
  </si>
  <si>
    <t>R-2126</t>
  </si>
  <si>
    <t>P-697</t>
  </si>
  <si>
    <t>R-2127</t>
  </si>
  <si>
    <t>R-3401</t>
  </si>
  <si>
    <t>P-830</t>
  </si>
  <si>
    <t>R-2129</t>
  </si>
  <si>
    <t>P-841</t>
  </si>
  <si>
    <t>R-2130</t>
  </si>
  <si>
    <t>R-2131</t>
  </si>
  <si>
    <t>R-2132</t>
  </si>
  <si>
    <t>R-2133</t>
  </si>
  <si>
    <t>R-2134</t>
  </si>
  <si>
    <t>R-2135</t>
  </si>
  <si>
    <t>R-2136</t>
  </si>
  <si>
    <t>R-2137</t>
  </si>
  <si>
    <t>R-2138</t>
  </si>
  <si>
    <t>R-2139</t>
  </si>
  <si>
    <t>R-2140</t>
  </si>
  <si>
    <t>R-2142</t>
  </si>
  <si>
    <t>R-2143</t>
  </si>
  <si>
    <t>R-2144</t>
  </si>
  <si>
    <t>R-2145</t>
  </si>
  <si>
    <t>R-2146</t>
  </si>
  <si>
    <t>R-2147</t>
  </si>
  <si>
    <t>R-2148</t>
  </si>
  <si>
    <t>R-2149</t>
  </si>
  <si>
    <t>R-2150</t>
  </si>
  <si>
    <t>R-2151</t>
  </si>
  <si>
    <t>R-2152</t>
  </si>
  <si>
    <t>R-2153</t>
  </si>
  <si>
    <t>R-2154</t>
  </si>
  <si>
    <t>R-2155</t>
  </si>
  <si>
    <t>R-2156</t>
  </si>
  <si>
    <t>R-2157</t>
  </si>
  <si>
    <t>P-954</t>
  </si>
  <si>
    <t>R-2158</t>
  </si>
  <si>
    <t>R-2159</t>
  </si>
  <si>
    <t>R-2160</t>
  </si>
  <si>
    <t>R-2161</t>
  </si>
  <si>
    <t>R-2162</t>
  </si>
  <si>
    <t>R-2163</t>
  </si>
  <si>
    <t>R-2164</t>
  </si>
  <si>
    <t>R-2165</t>
  </si>
  <si>
    <t>R-2166</t>
  </si>
  <si>
    <t>P-331</t>
  </si>
  <si>
    <t>R-2167</t>
  </si>
  <si>
    <t>R-2168</t>
  </si>
  <si>
    <t>P-490</t>
  </si>
  <si>
    <t>R-2170</t>
  </si>
  <si>
    <t>R-2171</t>
  </si>
  <si>
    <t>R-2172</t>
  </si>
  <si>
    <t>R-2173</t>
  </si>
  <si>
    <t>P-237</t>
  </si>
  <si>
    <t>R-2174</t>
  </si>
  <si>
    <t>R-2175</t>
  </si>
  <si>
    <t>R-2176</t>
  </si>
  <si>
    <t>R-2177</t>
  </si>
  <si>
    <t>R-2178</t>
  </si>
  <si>
    <t>P-660</t>
  </si>
  <si>
    <t>R-2179</t>
  </si>
  <si>
    <t>P-935</t>
  </si>
  <si>
    <t>R-2180</t>
  </si>
  <si>
    <t>P-268</t>
  </si>
  <si>
    <t>R-2182</t>
  </si>
  <si>
    <t>R-2184</t>
  </si>
  <si>
    <t>P-958</t>
  </si>
  <si>
    <t>R-2185</t>
  </si>
  <si>
    <t>R-2186</t>
  </si>
  <si>
    <t>R-2187</t>
  </si>
  <si>
    <t>R-3430</t>
  </si>
  <si>
    <t>R-2189</t>
  </si>
  <si>
    <t>R-2190</t>
  </si>
  <si>
    <t>R-2191</t>
  </si>
  <si>
    <t>R-2192</t>
  </si>
  <si>
    <t>R-2193</t>
  </si>
  <si>
    <t>R-2194</t>
  </si>
  <si>
    <t>R-2195</t>
  </si>
  <si>
    <t>R-2196</t>
  </si>
  <si>
    <t>R-2369</t>
  </si>
  <si>
    <t>R-2198</t>
  </si>
  <si>
    <t>R-2199</t>
  </si>
  <si>
    <t>R-2200</t>
  </si>
  <si>
    <t>R-2201</t>
  </si>
  <si>
    <t>P-629</t>
  </si>
  <si>
    <t>R-2202</t>
  </si>
  <si>
    <t>R-2203</t>
  </si>
  <si>
    <t>R-2204</t>
  </si>
  <si>
    <t>P-746</t>
  </si>
  <si>
    <t>R-2205</t>
  </si>
  <si>
    <t>P-835</t>
  </si>
  <si>
    <t>R-2206</t>
  </si>
  <si>
    <t>R-2207</t>
  </si>
  <si>
    <t>R-2208</t>
  </si>
  <si>
    <t>R-2209</t>
  </si>
  <si>
    <t>P-869</t>
  </si>
  <si>
    <t>R-2210</t>
  </si>
  <si>
    <t>R-2211</t>
  </si>
  <si>
    <t>R-2212</t>
  </si>
  <si>
    <t>R-2213</t>
  </si>
  <si>
    <t>P-560</t>
  </si>
  <si>
    <t>R-2214</t>
  </si>
  <si>
    <t>P-520</t>
  </si>
  <si>
    <t>R-2215</t>
  </si>
  <si>
    <t>R-2216</t>
  </si>
  <si>
    <t>P-729</t>
  </si>
  <si>
    <t>R-2217</t>
  </si>
  <si>
    <t>R-2218</t>
  </si>
  <si>
    <t>R-2219</t>
  </si>
  <si>
    <t>R-2220</t>
  </si>
  <si>
    <t>P-235</t>
  </si>
  <si>
    <t>R-2221</t>
  </si>
  <si>
    <t>R-2222</t>
  </si>
  <si>
    <t>R-2223</t>
  </si>
  <si>
    <t>R-2224</t>
  </si>
  <si>
    <t>R-2225</t>
  </si>
  <si>
    <t>R-2226</t>
  </si>
  <si>
    <t>R-2227</t>
  </si>
  <si>
    <t>R-2228</t>
  </si>
  <si>
    <t>R-2229</t>
  </si>
  <si>
    <t>R-2230</t>
  </si>
  <si>
    <t>R-2231</t>
  </si>
  <si>
    <t>P-333</t>
  </si>
  <si>
    <t>R-2232</t>
  </si>
  <si>
    <t>R-2233</t>
  </si>
  <si>
    <t>R-2234</t>
  </si>
  <si>
    <t>P-686</t>
  </si>
  <si>
    <t>R-2236</t>
  </si>
  <si>
    <t>R-2237</t>
  </si>
  <si>
    <t>R-2238</t>
  </si>
  <si>
    <t>R-2239</t>
  </si>
  <si>
    <t>R-2240</t>
  </si>
  <si>
    <t>P-635</t>
  </si>
  <si>
    <t>R-2241</t>
  </si>
  <si>
    <t>P-253</t>
  </si>
  <si>
    <t>R-2242</t>
  </si>
  <si>
    <t>R-2243</t>
  </si>
  <si>
    <t>R-2244</t>
  </si>
  <si>
    <t>P-301</t>
  </si>
  <si>
    <t>R-2245</t>
  </si>
  <si>
    <t>R-2246</t>
  </si>
  <si>
    <t>R-2247</t>
  </si>
  <si>
    <t>P-682</t>
  </si>
  <si>
    <t>R-2248</t>
  </si>
  <si>
    <t>R-2249</t>
  </si>
  <si>
    <t>R-2250</t>
  </si>
  <si>
    <t>R-2251</t>
  </si>
  <si>
    <t>R-2252</t>
  </si>
  <si>
    <t>P-261</t>
  </si>
  <si>
    <t>R-2253</t>
  </si>
  <si>
    <t>R-2254</t>
  </si>
  <si>
    <t>P-418</t>
  </si>
  <si>
    <t>R-2256</t>
  </si>
  <si>
    <t>P-505</t>
  </si>
  <si>
    <t>R-2257</t>
  </si>
  <si>
    <t>R-2258</t>
  </si>
  <si>
    <t>R-2259</t>
  </si>
  <si>
    <t>R-2260</t>
  </si>
  <si>
    <t>R-2261</t>
  </si>
  <si>
    <t>R-2262</t>
  </si>
  <si>
    <t>R-2263</t>
  </si>
  <si>
    <t>R-2264</t>
  </si>
  <si>
    <t>R-2265</t>
  </si>
  <si>
    <t>R-2266</t>
  </si>
  <si>
    <t>P-912</t>
  </si>
  <si>
    <t>R-2267</t>
  </si>
  <si>
    <t>R-2268</t>
  </si>
  <si>
    <t>R-2269</t>
  </si>
  <si>
    <t>P-498</t>
  </si>
  <si>
    <t>R-2270</t>
  </si>
  <si>
    <t>R-2271</t>
  </si>
  <si>
    <t>R-2272</t>
  </si>
  <si>
    <t>P-499</t>
  </si>
  <si>
    <t>R-2273</t>
  </si>
  <si>
    <t>R-2274</t>
  </si>
  <si>
    <t>P-149</t>
  </si>
  <si>
    <t>R-2275</t>
  </si>
  <si>
    <t>P-718</t>
  </si>
  <si>
    <t>R-2276</t>
  </si>
  <si>
    <t>R-2277</t>
  </si>
  <si>
    <t>R-2278</t>
  </si>
  <si>
    <t>R-2279</t>
  </si>
  <si>
    <t>P-525</t>
  </si>
  <si>
    <t>R-2280</t>
  </si>
  <si>
    <t>R-2281</t>
  </si>
  <si>
    <t>R-2282</t>
  </si>
  <si>
    <t>P-681</t>
  </si>
  <si>
    <t>R-2284</t>
  </si>
  <si>
    <t>R-2446</t>
  </si>
  <si>
    <t>R-2286</t>
  </si>
  <si>
    <t>P-711</t>
  </si>
  <si>
    <t>R-2966</t>
  </si>
  <si>
    <t>R-2288</t>
  </si>
  <si>
    <t>R-2289</t>
  </si>
  <si>
    <t>P-642</t>
  </si>
  <si>
    <t>R-2290</t>
  </si>
  <si>
    <t>R-2291</t>
  </si>
  <si>
    <t>R-2292</t>
  </si>
  <si>
    <t>P-717</t>
  </si>
  <si>
    <t>R-2293</t>
  </si>
  <si>
    <t>R-2294</t>
  </si>
  <si>
    <t>R-2295</t>
  </si>
  <si>
    <t>R-2296</t>
  </si>
  <si>
    <t>R-2297</t>
  </si>
  <si>
    <t>R-2298</t>
  </si>
  <si>
    <t>R-2299</t>
  </si>
  <si>
    <t>R-2300</t>
  </si>
  <si>
    <t>P-632</t>
  </si>
  <si>
    <t>R-2302</t>
  </si>
  <si>
    <t>R-2303</t>
  </si>
  <si>
    <t>P-247</t>
  </si>
  <si>
    <t>R-2306</t>
  </si>
  <si>
    <t>R-2307</t>
  </si>
  <si>
    <t>R-2308</t>
  </si>
  <si>
    <t>R-2309</t>
  </si>
  <si>
    <t>P-264</t>
  </si>
  <si>
    <t>R-2310</t>
  </si>
  <si>
    <t>R-2311</t>
  </si>
  <si>
    <t>P-698</t>
  </si>
  <si>
    <t>R-2312</t>
  </si>
  <si>
    <t>R-2313</t>
  </si>
  <si>
    <t>R-2314</t>
  </si>
  <si>
    <t>R-2315</t>
  </si>
  <si>
    <t>P-277</t>
  </si>
  <si>
    <t>R-2316</t>
  </si>
  <si>
    <t>R-2317</t>
  </si>
  <si>
    <t>R-2318</t>
  </si>
  <si>
    <t>R-2319</t>
  </si>
  <si>
    <t>R-2320</t>
  </si>
  <si>
    <t>R-2321</t>
  </si>
  <si>
    <t>R-2322</t>
  </si>
  <si>
    <t>R-2323</t>
  </si>
  <si>
    <t>R-2324</t>
  </si>
  <si>
    <t>R-2325</t>
  </si>
  <si>
    <t>R-2326</t>
  </si>
  <si>
    <t>R-2328</t>
  </si>
  <si>
    <t>P-979</t>
  </si>
  <si>
    <t>R-2329</t>
  </si>
  <si>
    <t>P-778</t>
  </si>
  <si>
    <t>R-2330</t>
  </si>
  <si>
    <t>R-2331</t>
  </si>
  <si>
    <t>R-2332</t>
  </si>
  <si>
    <t>R-2333</t>
  </si>
  <si>
    <t>R-2334</t>
  </si>
  <si>
    <t>P-131</t>
  </si>
  <si>
    <t>R-2335</t>
  </si>
  <si>
    <t>R-2336</t>
  </si>
  <si>
    <t>P-167</t>
  </si>
  <si>
    <t>R-2337</t>
  </si>
  <si>
    <t>P-313</t>
  </si>
  <si>
    <t>R-2560</t>
  </si>
  <si>
    <t>R-2339</t>
  </si>
  <si>
    <t>R-2340</t>
  </si>
  <si>
    <t>R-2341</t>
  </si>
  <si>
    <t>R-2342</t>
  </si>
  <si>
    <t>P-157</t>
  </si>
  <si>
    <t>R-2343</t>
  </si>
  <si>
    <t>P-980</t>
  </si>
  <si>
    <t>R-2344</t>
  </si>
  <si>
    <t>R-2345</t>
  </si>
  <si>
    <t>R-2346</t>
  </si>
  <si>
    <t>P-143</t>
  </si>
  <si>
    <t>R-2347</t>
  </si>
  <si>
    <t>R-2348</t>
  </si>
  <si>
    <t>R-2349</t>
  </si>
  <si>
    <t>P-478</t>
  </si>
  <si>
    <t>R-2350</t>
  </si>
  <si>
    <t>R-2351</t>
  </si>
  <si>
    <t>P-603</t>
  </si>
  <si>
    <t>R-2352</t>
  </si>
  <si>
    <t>R-2353</t>
  </si>
  <si>
    <t>R-2354</t>
  </si>
  <si>
    <t>R-2355</t>
  </si>
  <si>
    <t>R-2356</t>
  </si>
  <si>
    <t>P-337</t>
  </si>
  <si>
    <t>R-2357</t>
  </si>
  <si>
    <t>R-2358</t>
  </si>
  <si>
    <t>R-2359</t>
  </si>
  <si>
    <t>P-874</t>
  </si>
  <si>
    <t>R-2360</t>
  </si>
  <si>
    <t>R-2361</t>
  </si>
  <si>
    <t>R-2362</t>
  </si>
  <si>
    <t>P-585</t>
  </si>
  <si>
    <t>R-3000</t>
  </si>
  <si>
    <t>R-2365</t>
  </si>
  <si>
    <t>R-2366</t>
  </si>
  <si>
    <t>R-2367</t>
  </si>
  <si>
    <t>R-2368</t>
  </si>
  <si>
    <t>R-2370</t>
  </si>
  <si>
    <t>R-2371</t>
  </si>
  <si>
    <t>P-986</t>
  </si>
  <si>
    <t>R-2372</t>
  </si>
  <si>
    <t>R-2373</t>
  </si>
  <si>
    <t>P-359</t>
  </si>
  <si>
    <t>R-2374</t>
  </si>
  <si>
    <t>R-2375</t>
  </si>
  <si>
    <t>P-346</t>
  </si>
  <si>
    <t>P-936</t>
  </si>
  <si>
    <t>R-2377</t>
  </si>
  <si>
    <t>P-452</t>
  </si>
  <si>
    <t>R-2378</t>
  </si>
  <si>
    <t>R-2379</t>
  </si>
  <si>
    <t>R-2380</t>
  </si>
  <si>
    <t>P-744</t>
  </si>
  <si>
    <t>R-2381</t>
  </si>
  <si>
    <t>R-2382</t>
  </si>
  <si>
    <t>R-2383</t>
  </si>
  <si>
    <t>R-2384</t>
  </si>
  <si>
    <t>R-2385</t>
  </si>
  <si>
    <t>R-2386</t>
  </si>
  <si>
    <t>R-2387</t>
  </si>
  <si>
    <t>R-2388</t>
  </si>
  <si>
    <t>R-2389</t>
  </si>
  <si>
    <t>R-2702</t>
  </si>
  <si>
    <t>R-2391</t>
  </si>
  <si>
    <t>R-2392</t>
  </si>
  <si>
    <t>R-2393</t>
  </si>
  <si>
    <t>P-437</t>
  </si>
  <si>
    <t>R-2394</t>
  </si>
  <si>
    <t>R-2395</t>
  </si>
  <si>
    <t>R-2396</t>
  </si>
  <si>
    <t>R-2397</t>
  </si>
  <si>
    <t>R-2398</t>
  </si>
  <si>
    <t>R-2399</t>
  </si>
  <si>
    <t>R-2400</t>
  </si>
  <si>
    <t>R-2401</t>
  </si>
  <si>
    <t>R-2402</t>
  </si>
  <si>
    <t>R-2403</t>
  </si>
  <si>
    <t>R-2404</t>
  </si>
  <si>
    <t>R-2405</t>
  </si>
  <si>
    <t>R-2406</t>
  </si>
  <si>
    <t>R-2407</t>
  </si>
  <si>
    <t>R-2408</t>
  </si>
  <si>
    <t>R-2409</t>
  </si>
  <si>
    <t>R-2410</t>
  </si>
  <si>
    <t>R-2411</t>
  </si>
  <si>
    <t>R-2412</t>
  </si>
  <si>
    <t>R-2413</t>
  </si>
  <si>
    <t>R-2414</t>
  </si>
  <si>
    <t>R-2415</t>
  </si>
  <si>
    <t>R-2416</t>
  </si>
  <si>
    <t>R-2417</t>
  </si>
  <si>
    <t>R-2418</t>
  </si>
  <si>
    <t>R-2419</t>
  </si>
  <si>
    <t>R-2420</t>
  </si>
  <si>
    <t>R-2421</t>
  </si>
  <si>
    <t>R-2423</t>
  </si>
  <si>
    <t>R-2425</t>
  </si>
  <si>
    <t>R-2426</t>
  </si>
  <si>
    <t>R-2427</t>
  </si>
  <si>
    <t>R-2428</t>
  </si>
  <si>
    <t>R-2429</t>
  </si>
  <si>
    <t>R-2430</t>
  </si>
  <si>
    <t>R-2431</t>
  </si>
  <si>
    <t>P-735</t>
  </si>
  <si>
    <t>R-2432</t>
  </si>
  <si>
    <t>R-2433</t>
  </si>
  <si>
    <t>R-2434</t>
  </si>
  <si>
    <t>R-2435</t>
  </si>
  <si>
    <t>P-564</t>
  </si>
  <si>
    <t>R-2436</t>
  </si>
  <si>
    <t>R-2437</t>
  </si>
  <si>
    <t>R-2438</t>
  </si>
  <si>
    <t>P-302</t>
  </si>
  <si>
    <t>R-2439</t>
  </si>
  <si>
    <t>P-433</t>
  </si>
  <si>
    <t>R-2440</t>
  </si>
  <si>
    <t>R-2760</t>
  </si>
  <si>
    <t>R-2442</t>
  </si>
  <si>
    <t>P-736</t>
  </si>
  <si>
    <t>R-2443</t>
  </si>
  <si>
    <t>R-2444</t>
  </si>
  <si>
    <t>R-2445</t>
  </si>
  <si>
    <t>P-161</t>
  </si>
  <si>
    <t>R-2447</t>
  </si>
  <si>
    <t>R-2448</t>
  </si>
  <si>
    <t>R-2449</t>
  </si>
  <si>
    <t>R-2450</t>
  </si>
  <si>
    <t>P-375</t>
  </si>
  <si>
    <t>R-2451</t>
  </si>
  <si>
    <t>R-2453</t>
  </si>
  <si>
    <t>R-2454</t>
  </si>
  <si>
    <t>R-2455</t>
  </si>
  <si>
    <t>R-2456</t>
  </si>
  <si>
    <t>R-2457</t>
  </si>
  <si>
    <t>R-2458</t>
  </si>
  <si>
    <t>R-3090</t>
  </si>
  <si>
    <t>R-2460</t>
  </si>
  <si>
    <t>R-2461</t>
  </si>
  <si>
    <t>R-2462</t>
  </si>
  <si>
    <t>P-918</t>
  </si>
  <si>
    <t>R-2463</t>
  </si>
  <si>
    <t>P-604</t>
  </si>
  <si>
    <t>R-2464</t>
  </si>
  <si>
    <t>R-2465</t>
  </si>
  <si>
    <t>R-2768</t>
  </si>
  <si>
    <t>R-2467</t>
  </si>
  <si>
    <t>P-678</t>
  </si>
  <si>
    <t>R-2468</t>
  </si>
  <si>
    <t>R-2981</t>
  </si>
  <si>
    <t>P-446</t>
  </si>
  <si>
    <t>R-2470</t>
  </si>
  <si>
    <t>P-868</t>
  </si>
  <si>
    <t>R-2471</t>
  </si>
  <si>
    <t>R-2472</t>
  </si>
  <si>
    <t>P-821</t>
  </si>
  <si>
    <t>R-2473</t>
  </si>
  <si>
    <t>R-2474</t>
  </si>
  <si>
    <t>R-2475</t>
  </si>
  <si>
    <t>R-2476</t>
  </si>
  <si>
    <t>R-2477</t>
  </si>
  <si>
    <t>R-2478</t>
  </si>
  <si>
    <t>P-241</t>
  </si>
  <si>
    <t>R-2479</t>
  </si>
  <si>
    <t>R-2480</t>
  </si>
  <si>
    <t>R-2481</t>
  </si>
  <si>
    <t>R-2482</t>
  </si>
  <si>
    <t>R-2483</t>
  </si>
  <si>
    <t>P-654</t>
  </si>
  <si>
    <t>R-2484</t>
  </si>
  <si>
    <t>R-2485</t>
  </si>
  <si>
    <t>R-2486</t>
  </si>
  <si>
    <t>R-2487</t>
  </si>
  <si>
    <t>R-2489</t>
  </si>
  <si>
    <t>R-2490</t>
  </si>
  <si>
    <t>R-1639</t>
  </si>
  <si>
    <t>R-2492</t>
  </si>
  <si>
    <t>R-2493</t>
  </si>
  <si>
    <t>R-2494</t>
  </si>
  <si>
    <t>R-3322</t>
  </si>
  <si>
    <t>P-432</t>
  </si>
  <si>
    <t>R-2496</t>
  </si>
  <si>
    <t>R-2497</t>
  </si>
  <si>
    <t>R-2498</t>
  </si>
  <si>
    <t>R-2499</t>
  </si>
  <si>
    <t>R-2500</t>
  </si>
  <si>
    <t>P-339</t>
  </si>
  <si>
    <t>R-2501</t>
  </si>
  <si>
    <t>R-2502</t>
  </si>
  <si>
    <t>R-2503</t>
  </si>
  <si>
    <t>R-2504</t>
  </si>
  <si>
    <t>P-442</t>
  </si>
  <si>
    <t>R-2505</t>
  </si>
  <si>
    <t>P-530</t>
  </si>
  <si>
    <t>R-2506</t>
  </si>
  <si>
    <t>R-2509</t>
  </si>
  <si>
    <t>R-2510</t>
  </si>
  <si>
    <t>P-850</t>
  </si>
  <si>
    <t>R-2511</t>
  </si>
  <si>
    <t>R-2512</t>
  </si>
  <si>
    <t>R-2513</t>
  </si>
  <si>
    <t>R-2514</t>
  </si>
  <si>
    <t>R-2515</t>
  </si>
  <si>
    <t>P-204</t>
  </si>
  <si>
    <t>R-2516</t>
  </si>
  <si>
    <t>R-2517</t>
  </si>
  <si>
    <t>P-365</t>
  </si>
  <si>
    <t>R-2518</t>
  </si>
  <si>
    <t>R-2519</t>
  </si>
  <si>
    <t>R-2907</t>
  </si>
  <si>
    <t>R-2521</t>
  </si>
  <si>
    <t>R-2522</t>
  </si>
  <si>
    <t>R-2523</t>
  </si>
  <si>
    <t>R-2524</t>
  </si>
  <si>
    <t>R-2525</t>
  </si>
  <si>
    <t>R-2526</t>
  </si>
  <si>
    <t>P-932</t>
  </si>
  <si>
    <t>R-2527</t>
  </si>
  <si>
    <t>R-2528</t>
  </si>
  <si>
    <t>R-2529</t>
  </si>
  <si>
    <t>R-2530</t>
  </si>
  <si>
    <t>R-2531</t>
  </si>
  <si>
    <t>P-537</t>
  </si>
  <si>
    <t>R-2532</t>
  </si>
  <si>
    <t>R-2533</t>
  </si>
  <si>
    <t>R-2534</t>
  </si>
  <si>
    <t>R-2535</t>
  </si>
  <si>
    <t>R-2536</t>
  </si>
  <si>
    <t>P-550</t>
  </si>
  <si>
    <t>R-2537</t>
  </si>
  <si>
    <t>R-2538</t>
  </si>
  <si>
    <t>R-2539</t>
  </si>
  <si>
    <t>R-2540</t>
  </si>
  <si>
    <t>R-2541</t>
  </si>
  <si>
    <t>R-2542</t>
  </si>
  <si>
    <t>R-2543</t>
  </si>
  <si>
    <t>P-767</t>
  </si>
  <si>
    <t>R-2544</t>
  </si>
  <si>
    <t>R-2545</t>
  </si>
  <si>
    <t>R-2546</t>
  </si>
  <si>
    <t>R-2547</t>
  </si>
  <si>
    <t>P-768</t>
  </si>
  <si>
    <t>R-2548</t>
  </si>
  <si>
    <t>P-518</t>
  </si>
  <si>
    <t>R-2549</t>
  </si>
  <si>
    <t>P-578</t>
  </si>
  <si>
    <t>R-2550</t>
  </si>
  <si>
    <t>R-2551</t>
  </si>
  <si>
    <t>R-2552</t>
  </si>
  <si>
    <t>R-2553</t>
  </si>
  <si>
    <t>R-2554</t>
  </si>
  <si>
    <t>R-2555</t>
  </si>
  <si>
    <t>P-487</t>
  </si>
  <si>
    <t>R-2556</t>
  </si>
  <si>
    <t>P-533</t>
  </si>
  <si>
    <t>R-2557</t>
  </si>
  <si>
    <t>R-2805</t>
  </si>
  <si>
    <t>P-529</t>
  </si>
  <si>
    <t>R-2562</t>
  </si>
  <si>
    <t>R-2563</t>
  </si>
  <si>
    <t>R-2564</t>
  </si>
  <si>
    <t>P-344</t>
  </si>
  <si>
    <t>R-3109</t>
  </si>
  <si>
    <t>R-2566</t>
  </si>
  <si>
    <t>P-648</t>
  </si>
  <si>
    <t>R-2567</t>
  </si>
  <si>
    <t>R-2568</t>
  </si>
  <si>
    <t>R-2569</t>
  </si>
  <si>
    <t>R-2570</t>
  </si>
  <si>
    <t>R-2571</t>
  </si>
  <si>
    <t>R-2572</t>
  </si>
  <si>
    <t>R-2573</t>
  </si>
  <si>
    <t>R-2574</t>
  </si>
  <si>
    <t>R-2575</t>
  </si>
  <si>
    <t>R-2576</t>
  </si>
  <si>
    <t>R-2577</t>
  </si>
  <si>
    <t>R-2578</t>
  </si>
  <si>
    <t>R-2579</t>
  </si>
  <si>
    <t>R-3089</t>
  </si>
  <si>
    <t>R-2581</t>
  </si>
  <si>
    <t>R-2582</t>
  </si>
  <si>
    <t>R-2583</t>
  </si>
  <si>
    <t>R-2584</t>
  </si>
  <si>
    <t>R-2585</t>
  </si>
  <si>
    <t>R-2586</t>
  </si>
  <si>
    <t>R-2587</t>
  </si>
  <si>
    <t>R-2588</t>
  </si>
  <si>
    <t>R-2589</t>
  </si>
  <si>
    <t>R-2590</t>
  </si>
  <si>
    <t>R-2591</t>
  </si>
  <si>
    <t>R-2592</t>
  </si>
  <si>
    <t>R-2593</t>
  </si>
  <si>
    <t>P-263</t>
  </si>
  <si>
    <t>R-2594</t>
  </si>
  <si>
    <t>R-2595</t>
  </si>
  <si>
    <t>R-2596</t>
  </si>
  <si>
    <t>R-2597</t>
  </si>
  <si>
    <t>R-2598</t>
  </si>
  <si>
    <t>R-2599</t>
  </si>
  <si>
    <t>R-2600</t>
  </si>
  <si>
    <t>R-2601</t>
  </si>
  <si>
    <t>R-2602</t>
  </si>
  <si>
    <t>R-2603</t>
  </si>
  <si>
    <t>R-2604</t>
  </si>
  <si>
    <t>R-2605</t>
  </si>
  <si>
    <t>R-2606</t>
  </si>
  <si>
    <t>R-2607</t>
  </si>
  <si>
    <t>P-814</t>
  </si>
  <si>
    <t>R-2609</t>
  </si>
  <si>
    <t>P-598</t>
  </si>
  <si>
    <t>R-2610</t>
  </si>
  <si>
    <t>R-2612</t>
  </si>
  <si>
    <t>R-2613</t>
  </si>
  <si>
    <t>R-2614</t>
  </si>
  <si>
    <t>R-2615</t>
  </si>
  <si>
    <t>R-2616</t>
  </si>
  <si>
    <t>R-2617</t>
  </si>
  <si>
    <t>R-2618</t>
  </si>
  <si>
    <t>R-2619</t>
  </si>
  <si>
    <t>R-2620</t>
  </si>
  <si>
    <t>P-112</t>
  </si>
  <si>
    <t>R-2621</t>
  </si>
  <si>
    <t>R-2622</t>
  </si>
  <si>
    <t>R-2657</t>
  </si>
  <si>
    <t>R-2625</t>
  </si>
  <si>
    <t>P-909</t>
  </si>
  <si>
    <t>R-2626</t>
  </si>
  <si>
    <t>R-2627</t>
  </si>
  <si>
    <t>R-2628</t>
  </si>
  <si>
    <t>R-3228</t>
  </si>
  <si>
    <t>P-156</t>
  </si>
  <si>
    <t>R-2630</t>
  </si>
  <si>
    <t>R-2631</t>
  </si>
  <si>
    <t>R-2632</t>
  </si>
  <si>
    <t>P-587</t>
  </si>
  <si>
    <t>R-2633</t>
  </si>
  <si>
    <t>R-2634</t>
  </si>
  <si>
    <t>R-2635</t>
  </si>
  <si>
    <t>R-2636</t>
  </si>
  <si>
    <t>R-2637</t>
  </si>
  <si>
    <t>R-2638</t>
  </si>
  <si>
    <t>P-287</t>
  </si>
  <si>
    <t>R-2639</t>
  </si>
  <si>
    <t>R-2640</t>
  </si>
  <si>
    <t>R-2641</t>
  </si>
  <si>
    <t>R-2642</t>
  </si>
  <si>
    <t>R-2643</t>
  </si>
  <si>
    <t>R-2644</t>
  </si>
  <si>
    <t>R-2645</t>
  </si>
  <si>
    <t>R-2646</t>
  </si>
  <si>
    <t>R-2647</t>
  </si>
  <si>
    <t>P-389</t>
  </si>
  <si>
    <t>R-2648</t>
  </si>
  <si>
    <t>R-2649</t>
  </si>
  <si>
    <t>R-2650</t>
  </si>
  <si>
    <t>R-2651</t>
  </si>
  <si>
    <t>P-845</t>
  </si>
  <si>
    <t>R-2652</t>
  </si>
  <si>
    <t>R-2653</t>
  </si>
  <si>
    <t>R-2654</t>
  </si>
  <si>
    <t>R-2655</t>
  </si>
  <si>
    <t>R-2656</t>
  </si>
  <si>
    <t>R-2658</t>
  </si>
  <si>
    <t>R-2659</t>
  </si>
  <si>
    <t>R-2660</t>
  </si>
  <si>
    <t>P-906</t>
  </si>
  <si>
    <t>R-2661</t>
  </si>
  <si>
    <t>R-2662</t>
  </si>
  <si>
    <t>R-2663</t>
  </si>
  <si>
    <t>R-2664</t>
  </si>
  <si>
    <t>R-2665</t>
  </si>
  <si>
    <t>P-436</t>
  </si>
  <si>
    <t>R-2666</t>
  </si>
  <si>
    <t>R-2667</t>
  </si>
  <si>
    <t>R-3052</t>
  </si>
  <si>
    <t>R-2669</t>
  </si>
  <si>
    <t>R-2671</t>
  </si>
  <si>
    <t>R-2672</t>
  </si>
  <si>
    <t>R-2673</t>
  </si>
  <si>
    <t>R-2674</t>
  </si>
  <si>
    <t>R-2675</t>
  </si>
  <si>
    <t>R-2676</t>
  </si>
  <si>
    <t>R-2677</t>
  </si>
  <si>
    <t>R-2678</t>
  </si>
  <si>
    <t>P-972</t>
  </si>
  <si>
    <t>R-2679</t>
  </si>
  <si>
    <t>P-690</t>
  </si>
  <si>
    <t>R-2680</t>
  </si>
  <si>
    <t>R-2681</t>
  </si>
  <si>
    <t>R-2682</t>
  </si>
  <si>
    <t>R-2683</t>
  </si>
  <si>
    <t>R-2684</t>
  </si>
  <si>
    <t>R-2685</t>
  </si>
  <si>
    <t>R-2687</t>
  </si>
  <si>
    <t>R-2688</t>
  </si>
  <si>
    <t>R-2689</t>
  </si>
  <si>
    <t>R-2690</t>
  </si>
  <si>
    <t>R-2691</t>
  </si>
  <si>
    <t>R-2692</t>
  </si>
  <si>
    <t>R-2693</t>
  </si>
  <si>
    <t>R-2694</t>
  </si>
  <si>
    <t>R-2695</t>
  </si>
  <si>
    <t>R-2696</t>
  </si>
  <si>
    <t>R-2697</t>
  </si>
  <si>
    <t>R-2698</t>
  </si>
  <si>
    <t>R-2699</t>
  </si>
  <si>
    <t>P-274</t>
  </si>
  <si>
    <t>R-2700</t>
  </si>
  <si>
    <t>P-334</t>
  </si>
  <si>
    <t>R-2701</t>
  </si>
  <si>
    <t>R-2703</t>
  </si>
  <si>
    <t>R-2704</t>
  </si>
  <si>
    <t>R-2705</t>
  </si>
  <si>
    <t>R-2706</t>
  </si>
  <si>
    <t>R-2707</t>
  </si>
  <si>
    <t>R-2708</t>
  </si>
  <si>
    <t>P-454</t>
  </si>
  <si>
    <t>R-2710</t>
  </si>
  <si>
    <t>R-2711</t>
  </si>
  <si>
    <t>R-2712</t>
  </si>
  <si>
    <t>R-2713</t>
  </si>
  <si>
    <t>R-2714</t>
  </si>
  <si>
    <t>R-2715</t>
  </si>
  <si>
    <t>P-997</t>
  </si>
  <si>
    <t>R-2716</t>
  </si>
  <si>
    <t>R-2717</t>
  </si>
  <si>
    <t>R-2718</t>
  </si>
  <si>
    <t>R-2719</t>
  </si>
  <si>
    <t>R-2720</t>
  </si>
  <si>
    <t>R-2721</t>
  </si>
  <si>
    <t>R-2722</t>
  </si>
  <si>
    <t>R-2723</t>
  </si>
  <si>
    <t>R-2724</t>
  </si>
  <si>
    <t>R-2725</t>
  </si>
  <si>
    <t>R-2726</t>
  </si>
  <si>
    <t>R-2727</t>
  </si>
  <si>
    <t>R-2728</t>
  </si>
  <si>
    <t>R-2729</t>
  </si>
  <si>
    <t>R-2730</t>
  </si>
  <si>
    <t>R-2731</t>
  </si>
  <si>
    <t>R-2732</t>
  </si>
  <si>
    <t>R-2733</t>
  </si>
  <si>
    <t>R-2734</t>
  </si>
  <si>
    <t>R-2735</t>
  </si>
  <si>
    <t>R-2736</t>
  </si>
  <si>
    <t>R-2737</t>
  </si>
  <si>
    <t>R-2738</t>
  </si>
  <si>
    <t>R-2739</t>
  </si>
  <si>
    <t>R-2740</t>
  </si>
  <si>
    <t>P-839</t>
  </si>
  <si>
    <t>R-2741</t>
  </si>
  <si>
    <t>R-2742</t>
  </si>
  <si>
    <t>R-2743</t>
  </si>
  <si>
    <t>R-2744</t>
  </si>
  <si>
    <t>R-2745</t>
  </si>
  <si>
    <t>R-2746</t>
  </si>
  <si>
    <t>R-2748</t>
  </si>
  <si>
    <t>R-2751</t>
  </si>
  <si>
    <t>R-2752</t>
  </si>
  <si>
    <t>R-2753</t>
  </si>
  <si>
    <t>R-2754</t>
  </si>
  <si>
    <t>R-2755</t>
  </si>
  <si>
    <t>P-583</t>
  </si>
  <si>
    <t>R-2757</t>
  </si>
  <si>
    <t>P-556</t>
  </si>
  <si>
    <t>R-2758</t>
  </si>
  <si>
    <t>R-2759</t>
  </si>
  <si>
    <t>P-144</t>
  </si>
  <si>
    <t>R-2761</t>
  </si>
  <si>
    <t>R-2762</t>
  </si>
  <si>
    <t>R-2763</t>
  </si>
  <si>
    <t>R-2764</t>
  </si>
  <si>
    <t>R-2765</t>
  </si>
  <si>
    <t>R-2766</t>
  </si>
  <si>
    <t>R-2767</t>
  </si>
  <si>
    <t>R-2769</t>
  </si>
  <si>
    <t>R-2770</t>
  </si>
  <si>
    <t>R-2771</t>
  </si>
  <si>
    <t>R-2772</t>
  </si>
  <si>
    <t>P-461</t>
  </si>
  <si>
    <t>R-2773</t>
  </si>
  <si>
    <t>R-2774</t>
  </si>
  <si>
    <t>R-2776</t>
  </si>
  <si>
    <t>R-2777</t>
  </si>
  <si>
    <t>P-962</t>
  </si>
  <si>
    <t>R-2778</t>
  </si>
  <si>
    <t>R-2779</t>
  </si>
  <si>
    <t>R-2780</t>
  </si>
  <si>
    <t>R-2781</t>
  </si>
  <si>
    <t>R-2782</t>
  </si>
  <si>
    <t>R-2783</t>
  </si>
  <si>
    <t>R-2784</t>
  </si>
  <si>
    <t>R-2785</t>
  </si>
  <si>
    <t>R-2786</t>
  </si>
  <si>
    <t>R-2787</t>
  </si>
  <si>
    <t>R-2788</t>
  </si>
  <si>
    <t>P-114</t>
  </si>
  <si>
    <t>R-2789</t>
  </si>
  <si>
    <t>R-2790</t>
  </si>
  <si>
    <t>R-2791</t>
  </si>
  <si>
    <t>R-2792</t>
  </si>
  <si>
    <t>P-309</t>
  </si>
  <si>
    <t>R-2793</t>
  </si>
  <si>
    <t>R-2794</t>
  </si>
  <si>
    <t>R-2795</t>
  </si>
  <si>
    <t>R-2796</t>
  </si>
  <si>
    <t>R-2797</t>
  </si>
  <si>
    <t>R-2798</t>
  </si>
  <si>
    <t>R-2799</t>
  </si>
  <si>
    <t>R-2800</t>
  </si>
  <si>
    <t>R-2801</t>
  </si>
  <si>
    <t>R-2802</t>
  </si>
  <si>
    <t>R-2803</t>
  </si>
  <si>
    <t>R-2804</t>
  </si>
  <si>
    <t>R-2806</t>
  </si>
  <si>
    <t>P-700</t>
  </si>
  <si>
    <t>R-2807</t>
  </si>
  <si>
    <t>R-2808</t>
  </si>
  <si>
    <t>R-2809</t>
  </si>
  <si>
    <t>R-2810</t>
  </si>
  <si>
    <t>R-2811</t>
  </si>
  <si>
    <t>R-2812</t>
  </si>
  <si>
    <t>R-2814</t>
  </si>
  <si>
    <t>R-2816</t>
  </si>
  <si>
    <t>R-2817</t>
  </si>
  <si>
    <t>P-526</t>
  </si>
  <si>
    <t>R-2818</t>
  </si>
  <si>
    <t>R-2819</t>
  </si>
  <si>
    <t>P-853</t>
  </si>
  <si>
    <t>R-2820</t>
  </si>
  <si>
    <t>R-2821</t>
  </si>
  <si>
    <t>R-2822</t>
  </si>
  <si>
    <t>R-2823</t>
  </si>
  <si>
    <t>R-2824</t>
  </si>
  <si>
    <t>P-354</t>
  </si>
  <si>
    <t>R-2825</t>
  </si>
  <si>
    <t>P-827</t>
  </si>
  <si>
    <t>R-2826</t>
  </si>
  <si>
    <t>R-2828</t>
  </si>
  <si>
    <t>R-2829</t>
  </si>
  <si>
    <t>R-2830</t>
  </si>
  <si>
    <t>R-2831</t>
  </si>
  <si>
    <t>R-2832</t>
  </si>
  <si>
    <t>R-2833</t>
  </si>
  <si>
    <t>R-2834</t>
  </si>
  <si>
    <t>R-2835</t>
  </si>
  <si>
    <t>R-2836</t>
  </si>
  <si>
    <t>R-2837</t>
  </si>
  <si>
    <t>P-503</t>
  </si>
  <si>
    <t>R-2838</t>
  </si>
  <si>
    <t>R-2839</t>
  </si>
  <si>
    <t>R-2840</t>
  </si>
  <si>
    <t>R-2841</t>
  </si>
  <si>
    <t>R-2842</t>
  </si>
  <si>
    <t>R-2843</t>
  </si>
  <si>
    <t>R-2844</t>
  </si>
  <si>
    <t>R-2845</t>
  </si>
  <si>
    <t>R-2846</t>
  </si>
  <si>
    <t>R-2847</t>
  </si>
  <si>
    <t>R-2848</t>
  </si>
  <si>
    <t>P-989</t>
  </si>
  <si>
    <t>R-2849</t>
  </si>
  <si>
    <t>R-2850</t>
  </si>
  <si>
    <t>R-2851</t>
  </si>
  <si>
    <t>R-2852</t>
  </si>
  <si>
    <t>P-750</t>
  </si>
  <si>
    <t>R-2853</t>
  </si>
  <si>
    <t>R-2854</t>
  </si>
  <si>
    <t>R-2855</t>
  </si>
  <si>
    <t>R-2857</t>
  </si>
  <si>
    <t>R-2858</t>
  </si>
  <si>
    <t>R-2859</t>
  </si>
  <si>
    <t>R-2860</t>
  </si>
  <si>
    <t>R-2861</t>
  </si>
  <si>
    <t>R-2862</t>
  </si>
  <si>
    <t>R-2863</t>
  </si>
  <si>
    <t>R-2864</t>
  </si>
  <si>
    <t>R-2865</t>
  </si>
  <si>
    <t>R-2866</t>
  </si>
  <si>
    <t>R-2867</t>
  </si>
  <si>
    <t>P-466</t>
  </si>
  <si>
    <t>R-2868</t>
  </si>
  <si>
    <t>R-2869</t>
  </si>
  <si>
    <t>R-2870</t>
  </si>
  <si>
    <t>R-2871</t>
  </si>
  <si>
    <t>R-2872</t>
  </si>
  <si>
    <t>P-532</t>
  </si>
  <si>
    <t>R-2873</t>
  </si>
  <si>
    <t>R-2874</t>
  </si>
  <si>
    <t>R-2875</t>
  </si>
  <si>
    <t>R-2876</t>
  </si>
  <si>
    <t>P-929</t>
  </si>
  <si>
    <t>R-2877</t>
  </si>
  <si>
    <t>P-608</t>
  </si>
  <si>
    <t>R-2878</t>
  </si>
  <si>
    <t>R-2879</t>
  </si>
  <si>
    <t>R-3100</t>
  </si>
  <si>
    <t>R-2881</t>
  </si>
  <si>
    <t>P-184</t>
  </si>
  <si>
    <t>R-2882</t>
  </si>
  <si>
    <t>P-614</t>
  </si>
  <si>
    <t>R-2883</t>
  </si>
  <si>
    <t>R-2884</t>
  </si>
  <si>
    <t>P-943</t>
  </si>
  <si>
    <t>R-2885</t>
  </si>
  <si>
    <t>R-2886</t>
  </si>
  <si>
    <t>R-2887</t>
  </si>
  <si>
    <t>R-2888</t>
  </si>
  <si>
    <t>R-2889</t>
  </si>
  <si>
    <t>P-305</t>
  </si>
  <si>
    <t>R-2891</t>
  </si>
  <si>
    <t>P-595</t>
  </si>
  <si>
    <t>R-2892</t>
  </si>
  <si>
    <t>R-2893</t>
  </si>
  <si>
    <t>P-627</t>
  </si>
  <si>
    <t>R-2894</t>
  </si>
  <si>
    <t>P-312</t>
  </si>
  <si>
    <t>R-2895</t>
  </si>
  <si>
    <t>R-2896</t>
  </si>
  <si>
    <t>P-898</t>
  </si>
  <si>
    <t>R-2897</t>
  </si>
  <si>
    <t>R-2898</t>
  </si>
  <si>
    <t>P-866</t>
  </si>
  <si>
    <t>R-2899</t>
  </si>
  <si>
    <t>R-2900</t>
  </si>
  <si>
    <t>R-2901</t>
  </si>
  <si>
    <t>R-3046</t>
  </si>
  <si>
    <t>R-2903</t>
  </si>
  <si>
    <t>R-3302</t>
  </si>
  <si>
    <t>R-2905</t>
  </si>
  <si>
    <t>R-2906</t>
  </si>
  <si>
    <t>R-2908</t>
  </si>
  <si>
    <t>R-2909</t>
  </si>
  <si>
    <t>R-2910</t>
  </si>
  <si>
    <t>R-2911</t>
  </si>
  <si>
    <t>R-2913</t>
  </si>
  <si>
    <t>R-2914</t>
  </si>
  <si>
    <t>R-2915</t>
  </si>
  <si>
    <t>R-2916</t>
  </si>
  <si>
    <t>R-2917</t>
  </si>
  <si>
    <t>R-2918</t>
  </si>
  <si>
    <t>R-2919</t>
  </si>
  <si>
    <t>R-2920</t>
  </si>
  <si>
    <t>R-2921</t>
  </si>
  <si>
    <t>R-2922</t>
  </si>
  <si>
    <t>R-2923</t>
  </si>
  <si>
    <t>R-2924</t>
  </si>
  <si>
    <t>R-2926</t>
  </si>
  <si>
    <t>R-2927</t>
  </si>
  <si>
    <t>R-2928</t>
  </si>
  <si>
    <t>R-2929</t>
  </si>
  <si>
    <t>P-950</t>
  </si>
  <si>
    <t>R-2931</t>
  </si>
  <si>
    <t>R-2932</t>
  </si>
  <si>
    <t>R-2933</t>
  </si>
  <si>
    <t>R-2935</t>
  </si>
  <si>
    <t>P-691</t>
  </si>
  <si>
    <t>R-2936</t>
  </si>
  <si>
    <t>P-557</t>
  </si>
  <si>
    <t>R-2937</t>
  </si>
  <si>
    <t>R-2939</t>
  </si>
  <si>
    <t>R-2940</t>
  </si>
  <si>
    <t>R-2941</t>
  </si>
  <si>
    <t>R-2942</t>
  </si>
  <si>
    <t>R-2943</t>
  </si>
  <si>
    <t>R-2944</t>
  </si>
  <si>
    <t>R-2945</t>
  </si>
  <si>
    <t>R-2946</t>
  </si>
  <si>
    <t>R-2948</t>
  </si>
  <si>
    <t>R-2949</t>
  </si>
  <si>
    <t>P-196</t>
  </si>
  <si>
    <t>R-2950</t>
  </si>
  <si>
    <t>R-2951</t>
  </si>
  <si>
    <t>R-2952</t>
  </si>
  <si>
    <t>R-2953</t>
  </si>
  <si>
    <t>R-2954</t>
  </si>
  <si>
    <t>P-296</t>
  </si>
  <si>
    <t>R-2955</t>
  </si>
  <si>
    <t>R-2956</t>
  </si>
  <si>
    <t>R-2957</t>
  </si>
  <si>
    <t>P-793</t>
  </si>
  <si>
    <t>R-2958</t>
  </si>
  <si>
    <t>R-2959</t>
  </si>
  <si>
    <t>R-2960</t>
  </si>
  <si>
    <t>R-2961</t>
  </si>
  <si>
    <t>R-2962</t>
  </si>
  <si>
    <t>R-2963</t>
  </si>
  <si>
    <t>R-2964</t>
  </si>
  <si>
    <t>R-2965</t>
  </si>
  <si>
    <t>R-2967</t>
  </si>
  <si>
    <t>P-511</t>
  </si>
  <si>
    <t>R-2968</t>
  </si>
  <si>
    <t>R-2969</t>
  </si>
  <si>
    <t>P-524</t>
  </si>
  <si>
    <t>R-2970</t>
  </si>
  <si>
    <t>R-2971</t>
  </si>
  <si>
    <t>P-486</t>
  </si>
  <si>
    <t>R-2972</t>
  </si>
  <si>
    <t>R-2973</t>
  </si>
  <si>
    <t>P-613</t>
  </si>
  <si>
    <t>R-2974</t>
  </si>
  <si>
    <t>R-2975</t>
  </si>
  <si>
    <t>R-2976</t>
  </si>
  <si>
    <t>P-394</t>
  </si>
  <si>
    <t>R-2977</t>
  </si>
  <si>
    <t>R-2978</t>
  </si>
  <si>
    <t>R-2979</t>
  </si>
  <si>
    <t>R-2980</t>
  </si>
  <si>
    <t>R-2982</t>
  </si>
  <si>
    <t>P-934</t>
  </si>
  <si>
    <t>R-2983</t>
  </si>
  <si>
    <t>R-2984</t>
  </si>
  <si>
    <t>R-2985</t>
  </si>
  <si>
    <t>R-2986</t>
  </si>
  <si>
    <t>R-2987</t>
  </si>
  <si>
    <t>P-357</t>
  </si>
  <si>
    <t>R-2988</t>
  </si>
  <si>
    <t>R-2989</t>
  </si>
  <si>
    <t>R-2990</t>
  </si>
  <si>
    <t>R-2991</t>
  </si>
  <si>
    <t>R-2992</t>
  </si>
  <si>
    <t>R-2993</t>
  </si>
  <si>
    <t>P-967</t>
  </si>
  <si>
    <t>R-2994</t>
  </si>
  <si>
    <t>R-2995</t>
  </si>
  <si>
    <t>R-2996</t>
  </si>
  <si>
    <t>R-2997</t>
  </si>
  <si>
    <t>R-2998</t>
  </si>
  <si>
    <t>R-2999</t>
  </si>
  <si>
    <t>R-3001</t>
  </si>
  <si>
    <t>R-3002</t>
  </si>
  <si>
    <t>P-265</t>
  </si>
  <si>
    <t>R-3003</t>
  </si>
  <si>
    <t>R-3004</t>
  </si>
  <si>
    <t>R-3005</t>
  </si>
  <si>
    <t>R-3006</t>
  </si>
  <si>
    <t>R-3007</t>
  </si>
  <si>
    <t>R-3008</t>
  </si>
  <si>
    <t>R-3009</t>
  </si>
  <si>
    <t>R-3010</t>
  </si>
  <si>
    <t>R-3011</t>
  </si>
  <si>
    <t>R-3012</t>
  </si>
  <si>
    <t>P-592</t>
  </si>
  <si>
    <t>R-3013</t>
  </si>
  <si>
    <t>R-3015</t>
  </si>
  <si>
    <t>R-3016</t>
  </si>
  <si>
    <t>R-3017</t>
  </si>
  <si>
    <t>R-3018</t>
  </si>
  <si>
    <t>R-3019</t>
  </si>
  <si>
    <t>P-160</t>
  </si>
  <si>
    <t>R-3020</t>
  </si>
  <si>
    <t>R-3021</t>
  </si>
  <si>
    <t>R-3022</t>
  </si>
  <si>
    <t>R-3023</t>
  </si>
  <si>
    <t>R-3024</t>
  </si>
  <si>
    <t>R-3025</t>
  </si>
  <si>
    <t>R-3026</t>
  </si>
  <si>
    <t>R-3028</t>
  </si>
  <si>
    <t>R-3029</t>
  </si>
  <si>
    <t>R-3030</t>
  </si>
  <si>
    <t>R-3031</t>
  </si>
  <si>
    <t>R-3033</t>
  </si>
  <si>
    <t>R-3034</t>
  </si>
  <si>
    <t>R-3035</t>
  </si>
  <si>
    <t>P-667</t>
  </si>
  <si>
    <t>R-3036</t>
  </si>
  <si>
    <t>R-3038</t>
  </si>
  <si>
    <t>R-3040</t>
  </si>
  <si>
    <t>R-3041</t>
  </si>
  <si>
    <t>R-3042</t>
  </si>
  <si>
    <t>R-3043</t>
  </si>
  <si>
    <t>P-238</t>
  </si>
  <si>
    <t>R-3044</t>
  </si>
  <si>
    <t>P-304</t>
  </si>
  <si>
    <t>R-3045</t>
  </si>
  <si>
    <t>P-974</t>
  </si>
  <si>
    <t>R-3047</t>
  </si>
  <si>
    <t>R-3048</t>
  </si>
  <si>
    <t>R-3049</t>
  </si>
  <si>
    <t>R-3050</t>
  </si>
  <si>
    <t>R-3051</t>
  </si>
  <si>
    <t>R-3351</t>
  </si>
  <si>
    <t>R-3054</t>
  </si>
  <si>
    <t>R-3055</t>
  </si>
  <si>
    <t>P-902</t>
  </si>
  <si>
    <t>R-3056</t>
  </si>
  <si>
    <t>R-3057</t>
  </si>
  <si>
    <t>P-543</t>
  </si>
  <si>
    <t>R-3058</t>
  </si>
  <si>
    <t>R-3059</t>
  </si>
  <si>
    <t>R-3060</t>
  </si>
  <si>
    <t>R-3061</t>
  </si>
  <si>
    <t>R-3063</t>
  </si>
  <si>
    <t>R-3064</t>
  </si>
  <si>
    <t>P-721</t>
  </si>
  <si>
    <t>R-3065</t>
  </si>
  <si>
    <t>R-3066</t>
  </si>
  <si>
    <t>R-3067</t>
  </si>
  <si>
    <t>R-3068</t>
  </si>
  <si>
    <t>P-105</t>
  </si>
  <si>
    <t>R-3069</t>
  </si>
  <si>
    <t>R-3070</t>
  </si>
  <si>
    <t>R-3072</t>
  </si>
  <si>
    <t>R-3073</t>
  </si>
  <si>
    <t>R-3074</t>
  </si>
  <si>
    <t>R-3075</t>
  </si>
  <si>
    <t>R-3076</t>
  </si>
  <si>
    <t>R-3077</t>
  </si>
  <si>
    <t>R-3079</t>
  </si>
  <si>
    <t>R-3080</t>
  </si>
  <si>
    <t>R-3081</t>
  </si>
  <si>
    <t>R-3082</t>
  </si>
  <si>
    <t>R-3083</t>
  </si>
  <si>
    <t>R-3084</t>
  </si>
  <si>
    <t>R-3085</t>
  </si>
  <si>
    <t>R-3086</t>
  </si>
  <si>
    <t>R-3087</t>
  </si>
  <si>
    <t>R-3088</t>
  </si>
  <si>
    <t>R-3091</t>
  </si>
  <si>
    <t>R-3092</t>
  </si>
  <si>
    <t>R-3093</t>
  </si>
  <si>
    <t>R-3094</t>
  </si>
  <si>
    <t>R-3095</t>
  </si>
  <si>
    <t>R-3096</t>
  </si>
  <si>
    <t>R-3097</t>
  </si>
  <si>
    <t>R-3098</t>
  </si>
  <si>
    <t>R-3099</t>
  </si>
  <si>
    <t>P-192</t>
  </si>
  <si>
    <t>R-3101</t>
  </si>
  <si>
    <t>R-3102</t>
  </si>
  <si>
    <t>R-3103</t>
  </si>
  <si>
    <t>R-3104</t>
  </si>
  <si>
    <t>P-368</t>
  </si>
  <si>
    <t>R-3105</t>
  </si>
  <si>
    <t>R-3106</t>
  </si>
  <si>
    <t>P-413</t>
  </si>
  <si>
    <t>R-3107</t>
  </si>
  <si>
    <t>R-3108</t>
  </si>
  <si>
    <t>R-3110</t>
  </si>
  <si>
    <t>R-3111</t>
  </si>
  <si>
    <t>R-3113</t>
  </si>
  <si>
    <t>R-3114</t>
  </si>
  <si>
    <t>R-3115</t>
  </si>
  <si>
    <t>R-3117</t>
  </si>
  <si>
    <t>R-3118</t>
  </si>
  <si>
    <t>R-3119</t>
  </si>
  <si>
    <t>R-3120</t>
  </si>
  <si>
    <t>R-3121</t>
  </si>
  <si>
    <t>R-3122</t>
  </si>
  <si>
    <t>R-3123</t>
  </si>
  <si>
    <t>R-3124</t>
  </si>
  <si>
    <t>R-3125</t>
  </si>
  <si>
    <t>R-3126</t>
  </si>
  <si>
    <t>R-3127</t>
  </si>
  <si>
    <t>R-3128</t>
  </si>
  <si>
    <t>R-3129</t>
  </si>
  <si>
    <t>P-831</t>
  </si>
  <si>
    <t>R-3130</t>
  </si>
  <si>
    <t>R-3131</t>
  </si>
  <si>
    <t>R-3132</t>
  </si>
  <si>
    <t>R-3133</t>
  </si>
  <si>
    <t>P-320</t>
  </si>
  <si>
    <t>R-3134</t>
  </si>
  <si>
    <t>R-3135</t>
  </si>
  <si>
    <t>R-3136</t>
  </si>
  <si>
    <t>R-3137</t>
  </si>
  <si>
    <t>R-3138</t>
  </si>
  <si>
    <t>R-3140</t>
  </si>
  <si>
    <t>R-3141</t>
  </si>
  <si>
    <t>R-3172</t>
  </si>
  <si>
    <t>R-3143</t>
  </si>
  <si>
    <t>R-3450</t>
  </si>
  <si>
    <t>R-3146</t>
  </si>
  <si>
    <t>R-3147</t>
  </si>
  <si>
    <t>R-3148</t>
  </si>
  <si>
    <t>R-3149</t>
  </si>
  <si>
    <t>R-3150</t>
  </si>
  <si>
    <t>R-3151</t>
  </si>
  <si>
    <t>R-3152</t>
  </si>
  <si>
    <t>R-3153</t>
  </si>
  <si>
    <t>R-3154</t>
  </si>
  <si>
    <t>P-364</t>
  </si>
  <si>
    <t>R-3155</t>
  </si>
  <si>
    <t>R-3156</t>
  </si>
  <si>
    <t>R-3157</t>
  </si>
  <si>
    <t>R-3158</t>
  </si>
  <si>
    <t>R-3159</t>
  </si>
  <si>
    <t>P-856</t>
  </si>
  <si>
    <t>R-3160</t>
  </si>
  <si>
    <t>R-3161</t>
  </si>
  <si>
    <t>R-3162</t>
  </si>
  <si>
    <t>R-3163</t>
  </si>
  <si>
    <t>R-3164</t>
  </si>
  <si>
    <t>R-3165</t>
  </si>
  <si>
    <t>R-3166</t>
  </si>
  <si>
    <t>R-3167</t>
  </si>
  <si>
    <t>R-3168</t>
  </si>
  <si>
    <t>R-3169</t>
  </si>
  <si>
    <t>R-3170</t>
  </si>
  <si>
    <t>R-3171</t>
  </si>
  <si>
    <t>R-3173</t>
  </si>
  <si>
    <t>R-3174</t>
  </si>
  <si>
    <t>P-321</t>
  </si>
  <si>
    <t>R-3175</t>
  </si>
  <si>
    <t>R-3176</t>
  </si>
  <si>
    <t>R-3177</t>
  </si>
  <si>
    <t>R-3178</t>
  </si>
  <si>
    <t>R-3179</t>
  </si>
  <si>
    <t>R-3180</t>
  </si>
  <si>
    <t>R-3181</t>
  </si>
  <si>
    <t>P-439</t>
  </si>
  <si>
    <t>R-3182</t>
  </si>
  <si>
    <t>R-3183</t>
  </si>
  <si>
    <t>R-3184</t>
  </si>
  <si>
    <t>R-3185</t>
  </si>
  <si>
    <t>R-3186</t>
  </si>
  <si>
    <t>R-3187</t>
  </si>
  <si>
    <t>R-3188</t>
  </si>
  <si>
    <t>R-3189</t>
  </si>
  <si>
    <t>R-3190</t>
  </si>
  <si>
    <t>P-798</t>
  </si>
  <si>
    <t>R-3191</t>
  </si>
  <si>
    <t>R-3192</t>
  </si>
  <si>
    <t>R-3193</t>
  </si>
  <si>
    <t>R-3194</t>
  </si>
  <si>
    <t>R-3195</t>
  </si>
  <si>
    <t>R-3196</t>
  </si>
  <si>
    <t>R-3197</t>
  </si>
  <si>
    <t>R-3198</t>
  </si>
  <si>
    <t>R-3199</t>
  </si>
  <si>
    <t>R-3200</t>
  </si>
  <si>
    <t>P-450</t>
  </si>
  <si>
    <t>R-3201</t>
  </si>
  <si>
    <t>R-3202</t>
  </si>
  <si>
    <t>R-3203</t>
  </si>
  <si>
    <t>R-3204</t>
  </si>
  <si>
    <t>R-3205</t>
  </si>
  <si>
    <t>R-3206</t>
  </si>
  <si>
    <t>R-3207</t>
  </si>
  <si>
    <t>R-3208</t>
  </si>
  <si>
    <t>R-3209</t>
  </si>
  <si>
    <t>R-3210</t>
  </si>
  <si>
    <t>R-3212</t>
  </si>
  <si>
    <t>R-3213</t>
  </si>
  <si>
    <t>R-3214</t>
  </si>
  <si>
    <t>R-3218</t>
  </si>
  <si>
    <t>R-3219</t>
  </si>
  <si>
    <t>P-310</t>
  </si>
  <si>
    <t>R-3220</t>
  </si>
  <si>
    <t>R-3221</t>
  </si>
  <si>
    <t>R-3222</t>
  </si>
  <si>
    <t>R-3223</t>
  </si>
  <si>
    <t>R-3224</t>
  </si>
  <si>
    <t>R-3225</t>
  </si>
  <si>
    <t>R-3226</t>
  </si>
  <si>
    <t>R-3227</t>
  </si>
  <si>
    <t>P-288</t>
  </si>
  <si>
    <t>R-3229</t>
  </si>
  <si>
    <t>R-3230</t>
  </si>
  <si>
    <t>R-3231</t>
  </si>
  <si>
    <t>R-3232</t>
  </si>
  <si>
    <t>R-3233</t>
  </si>
  <si>
    <t>R-3234</t>
  </si>
  <si>
    <t>R-3235</t>
  </si>
  <si>
    <t>R-3236</t>
  </si>
  <si>
    <t>P-938</t>
  </si>
  <si>
    <t>R-3237</t>
  </si>
  <si>
    <t>R-3238</t>
  </si>
  <si>
    <t>R-3239</t>
  </si>
  <si>
    <t>R-3240</t>
  </si>
  <si>
    <t>R-3241</t>
  </si>
  <si>
    <t>R-3242</t>
  </si>
  <si>
    <t>R-3243</t>
  </si>
  <si>
    <t>R-3244</t>
  </si>
  <si>
    <t>R-3245</t>
  </si>
  <si>
    <t>R-3246</t>
  </si>
  <si>
    <t>R-3247</t>
  </si>
  <si>
    <t>R-3248</t>
  </si>
  <si>
    <t>R-3249</t>
  </si>
  <si>
    <t>R-3250</t>
  </si>
  <si>
    <t>R-3251</t>
  </si>
  <si>
    <t>R-3252</t>
  </si>
  <si>
    <t>P-249</t>
  </si>
  <si>
    <t>R-3253</t>
  </si>
  <si>
    <t>R-3254</t>
  </si>
  <si>
    <t>R-3256</t>
  </si>
  <si>
    <t>R-3257</t>
  </si>
  <si>
    <t>R-3258</t>
  </si>
  <si>
    <t>P-254</t>
  </si>
  <si>
    <t>R-3259</t>
  </si>
  <si>
    <t>R-3313</t>
  </si>
  <si>
    <t>R-3261</t>
  </si>
  <si>
    <t>R-3262</t>
  </si>
  <si>
    <t>R-3263</t>
  </si>
  <si>
    <t>R-3265</t>
  </si>
  <si>
    <t>R-3266</t>
  </si>
  <si>
    <t>R-3267</t>
  </si>
  <si>
    <t>R-3268</t>
  </si>
  <si>
    <t>R-3269</t>
  </si>
  <si>
    <t>R-3270</t>
  </si>
  <si>
    <t>R-3271</t>
  </si>
  <si>
    <t>P-170</t>
  </si>
  <si>
    <t>R-3272</t>
  </si>
  <si>
    <t>R-3273</t>
  </si>
  <si>
    <t>R-3274</t>
  </si>
  <si>
    <t>P-663</t>
  </si>
  <si>
    <t>R-3275</t>
  </si>
  <si>
    <t>R-3276</t>
  </si>
  <si>
    <t>R-3277</t>
  </si>
  <si>
    <t>R-3278</t>
  </si>
  <si>
    <t>P-155</t>
  </si>
  <si>
    <t>R-3279</t>
  </si>
  <si>
    <t>P-209</t>
  </si>
  <si>
    <t>R-3280</t>
  </si>
  <si>
    <t>R-3281</t>
  </si>
  <si>
    <t>R-3282</t>
  </si>
  <si>
    <t>R-3283</t>
  </si>
  <si>
    <t>R-3284</t>
  </si>
  <si>
    <t>R-3285</t>
  </si>
  <si>
    <t>R-3287</t>
  </si>
  <si>
    <t>R-3288</t>
  </si>
  <si>
    <t>R-3329</t>
  </si>
  <si>
    <t>P-741</t>
  </si>
  <si>
    <t>R-3290</t>
  </si>
  <si>
    <t>R-3291</t>
  </si>
  <si>
    <t>R-3292</t>
  </si>
  <si>
    <t>R-3293</t>
  </si>
  <si>
    <t>R-3294</t>
  </si>
  <si>
    <t>R-3295</t>
  </si>
  <si>
    <t>R-3296</t>
  </si>
  <si>
    <t>R-3297</t>
  </si>
  <si>
    <t>R-3298</t>
  </si>
  <si>
    <t>R-3299</t>
  </si>
  <si>
    <t>R-3300</t>
  </si>
  <si>
    <t>R-3301</t>
  </si>
  <si>
    <t>R-3303</t>
  </si>
  <si>
    <t>R-3304</t>
  </si>
  <si>
    <t>R-3305</t>
  </si>
  <si>
    <t>R-3306</t>
  </si>
  <si>
    <t>R-3307</t>
  </si>
  <si>
    <t>R-3308</t>
  </si>
  <si>
    <t>R-3309</t>
  </si>
  <si>
    <t>R-3310</t>
  </si>
  <si>
    <t>R-3311</t>
  </si>
  <si>
    <t>R-3312</t>
  </si>
  <si>
    <t>R-3314</t>
  </si>
  <si>
    <t>R-3315</t>
  </si>
  <si>
    <t>R-3316</t>
  </si>
  <si>
    <t>R-3317</t>
  </si>
  <si>
    <t>R-3318</t>
  </si>
  <si>
    <t>R-3319</t>
  </si>
  <si>
    <t>R-3320</t>
  </si>
  <si>
    <t>P-409</t>
  </si>
  <si>
    <t>R-3321</t>
  </si>
  <si>
    <t>R-3323</t>
  </si>
  <si>
    <t>R-3324</t>
  </si>
  <si>
    <t>R-3325</t>
  </si>
  <si>
    <t>R-3326</t>
  </si>
  <si>
    <t>R-3327</t>
  </si>
  <si>
    <t>R-3328</t>
  </si>
  <si>
    <t>R-3330</t>
  </si>
  <si>
    <t>R-3331</t>
  </si>
  <si>
    <t>R-3332</t>
  </si>
  <si>
    <t>R-3333</t>
  </si>
  <si>
    <t>R-3334</t>
  </si>
  <si>
    <t>R-3335</t>
  </si>
  <si>
    <t>R-3336</t>
  </si>
  <si>
    <t>R-3337</t>
  </si>
  <si>
    <t>R-1787</t>
  </si>
  <si>
    <t>R-3339</t>
  </si>
  <si>
    <t>P-586</t>
  </si>
  <si>
    <t>R-3340</t>
  </si>
  <si>
    <t>R-3341</t>
  </si>
  <si>
    <t>R-3342</t>
  </si>
  <si>
    <t>R-3343</t>
  </si>
  <si>
    <t>R-3344</t>
  </si>
  <si>
    <t>R-3345</t>
  </si>
  <si>
    <t>R-3346</t>
  </si>
  <si>
    <t>R-3347</t>
  </si>
  <si>
    <t>R-3348</t>
  </si>
  <si>
    <t>R-3349</t>
  </si>
  <si>
    <t>R-3350</t>
  </si>
  <si>
    <t>R-3352</t>
  </si>
  <si>
    <t>R-3353</t>
  </si>
  <si>
    <t>R-3354</t>
  </si>
  <si>
    <t>R-3355</t>
  </si>
  <si>
    <t>R-3356</t>
  </si>
  <si>
    <t>R-3357</t>
  </si>
  <si>
    <t>P-193</t>
  </si>
  <si>
    <t>R-3358</t>
  </si>
  <si>
    <t>R-3359</t>
  </si>
  <si>
    <t>R-3360</t>
  </si>
  <si>
    <t>R-3361</t>
  </si>
  <si>
    <t>R-3362</t>
  </si>
  <si>
    <t>R-3363</t>
  </si>
  <si>
    <t>R-3364</t>
  </si>
  <si>
    <t>R-3366</t>
  </si>
  <si>
    <t>R-3367</t>
  </si>
  <si>
    <t>R-3368</t>
  </si>
  <si>
    <t>R-3369</t>
  </si>
  <si>
    <t>R-3370</t>
  </si>
  <si>
    <t>R-3372</t>
  </si>
  <si>
    <t>R-3373</t>
  </si>
  <si>
    <t>R-3374</t>
  </si>
  <si>
    <t>R-3376</t>
  </si>
  <si>
    <t>R-3377</t>
  </si>
  <si>
    <t>R-3378</t>
  </si>
  <si>
    <t>R-3380</t>
  </si>
  <si>
    <t>R-3381</t>
  </si>
  <si>
    <t>R-3382</t>
  </si>
  <si>
    <t>R-3383</t>
  </si>
  <si>
    <t>R-3384</t>
  </si>
  <si>
    <t>R-3385</t>
  </si>
  <si>
    <t>R-3386</t>
  </si>
  <si>
    <t>R-3387</t>
  </si>
  <si>
    <t>R-3388</t>
  </si>
  <si>
    <t>R-3389</t>
  </si>
  <si>
    <t>R-3390</t>
  </si>
  <si>
    <t>R-3391</t>
  </si>
  <si>
    <t>R-3392</t>
  </si>
  <si>
    <t>P-398</t>
  </si>
  <si>
    <t>R-3394</t>
  </si>
  <si>
    <t>R-3395</t>
  </si>
  <si>
    <t>R-3396</t>
  </si>
  <si>
    <t>R-3397</t>
  </si>
  <si>
    <t>R-3398</t>
  </si>
  <si>
    <t>P-285</t>
  </si>
  <si>
    <t>R-3399</t>
  </si>
  <si>
    <t>R-3400</t>
  </si>
  <si>
    <t>R-3402</t>
  </si>
  <si>
    <t>R-3403</t>
  </si>
  <si>
    <t>R-3404</t>
  </si>
  <si>
    <t>R-3405</t>
  </si>
  <si>
    <t>R-3406</t>
  </si>
  <si>
    <t>R-3407</t>
  </si>
  <si>
    <t>R-3408</t>
  </si>
  <si>
    <t>R-3409</t>
  </si>
  <si>
    <t>R-3410</t>
  </si>
  <si>
    <t>P-609</t>
  </si>
  <si>
    <t>R-3411</t>
  </si>
  <si>
    <t>R-3412</t>
  </si>
  <si>
    <t>R-3413</t>
  </si>
  <si>
    <t>R-3414</t>
  </si>
  <si>
    <t>R-3415</t>
  </si>
  <si>
    <t>P-563</t>
  </si>
  <si>
    <t>R-3417</t>
  </si>
  <si>
    <t>R-3418</t>
  </si>
  <si>
    <t>R-3419</t>
  </si>
  <si>
    <t>R-3420</t>
  </si>
  <si>
    <t>R-3421</t>
  </si>
  <si>
    <t>P-467</t>
  </si>
  <si>
    <t>R-3423</t>
  </si>
  <si>
    <t>R-3424</t>
  </si>
  <si>
    <t>R-3425</t>
  </si>
  <si>
    <t>R-3426</t>
  </si>
  <si>
    <t>R-3427</t>
  </si>
  <si>
    <t>R-3428</t>
  </si>
  <si>
    <t>P-864</t>
  </si>
  <si>
    <t>R-3429</t>
  </si>
  <si>
    <t>R-3431</t>
  </si>
  <si>
    <t>R-3433</t>
  </si>
  <si>
    <t>R-3434</t>
  </si>
  <si>
    <t>R-3435</t>
  </si>
  <si>
    <t>R-3436</t>
  </si>
  <si>
    <t>R-3437</t>
  </si>
  <si>
    <t>R-3438</t>
  </si>
  <si>
    <t>R-3439</t>
  </si>
  <si>
    <t>R-3440</t>
  </si>
  <si>
    <t>R-3441</t>
  </si>
  <si>
    <t>R-3442</t>
  </si>
  <si>
    <t>R-3443</t>
  </si>
  <si>
    <t>R-3444</t>
  </si>
  <si>
    <t>R-3445</t>
  </si>
  <si>
    <t>R-3446</t>
  </si>
  <si>
    <t>R-3447</t>
  </si>
  <si>
    <t>R-3448</t>
  </si>
  <si>
    <t>R-3449</t>
  </si>
  <si>
    <t>R-3451</t>
  </si>
  <si>
    <t>R-3452</t>
  </si>
  <si>
    <t>R-3453</t>
  </si>
  <si>
    <t>R-3454</t>
  </si>
  <si>
    <t>R-3455</t>
  </si>
  <si>
    <t>R-3456</t>
  </si>
  <si>
    <t>R-3457</t>
  </si>
  <si>
    <t>R-3458</t>
  </si>
  <si>
    <t>R-3459</t>
  </si>
  <si>
    <t>R-3460</t>
  </si>
  <si>
    <t>R-3461</t>
  </si>
  <si>
    <t>R-3463</t>
  </si>
  <si>
    <t>R-3464</t>
  </si>
  <si>
    <t>P-307</t>
  </si>
  <si>
    <t>R-3465</t>
  </si>
  <si>
    <t>R-3466</t>
  </si>
  <si>
    <t>R-3467</t>
  </si>
  <si>
    <t>R-3468</t>
  </si>
  <si>
    <t>P-689</t>
  </si>
  <si>
    <t>R-3469</t>
  </si>
  <si>
    <t>R-3470</t>
  </si>
  <si>
    <t>R-3471</t>
  </si>
  <si>
    <t>P-894</t>
  </si>
  <si>
    <t>R-3474</t>
  </si>
  <si>
    <t>R-3475</t>
  </si>
  <si>
    <t>R-3476</t>
  </si>
  <si>
    <t>R-3477</t>
  </si>
  <si>
    <t>R-3478</t>
  </si>
  <si>
    <t>R-3479</t>
  </si>
  <si>
    <t>R-3480</t>
  </si>
  <si>
    <t>R-3481</t>
  </si>
  <si>
    <t>R-3482</t>
  </si>
  <si>
    <t>P-348</t>
  </si>
  <si>
    <t>R-3483</t>
  </si>
  <si>
    <t>R-3484</t>
  </si>
  <si>
    <t>R-3485</t>
  </si>
  <si>
    <t>R-3486</t>
  </si>
  <si>
    <t>R-3488</t>
  </si>
  <si>
    <t>R-3489</t>
  </si>
  <si>
    <t>R-3490</t>
  </si>
  <si>
    <t>R-3491</t>
  </si>
  <si>
    <t>R-3492</t>
  </si>
  <si>
    <t>R-3493</t>
  </si>
  <si>
    <t>R-3495</t>
  </si>
  <si>
    <t>R-3496</t>
  </si>
  <si>
    <t>R-3498</t>
  </si>
  <si>
    <t>R-3499</t>
  </si>
  <si>
    <t>Missing Flag</t>
  </si>
  <si>
    <t>Duplicate Flag</t>
  </si>
  <si>
    <t>Unusual Refund Flag</t>
  </si>
  <si>
    <t>Invalid Email Flag</t>
  </si>
  <si>
    <t>Invalid Country Flag</t>
  </si>
  <si>
    <t>Outdated Return Flag</t>
  </si>
  <si>
    <t>Standardized Return Reason</t>
  </si>
  <si>
    <t>Inconsistent Reason Flag</t>
  </si>
  <si>
    <t>Valid Countries</t>
  </si>
  <si>
    <t>Issue Type</t>
  </si>
  <si>
    <t>Count</t>
  </si>
  <si>
    <t>Missing (Product Code / Return Reason)</t>
  </si>
  <si>
    <t>Duplicate Return ID</t>
  </si>
  <si>
    <t>Unusual Refund Amount</t>
  </si>
  <si>
    <t>Invalid Customer Email</t>
  </si>
  <si>
    <t>Invalid Country</t>
  </si>
  <si>
    <t>Outdated Return Date</t>
  </si>
  <si>
    <t>Inconsistent Return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</si>
</sst>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$&quot;#,##0.00"/>
    <numFmt numFmtId="166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Data Quality Issues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'Data Quality Summary'!$B$1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Quality Summary'!$A$2:$A$8</c:f>
              <c:strCache>
                <c:ptCount val="7"/>
                <c:pt idx="0">
                  <c:v>Missing (Product Code / Return Reason)</c:v>
                </c:pt>
                <c:pt idx="1">
                  <c:v>Duplicate Return ID</c:v>
                </c:pt>
                <c:pt idx="2">
                  <c:v>Unusual Refund Amount</c:v>
                </c:pt>
                <c:pt idx="3">
                  <c:v>Invalid Customer Email</c:v>
                </c:pt>
                <c:pt idx="4">
                  <c:v>Invalid Country</c:v>
                </c:pt>
                <c:pt idx="5">
                  <c:v>Outdated Return Date</c:v>
                </c:pt>
                <c:pt idx="6">
                  <c:v>Inconsistent Return Reason</c:v>
                </c:pt>
              </c:strCache>
            </c:strRef>
          </c:cat>
          <c:val>
            <c:numRef>
              <c:f>'Data Quality Summary'!$B$2:$B$8</c:f>
              <c:numCache>
                <c:formatCode>General</c:formatCode>
                <c:ptCount val="7"/>
                <c:pt idx="0">
                  <c:v>247</c:v>
                </c:pt>
                <c:pt idx="1">
                  <c:v>270</c:v>
                </c:pt>
                <c:pt idx="2">
                  <c:v>610</c:v>
                </c:pt>
                <c:pt idx="3">
                  <c:v>462</c:v>
                </c:pt>
                <c:pt idx="4">
                  <c:v>1378</c:v>
                </c:pt>
                <c:pt idx="5">
                  <c:v>2454</c:v>
                </c:pt>
                <c:pt idx="6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3-48B6-8BD3-DCB2642BE42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Issue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Count of Flagged Rows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Share of Flagged Issues by Type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'Data Quality Summary'!$B$1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Quality Summary'!$A$2:$A$8</c:f>
              <c:strCache>
                <c:ptCount val="7"/>
                <c:pt idx="0">
                  <c:v>Missing (Product Code / Return Reason)</c:v>
                </c:pt>
                <c:pt idx="1">
                  <c:v>Duplicate Return ID</c:v>
                </c:pt>
                <c:pt idx="2">
                  <c:v>Unusual Refund Amount</c:v>
                </c:pt>
                <c:pt idx="3">
                  <c:v>Invalid Customer Email</c:v>
                </c:pt>
                <c:pt idx="4">
                  <c:v>Invalid Country</c:v>
                </c:pt>
                <c:pt idx="5">
                  <c:v>Outdated Return Date</c:v>
                </c:pt>
                <c:pt idx="6">
                  <c:v>Inconsistent Return Reason</c:v>
                </c:pt>
              </c:strCache>
            </c:strRef>
          </c:cat>
          <c:val>
            <c:numRef>
              <c:f>'Data Quality Summary'!$B$2:$B$8</c:f>
              <c:numCache>
                <c:formatCode>General</c:formatCode>
                <c:ptCount val="7"/>
                <c:pt idx="0">
                  <c:v>247</c:v>
                </c:pt>
                <c:pt idx="1">
                  <c:v>270</c:v>
                </c:pt>
                <c:pt idx="2">
                  <c:v>610</c:v>
                </c:pt>
                <c:pt idx="3">
                  <c:v>462</c:v>
                </c:pt>
                <c:pt idx="4">
                  <c:v>1378</c:v>
                </c:pt>
                <c:pt idx="5">
                  <c:v>2454</c:v>
                </c:pt>
                <c:pt idx="6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1-4F82-B121-CC0F66FADAD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23</xdr:row>
      <xdr:rowOff>0</xdr:rowOff>
    </xdr:from>
    <xdr:ext cx="72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workbookViewId="0"/>
  </sheetViews>
  <sheetFormatPr defaultRowHeight="14.25" x14ac:dyDescent="0.45"/>
  <cols>
    <col min="1" max="1" width="108" customWidth="1"/>
  </cols>
  <sheetData>
    <row r="1" spans="1:1" ht="18" x14ac:dyDescent="0.55000000000000004">
      <c r="A1" s="3" t="s">
        <v>0</v>
      </c>
    </row>
    <row r="2" spans="1:1" x14ac:dyDescent="0.45">
      <c r="A2" t="s">
        <v>1</v>
      </c>
    </row>
    <row r="4" spans="1:1" x14ac:dyDescent="0.45">
      <c r="A4" s="4" t="s">
        <v>2</v>
      </c>
    </row>
    <row r="5" spans="1:1" x14ac:dyDescent="0.45">
      <c r="A5" s="5" t="s">
        <v>3</v>
      </c>
    </row>
    <row r="6" spans="1:1" x14ac:dyDescent="0.45">
      <c r="A6" s="5" t="s">
        <v>4</v>
      </c>
    </row>
    <row r="7" spans="1:1" x14ac:dyDescent="0.45">
      <c r="A7" s="5" t="s">
        <v>5</v>
      </c>
    </row>
    <row r="9" spans="1:1" x14ac:dyDescent="0.45">
      <c r="A9" s="4" t="s">
        <v>6</v>
      </c>
    </row>
    <row r="10" spans="1:1" x14ac:dyDescent="0.45">
      <c r="A10" s="5" t="s">
        <v>7</v>
      </c>
    </row>
    <row r="11" spans="1:1" x14ac:dyDescent="0.45">
      <c r="A11" s="5" t="s">
        <v>8</v>
      </c>
    </row>
    <row r="12" spans="1:1" ht="28.5" x14ac:dyDescent="0.45">
      <c r="A12" s="5" t="s">
        <v>9</v>
      </c>
    </row>
    <row r="14" spans="1:1" x14ac:dyDescent="0.45">
      <c r="A14" s="4" t="s">
        <v>10</v>
      </c>
    </row>
    <row r="15" spans="1:1" x14ac:dyDescent="0.45">
      <c r="A15" s="5" t="s">
        <v>11</v>
      </c>
    </row>
    <row r="16" spans="1:1" x14ac:dyDescent="0.45">
      <c r="A16" s="5" t="s">
        <v>12</v>
      </c>
    </row>
    <row r="17" spans="1:1" x14ac:dyDescent="0.45">
      <c r="A17" s="5" t="s">
        <v>13</v>
      </c>
    </row>
    <row r="19" spans="1:1" x14ac:dyDescent="0.45">
      <c r="A19" s="4" t="s">
        <v>14</v>
      </c>
    </row>
    <row r="20" spans="1:1" ht="28.5" x14ac:dyDescent="0.45">
      <c r="A20" s="5" t="s">
        <v>15</v>
      </c>
    </row>
    <row r="21" spans="1:1" x14ac:dyDescent="0.45">
      <c r="A21" s="5" t="s">
        <v>16</v>
      </c>
    </row>
    <row r="22" spans="1:1" x14ac:dyDescent="0.45">
      <c r="A22" s="5" t="s">
        <v>17</v>
      </c>
    </row>
    <row r="24" spans="1:1" x14ac:dyDescent="0.45">
      <c r="A24" s="4" t="s">
        <v>18</v>
      </c>
    </row>
    <row r="25" spans="1:1" ht="28.5" x14ac:dyDescent="0.45">
      <c r="A25" s="5" t="s">
        <v>19</v>
      </c>
    </row>
    <row r="26" spans="1:1" x14ac:dyDescent="0.45">
      <c r="A26" s="5" t="s">
        <v>20</v>
      </c>
    </row>
    <row r="27" spans="1:1" ht="28.5" x14ac:dyDescent="0.45">
      <c r="A27" s="5" t="s">
        <v>21</v>
      </c>
    </row>
    <row r="29" spans="1:1" x14ac:dyDescent="0.45">
      <c r="A29" s="4" t="s">
        <v>22</v>
      </c>
    </row>
    <row r="30" spans="1:1" x14ac:dyDescent="0.45">
      <c r="A30" s="5" t="s">
        <v>23</v>
      </c>
    </row>
    <row r="31" spans="1:1" x14ac:dyDescent="0.45">
      <c r="A31" s="5" t="s">
        <v>24</v>
      </c>
    </row>
    <row r="32" spans="1:1" ht="28.5" x14ac:dyDescent="0.45">
      <c r="A32" s="5" t="s">
        <v>25</v>
      </c>
    </row>
    <row r="34" spans="1:1" x14ac:dyDescent="0.45">
      <c r="A34" s="4" t="s">
        <v>26</v>
      </c>
    </row>
    <row r="35" spans="1:1" ht="28.5" x14ac:dyDescent="0.45">
      <c r="A35" s="5" t="s">
        <v>27</v>
      </c>
    </row>
    <row r="36" spans="1:1" x14ac:dyDescent="0.45">
      <c r="A36" s="5" t="s">
        <v>28</v>
      </c>
    </row>
    <row r="37" spans="1:1" x14ac:dyDescent="0.45">
      <c r="A37" s="5" t="s">
        <v>29</v>
      </c>
    </row>
    <row r="38" spans="1:1" ht="28.5" x14ac:dyDescent="0.45">
      <c r="A38" s="5" t="s">
        <v>30</v>
      </c>
    </row>
    <row r="40" spans="1:1" x14ac:dyDescent="0.45">
      <c r="A40" s="4" t="s">
        <v>31</v>
      </c>
    </row>
    <row r="41" spans="1:1" ht="28.5" x14ac:dyDescent="0.45">
      <c r="A41" s="5" t="s">
        <v>32</v>
      </c>
    </row>
    <row r="42" spans="1:1" ht="28.5" x14ac:dyDescent="0.45">
      <c r="A42" s="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abSelected="1" workbookViewId="0"/>
  </sheetViews>
  <sheetFormatPr defaultRowHeight="14.25" x14ac:dyDescent="0.45"/>
  <cols>
    <col min="1" max="1" width="96.9296875" bestFit="1" customWidth="1"/>
    <col min="2" max="2" width="95.265625" bestFit="1" customWidth="1"/>
  </cols>
  <sheetData>
    <row r="1" spans="1:2" x14ac:dyDescent="0.45">
      <c r="A1" s="1" t="s">
        <v>34</v>
      </c>
    </row>
    <row r="2" spans="1:2" x14ac:dyDescent="0.45">
      <c r="A2" t="s">
        <v>35</v>
      </c>
    </row>
    <row r="4" spans="1:2" x14ac:dyDescent="0.45">
      <c r="A4" t="s">
        <v>36</v>
      </c>
    </row>
    <row r="5" spans="1:2" x14ac:dyDescent="0.45">
      <c r="A5" t="s">
        <v>37</v>
      </c>
    </row>
    <row r="6" spans="1:2" x14ac:dyDescent="0.45">
      <c r="A6" t="s">
        <v>38</v>
      </c>
    </row>
    <row r="8" spans="1:2" x14ac:dyDescent="0.45">
      <c r="A8" s="1" t="s">
        <v>39</v>
      </c>
      <c r="B8" s="1" t="s">
        <v>40</v>
      </c>
    </row>
    <row r="9" spans="1:2" x14ac:dyDescent="0.45">
      <c r="A9" t="s">
        <v>41</v>
      </c>
      <c r="B9" t="s">
        <v>42</v>
      </c>
    </row>
    <row r="10" spans="1:2" x14ac:dyDescent="0.45">
      <c r="A10" t="s">
        <v>43</v>
      </c>
      <c r="B10" t="s">
        <v>44</v>
      </c>
    </row>
    <row r="11" spans="1:2" x14ac:dyDescent="0.45">
      <c r="A11" t="s">
        <v>45</v>
      </c>
      <c r="B11" t="s">
        <v>46</v>
      </c>
    </row>
    <row r="12" spans="1:2" x14ac:dyDescent="0.45">
      <c r="A12" t="s">
        <v>47</v>
      </c>
      <c r="B12" t="s">
        <v>48</v>
      </c>
    </row>
    <row r="13" spans="1:2" x14ac:dyDescent="0.45">
      <c r="A13" t="s">
        <v>49</v>
      </c>
      <c r="B13" t="s">
        <v>50</v>
      </c>
    </row>
    <row r="14" spans="1:2" x14ac:dyDescent="0.45">
      <c r="A14" t="s">
        <v>51</v>
      </c>
      <c r="B14" t="s">
        <v>52</v>
      </c>
    </row>
    <row r="15" spans="1:2" x14ac:dyDescent="0.45">
      <c r="A15" t="s">
        <v>53</v>
      </c>
      <c r="B15" t="s">
        <v>54</v>
      </c>
    </row>
    <row r="16" spans="1:2" x14ac:dyDescent="0.45">
      <c r="A16" t="s">
        <v>55</v>
      </c>
      <c r="B16" t="s">
        <v>56</v>
      </c>
    </row>
    <row r="18" spans="1:1" x14ac:dyDescent="0.45">
      <c r="A18" t="s">
        <v>57</v>
      </c>
    </row>
    <row r="19" spans="1:1" x14ac:dyDescent="0.45">
      <c r="A19" t="s">
        <v>58</v>
      </c>
    </row>
    <row r="20" spans="1:1" x14ac:dyDescent="0.45">
      <c r="A20" t="s">
        <v>59</v>
      </c>
    </row>
    <row r="22" spans="1:1" x14ac:dyDescent="0.45">
      <c r="A22" t="s">
        <v>60</v>
      </c>
    </row>
    <row r="23" spans="1:1" x14ac:dyDescent="0.45">
      <c r="A2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01"/>
  <sheetViews>
    <sheetView workbookViewId="0"/>
  </sheetViews>
  <sheetFormatPr defaultRowHeight="14.25" x14ac:dyDescent="0.45"/>
  <sheetData>
    <row r="1" spans="1:9" x14ac:dyDescent="0.4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</row>
    <row r="2" spans="1:9" x14ac:dyDescent="0.45">
      <c r="A2" t="s">
        <v>71</v>
      </c>
      <c r="B2" t="s">
        <v>72</v>
      </c>
      <c r="C2" t="s">
        <v>73</v>
      </c>
      <c r="D2" t="s">
        <v>74</v>
      </c>
      <c r="E2">
        <v>8617.2199999999993</v>
      </c>
      <c r="F2" s="2">
        <v>45782.666684444448</v>
      </c>
      <c r="G2" t="s">
        <v>75</v>
      </c>
      <c r="H2" t="s">
        <v>76</v>
      </c>
      <c r="I2" t="s">
        <v>77</v>
      </c>
    </row>
    <row r="3" spans="1:9" x14ac:dyDescent="0.45">
      <c r="A3" t="s">
        <v>78</v>
      </c>
      <c r="B3" t="s">
        <v>79</v>
      </c>
      <c r="C3" t="s">
        <v>80</v>
      </c>
      <c r="D3" t="s">
        <v>74</v>
      </c>
      <c r="E3">
        <v>11373.23</v>
      </c>
      <c r="F3" s="2">
        <v>45242.666684444448</v>
      </c>
      <c r="H3" t="s">
        <v>81</v>
      </c>
      <c r="I3" t="s">
        <v>82</v>
      </c>
    </row>
    <row r="4" spans="1:9" x14ac:dyDescent="0.45">
      <c r="A4" t="s">
        <v>83</v>
      </c>
      <c r="B4" t="s">
        <v>79</v>
      </c>
      <c r="C4" t="s">
        <v>84</v>
      </c>
      <c r="D4" t="s">
        <v>85</v>
      </c>
      <c r="E4">
        <v>0</v>
      </c>
      <c r="F4" s="2">
        <v>45153.666684444448</v>
      </c>
      <c r="G4" t="s">
        <v>86</v>
      </c>
      <c r="H4" t="s">
        <v>87</v>
      </c>
      <c r="I4" t="s">
        <v>88</v>
      </c>
    </row>
    <row r="5" spans="1:9" x14ac:dyDescent="0.45">
      <c r="A5" t="s">
        <v>89</v>
      </c>
      <c r="B5" t="s">
        <v>90</v>
      </c>
      <c r="C5" t="s">
        <v>91</v>
      </c>
      <c r="D5" t="s">
        <v>92</v>
      </c>
      <c r="E5">
        <v>2084.06</v>
      </c>
      <c r="F5" s="2">
        <v>45409.666684444448</v>
      </c>
      <c r="G5" t="s">
        <v>93</v>
      </c>
      <c r="I5" t="s">
        <v>82</v>
      </c>
    </row>
    <row r="6" spans="1:9" x14ac:dyDescent="0.45">
      <c r="A6" t="s">
        <v>94</v>
      </c>
      <c r="B6" t="s">
        <v>95</v>
      </c>
      <c r="C6" t="s">
        <v>96</v>
      </c>
      <c r="D6" t="s">
        <v>74</v>
      </c>
      <c r="E6">
        <v>7747.15</v>
      </c>
      <c r="F6" s="2">
        <v>45378.666684444448</v>
      </c>
      <c r="G6" t="s">
        <v>97</v>
      </c>
      <c r="H6" t="s">
        <v>87</v>
      </c>
      <c r="I6" t="s">
        <v>88</v>
      </c>
    </row>
    <row r="7" spans="1:9" x14ac:dyDescent="0.45">
      <c r="A7" t="s">
        <v>98</v>
      </c>
      <c r="B7" t="s">
        <v>99</v>
      </c>
      <c r="C7" t="s">
        <v>100</v>
      </c>
      <c r="D7" t="s">
        <v>101</v>
      </c>
      <c r="E7">
        <v>8794.5300000000007</v>
      </c>
      <c r="F7" s="2">
        <v>45356.666684444448</v>
      </c>
      <c r="G7" t="s">
        <v>102</v>
      </c>
      <c r="I7" t="s">
        <v>88</v>
      </c>
    </row>
    <row r="8" spans="1:9" x14ac:dyDescent="0.45">
      <c r="A8" t="s">
        <v>103</v>
      </c>
      <c r="B8" t="s">
        <v>104</v>
      </c>
      <c r="C8" t="s">
        <v>105</v>
      </c>
      <c r="D8" t="s">
        <v>106</v>
      </c>
      <c r="E8">
        <v>11901.98</v>
      </c>
      <c r="F8" s="2">
        <v>45270.666684444448</v>
      </c>
      <c r="H8" t="s">
        <v>107</v>
      </c>
      <c r="I8" t="s">
        <v>88</v>
      </c>
    </row>
    <row r="9" spans="1:9" x14ac:dyDescent="0.45">
      <c r="A9" t="s">
        <v>108</v>
      </c>
      <c r="B9" t="s">
        <v>109</v>
      </c>
      <c r="C9" t="s">
        <v>110</v>
      </c>
      <c r="D9" t="s">
        <v>101</v>
      </c>
      <c r="E9">
        <v>9998.2999999999993</v>
      </c>
      <c r="F9" s="2">
        <v>45232.666684444448</v>
      </c>
      <c r="G9" t="s">
        <v>111</v>
      </c>
      <c r="H9" t="s">
        <v>76</v>
      </c>
      <c r="I9" t="s">
        <v>112</v>
      </c>
    </row>
    <row r="10" spans="1:9" x14ac:dyDescent="0.45">
      <c r="A10" t="s">
        <v>113</v>
      </c>
      <c r="B10" t="s">
        <v>104</v>
      </c>
      <c r="C10" t="s">
        <v>114</v>
      </c>
      <c r="D10" t="s">
        <v>101</v>
      </c>
      <c r="E10">
        <v>7784.82</v>
      </c>
      <c r="F10" s="2">
        <v>45820.666684444448</v>
      </c>
      <c r="G10" t="s">
        <v>115</v>
      </c>
      <c r="H10" t="s">
        <v>116</v>
      </c>
      <c r="I10" t="s">
        <v>77</v>
      </c>
    </row>
    <row r="11" spans="1:9" x14ac:dyDescent="0.45">
      <c r="A11" t="s">
        <v>117</v>
      </c>
      <c r="B11" t="s">
        <v>99</v>
      </c>
      <c r="E11">
        <v>7605.05</v>
      </c>
      <c r="F11" s="2">
        <v>45686.666684444448</v>
      </c>
      <c r="G11" t="s">
        <v>102</v>
      </c>
      <c r="H11" t="s">
        <v>118</v>
      </c>
      <c r="I11" t="s">
        <v>119</v>
      </c>
    </row>
    <row r="12" spans="1:9" x14ac:dyDescent="0.45">
      <c r="A12" t="s">
        <v>120</v>
      </c>
      <c r="B12" t="s">
        <v>109</v>
      </c>
      <c r="C12" t="s">
        <v>121</v>
      </c>
      <c r="D12" t="s">
        <v>74</v>
      </c>
      <c r="E12">
        <v>5315.41</v>
      </c>
      <c r="F12" s="2">
        <v>45217.666684444448</v>
      </c>
      <c r="G12" t="s">
        <v>111</v>
      </c>
      <c r="H12" t="s">
        <v>76</v>
      </c>
      <c r="I12" t="s">
        <v>77</v>
      </c>
    </row>
    <row r="13" spans="1:9" x14ac:dyDescent="0.45">
      <c r="A13" t="s">
        <v>122</v>
      </c>
      <c r="B13" t="s">
        <v>90</v>
      </c>
      <c r="C13" t="s">
        <v>123</v>
      </c>
      <c r="D13" t="s">
        <v>85</v>
      </c>
      <c r="E13">
        <v>10188.530000000001</v>
      </c>
      <c r="F13" s="2">
        <v>45732.666684444448</v>
      </c>
      <c r="G13" t="s">
        <v>93</v>
      </c>
      <c r="I13" t="s">
        <v>119</v>
      </c>
    </row>
    <row r="14" spans="1:9" x14ac:dyDescent="0.45">
      <c r="A14" t="s">
        <v>124</v>
      </c>
      <c r="B14" t="s">
        <v>99</v>
      </c>
      <c r="D14" t="s">
        <v>101</v>
      </c>
      <c r="E14">
        <v>11024.97</v>
      </c>
      <c r="F14" s="2">
        <v>45560.666684444448</v>
      </c>
      <c r="G14" t="s">
        <v>102</v>
      </c>
      <c r="H14" t="s">
        <v>116</v>
      </c>
      <c r="I14" t="s">
        <v>112</v>
      </c>
    </row>
    <row r="15" spans="1:9" x14ac:dyDescent="0.45">
      <c r="A15" t="s">
        <v>125</v>
      </c>
      <c r="B15" t="s">
        <v>95</v>
      </c>
      <c r="D15" t="s">
        <v>101</v>
      </c>
      <c r="E15">
        <v>6585.36</v>
      </c>
      <c r="F15" s="2">
        <v>45160.666684444448</v>
      </c>
      <c r="G15" t="s">
        <v>97</v>
      </c>
      <c r="H15" t="s">
        <v>81</v>
      </c>
      <c r="I15" t="s">
        <v>119</v>
      </c>
    </row>
    <row r="16" spans="1:9" x14ac:dyDescent="0.45">
      <c r="A16" t="s">
        <v>126</v>
      </c>
      <c r="B16" t="s">
        <v>99</v>
      </c>
      <c r="C16" t="s">
        <v>127</v>
      </c>
      <c r="D16" t="s">
        <v>101</v>
      </c>
      <c r="E16">
        <v>6996.81</v>
      </c>
      <c r="F16" s="2">
        <v>45158.666684444448</v>
      </c>
      <c r="G16" t="s">
        <v>102</v>
      </c>
      <c r="H16" t="s">
        <v>128</v>
      </c>
      <c r="I16" t="s">
        <v>112</v>
      </c>
    </row>
    <row r="17" spans="1:9" x14ac:dyDescent="0.45">
      <c r="A17" t="s">
        <v>129</v>
      </c>
      <c r="B17" t="s">
        <v>95</v>
      </c>
      <c r="C17" t="s">
        <v>130</v>
      </c>
      <c r="D17" t="s">
        <v>74</v>
      </c>
      <c r="E17">
        <v>7924.03</v>
      </c>
      <c r="F17" s="2">
        <v>45223.666684444448</v>
      </c>
      <c r="G17" t="s">
        <v>97</v>
      </c>
      <c r="H17" t="s">
        <v>87</v>
      </c>
      <c r="I17" t="s">
        <v>112</v>
      </c>
    </row>
    <row r="18" spans="1:9" x14ac:dyDescent="0.45">
      <c r="A18" t="s">
        <v>131</v>
      </c>
      <c r="B18" t="s">
        <v>99</v>
      </c>
      <c r="C18" t="s">
        <v>132</v>
      </c>
      <c r="D18" t="s">
        <v>101</v>
      </c>
      <c r="E18">
        <v>283.10000000000002</v>
      </c>
      <c r="F18" s="2">
        <v>45351.666684444448</v>
      </c>
      <c r="G18" t="s">
        <v>102</v>
      </c>
      <c r="H18" t="s">
        <v>133</v>
      </c>
      <c r="I18" t="s">
        <v>82</v>
      </c>
    </row>
    <row r="19" spans="1:9" x14ac:dyDescent="0.45">
      <c r="A19" t="s">
        <v>134</v>
      </c>
      <c r="B19" t="s">
        <v>99</v>
      </c>
      <c r="C19" t="s">
        <v>135</v>
      </c>
      <c r="D19" t="s">
        <v>74</v>
      </c>
      <c r="E19">
        <v>3590.98</v>
      </c>
      <c r="F19" s="2">
        <v>45366.666684444448</v>
      </c>
      <c r="G19" t="s">
        <v>102</v>
      </c>
      <c r="H19" t="s">
        <v>136</v>
      </c>
      <c r="I19" t="s">
        <v>112</v>
      </c>
    </row>
    <row r="20" spans="1:9" x14ac:dyDescent="0.45">
      <c r="A20" t="s">
        <v>137</v>
      </c>
      <c r="B20" t="s">
        <v>138</v>
      </c>
      <c r="C20" t="s">
        <v>139</v>
      </c>
      <c r="D20" t="s">
        <v>92</v>
      </c>
      <c r="E20">
        <v>2499.33</v>
      </c>
      <c r="F20" s="2">
        <v>45645.666684444448</v>
      </c>
      <c r="G20" t="s">
        <v>140</v>
      </c>
      <c r="H20" t="s">
        <v>133</v>
      </c>
      <c r="I20" t="s">
        <v>112</v>
      </c>
    </row>
    <row r="21" spans="1:9" x14ac:dyDescent="0.45">
      <c r="A21" t="s">
        <v>141</v>
      </c>
      <c r="B21" t="s">
        <v>104</v>
      </c>
      <c r="C21" t="s">
        <v>142</v>
      </c>
      <c r="D21" t="s">
        <v>101</v>
      </c>
      <c r="E21">
        <v>2274.23</v>
      </c>
      <c r="F21" s="2">
        <v>45744.666684444448</v>
      </c>
      <c r="G21" t="s">
        <v>115</v>
      </c>
      <c r="H21" t="s">
        <v>116</v>
      </c>
      <c r="I21" t="s">
        <v>88</v>
      </c>
    </row>
    <row r="22" spans="1:9" x14ac:dyDescent="0.45">
      <c r="A22" t="s">
        <v>143</v>
      </c>
      <c r="B22" t="s">
        <v>79</v>
      </c>
      <c r="C22" t="s">
        <v>144</v>
      </c>
      <c r="D22" t="s">
        <v>101</v>
      </c>
      <c r="E22">
        <v>3732.08</v>
      </c>
      <c r="F22" s="2">
        <v>45155.666684444448</v>
      </c>
      <c r="G22" t="s">
        <v>86</v>
      </c>
      <c r="H22" t="s">
        <v>145</v>
      </c>
      <c r="I22" t="s">
        <v>88</v>
      </c>
    </row>
    <row r="23" spans="1:9" x14ac:dyDescent="0.45">
      <c r="A23" t="s">
        <v>146</v>
      </c>
      <c r="B23" t="s">
        <v>138</v>
      </c>
      <c r="C23" t="s">
        <v>147</v>
      </c>
      <c r="D23" t="s">
        <v>148</v>
      </c>
      <c r="E23">
        <v>9299.14</v>
      </c>
      <c r="F23" s="2">
        <v>45702.666684444448</v>
      </c>
      <c r="G23" t="s">
        <v>140</v>
      </c>
      <c r="H23" t="s">
        <v>145</v>
      </c>
      <c r="I23" t="s">
        <v>112</v>
      </c>
    </row>
    <row r="24" spans="1:9" x14ac:dyDescent="0.45">
      <c r="A24" t="s">
        <v>149</v>
      </c>
      <c r="B24" t="s">
        <v>79</v>
      </c>
      <c r="C24" t="s">
        <v>150</v>
      </c>
      <c r="D24" t="s">
        <v>92</v>
      </c>
      <c r="E24">
        <v>9568.0400000000009</v>
      </c>
      <c r="F24" s="2">
        <v>45331.666684444448</v>
      </c>
      <c r="G24" t="s">
        <v>86</v>
      </c>
      <c r="H24" t="s">
        <v>145</v>
      </c>
      <c r="I24" t="s">
        <v>88</v>
      </c>
    </row>
    <row r="25" spans="1:9" x14ac:dyDescent="0.45">
      <c r="A25" t="s">
        <v>151</v>
      </c>
      <c r="B25" t="s">
        <v>138</v>
      </c>
      <c r="C25" t="s">
        <v>152</v>
      </c>
      <c r="D25" t="s">
        <v>74</v>
      </c>
      <c r="E25">
        <v>10649.3</v>
      </c>
      <c r="F25" s="2">
        <v>45793.666684444448</v>
      </c>
      <c r="G25" t="s">
        <v>140</v>
      </c>
      <c r="H25" t="s">
        <v>107</v>
      </c>
      <c r="I25" t="s">
        <v>82</v>
      </c>
    </row>
    <row r="26" spans="1:9" x14ac:dyDescent="0.45">
      <c r="A26" t="s">
        <v>153</v>
      </c>
      <c r="B26" t="s">
        <v>72</v>
      </c>
      <c r="C26" t="s">
        <v>154</v>
      </c>
      <c r="D26" t="s">
        <v>155</v>
      </c>
      <c r="E26">
        <v>4036.15</v>
      </c>
      <c r="F26" s="2">
        <v>45846.666684444448</v>
      </c>
      <c r="G26" t="s">
        <v>75</v>
      </c>
      <c r="H26" t="s">
        <v>107</v>
      </c>
      <c r="I26" t="s">
        <v>82</v>
      </c>
    </row>
    <row r="27" spans="1:9" x14ac:dyDescent="0.45">
      <c r="A27" t="s">
        <v>156</v>
      </c>
      <c r="B27" t="s">
        <v>109</v>
      </c>
      <c r="D27" t="s">
        <v>74</v>
      </c>
      <c r="E27">
        <v>1234.8599999999999</v>
      </c>
      <c r="F27" s="2">
        <v>45686.666684444448</v>
      </c>
      <c r="G27" t="s">
        <v>111</v>
      </c>
      <c r="H27" t="s">
        <v>133</v>
      </c>
      <c r="I27" t="s">
        <v>112</v>
      </c>
    </row>
    <row r="28" spans="1:9" x14ac:dyDescent="0.45">
      <c r="A28" t="s">
        <v>157</v>
      </c>
      <c r="B28" t="s">
        <v>95</v>
      </c>
      <c r="C28" t="s">
        <v>158</v>
      </c>
      <c r="D28" t="s">
        <v>74</v>
      </c>
      <c r="E28">
        <v>4646.95</v>
      </c>
      <c r="F28" s="2">
        <v>45557.666684444448</v>
      </c>
      <c r="G28" t="s">
        <v>97</v>
      </c>
      <c r="H28" t="s">
        <v>87</v>
      </c>
      <c r="I28" t="s">
        <v>77</v>
      </c>
    </row>
    <row r="29" spans="1:9" x14ac:dyDescent="0.45">
      <c r="A29" t="s">
        <v>159</v>
      </c>
      <c r="B29" t="s">
        <v>138</v>
      </c>
      <c r="C29" t="s">
        <v>160</v>
      </c>
      <c r="D29" t="s">
        <v>92</v>
      </c>
      <c r="E29">
        <v>5914.76</v>
      </c>
      <c r="F29" s="2">
        <v>45353.666684444448</v>
      </c>
      <c r="G29" t="s">
        <v>140</v>
      </c>
      <c r="H29" t="s">
        <v>76</v>
      </c>
      <c r="I29" t="s">
        <v>88</v>
      </c>
    </row>
    <row r="30" spans="1:9" x14ac:dyDescent="0.45">
      <c r="A30" t="s">
        <v>161</v>
      </c>
      <c r="B30" t="s">
        <v>138</v>
      </c>
      <c r="C30" t="s">
        <v>162</v>
      </c>
      <c r="D30" t="s">
        <v>85</v>
      </c>
      <c r="E30">
        <v>8817.14</v>
      </c>
      <c r="F30" s="2">
        <v>45587.666684444448</v>
      </c>
      <c r="G30" t="s">
        <v>140</v>
      </c>
      <c r="H30" t="s">
        <v>87</v>
      </c>
      <c r="I30" t="s">
        <v>163</v>
      </c>
    </row>
    <row r="31" spans="1:9" x14ac:dyDescent="0.45">
      <c r="A31" t="s">
        <v>164</v>
      </c>
      <c r="B31" t="s">
        <v>90</v>
      </c>
      <c r="D31" t="s">
        <v>101</v>
      </c>
      <c r="E31">
        <v>5889.72</v>
      </c>
      <c r="F31" s="2">
        <v>45731.666684444448</v>
      </c>
      <c r="G31" t="s">
        <v>93</v>
      </c>
      <c r="H31" t="s">
        <v>145</v>
      </c>
      <c r="I31" t="s">
        <v>119</v>
      </c>
    </row>
    <row r="32" spans="1:9" x14ac:dyDescent="0.45">
      <c r="A32" t="s">
        <v>165</v>
      </c>
      <c r="B32" t="s">
        <v>99</v>
      </c>
      <c r="C32" t="s">
        <v>166</v>
      </c>
      <c r="D32" t="s">
        <v>74</v>
      </c>
      <c r="E32">
        <v>0</v>
      </c>
      <c r="F32" s="2">
        <v>45412.666684444448</v>
      </c>
      <c r="G32" t="s">
        <v>102</v>
      </c>
      <c r="I32" t="s">
        <v>88</v>
      </c>
    </row>
    <row r="33" spans="1:9" x14ac:dyDescent="0.45">
      <c r="A33" t="s">
        <v>167</v>
      </c>
      <c r="B33" t="s">
        <v>72</v>
      </c>
      <c r="C33" t="s">
        <v>168</v>
      </c>
      <c r="D33" t="s">
        <v>85</v>
      </c>
      <c r="E33">
        <v>7990.29</v>
      </c>
      <c r="F33" s="2">
        <v>45134.666684444448</v>
      </c>
      <c r="G33" t="s">
        <v>75</v>
      </c>
      <c r="H33" t="s">
        <v>145</v>
      </c>
      <c r="I33" t="s">
        <v>82</v>
      </c>
    </row>
    <row r="34" spans="1:9" x14ac:dyDescent="0.45">
      <c r="A34" t="s">
        <v>169</v>
      </c>
      <c r="B34" t="s">
        <v>109</v>
      </c>
      <c r="C34" t="s">
        <v>170</v>
      </c>
      <c r="D34" t="s">
        <v>101</v>
      </c>
      <c r="E34">
        <v>11453.07</v>
      </c>
      <c r="F34" s="2">
        <v>45291.666684444448</v>
      </c>
      <c r="G34" t="s">
        <v>111</v>
      </c>
      <c r="H34" t="s">
        <v>107</v>
      </c>
      <c r="I34" t="s">
        <v>82</v>
      </c>
    </row>
    <row r="35" spans="1:9" x14ac:dyDescent="0.45">
      <c r="A35" t="s">
        <v>171</v>
      </c>
      <c r="B35" t="s">
        <v>172</v>
      </c>
      <c r="C35" t="s">
        <v>173</v>
      </c>
      <c r="D35" t="s">
        <v>155</v>
      </c>
      <c r="E35">
        <v>8495.2900000000009</v>
      </c>
      <c r="F35" s="2">
        <v>45842.666684444448</v>
      </c>
      <c r="G35" t="s">
        <v>174</v>
      </c>
      <c r="H35" t="s">
        <v>136</v>
      </c>
      <c r="I35" t="s">
        <v>163</v>
      </c>
    </row>
    <row r="36" spans="1:9" x14ac:dyDescent="0.45">
      <c r="A36" t="s">
        <v>175</v>
      </c>
      <c r="B36" t="s">
        <v>138</v>
      </c>
      <c r="D36" t="s">
        <v>74</v>
      </c>
      <c r="E36">
        <v>3028.82</v>
      </c>
      <c r="F36" s="2">
        <v>45560.666684444448</v>
      </c>
      <c r="H36" t="s">
        <v>145</v>
      </c>
      <c r="I36" t="s">
        <v>77</v>
      </c>
    </row>
    <row r="37" spans="1:9" x14ac:dyDescent="0.45">
      <c r="A37" t="s">
        <v>176</v>
      </c>
      <c r="B37" t="s">
        <v>172</v>
      </c>
      <c r="C37" t="s">
        <v>177</v>
      </c>
      <c r="D37" t="s">
        <v>148</v>
      </c>
      <c r="E37">
        <v>2378.48</v>
      </c>
      <c r="F37" s="2">
        <v>45476.666684444448</v>
      </c>
      <c r="G37" t="s">
        <v>174</v>
      </c>
      <c r="H37" t="s">
        <v>87</v>
      </c>
      <c r="I37" t="s">
        <v>112</v>
      </c>
    </row>
    <row r="38" spans="1:9" x14ac:dyDescent="0.45">
      <c r="A38" t="s">
        <v>178</v>
      </c>
      <c r="B38" t="s">
        <v>79</v>
      </c>
      <c r="C38" t="s">
        <v>179</v>
      </c>
      <c r="D38" t="s">
        <v>85</v>
      </c>
      <c r="E38">
        <v>11993.61</v>
      </c>
      <c r="F38" s="2">
        <v>45412.666684444448</v>
      </c>
      <c r="G38" t="s">
        <v>86</v>
      </c>
      <c r="H38" t="s">
        <v>76</v>
      </c>
      <c r="I38" t="s">
        <v>163</v>
      </c>
    </row>
    <row r="39" spans="1:9" x14ac:dyDescent="0.45">
      <c r="A39" t="s">
        <v>180</v>
      </c>
      <c r="B39" t="s">
        <v>99</v>
      </c>
      <c r="C39" t="s">
        <v>181</v>
      </c>
      <c r="E39">
        <v>5171.8500000000004</v>
      </c>
      <c r="F39" s="2">
        <v>45287.666684444448</v>
      </c>
      <c r="H39" t="s">
        <v>87</v>
      </c>
      <c r="I39" t="s">
        <v>163</v>
      </c>
    </row>
    <row r="40" spans="1:9" x14ac:dyDescent="0.45">
      <c r="A40" t="s">
        <v>182</v>
      </c>
      <c r="B40" t="s">
        <v>172</v>
      </c>
      <c r="C40" t="s">
        <v>183</v>
      </c>
      <c r="D40" t="s">
        <v>92</v>
      </c>
      <c r="E40">
        <v>7247.05</v>
      </c>
      <c r="F40" s="2">
        <v>45348.666684444448</v>
      </c>
      <c r="G40" t="s">
        <v>174</v>
      </c>
      <c r="H40" t="s">
        <v>76</v>
      </c>
      <c r="I40" t="s">
        <v>119</v>
      </c>
    </row>
    <row r="41" spans="1:9" x14ac:dyDescent="0.45">
      <c r="A41" t="s">
        <v>184</v>
      </c>
      <c r="B41" t="s">
        <v>79</v>
      </c>
      <c r="C41" t="s">
        <v>185</v>
      </c>
      <c r="D41" t="s">
        <v>92</v>
      </c>
      <c r="E41">
        <v>0</v>
      </c>
      <c r="F41" s="2">
        <v>45472.666684444448</v>
      </c>
      <c r="G41" t="s">
        <v>86</v>
      </c>
      <c r="H41" t="s">
        <v>81</v>
      </c>
      <c r="I41" t="s">
        <v>82</v>
      </c>
    </row>
    <row r="42" spans="1:9" x14ac:dyDescent="0.45">
      <c r="A42" t="s">
        <v>186</v>
      </c>
      <c r="B42" t="s">
        <v>72</v>
      </c>
      <c r="C42" t="s">
        <v>187</v>
      </c>
      <c r="D42" t="s">
        <v>101</v>
      </c>
      <c r="E42">
        <v>0</v>
      </c>
      <c r="F42" s="2">
        <v>45232.666684444448</v>
      </c>
      <c r="G42" t="s">
        <v>75</v>
      </c>
      <c r="H42" t="s">
        <v>107</v>
      </c>
      <c r="I42" t="s">
        <v>77</v>
      </c>
    </row>
    <row r="43" spans="1:9" x14ac:dyDescent="0.45">
      <c r="A43" t="s">
        <v>188</v>
      </c>
      <c r="B43" t="s">
        <v>104</v>
      </c>
      <c r="C43" t="s">
        <v>189</v>
      </c>
      <c r="D43" t="s">
        <v>74</v>
      </c>
      <c r="E43">
        <v>0</v>
      </c>
      <c r="F43" s="2">
        <v>45222.666684444448</v>
      </c>
      <c r="G43" t="s">
        <v>115</v>
      </c>
      <c r="H43" t="s">
        <v>107</v>
      </c>
      <c r="I43" t="s">
        <v>163</v>
      </c>
    </row>
    <row r="44" spans="1:9" x14ac:dyDescent="0.45">
      <c r="A44" t="s">
        <v>190</v>
      </c>
      <c r="B44" t="s">
        <v>95</v>
      </c>
      <c r="C44" t="s">
        <v>191</v>
      </c>
      <c r="D44" t="s">
        <v>74</v>
      </c>
      <c r="E44">
        <v>7207.28</v>
      </c>
      <c r="F44" s="2">
        <v>45517.666684444448</v>
      </c>
      <c r="G44" t="s">
        <v>97</v>
      </c>
      <c r="H44" t="s">
        <v>145</v>
      </c>
      <c r="I44" t="s">
        <v>77</v>
      </c>
    </row>
    <row r="45" spans="1:9" x14ac:dyDescent="0.45">
      <c r="A45" t="s">
        <v>192</v>
      </c>
      <c r="B45" t="s">
        <v>138</v>
      </c>
      <c r="C45" t="s">
        <v>193</v>
      </c>
      <c r="D45" t="s">
        <v>148</v>
      </c>
      <c r="E45">
        <v>0</v>
      </c>
      <c r="F45" s="2">
        <v>45227.666684444448</v>
      </c>
      <c r="G45" t="s">
        <v>194</v>
      </c>
      <c r="I45" t="s">
        <v>112</v>
      </c>
    </row>
    <row r="46" spans="1:9" x14ac:dyDescent="0.45">
      <c r="A46" t="s">
        <v>195</v>
      </c>
      <c r="B46" t="s">
        <v>172</v>
      </c>
      <c r="C46" t="s">
        <v>196</v>
      </c>
      <c r="E46">
        <v>2764.74</v>
      </c>
      <c r="F46" s="2">
        <v>45495.666684444448</v>
      </c>
      <c r="G46" t="s">
        <v>174</v>
      </c>
      <c r="H46" t="s">
        <v>133</v>
      </c>
      <c r="I46" t="s">
        <v>88</v>
      </c>
    </row>
    <row r="47" spans="1:9" x14ac:dyDescent="0.45">
      <c r="A47" t="s">
        <v>197</v>
      </c>
      <c r="B47" t="s">
        <v>104</v>
      </c>
      <c r="C47" t="s">
        <v>198</v>
      </c>
      <c r="D47" t="s">
        <v>101</v>
      </c>
      <c r="E47">
        <v>11782.77</v>
      </c>
      <c r="F47" s="2">
        <v>45480.666684444448</v>
      </c>
      <c r="G47" t="s">
        <v>115</v>
      </c>
      <c r="H47" t="s">
        <v>145</v>
      </c>
      <c r="I47" t="s">
        <v>112</v>
      </c>
    </row>
    <row r="48" spans="1:9" x14ac:dyDescent="0.45">
      <c r="A48" t="s">
        <v>199</v>
      </c>
      <c r="B48" t="s">
        <v>99</v>
      </c>
      <c r="D48" t="s">
        <v>74</v>
      </c>
      <c r="E48">
        <v>10598.32</v>
      </c>
      <c r="F48" s="2">
        <v>45746.666684444448</v>
      </c>
      <c r="G48" t="s">
        <v>102</v>
      </c>
      <c r="H48" t="s">
        <v>118</v>
      </c>
      <c r="I48" t="s">
        <v>119</v>
      </c>
    </row>
    <row r="49" spans="1:9" x14ac:dyDescent="0.45">
      <c r="A49" t="s">
        <v>200</v>
      </c>
      <c r="B49" t="s">
        <v>90</v>
      </c>
      <c r="C49" t="s">
        <v>201</v>
      </c>
      <c r="D49" t="s">
        <v>101</v>
      </c>
      <c r="E49">
        <v>5841.01</v>
      </c>
      <c r="F49" s="2">
        <v>45398.666684444448</v>
      </c>
      <c r="G49" t="s">
        <v>93</v>
      </c>
      <c r="I49" t="s">
        <v>77</v>
      </c>
    </row>
    <row r="50" spans="1:9" x14ac:dyDescent="0.45">
      <c r="A50" t="s">
        <v>202</v>
      </c>
      <c r="B50" t="s">
        <v>72</v>
      </c>
      <c r="C50" t="s">
        <v>203</v>
      </c>
      <c r="D50" t="s">
        <v>85</v>
      </c>
      <c r="E50">
        <v>10223.629999999999</v>
      </c>
      <c r="F50" s="2">
        <v>45172.666684444448</v>
      </c>
      <c r="G50" t="s">
        <v>75</v>
      </c>
      <c r="H50" t="s">
        <v>136</v>
      </c>
      <c r="I50" t="s">
        <v>77</v>
      </c>
    </row>
    <row r="51" spans="1:9" x14ac:dyDescent="0.45">
      <c r="A51" t="s">
        <v>204</v>
      </c>
      <c r="B51" t="s">
        <v>95</v>
      </c>
      <c r="D51" t="s">
        <v>85</v>
      </c>
      <c r="E51">
        <v>3136.77</v>
      </c>
      <c r="F51" s="2">
        <v>45598.666684444448</v>
      </c>
      <c r="G51" t="s">
        <v>97</v>
      </c>
      <c r="H51" t="s">
        <v>136</v>
      </c>
      <c r="I51" t="s">
        <v>82</v>
      </c>
    </row>
    <row r="52" spans="1:9" x14ac:dyDescent="0.45">
      <c r="A52" t="s">
        <v>205</v>
      </c>
      <c r="B52" t="s">
        <v>99</v>
      </c>
      <c r="C52" t="s">
        <v>206</v>
      </c>
      <c r="D52" t="s">
        <v>92</v>
      </c>
      <c r="E52">
        <v>8715.64</v>
      </c>
      <c r="F52" s="2">
        <v>45677.666684444448</v>
      </c>
      <c r="G52" t="s">
        <v>102</v>
      </c>
      <c r="H52" t="s">
        <v>133</v>
      </c>
      <c r="I52" t="s">
        <v>77</v>
      </c>
    </row>
    <row r="53" spans="1:9" x14ac:dyDescent="0.45">
      <c r="A53" t="s">
        <v>207</v>
      </c>
      <c r="B53" t="s">
        <v>72</v>
      </c>
      <c r="C53" t="s">
        <v>208</v>
      </c>
      <c r="D53" t="s">
        <v>106</v>
      </c>
      <c r="E53">
        <v>5389</v>
      </c>
      <c r="F53" s="2">
        <v>45255.666684444448</v>
      </c>
      <c r="G53" t="s">
        <v>75</v>
      </c>
      <c r="H53" t="s">
        <v>116</v>
      </c>
      <c r="I53" t="s">
        <v>77</v>
      </c>
    </row>
    <row r="54" spans="1:9" x14ac:dyDescent="0.45">
      <c r="A54" t="s">
        <v>209</v>
      </c>
      <c r="B54" t="s">
        <v>90</v>
      </c>
      <c r="C54" t="s">
        <v>210</v>
      </c>
      <c r="D54" t="s">
        <v>74</v>
      </c>
      <c r="E54">
        <v>6564.76</v>
      </c>
      <c r="F54" s="2">
        <v>45515.666684444448</v>
      </c>
      <c r="H54" t="s">
        <v>81</v>
      </c>
      <c r="I54" t="s">
        <v>77</v>
      </c>
    </row>
    <row r="55" spans="1:9" x14ac:dyDescent="0.45">
      <c r="A55" t="s">
        <v>211</v>
      </c>
      <c r="B55" t="s">
        <v>79</v>
      </c>
      <c r="C55" t="s">
        <v>212</v>
      </c>
      <c r="D55" t="s">
        <v>85</v>
      </c>
      <c r="E55">
        <v>9045.2199999999993</v>
      </c>
      <c r="F55" s="2">
        <v>45208.666684444448</v>
      </c>
      <c r="G55" t="s">
        <v>86</v>
      </c>
      <c r="H55" t="s">
        <v>133</v>
      </c>
      <c r="I55" t="s">
        <v>112</v>
      </c>
    </row>
    <row r="56" spans="1:9" x14ac:dyDescent="0.45">
      <c r="A56" t="s">
        <v>213</v>
      </c>
      <c r="B56" t="s">
        <v>90</v>
      </c>
      <c r="C56" t="s">
        <v>214</v>
      </c>
      <c r="D56" t="s">
        <v>101</v>
      </c>
      <c r="E56">
        <v>6480.95</v>
      </c>
      <c r="F56" s="2">
        <v>45693.666684444448</v>
      </c>
      <c r="G56" t="s">
        <v>93</v>
      </c>
      <c r="H56" t="s">
        <v>76</v>
      </c>
      <c r="I56" t="s">
        <v>77</v>
      </c>
    </row>
    <row r="57" spans="1:9" x14ac:dyDescent="0.45">
      <c r="A57" t="s">
        <v>215</v>
      </c>
      <c r="B57" t="s">
        <v>172</v>
      </c>
      <c r="C57" t="s">
        <v>216</v>
      </c>
      <c r="D57" t="s">
        <v>101</v>
      </c>
      <c r="E57">
        <v>8730.76</v>
      </c>
      <c r="F57" s="2">
        <v>45428.666684444448</v>
      </c>
      <c r="G57" t="s">
        <v>174</v>
      </c>
      <c r="H57" t="s">
        <v>118</v>
      </c>
      <c r="I57" t="s">
        <v>82</v>
      </c>
    </row>
    <row r="58" spans="1:9" x14ac:dyDescent="0.45">
      <c r="A58" t="s">
        <v>217</v>
      </c>
      <c r="B58" t="s">
        <v>95</v>
      </c>
      <c r="C58" t="s">
        <v>218</v>
      </c>
      <c r="D58" t="s">
        <v>74</v>
      </c>
      <c r="E58">
        <v>4317.47</v>
      </c>
      <c r="F58" s="2">
        <v>45771.666684444448</v>
      </c>
      <c r="G58" t="s">
        <v>97</v>
      </c>
      <c r="H58" t="s">
        <v>87</v>
      </c>
      <c r="I58" t="s">
        <v>88</v>
      </c>
    </row>
    <row r="59" spans="1:9" x14ac:dyDescent="0.45">
      <c r="A59" t="s">
        <v>219</v>
      </c>
      <c r="B59" t="s">
        <v>109</v>
      </c>
      <c r="C59" t="s">
        <v>220</v>
      </c>
      <c r="D59" t="s">
        <v>74</v>
      </c>
      <c r="E59">
        <v>11645.26</v>
      </c>
      <c r="F59" s="2">
        <v>45761.666684444448</v>
      </c>
      <c r="G59" t="s">
        <v>111</v>
      </c>
      <c r="H59" t="s">
        <v>136</v>
      </c>
      <c r="I59" t="s">
        <v>77</v>
      </c>
    </row>
    <row r="60" spans="1:9" x14ac:dyDescent="0.45">
      <c r="A60" t="s">
        <v>221</v>
      </c>
      <c r="B60" t="s">
        <v>138</v>
      </c>
      <c r="C60" t="s">
        <v>100</v>
      </c>
      <c r="D60" t="s">
        <v>148</v>
      </c>
      <c r="E60">
        <v>3222.06</v>
      </c>
      <c r="F60" s="2">
        <v>45498.666684444448</v>
      </c>
      <c r="G60" t="s">
        <v>140</v>
      </c>
      <c r="H60" t="s">
        <v>145</v>
      </c>
      <c r="I60" t="s">
        <v>77</v>
      </c>
    </row>
    <row r="61" spans="1:9" x14ac:dyDescent="0.45">
      <c r="A61" t="s">
        <v>222</v>
      </c>
      <c r="B61" t="s">
        <v>138</v>
      </c>
      <c r="C61" t="s">
        <v>223</v>
      </c>
      <c r="D61" t="s">
        <v>101</v>
      </c>
      <c r="E61">
        <v>10040.76</v>
      </c>
      <c r="F61" s="2">
        <v>45719.666684444448</v>
      </c>
      <c r="G61" t="s">
        <v>140</v>
      </c>
      <c r="H61" t="s">
        <v>87</v>
      </c>
      <c r="I61" t="s">
        <v>88</v>
      </c>
    </row>
    <row r="62" spans="1:9" x14ac:dyDescent="0.45">
      <c r="A62" t="s">
        <v>224</v>
      </c>
      <c r="B62" t="s">
        <v>79</v>
      </c>
      <c r="C62" t="s">
        <v>225</v>
      </c>
      <c r="D62" t="s">
        <v>85</v>
      </c>
      <c r="E62">
        <v>3323.46</v>
      </c>
      <c r="F62" s="2">
        <v>45324.666684444448</v>
      </c>
      <c r="G62" t="s">
        <v>86</v>
      </c>
      <c r="H62" t="s">
        <v>87</v>
      </c>
      <c r="I62" t="s">
        <v>88</v>
      </c>
    </row>
    <row r="63" spans="1:9" x14ac:dyDescent="0.45">
      <c r="A63" t="s">
        <v>226</v>
      </c>
      <c r="B63" t="s">
        <v>99</v>
      </c>
      <c r="C63" t="s">
        <v>227</v>
      </c>
      <c r="D63" t="s">
        <v>155</v>
      </c>
      <c r="E63">
        <v>0</v>
      </c>
      <c r="F63" s="2">
        <v>45849.666684444448</v>
      </c>
      <c r="G63" t="s">
        <v>102</v>
      </c>
      <c r="I63" t="s">
        <v>112</v>
      </c>
    </row>
    <row r="64" spans="1:9" x14ac:dyDescent="0.45">
      <c r="A64" t="s">
        <v>228</v>
      </c>
      <c r="B64" t="s">
        <v>95</v>
      </c>
      <c r="C64" t="s">
        <v>229</v>
      </c>
      <c r="D64" t="s">
        <v>92</v>
      </c>
      <c r="E64">
        <v>2858.51</v>
      </c>
      <c r="F64" s="2">
        <v>45199.666684444448</v>
      </c>
      <c r="G64" t="s">
        <v>97</v>
      </c>
      <c r="H64" t="s">
        <v>107</v>
      </c>
      <c r="I64" t="s">
        <v>163</v>
      </c>
    </row>
    <row r="65" spans="1:9" x14ac:dyDescent="0.45">
      <c r="A65" t="s">
        <v>230</v>
      </c>
      <c r="B65" t="s">
        <v>79</v>
      </c>
      <c r="C65" t="s">
        <v>231</v>
      </c>
      <c r="D65" t="s">
        <v>74</v>
      </c>
      <c r="E65">
        <v>5324.42</v>
      </c>
      <c r="F65" s="2">
        <v>45174.666684444448</v>
      </c>
      <c r="G65" t="s">
        <v>86</v>
      </c>
      <c r="H65" t="s">
        <v>116</v>
      </c>
      <c r="I65" t="s">
        <v>112</v>
      </c>
    </row>
    <row r="66" spans="1:9" x14ac:dyDescent="0.45">
      <c r="A66" t="s">
        <v>232</v>
      </c>
      <c r="B66" t="s">
        <v>109</v>
      </c>
      <c r="C66" t="s">
        <v>233</v>
      </c>
      <c r="D66" t="s">
        <v>85</v>
      </c>
      <c r="E66">
        <v>4935.96</v>
      </c>
      <c r="F66" s="2">
        <v>45805.666684444448</v>
      </c>
      <c r="G66" t="s">
        <v>111</v>
      </c>
      <c r="H66" t="s">
        <v>116</v>
      </c>
      <c r="I66" t="s">
        <v>82</v>
      </c>
    </row>
    <row r="67" spans="1:9" x14ac:dyDescent="0.45">
      <c r="A67" t="s">
        <v>234</v>
      </c>
      <c r="B67" t="s">
        <v>172</v>
      </c>
      <c r="C67" t="s">
        <v>235</v>
      </c>
      <c r="D67" t="s">
        <v>101</v>
      </c>
      <c r="E67">
        <v>6291.78</v>
      </c>
      <c r="F67" s="2">
        <v>45361.666684444448</v>
      </c>
      <c r="G67" t="s">
        <v>236</v>
      </c>
      <c r="H67" t="s">
        <v>128</v>
      </c>
      <c r="I67" t="s">
        <v>163</v>
      </c>
    </row>
    <row r="68" spans="1:9" x14ac:dyDescent="0.45">
      <c r="A68" t="s">
        <v>237</v>
      </c>
      <c r="B68" t="s">
        <v>172</v>
      </c>
      <c r="D68" t="s">
        <v>92</v>
      </c>
      <c r="E68">
        <v>7292.23</v>
      </c>
      <c r="F68" s="2">
        <v>45424.666684444448</v>
      </c>
      <c r="G68" t="s">
        <v>174</v>
      </c>
      <c r="H68" t="s">
        <v>81</v>
      </c>
      <c r="I68" t="s">
        <v>163</v>
      </c>
    </row>
    <row r="69" spans="1:9" x14ac:dyDescent="0.45">
      <c r="A69" t="s">
        <v>238</v>
      </c>
      <c r="B69" t="s">
        <v>90</v>
      </c>
      <c r="C69" t="s">
        <v>239</v>
      </c>
      <c r="D69" t="s">
        <v>92</v>
      </c>
      <c r="E69">
        <v>10093.290000000001</v>
      </c>
      <c r="F69" s="2">
        <v>45209.666684444448</v>
      </c>
      <c r="G69" t="s">
        <v>93</v>
      </c>
      <c r="H69" t="s">
        <v>81</v>
      </c>
      <c r="I69" t="s">
        <v>119</v>
      </c>
    </row>
    <row r="70" spans="1:9" x14ac:dyDescent="0.45">
      <c r="A70" t="s">
        <v>240</v>
      </c>
      <c r="B70" t="s">
        <v>138</v>
      </c>
      <c r="C70" t="s">
        <v>241</v>
      </c>
      <c r="D70" t="s">
        <v>92</v>
      </c>
      <c r="E70">
        <v>0</v>
      </c>
      <c r="F70" s="2">
        <v>45366.666684444448</v>
      </c>
      <c r="G70" t="s">
        <v>140</v>
      </c>
      <c r="H70" t="s">
        <v>118</v>
      </c>
      <c r="I70" t="s">
        <v>88</v>
      </c>
    </row>
    <row r="71" spans="1:9" x14ac:dyDescent="0.45">
      <c r="A71" t="s">
        <v>242</v>
      </c>
      <c r="B71" t="s">
        <v>104</v>
      </c>
      <c r="C71" t="s">
        <v>243</v>
      </c>
      <c r="D71" t="s">
        <v>101</v>
      </c>
      <c r="E71">
        <v>3441.2</v>
      </c>
      <c r="F71" s="2">
        <v>45231.666684444448</v>
      </c>
      <c r="G71" t="s">
        <v>115</v>
      </c>
      <c r="H71" t="s">
        <v>145</v>
      </c>
      <c r="I71" t="s">
        <v>112</v>
      </c>
    </row>
    <row r="72" spans="1:9" x14ac:dyDescent="0.45">
      <c r="A72" t="s">
        <v>244</v>
      </c>
      <c r="B72" t="s">
        <v>95</v>
      </c>
      <c r="C72" t="s">
        <v>144</v>
      </c>
      <c r="E72">
        <v>3352.14</v>
      </c>
      <c r="F72" s="2">
        <v>45517.666684444448</v>
      </c>
      <c r="G72" t="s">
        <v>97</v>
      </c>
      <c r="H72" t="s">
        <v>133</v>
      </c>
      <c r="I72" t="s">
        <v>119</v>
      </c>
    </row>
    <row r="73" spans="1:9" x14ac:dyDescent="0.45">
      <c r="A73" t="s">
        <v>245</v>
      </c>
      <c r="B73" t="s">
        <v>104</v>
      </c>
      <c r="C73" t="s">
        <v>246</v>
      </c>
      <c r="D73" t="s">
        <v>74</v>
      </c>
      <c r="E73">
        <v>11078.02</v>
      </c>
      <c r="F73" s="2">
        <v>45412.666684444448</v>
      </c>
      <c r="G73" t="s">
        <v>247</v>
      </c>
      <c r="H73" t="s">
        <v>118</v>
      </c>
      <c r="I73" t="s">
        <v>82</v>
      </c>
    </row>
    <row r="74" spans="1:9" x14ac:dyDescent="0.45">
      <c r="A74" t="s">
        <v>248</v>
      </c>
      <c r="B74" t="s">
        <v>90</v>
      </c>
      <c r="C74" t="s">
        <v>249</v>
      </c>
      <c r="D74" t="s">
        <v>74</v>
      </c>
      <c r="E74">
        <v>10489.31</v>
      </c>
      <c r="F74" s="2">
        <v>45592.666684444448</v>
      </c>
      <c r="G74" t="s">
        <v>93</v>
      </c>
      <c r="I74" t="s">
        <v>119</v>
      </c>
    </row>
    <row r="75" spans="1:9" x14ac:dyDescent="0.45">
      <c r="A75" t="s">
        <v>250</v>
      </c>
      <c r="B75" t="s">
        <v>99</v>
      </c>
      <c r="C75" t="s">
        <v>251</v>
      </c>
      <c r="D75" t="s">
        <v>101</v>
      </c>
      <c r="E75">
        <v>0</v>
      </c>
      <c r="F75" s="2">
        <v>45778.666684444448</v>
      </c>
      <c r="H75" t="s">
        <v>136</v>
      </c>
      <c r="I75" t="s">
        <v>88</v>
      </c>
    </row>
    <row r="76" spans="1:9" x14ac:dyDescent="0.45">
      <c r="A76" t="s">
        <v>252</v>
      </c>
      <c r="B76" t="s">
        <v>172</v>
      </c>
      <c r="C76" t="s">
        <v>253</v>
      </c>
      <c r="D76" t="s">
        <v>74</v>
      </c>
      <c r="E76">
        <v>0</v>
      </c>
      <c r="F76" s="2">
        <v>45501.666684444448</v>
      </c>
      <c r="G76" t="s">
        <v>174</v>
      </c>
      <c r="I76" t="s">
        <v>119</v>
      </c>
    </row>
    <row r="77" spans="1:9" x14ac:dyDescent="0.45">
      <c r="A77" t="s">
        <v>254</v>
      </c>
      <c r="B77" t="s">
        <v>138</v>
      </c>
      <c r="C77" t="s">
        <v>255</v>
      </c>
      <c r="D77" t="s">
        <v>74</v>
      </c>
      <c r="E77">
        <v>7566.67</v>
      </c>
      <c r="F77" s="2">
        <v>45294.666684444448</v>
      </c>
      <c r="G77" t="s">
        <v>140</v>
      </c>
      <c r="H77" t="s">
        <v>81</v>
      </c>
      <c r="I77" t="s">
        <v>77</v>
      </c>
    </row>
    <row r="78" spans="1:9" x14ac:dyDescent="0.45">
      <c r="A78" t="s">
        <v>256</v>
      </c>
      <c r="B78" t="s">
        <v>109</v>
      </c>
      <c r="C78" t="s">
        <v>257</v>
      </c>
      <c r="E78">
        <v>2513.0100000000002</v>
      </c>
      <c r="F78" s="2">
        <v>45507.666684444448</v>
      </c>
      <c r="G78" t="s">
        <v>111</v>
      </c>
      <c r="H78" t="s">
        <v>81</v>
      </c>
      <c r="I78" t="s">
        <v>88</v>
      </c>
    </row>
    <row r="79" spans="1:9" x14ac:dyDescent="0.45">
      <c r="A79" t="s">
        <v>258</v>
      </c>
      <c r="B79" t="s">
        <v>109</v>
      </c>
      <c r="C79" t="s">
        <v>259</v>
      </c>
      <c r="D79" t="s">
        <v>155</v>
      </c>
      <c r="E79">
        <v>8846.6299999999992</v>
      </c>
      <c r="F79" s="2">
        <v>45491.666684444448</v>
      </c>
      <c r="G79" t="s">
        <v>111</v>
      </c>
      <c r="H79" t="s">
        <v>107</v>
      </c>
      <c r="I79" t="s">
        <v>163</v>
      </c>
    </row>
    <row r="80" spans="1:9" x14ac:dyDescent="0.45">
      <c r="A80" t="s">
        <v>260</v>
      </c>
      <c r="B80" t="s">
        <v>109</v>
      </c>
      <c r="C80" t="s">
        <v>261</v>
      </c>
      <c r="D80" t="s">
        <v>101</v>
      </c>
      <c r="E80">
        <v>5660.39</v>
      </c>
      <c r="F80" s="2">
        <v>45342.666684444448</v>
      </c>
      <c r="G80" t="s">
        <v>111</v>
      </c>
      <c r="H80" t="s">
        <v>128</v>
      </c>
      <c r="I80" t="s">
        <v>119</v>
      </c>
    </row>
    <row r="81" spans="1:9" x14ac:dyDescent="0.45">
      <c r="A81" t="s">
        <v>262</v>
      </c>
      <c r="B81" t="s">
        <v>95</v>
      </c>
      <c r="C81" t="s">
        <v>263</v>
      </c>
      <c r="D81" t="s">
        <v>101</v>
      </c>
      <c r="E81">
        <v>8113.89</v>
      </c>
      <c r="F81" s="2">
        <v>45814.666684444448</v>
      </c>
      <c r="G81" t="s">
        <v>97</v>
      </c>
      <c r="I81" t="s">
        <v>82</v>
      </c>
    </row>
    <row r="82" spans="1:9" x14ac:dyDescent="0.45">
      <c r="A82" t="s">
        <v>264</v>
      </c>
      <c r="B82" t="s">
        <v>138</v>
      </c>
      <c r="C82" t="s">
        <v>265</v>
      </c>
      <c r="D82" t="s">
        <v>101</v>
      </c>
      <c r="E82">
        <v>8757.25</v>
      </c>
      <c r="F82" s="2">
        <v>45401.666684444448</v>
      </c>
      <c r="G82" t="s">
        <v>140</v>
      </c>
      <c r="H82" t="s">
        <v>87</v>
      </c>
      <c r="I82" t="s">
        <v>77</v>
      </c>
    </row>
    <row r="83" spans="1:9" x14ac:dyDescent="0.45">
      <c r="A83" t="s">
        <v>266</v>
      </c>
      <c r="B83" t="s">
        <v>172</v>
      </c>
      <c r="C83" t="s">
        <v>267</v>
      </c>
      <c r="D83" t="s">
        <v>101</v>
      </c>
      <c r="E83">
        <v>960.22</v>
      </c>
      <c r="F83" s="2">
        <v>45846.666684444448</v>
      </c>
      <c r="G83" t="s">
        <v>174</v>
      </c>
      <c r="H83" t="s">
        <v>107</v>
      </c>
      <c r="I83" t="s">
        <v>119</v>
      </c>
    </row>
    <row r="84" spans="1:9" x14ac:dyDescent="0.45">
      <c r="A84" t="s">
        <v>268</v>
      </c>
      <c r="B84" t="s">
        <v>104</v>
      </c>
      <c r="C84" t="s">
        <v>269</v>
      </c>
      <c r="D84" t="s">
        <v>74</v>
      </c>
      <c r="E84">
        <v>10300.43</v>
      </c>
      <c r="F84" s="2">
        <v>45827.666684444448</v>
      </c>
      <c r="G84" t="s">
        <v>115</v>
      </c>
      <c r="H84" t="s">
        <v>87</v>
      </c>
      <c r="I84" t="s">
        <v>82</v>
      </c>
    </row>
    <row r="85" spans="1:9" x14ac:dyDescent="0.45">
      <c r="A85" t="s">
        <v>270</v>
      </c>
      <c r="B85" t="s">
        <v>90</v>
      </c>
      <c r="C85" t="s">
        <v>271</v>
      </c>
      <c r="D85" t="s">
        <v>155</v>
      </c>
      <c r="E85">
        <v>1386.07</v>
      </c>
      <c r="F85" s="2">
        <v>45791.666684444448</v>
      </c>
      <c r="G85" t="s">
        <v>93</v>
      </c>
      <c r="H85" t="s">
        <v>136</v>
      </c>
      <c r="I85" t="s">
        <v>82</v>
      </c>
    </row>
    <row r="86" spans="1:9" x14ac:dyDescent="0.45">
      <c r="A86" t="s">
        <v>272</v>
      </c>
      <c r="B86" t="s">
        <v>99</v>
      </c>
      <c r="C86" t="s">
        <v>273</v>
      </c>
      <c r="D86" t="s">
        <v>74</v>
      </c>
      <c r="E86">
        <v>2645.25</v>
      </c>
      <c r="F86" s="2">
        <v>45201.666684444448</v>
      </c>
      <c r="G86" t="s">
        <v>102</v>
      </c>
      <c r="H86" t="s">
        <v>118</v>
      </c>
      <c r="I86" t="s">
        <v>82</v>
      </c>
    </row>
    <row r="87" spans="1:9" x14ac:dyDescent="0.45">
      <c r="A87" t="s">
        <v>274</v>
      </c>
      <c r="B87" t="s">
        <v>109</v>
      </c>
      <c r="C87" t="s">
        <v>275</v>
      </c>
      <c r="D87" t="s">
        <v>101</v>
      </c>
      <c r="E87">
        <v>10415.6</v>
      </c>
      <c r="F87" s="2">
        <v>45751.666684444448</v>
      </c>
      <c r="G87" t="s">
        <v>111</v>
      </c>
      <c r="H87" t="s">
        <v>76</v>
      </c>
      <c r="I87" t="s">
        <v>112</v>
      </c>
    </row>
    <row r="88" spans="1:9" x14ac:dyDescent="0.45">
      <c r="A88" t="s">
        <v>276</v>
      </c>
      <c r="B88" t="s">
        <v>79</v>
      </c>
      <c r="C88" t="s">
        <v>277</v>
      </c>
      <c r="D88" t="s">
        <v>74</v>
      </c>
      <c r="E88">
        <v>736.13</v>
      </c>
      <c r="F88" s="2">
        <v>45778.666684444448</v>
      </c>
      <c r="G88" t="s">
        <v>278</v>
      </c>
      <c r="H88" t="s">
        <v>128</v>
      </c>
      <c r="I88" t="s">
        <v>112</v>
      </c>
    </row>
    <row r="89" spans="1:9" x14ac:dyDescent="0.45">
      <c r="A89" t="s">
        <v>279</v>
      </c>
      <c r="B89" t="s">
        <v>138</v>
      </c>
      <c r="C89" t="s">
        <v>280</v>
      </c>
      <c r="D89" t="s">
        <v>148</v>
      </c>
      <c r="E89">
        <v>7480.94</v>
      </c>
      <c r="F89" s="2">
        <v>45303.666684444448</v>
      </c>
      <c r="G89" t="s">
        <v>140</v>
      </c>
      <c r="H89" t="s">
        <v>81</v>
      </c>
      <c r="I89" t="s">
        <v>82</v>
      </c>
    </row>
    <row r="90" spans="1:9" x14ac:dyDescent="0.45">
      <c r="A90" t="s">
        <v>281</v>
      </c>
      <c r="B90" t="s">
        <v>90</v>
      </c>
      <c r="C90" t="s">
        <v>282</v>
      </c>
      <c r="D90" t="s">
        <v>92</v>
      </c>
      <c r="E90">
        <v>6707.44</v>
      </c>
      <c r="F90" s="2">
        <v>45674.666684444448</v>
      </c>
      <c r="I90" t="s">
        <v>119</v>
      </c>
    </row>
    <row r="91" spans="1:9" x14ac:dyDescent="0.45">
      <c r="A91" t="s">
        <v>283</v>
      </c>
      <c r="B91" t="s">
        <v>99</v>
      </c>
      <c r="C91" t="s">
        <v>284</v>
      </c>
      <c r="D91" t="s">
        <v>155</v>
      </c>
      <c r="E91">
        <v>6228.26</v>
      </c>
      <c r="F91" s="2">
        <v>45378.666684444448</v>
      </c>
      <c r="G91" t="s">
        <v>285</v>
      </c>
      <c r="H91" t="s">
        <v>76</v>
      </c>
      <c r="I91" t="s">
        <v>119</v>
      </c>
    </row>
    <row r="92" spans="1:9" x14ac:dyDescent="0.45">
      <c r="A92" t="s">
        <v>286</v>
      </c>
      <c r="B92" t="s">
        <v>99</v>
      </c>
      <c r="C92" t="s">
        <v>287</v>
      </c>
      <c r="D92" t="s">
        <v>92</v>
      </c>
      <c r="E92">
        <v>8356.35</v>
      </c>
      <c r="F92" s="2">
        <v>45295.666684444448</v>
      </c>
      <c r="G92" t="s">
        <v>102</v>
      </c>
      <c r="H92" t="s">
        <v>107</v>
      </c>
      <c r="I92" t="s">
        <v>163</v>
      </c>
    </row>
    <row r="93" spans="1:9" x14ac:dyDescent="0.45">
      <c r="A93" t="s">
        <v>288</v>
      </c>
      <c r="B93" t="s">
        <v>72</v>
      </c>
      <c r="C93" t="s">
        <v>289</v>
      </c>
      <c r="D93" t="s">
        <v>101</v>
      </c>
      <c r="E93">
        <v>2888.18</v>
      </c>
      <c r="F93" s="2">
        <v>45601.666684444448</v>
      </c>
      <c r="G93" t="s">
        <v>75</v>
      </c>
      <c r="H93" t="s">
        <v>76</v>
      </c>
      <c r="I93" t="s">
        <v>112</v>
      </c>
    </row>
    <row r="94" spans="1:9" x14ac:dyDescent="0.45">
      <c r="A94" t="s">
        <v>290</v>
      </c>
      <c r="B94" t="s">
        <v>109</v>
      </c>
      <c r="C94" t="s">
        <v>291</v>
      </c>
      <c r="D94" t="s">
        <v>74</v>
      </c>
      <c r="E94">
        <v>9003.26</v>
      </c>
      <c r="F94" s="2">
        <v>45516.666684444448</v>
      </c>
      <c r="G94" t="s">
        <v>111</v>
      </c>
      <c r="H94" t="s">
        <v>128</v>
      </c>
      <c r="I94" t="s">
        <v>163</v>
      </c>
    </row>
    <row r="95" spans="1:9" x14ac:dyDescent="0.45">
      <c r="A95" t="s">
        <v>292</v>
      </c>
      <c r="B95" t="s">
        <v>72</v>
      </c>
      <c r="C95" t="s">
        <v>293</v>
      </c>
      <c r="D95" t="s">
        <v>92</v>
      </c>
      <c r="E95">
        <v>5804.57</v>
      </c>
      <c r="F95" s="2">
        <v>45404.666684444448</v>
      </c>
      <c r="G95" t="s">
        <v>75</v>
      </c>
      <c r="H95" t="s">
        <v>133</v>
      </c>
      <c r="I95" t="s">
        <v>119</v>
      </c>
    </row>
    <row r="96" spans="1:9" x14ac:dyDescent="0.45">
      <c r="A96" t="s">
        <v>294</v>
      </c>
      <c r="B96" t="s">
        <v>90</v>
      </c>
      <c r="C96" t="s">
        <v>295</v>
      </c>
      <c r="D96" t="s">
        <v>101</v>
      </c>
      <c r="E96">
        <v>3104.46</v>
      </c>
      <c r="F96" s="2">
        <v>45783.666684444448</v>
      </c>
      <c r="G96" t="s">
        <v>296</v>
      </c>
      <c r="H96" t="s">
        <v>118</v>
      </c>
      <c r="I96" t="s">
        <v>119</v>
      </c>
    </row>
    <row r="97" spans="1:9" x14ac:dyDescent="0.45">
      <c r="A97" t="s">
        <v>297</v>
      </c>
      <c r="B97" t="s">
        <v>99</v>
      </c>
      <c r="C97" t="s">
        <v>298</v>
      </c>
      <c r="D97" t="s">
        <v>85</v>
      </c>
      <c r="E97">
        <v>0</v>
      </c>
      <c r="F97" s="2">
        <v>45832.666684444448</v>
      </c>
      <c r="G97" t="s">
        <v>102</v>
      </c>
      <c r="H97" t="s">
        <v>133</v>
      </c>
      <c r="I97" t="s">
        <v>112</v>
      </c>
    </row>
    <row r="98" spans="1:9" x14ac:dyDescent="0.45">
      <c r="A98" t="s">
        <v>299</v>
      </c>
      <c r="B98" t="s">
        <v>79</v>
      </c>
      <c r="C98" t="s">
        <v>225</v>
      </c>
      <c r="D98" t="s">
        <v>74</v>
      </c>
      <c r="E98">
        <v>6647.64</v>
      </c>
      <c r="F98" s="2">
        <v>45698.666684444448</v>
      </c>
      <c r="G98" t="s">
        <v>86</v>
      </c>
      <c r="H98" t="s">
        <v>76</v>
      </c>
      <c r="I98" t="s">
        <v>88</v>
      </c>
    </row>
    <row r="99" spans="1:9" x14ac:dyDescent="0.45">
      <c r="A99" t="s">
        <v>300</v>
      </c>
      <c r="B99" t="s">
        <v>138</v>
      </c>
      <c r="C99" t="s">
        <v>301</v>
      </c>
      <c r="D99" t="s">
        <v>74</v>
      </c>
      <c r="E99">
        <v>0</v>
      </c>
      <c r="F99" s="2">
        <v>45352.666684444448</v>
      </c>
      <c r="G99" t="s">
        <v>194</v>
      </c>
      <c r="H99" t="s">
        <v>116</v>
      </c>
      <c r="I99" t="s">
        <v>77</v>
      </c>
    </row>
    <row r="100" spans="1:9" x14ac:dyDescent="0.45">
      <c r="A100" t="s">
        <v>302</v>
      </c>
      <c r="B100" t="s">
        <v>72</v>
      </c>
      <c r="C100" t="s">
        <v>168</v>
      </c>
      <c r="D100" t="s">
        <v>85</v>
      </c>
      <c r="E100">
        <v>10576.92</v>
      </c>
      <c r="F100" s="2">
        <v>45829.666684444448</v>
      </c>
      <c r="G100" t="s">
        <v>75</v>
      </c>
      <c r="H100" t="s">
        <v>118</v>
      </c>
      <c r="I100" t="s">
        <v>82</v>
      </c>
    </row>
    <row r="101" spans="1:9" x14ac:dyDescent="0.45">
      <c r="A101" t="s">
        <v>303</v>
      </c>
      <c r="B101" t="s">
        <v>99</v>
      </c>
      <c r="C101" t="s">
        <v>170</v>
      </c>
      <c r="D101" t="s">
        <v>85</v>
      </c>
      <c r="E101">
        <v>7294.35</v>
      </c>
      <c r="F101" s="2">
        <v>45460.666684444448</v>
      </c>
      <c r="G101" t="s">
        <v>102</v>
      </c>
      <c r="H101" t="s">
        <v>128</v>
      </c>
      <c r="I101" t="s">
        <v>88</v>
      </c>
    </row>
    <row r="102" spans="1:9" x14ac:dyDescent="0.45">
      <c r="A102" t="s">
        <v>304</v>
      </c>
      <c r="B102" t="s">
        <v>138</v>
      </c>
      <c r="D102" t="s">
        <v>92</v>
      </c>
      <c r="E102">
        <v>8117.67</v>
      </c>
      <c r="F102" s="2">
        <v>45185.666684444448</v>
      </c>
      <c r="G102" t="s">
        <v>140</v>
      </c>
      <c r="H102" t="s">
        <v>87</v>
      </c>
      <c r="I102" t="s">
        <v>163</v>
      </c>
    </row>
    <row r="103" spans="1:9" x14ac:dyDescent="0.45">
      <c r="A103" t="s">
        <v>305</v>
      </c>
      <c r="B103" t="s">
        <v>109</v>
      </c>
      <c r="C103" t="s">
        <v>306</v>
      </c>
      <c r="D103" t="s">
        <v>74</v>
      </c>
      <c r="E103">
        <v>9824.9599999999991</v>
      </c>
      <c r="F103" s="2">
        <v>45362.666684444448</v>
      </c>
      <c r="G103" t="s">
        <v>307</v>
      </c>
      <c r="H103" t="s">
        <v>76</v>
      </c>
      <c r="I103" t="s">
        <v>119</v>
      </c>
    </row>
    <row r="104" spans="1:9" x14ac:dyDescent="0.45">
      <c r="A104" t="s">
        <v>308</v>
      </c>
      <c r="B104" t="s">
        <v>104</v>
      </c>
      <c r="C104" t="s">
        <v>309</v>
      </c>
      <c r="D104" t="s">
        <v>85</v>
      </c>
      <c r="E104">
        <v>7872.02</v>
      </c>
      <c r="F104" s="2">
        <v>45160.666684444448</v>
      </c>
      <c r="G104" t="s">
        <v>247</v>
      </c>
      <c r="H104" t="s">
        <v>107</v>
      </c>
      <c r="I104" t="s">
        <v>88</v>
      </c>
    </row>
    <row r="105" spans="1:9" x14ac:dyDescent="0.45">
      <c r="A105" t="s">
        <v>310</v>
      </c>
      <c r="B105" t="s">
        <v>138</v>
      </c>
      <c r="C105" t="s">
        <v>311</v>
      </c>
      <c r="D105" t="s">
        <v>74</v>
      </c>
      <c r="E105">
        <v>8970.16</v>
      </c>
      <c r="F105" s="2">
        <v>45451.666684444448</v>
      </c>
      <c r="G105" t="s">
        <v>140</v>
      </c>
      <c r="H105" t="s">
        <v>116</v>
      </c>
      <c r="I105" t="s">
        <v>82</v>
      </c>
    </row>
    <row r="106" spans="1:9" x14ac:dyDescent="0.45">
      <c r="A106" t="s">
        <v>312</v>
      </c>
      <c r="B106" t="s">
        <v>99</v>
      </c>
      <c r="C106" t="s">
        <v>313</v>
      </c>
      <c r="D106" t="s">
        <v>74</v>
      </c>
      <c r="E106">
        <v>5428.24</v>
      </c>
      <c r="F106" s="2">
        <v>45538.666684444448</v>
      </c>
      <c r="H106" t="s">
        <v>118</v>
      </c>
      <c r="I106" t="s">
        <v>77</v>
      </c>
    </row>
    <row r="107" spans="1:9" x14ac:dyDescent="0.45">
      <c r="A107" t="s">
        <v>314</v>
      </c>
      <c r="B107" t="s">
        <v>90</v>
      </c>
      <c r="C107" t="s">
        <v>315</v>
      </c>
      <c r="D107" t="s">
        <v>101</v>
      </c>
      <c r="E107">
        <v>7641.86</v>
      </c>
      <c r="F107" s="2">
        <v>45402.666684444448</v>
      </c>
      <c r="G107" t="s">
        <v>296</v>
      </c>
      <c r="H107" t="s">
        <v>81</v>
      </c>
      <c r="I107" t="s">
        <v>88</v>
      </c>
    </row>
    <row r="108" spans="1:9" x14ac:dyDescent="0.45">
      <c r="A108" t="s">
        <v>316</v>
      </c>
      <c r="B108" t="s">
        <v>72</v>
      </c>
      <c r="C108" t="s">
        <v>317</v>
      </c>
      <c r="D108" t="s">
        <v>74</v>
      </c>
      <c r="E108">
        <v>9907.24</v>
      </c>
      <c r="F108" s="2">
        <v>45195.666684444448</v>
      </c>
      <c r="G108" t="s">
        <v>75</v>
      </c>
      <c r="H108" t="s">
        <v>76</v>
      </c>
      <c r="I108" t="s">
        <v>82</v>
      </c>
    </row>
    <row r="109" spans="1:9" x14ac:dyDescent="0.45">
      <c r="A109" t="s">
        <v>318</v>
      </c>
      <c r="B109" t="s">
        <v>72</v>
      </c>
      <c r="C109" t="s">
        <v>319</v>
      </c>
      <c r="D109" t="s">
        <v>74</v>
      </c>
      <c r="E109">
        <v>0</v>
      </c>
      <c r="F109" s="2">
        <v>45344.666684444448</v>
      </c>
      <c r="G109" t="s">
        <v>75</v>
      </c>
      <c r="H109" t="s">
        <v>133</v>
      </c>
      <c r="I109" t="s">
        <v>88</v>
      </c>
    </row>
    <row r="110" spans="1:9" x14ac:dyDescent="0.45">
      <c r="A110" t="s">
        <v>320</v>
      </c>
      <c r="B110" t="s">
        <v>172</v>
      </c>
      <c r="C110" t="s">
        <v>321</v>
      </c>
      <c r="D110" t="s">
        <v>101</v>
      </c>
      <c r="E110">
        <v>11107</v>
      </c>
      <c r="F110" s="2">
        <v>45708.666684444448</v>
      </c>
      <c r="G110" t="s">
        <v>174</v>
      </c>
      <c r="H110" t="s">
        <v>107</v>
      </c>
      <c r="I110" t="s">
        <v>82</v>
      </c>
    </row>
    <row r="111" spans="1:9" x14ac:dyDescent="0.45">
      <c r="A111" t="s">
        <v>322</v>
      </c>
      <c r="B111" t="s">
        <v>99</v>
      </c>
      <c r="C111" t="s">
        <v>127</v>
      </c>
      <c r="D111" t="s">
        <v>101</v>
      </c>
      <c r="E111">
        <v>7945.34</v>
      </c>
      <c r="F111" s="2">
        <v>45450.666684444448</v>
      </c>
      <c r="G111" t="s">
        <v>102</v>
      </c>
      <c r="H111" t="s">
        <v>118</v>
      </c>
      <c r="I111" t="s">
        <v>88</v>
      </c>
    </row>
    <row r="112" spans="1:9" x14ac:dyDescent="0.45">
      <c r="A112" t="s">
        <v>323</v>
      </c>
      <c r="B112" t="s">
        <v>172</v>
      </c>
      <c r="C112" t="s">
        <v>324</v>
      </c>
      <c r="D112" t="s">
        <v>74</v>
      </c>
      <c r="E112">
        <v>10485.540000000001</v>
      </c>
      <c r="F112" s="2">
        <v>45345.666684444448</v>
      </c>
      <c r="G112" t="s">
        <v>174</v>
      </c>
      <c r="H112" t="s">
        <v>87</v>
      </c>
      <c r="I112" t="s">
        <v>119</v>
      </c>
    </row>
    <row r="113" spans="1:9" x14ac:dyDescent="0.45">
      <c r="A113" t="s">
        <v>325</v>
      </c>
      <c r="B113" t="s">
        <v>79</v>
      </c>
      <c r="C113" t="s">
        <v>326</v>
      </c>
      <c r="D113" t="s">
        <v>74</v>
      </c>
      <c r="E113">
        <v>5251.76</v>
      </c>
      <c r="F113" s="2">
        <v>45799.666684444448</v>
      </c>
      <c r="G113" t="s">
        <v>86</v>
      </c>
      <c r="H113" t="s">
        <v>107</v>
      </c>
      <c r="I113" t="s">
        <v>119</v>
      </c>
    </row>
    <row r="114" spans="1:9" x14ac:dyDescent="0.45">
      <c r="A114" t="s">
        <v>327</v>
      </c>
      <c r="B114" t="s">
        <v>79</v>
      </c>
      <c r="C114" t="s">
        <v>328</v>
      </c>
      <c r="D114" t="s">
        <v>74</v>
      </c>
      <c r="E114">
        <v>8628.23</v>
      </c>
      <c r="F114" s="2">
        <v>45639.666684444448</v>
      </c>
      <c r="G114" t="s">
        <v>86</v>
      </c>
      <c r="H114" t="s">
        <v>107</v>
      </c>
      <c r="I114" t="s">
        <v>112</v>
      </c>
    </row>
    <row r="115" spans="1:9" x14ac:dyDescent="0.45">
      <c r="A115" t="s">
        <v>329</v>
      </c>
      <c r="B115" t="s">
        <v>99</v>
      </c>
      <c r="C115" t="s">
        <v>330</v>
      </c>
      <c r="D115" t="s">
        <v>74</v>
      </c>
      <c r="E115">
        <v>2998.65</v>
      </c>
      <c r="F115" s="2">
        <v>45533.666684444448</v>
      </c>
      <c r="G115" t="s">
        <v>102</v>
      </c>
      <c r="I115" t="s">
        <v>82</v>
      </c>
    </row>
    <row r="116" spans="1:9" x14ac:dyDescent="0.45">
      <c r="A116" t="s">
        <v>331</v>
      </c>
      <c r="B116" t="s">
        <v>72</v>
      </c>
      <c r="C116" t="s">
        <v>332</v>
      </c>
      <c r="D116" t="s">
        <v>85</v>
      </c>
      <c r="E116">
        <v>2126.58</v>
      </c>
      <c r="F116" s="2">
        <v>45786.666684444448</v>
      </c>
      <c r="G116" t="s">
        <v>75</v>
      </c>
      <c r="H116" t="s">
        <v>107</v>
      </c>
      <c r="I116" t="s">
        <v>163</v>
      </c>
    </row>
    <row r="117" spans="1:9" x14ac:dyDescent="0.45">
      <c r="A117" t="s">
        <v>333</v>
      </c>
      <c r="B117" t="s">
        <v>109</v>
      </c>
      <c r="C117" t="s">
        <v>127</v>
      </c>
      <c r="D117" t="s">
        <v>101</v>
      </c>
      <c r="E117">
        <v>7394.89</v>
      </c>
      <c r="F117" s="2">
        <v>45597.666684444448</v>
      </c>
      <c r="G117" t="s">
        <v>111</v>
      </c>
      <c r="H117" t="s">
        <v>128</v>
      </c>
      <c r="I117" t="s">
        <v>112</v>
      </c>
    </row>
    <row r="118" spans="1:9" x14ac:dyDescent="0.45">
      <c r="A118" t="s">
        <v>334</v>
      </c>
      <c r="B118" t="s">
        <v>95</v>
      </c>
      <c r="C118" t="s">
        <v>335</v>
      </c>
      <c r="D118" t="s">
        <v>101</v>
      </c>
      <c r="E118">
        <v>4683.91</v>
      </c>
      <c r="F118" s="2">
        <v>45274.666684444448</v>
      </c>
      <c r="G118" t="s">
        <v>336</v>
      </c>
      <c r="H118" t="s">
        <v>118</v>
      </c>
      <c r="I118" t="s">
        <v>82</v>
      </c>
    </row>
    <row r="119" spans="1:9" x14ac:dyDescent="0.45">
      <c r="A119" t="s">
        <v>337</v>
      </c>
      <c r="B119" t="s">
        <v>79</v>
      </c>
      <c r="C119" t="s">
        <v>338</v>
      </c>
      <c r="D119" t="s">
        <v>101</v>
      </c>
      <c r="E119">
        <v>349.49</v>
      </c>
      <c r="F119" s="2">
        <v>45399.666684444448</v>
      </c>
      <c r="H119" t="s">
        <v>87</v>
      </c>
      <c r="I119" t="s">
        <v>77</v>
      </c>
    </row>
    <row r="120" spans="1:9" x14ac:dyDescent="0.45">
      <c r="A120" t="s">
        <v>339</v>
      </c>
      <c r="B120" t="s">
        <v>72</v>
      </c>
      <c r="C120" t="s">
        <v>265</v>
      </c>
      <c r="D120" t="s">
        <v>92</v>
      </c>
      <c r="E120">
        <v>10822.91</v>
      </c>
      <c r="F120" s="2">
        <v>45270.666684444448</v>
      </c>
      <c r="G120" t="s">
        <v>75</v>
      </c>
      <c r="H120" t="s">
        <v>76</v>
      </c>
      <c r="I120" t="s">
        <v>77</v>
      </c>
    </row>
    <row r="121" spans="1:9" x14ac:dyDescent="0.45">
      <c r="A121" t="s">
        <v>340</v>
      </c>
      <c r="B121" t="s">
        <v>172</v>
      </c>
      <c r="C121" t="s">
        <v>100</v>
      </c>
      <c r="D121" t="s">
        <v>148</v>
      </c>
      <c r="E121">
        <v>6608.29</v>
      </c>
      <c r="F121" s="2">
        <v>45380.666684444448</v>
      </c>
      <c r="G121" t="s">
        <v>174</v>
      </c>
      <c r="H121" t="s">
        <v>118</v>
      </c>
      <c r="I121" t="s">
        <v>88</v>
      </c>
    </row>
    <row r="122" spans="1:9" x14ac:dyDescent="0.45">
      <c r="A122" t="s">
        <v>341</v>
      </c>
      <c r="B122" t="s">
        <v>138</v>
      </c>
      <c r="C122" t="s">
        <v>342</v>
      </c>
      <c r="D122" t="s">
        <v>92</v>
      </c>
      <c r="E122">
        <v>2547.33</v>
      </c>
      <c r="F122" s="2">
        <v>45702.666684444448</v>
      </c>
      <c r="G122" t="s">
        <v>140</v>
      </c>
      <c r="H122" t="s">
        <v>133</v>
      </c>
      <c r="I122" t="s">
        <v>88</v>
      </c>
    </row>
    <row r="123" spans="1:9" x14ac:dyDescent="0.45">
      <c r="A123" t="s">
        <v>343</v>
      </c>
      <c r="B123" t="s">
        <v>109</v>
      </c>
      <c r="C123" t="s">
        <v>344</v>
      </c>
      <c r="D123" t="s">
        <v>92</v>
      </c>
      <c r="E123">
        <v>5696.65</v>
      </c>
      <c r="F123" s="2">
        <v>45679.666684444448</v>
      </c>
      <c r="G123" t="s">
        <v>111</v>
      </c>
      <c r="H123" t="s">
        <v>76</v>
      </c>
      <c r="I123" t="s">
        <v>88</v>
      </c>
    </row>
    <row r="124" spans="1:9" x14ac:dyDescent="0.45">
      <c r="A124" t="s">
        <v>345</v>
      </c>
      <c r="B124" t="s">
        <v>172</v>
      </c>
      <c r="C124" t="s">
        <v>346</v>
      </c>
      <c r="D124" t="s">
        <v>85</v>
      </c>
      <c r="E124">
        <v>9823.1200000000008</v>
      </c>
      <c r="F124" s="2">
        <v>45397.666684444448</v>
      </c>
      <c r="G124" t="s">
        <v>174</v>
      </c>
      <c r="H124" t="s">
        <v>128</v>
      </c>
      <c r="I124" t="s">
        <v>163</v>
      </c>
    </row>
    <row r="125" spans="1:9" x14ac:dyDescent="0.45">
      <c r="A125" t="s">
        <v>347</v>
      </c>
      <c r="B125" t="s">
        <v>109</v>
      </c>
      <c r="C125" t="s">
        <v>348</v>
      </c>
      <c r="D125" t="s">
        <v>92</v>
      </c>
      <c r="E125">
        <v>9383.19</v>
      </c>
      <c r="F125" s="2">
        <v>45726.666684444448</v>
      </c>
      <c r="G125" t="s">
        <v>111</v>
      </c>
      <c r="H125" t="s">
        <v>136</v>
      </c>
      <c r="I125" t="s">
        <v>163</v>
      </c>
    </row>
    <row r="126" spans="1:9" x14ac:dyDescent="0.45">
      <c r="A126" t="s">
        <v>349</v>
      </c>
      <c r="B126" t="s">
        <v>95</v>
      </c>
      <c r="C126" t="s">
        <v>350</v>
      </c>
      <c r="D126" t="s">
        <v>85</v>
      </c>
      <c r="E126">
        <v>1040.98</v>
      </c>
      <c r="F126" s="2">
        <v>45566.666684444448</v>
      </c>
      <c r="G126" t="s">
        <v>97</v>
      </c>
      <c r="H126" t="s">
        <v>136</v>
      </c>
      <c r="I126" t="s">
        <v>88</v>
      </c>
    </row>
    <row r="127" spans="1:9" x14ac:dyDescent="0.45">
      <c r="A127" t="s">
        <v>351</v>
      </c>
      <c r="B127" t="s">
        <v>138</v>
      </c>
      <c r="C127" t="s">
        <v>352</v>
      </c>
      <c r="D127" t="s">
        <v>74</v>
      </c>
      <c r="E127">
        <v>685.14</v>
      </c>
      <c r="F127" s="2">
        <v>45725.666684444448</v>
      </c>
      <c r="G127" t="s">
        <v>194</v>
      </c>
      <c r="H127" t="s">
        <v>133</v>
      </c>
      <c r="I127" t="s">
        <v>112</v>
      </c>
    </row>
    <row r="128" spans="1:9" x14ac:dyDescent="0.45">
      <c r="A128" t="s">
        <v>353</v>
      </c>
      <c r="B128" t="s">
        <v>172</v>
      </c>
      <c r="C128" t="s">
        <v>354</v>
      </c>
      <c r="D128" t="s">
        <v>74</v>
      </c>
      <c r="E128">
        <v>6365.09</v>
      </c>
      <c r="F128" s="2">
        <v>45536.666684444448</v>
      </c>
      <c r="G128" t="s">
        <v>174</v>
      </c>
      <c r="H128" t="s">
        <v>81</v>
      </c>
      <c r="I128" t="s">
        <v>82</v>
      </c>
    </row>
    <row r="129" spans="1:9" x14ac:dyDescent="0.45">
      <c r="A129" t="s">
        <v>355</v>
      </c>
      <c r="B129" t="s">
        <v>79</v>
      </c>
      <c r="C129" t="s">
        <v>251</v>
      </c>
      <c r="D129" t="s">
        <v>101</v>
      </c>
      <c r="E129">
        <v>7082.05</v>
      </c>
      <c r="F129" s="2">
        <v>45498.666684444448</v>
      </c>
      <c r="H129" t="s">
        <v>145</v>
      </c>
      <c r="I129" t="s">
        <v>119</v>
      </c>
    </row>
    <row r="130" spans="1:9" x14ac:dyDescent="0.45">
      <c r="A130" t="s">
        <v>356</v>
      </c>
      <c r="B130" t="s">
        <v>79</v>
      </c>
      <c r="C130" t="s">
        <v>357</v>
      </c>
      <c r="D130" t="s">
        <v>155</v>
      </c>
      <c r="E130">
        <v>2410.5300000000002</v>
      </c>
      <c r="F130" s="2">
        <v>45352.666684444448</v>
      </c>
      <c r="G130" t="s">
        <v>86</v>
      </c>
      <c r="H130" t="s">
        <v>76</v>
      </c>
      <c r="I130" t="s">
        <v>77</v>
      </c>
    </row>
    <row r="131" spans="1:9" x14ac:dyDescent="0.45">
      <c r="A131" t="s">
        <v>358</v>
      </c>
      <c r="B131" t="s">
        <v>172</v>
      </c>
      <c r="C131" t="s">
        <v>359</v>
      </c>
      <c r="D131" t="s">
        <v>85</v>
      </c>
      <c r="E131">
        <v>6294.01</v>
      </c>
      <c r="F131" s="2">
        <v>45269.666684444448</v>
      </c>
      <c r="H131" t="s">
        <v>81</v>
      </c>
      <c r="I131" t="s">
        <v>88</v>
      </c>
    </row>
    <row r="132" spans="1:9" x14ac:dyDescent="0.45">
      <c r="A132" t="s">
        <v>360</v>
      </c>
      <c r="B132" t="s">
        <v>95</v>
      </c>
      <c r="C132" t="s">
        <v>361</v>
      </c>
      <c r="D132" t="s">
        <v>92</v>
      </c>
      <c r="E132">
        <v>9353.7999999999993</v>
      </c>
      <c r="F132" s="2">
        <v>45649.666684444448</v>
      </c>
      <c r="G132" t="s">
        <v>97</v>
      </c>
      <c r="H132" t="s">
        <v>145</v>
      </c>
      <c r="I132" t="s">
        <v>77</v>
      </c>
    </row>
    <row r="133" spans="1:9" x14ac:dyDescent="0.45">
      <c r="A133" t="s">
        <v>362</v>
      </c>
      <c r="B133" t="s">
        <v>95</v>
      </c>
      <c r="C133" t="s">
        <v>363</v>
      </c>
      <c r="D133" t="s">
        <v>101</v>
      </c>
      <c r="E133">
        <v>11672.26</v>
      </c>
      <c r="F133" s="2">
        <v>45633.666684444448</v>
      </c>
      <c r="G133" t="s">
        <v>97</v>
      </c>
      <c r="H133" t="s">
        <v>76</v>
      </c>
      <c r="I133" t="s">
        <v>112</v>
      </c>
    </row>
    <row r="134" spans="1:9" x14ac:dyDescent="0.45">
      <c r="A134" t="s">
        <v>364</v>
      </c>
      <c r="B134" t="s">
        <v>99</v>
      </c>
      <c r="C134" t="s">
        <v>365</v>
      </c>
      <c r="D134" t="s">
        <v>101</v>
      </c>
      <c r="E134">
        <v>853.33</v>
      </c>
      <c r="F134" s="2">
        <v>45221.666684444448</v>
      </c>
      <c r="G134" t="s">
        <v>285</v>
      </c>
      <c r="H134" t="s">
        <v>81</v>
      </c>
      <c r="I134" t="s">
        <v>77</v>
      </c>
    </row>
    <row r="135" spans="1:9" x14ac:dyDescent="0.45">
      <c r="A135" t="s">
        <v>366</v>
      </c>
      <c r="B135" t="s">
        <v>138</v>
      </c>
      <c r="C135" t="s">
        <v>367</v>
      </c>
      <c r="D135" t="s">
        <v>74</v>
      </c>
      <c r="E135">
        <v>8919.5300000000007</v>
      </c>
      <c r="F135" s="2">
        <v>45176.666684444448</v>
      </c>
      <c r="G135" t="s">
        <v>140</v>
      </c>
      <c r="H135" t="s">
        <v>133</v>
      </c>
      <c r="I135" t="s">
        <v>112</v>
      </c>
    </row>
    <row r="136" spans="1:9" x14ac:dyDescent="0.45">
      <c r="A136" t="s">
        <v>368</v>
      </c>
      <c r="B136" t="s">
        <v>72</v>
      </c>
      <c r="C136" t="s">
        <v>369</v>
      </c>
      <c r="D136" t="s">
        <v>74</v>
      </c>
      <c r="E136">
        <v>9813.4599999999991</v>
      </c>
      <c r="F136" s="2">
        <v>45240.666684444448</v>
      </c>
      <c r="G136" t="s">
        <v>75</v>
      </c>
      <c r="H136" t="s">
        <v>107</v>
      </c>
      <c r="I136" t="s">
        <v>112</v>
      </c>
    </row>
    <row r="137" spans="1:9" x14ac:dyDescent="0.45">
      <c r="A137" t="s">
        <v>370</v>
      </c>
      <c r="B137" t="s">
        <v>95</v>
      </c>
      <c r="C137" t="s">
        <v>371</v>
      </c>
      <c r="E137">
        <v>11157.5</v>
      </c>
      <c r="F137" s="2">
        <v>45284.666684444448</v>
      </c>
      <c r="G137" t="s">
        <v>97</v>
      </c>
      <c r="H137" t="s">
        <v>76</v>
      </c>
      <c r="I137" t="s">
        <v>163</v>
      </c>
    </row>
    <row r="138" spans="1:9" x14ac:dyDescent="0.45">
      <c r="A138" t="s">
        <v>372</v>
      </c>
      <c r="B138" t="s">
        <v>138</v>
      </c>
      <c r="C138" t="s">
        <v>373</v>
      </c>
      <c r="D138" t="s">
        <v>85</v>
      </c>
      <c r="E138">
        <v>831.65</v>
      </c>
      <c r="F138" s="2">
        <v>45770.666684444448</v>
      </c>
      <c r="G138" t="s">
        <v>140</v>
      </c>
      <c r="H138" t="s">
        <v>133</v>
      </c>
      <c r="I138" t="s">
        <v>88</v>
      </c>
    </row>
    <row r="139" spans="1:9" x14ac:dyDescent="0.45">
      <c r="A139" t="s">
        <v>374</v>
      </c>
      <c r="B139" t="s">
        <v>95</v>
      </c>
      <c r="C139" t="s">
        <v>375</v>
      </c>
      <c r="D139" t="s">
        <v>101</v>
      </c>
      <c r="E139">
        <v>7316.27</v>
      </c>
      <c r="F139" s="2">
        <v>45291.666684444448</v>
      </c>
      <c r="G139" t="s">
        <v>97</v>
      </c>
      <c r="H139" t="s">
        <v>87</v>
      </c>
      <c r="I139" t="s">
        <v>77</v>
      </c>
    </row>
    <row r="140" spans="1:9" x14ac:dyDescent="0.45">
      <c r="A140" t="s">
        <v>376</v>
      </c>
      <c r="B140" t="s">
        <v>99</v>
      </c>
      <c r="C140" t="s">
        <v>377</v>
      </c>
      <c r="E140">
        <v>4884.92</v>
      </c>
      <c r="F140" s="2">
        <v>45824.666684444448</v>
      </c>
      <c r="G140" t="s">
        <v>102</v>
      </c>
      <c r="H140" t="s">
        <v>116</v>
      </c>
      <c r="I140" t="s">
        <v>82</v>
      </c>
    </row>
    <row r="141" spans="1:9" x14ac:dyDescent="0.45">
      <c r="A141" t="s">
        <v>378</v>
      </c>
      <c r="B141" t="s">
        <v>104</v>
      </c>
      <c r="C141" t="s">
        <v>187</v>
      </c>
      <c r="D141" t="s">
        <v>74</v>
      </c>
      <c r="E141">
        <v>2720.81</v>
      </c>
      <c r="F141" s="2">
        <v>45560.666684444448</v>
      </c>
      <c r="G141" t="s">
        <v>247</v>
      </c>
      <c r="H141" t="s">
        <v>133</v>
      </c>
      <c r="I141" t="s">
        <v>119</v>
      </c>
    </row>
    <row r="142" spans="1:9" x14ac:dyDescent="0.45">
      <c r="A142" t="s">
        <v>379</v>
      </c>
      <c r="B142" t="s">
        <v>95</v>
      </c>
      <c r="C142" t="s">
        <v>121</v>
      </c>
      <c r="D142" t="s">
        <v>106</v>
      </c>
      <c r="E142">
        <v>8369.3700000000008</v>
      </c>
      <c r="F142" s="2">
        <v>45738.666684444448</v>
      </c>
      <c r="G142" t="s">
        <v>97</v>
      </c>
      <c r="H142" t="s">
        <v>81</v>
      </c>
      <c r="I142" t="s">
        <v>77</v>
      </c>
    </row>
    <row r="143" spans="1:9" x14ac:dyDescent="0.45">
      <c r="A143" t="s">
        <v>380</v>
      </c>
      <c r="B143" t="s">
        <v>138</v>
      </c>
      <c r="D143" t="s">
        <v>101</v>
      </c>
      <c r="E143">
        <v>0</v>
      </c>
      <c r="F143" s="2">
        <v>45193.666684444448</v>
      </c>
      <c r="G143" t="s">
        <v>140</v>
      </c>
      <c r="H143" t="s">
        <v>133</v>
      </c>
      <c r="I143" t="s">
        <v>77</v>
      </c>
    </row>
    <row r="144" spans="1:9" x14ac:dyDescent="0.45">
      <c r="A144" t="s">
        <v>381</v>
      </c>
      <c r="B144" t="s">
        <v>99</v>
      </c>
      <c r="C144" t="s">
        <v>382</v>
      </c>
      <c r="D144" t="s">
        <v>101</v>
      </c>
      <c r="E144">
        <v>3156.96</v>
      </c>
      <c r="F144" s="2">
        <v>45522.666684444448</v>
      </c>
      <c r="G144" t="s">
        <v>102</v>
      </c>
      <c r="H144" t="s">
        <v>118</v>
      </c>
      <c r="I144" t="s">
        <v>82</v>
      </c>
    </row>
    <row r="145" spans="1:9" x14ac:dyDescent="0.45">
      <c r="A145" t="s">
        <v>383</v>
      </c>
      <c r="B145" t="s">
        <v>99</v>
      </c>
      <c r="C145" t="s">
        <v>375</v>
      </c>
      <c r="D145" t="s">
        <v>101</v>
      </c>
      <c r="E145">
        <v>2274.67</v>
      </c>
      <c r="F145" s="2">
        <v>45518.666684444448</v>
      </c>
      <c r="G145" t="s">
        <v>102</v>
      </c>
      <c r="H145" t="s">
        <v>128</v>
      </c>
      <c r="I145" t="s">
        <v>77</v>
      </c>
    </row>
    <row r="146" spans="1:9" x14ac:dyDescent="0.45">
      <c r="A146" t="s">
        <v>384</v>
      </c>
      <c r="B146" t="s">
        <v>138</v>
      </c>
      <c r="C146" t="s">
        <v>385</v>
      </c>
      <c r="D146" t="s">
        <v>74</v>
      </c>
      <c r="E146">
        <v>5171.3</v>
      </c>
      <c r="F146" s="2">
        <v>45738.666684444448</v>
      </c>
      <c r="G146" t="s">
        <v>140</v>
      </c>
      <c r="H146" t="s">
        <v>133</v>
      </c>
      <c r="I146" t="s">
        <v>112</v>
      </c>
    </row>
    <row r="147" spans="1:9" x14ac:dyDescent="0.45">
      <c r="A147" t="s">
        <v>386</v>
      </c>
      <c r="B147" t="s">
        <v>138</v>
      </c>
      <c r="C147" t="s">
        <v>216</v>
      </c>
      <c r="D147" t="s">
        <v>74</v>
      </c>
      <c r="E147">
        <v>5256.26</v>
      </c>
      <c r="F147" s="2">
        <v>45607.666684444448</v>
      </c>
      <c r="G147" t="s">
        <v>140</v>
      </c>
      <c r="H147" t="s">
        <v>133</v>
      </c>
      <c r="I147" t="s">
        <v>77</v>
      </c>
    </row>
    <row r="148" spans="1:9" x14ac:dyDescent="0.45">
      <c r="A148" t="s">
        <v>387</v>
      </c>
      <c r="B148" t="s">
        <v>79</v>
      </c>
      <c r="C148" t="s">
        <v>388</v>
      </c>
      <c r="D148" t="s">
        <v>85</v>
      </c>
      <c r="E148">
        <v>5147.03</v>
      </c>
      <c r="F148" s="2">
        <v>45669.666684444448</v>
      </c>
      <c r="G148" t="s">
        <v>86</v>
      </c>
      <c r="H148" t="s">
        <v>133</v>
      </c>
      <c r="I148" t="s">
        <v>88</v>
      </c>
    </row>
    <row r="149" spans="1:9" x14ac:dyDescent="0.45">
      <c r="A149" t="s">
        <v>389</v>
      </c>
      <c r="B149" t="s">
        <v>104</v>
      </c>
      <c r="C149" t="s">
        <v>123</v>
      </c>
      <c r="D149" t="s">
        <v>148</v>
      </c>
      <c r="E149">
        <v>6254.08</v>
      </c>
      <c r="F149" s="2">
        <v>45385.666684444448</v>
      </c>
      <c r="G149" t="s">
        <v>115</v>
      </c>
      <c r="H149" t="s">
        <v>116</v>
      </c>
      <c r="I149" t="s">
        <v>163</v>
      </c>
    </row>
    <row r="150" spans="1:9" x14ac:dyDescent="0.45">
      <c r="A150" t="s">
        <v>390</v>
      </c>
      <c r="B150" t="s">
        <v>99</v>
      </c>
      <c r="C150" t="s">
        <v>391</v>
      </c>
      <c r="D150" t="s">
        <v>92</v>
      </c>
      <c r="E150">
        <v>786.95</v>
      </c>
      <c r="F150" s="2">
        <v>45694.666684444448</v>
      </c>
      <c r="G150" t="s">
        <v>102</v>
      </c>
      <c r="H150" t="s">
        <v>76</v>
      </c>
      <c r="I150" t="s">
        <v>77</v>
      </c>
    </row>
    <row r="151" spans="1:9" x14ac:dyDescent="0.45">
      <c r="A151" t="s">
        <v>392</v>
      </c>
      <c r="B151" t="s">
        <v>79</v>
      </c>
      <c r="C151" t="s">
        <v>393</v>
      </c>
      <c r="D151" t="s">
        <v>74</v>
      </c>
      <c r="E151">
        <v>6716.61</v>
      </c>
      <c r="F151" s="2">
        <v>45139.666684444448</v>
      </c>
      <c r="G151" t="s">
        <v>86</v>
      </c>
      <c r="H151" t="s">
        <v>116</v>
      </c>
      <c r="I151" t="s">
        <v>163</v>
      </c>
    </row>
    <row r="152" spans="1:9" x14ac:dyDescent="0.45">
      <c r="A152" t="s">
        <v>394</v>
      </c>
      <c r="B152" t="s">
        <v>109</v>
      </c>
      <c r="C152" t="s">
        <v>395</v>
      </c>
      <c r="D152" t="s">
        <v>85</v>
      </c>
      <c r="E152">
        <v>9700.2900000000009</v>
      </c>
      <c r="F152" s="2">
        <v>45824.666684444448</v>
      </c>
      <c r="G152" t="s">
        <v>111</v>
      </c>
      <c r="H152" t="s">
        <v>118</v>
      </c>
      <c r="I152" t="s">
        <v>112</v>
      </c>
    </row>
    <row r="153" spans="1:9" x14ac:dyDescent="0.45">
      <c r="A153" t="s">
        <v>396</v>
      </c>
      <c r="B153" t="s">
        <v>172</v>
      </c>
      <c r="C153" t="s">
        <v>397</v>
      </c>
      <c r="D153" t="s">
        <v>74</v>
      </c>
      <c r="E153">
        <v>9551.58</v>
      </c>
      <c r="F153" s="2">
        <v>45245.666684444448</v>
      </c>
      <c r="G153" t="s">
        <v>174</v>
      </c>
      <c r="H153" t="s">
        <v>116</v>
      </c>
      <c r="I153" t="s">
        <v>163</v>
      </c>
    </row>
    <row r="154" spans="1:9" x14ac:dyDescent="0.45">
      <c r="A154" t="s">
        <v>398</v>
      </c>
      <c r="B154" t="s">
        <v>172</v>
      </c>
      <c r="C154" t="s">
        <v>399</v>
      </c>
      <c r="D154" t="s">
        <v>74</v>
      </c>
      <c r="E154">
        <v>874.14</v>
      </c>
      <c r="F154" s="2">
        <v>45826.666684444448</v>
      </c>
      <c r="G154" t="s">
        <v>174</v>
      </c>
      <c r="H154" t="s">
        <v>145</v>
      </c>
      <c r="I154" t="s">
        <v>82</v>
      </c>
    </row>
    <row r="155" spans="1:9" x14ac:dyDescent="0.45">
      <c r="A155" t="s">
        <v>400</v>
      </c>
      <c r="B155" t="s">
        <v>99</v>
      </c>
      <c r="C155" t="s">
        <v>401</v>
      </c>
      <c r="D155" t="s">
        <v>92</v>
      </c>
      <c r="E155">
        <v>4734.6099999999997</v>
      </c>
      <c r="F155" s="2">
        <v>45677.666684444448</v>
      </c>
      <c r="G155" t="s">
        <v>102</v>
      </c>
      <c r="H155" t="s">
        <v>107</v>
      </c>
      <c r="I155" t="s">
        <v>163</v>
      </c>
    </row>
    <row r="156" spans="1:9" x14ac:dyDescent="0.45">
      <c r="A156" t="s">
        <v>402</v>
      </c>
      <c r="B156" t="s">
        <v>79</v>
      </c>
      <c r="C156" t="s">
        <v>403</v>
      </c>
      <c r="D156" t="s">
        <v>85</v>
      </c>
      <c r="E156">
        <v>3349.73</v>
      </c>
      <c r="F156" s="2">
        <v>45401.666684444448</v>
      </c>
      <c r="G156" t="s">
        <v>86</v>
      </c>
      <c r="H156" t="s">
        <v>76</v>
      </c>
      <c r="I156" t="s">
        <v>88</v>
      </c>
    </row>
    <row r="157" spans="1:9" x14ac:dyDescent="0.45">
      <c r="A157" t="s">
        <v>404</v>
      </c>
      <c r="B157" t="s">
        <v>104</v>
      </c>
      <c r="C157" t="s">
        <v>405</v>
      </c>
      <c r="D157" t="s">
        <v>74</v>
      </c>
      <c r="E157">
        <v>10479.73</v>
      </c>
      <c r="F157" s="2">
        <v>45784.666684444448</v>
      </c>
      <c r="H157" t="s">
        <v>76</v>
      </c>
      <c r="I157" t="s">
        <v>82</v>
      </c>
    </row>
    <row r="158" spans="1:9" x14ac:dyDescent="0.45">
      <c r="A158" t="s">
        <v>406</v>
      </c>
      <c r="B158" t="s">
        <v>104</v>
      </c>
      <c r="D158" t="s">
        <v>74</v>
      </c>
      <c r="E158">
        <v>0</v>
      </c>
      <c r="F158" s="2">
        <v>45476.666684444448</v>
      </c>
      <c r="G158" t="s">
        <v>115</v>
      </c>
      <c r="H158" t="s">
        <v>128</v>
      </c>
      <c r="I158" t="s">
        <v>82</v>
      </c>
    </row>
    <row r="159" spans="1:9" x14ac:dyDescent="0.45">
      <c r="A159" t="s">
        <v>407</v>
      </c>
      <c r="B159" t="s">
        <v>109</v>
      </c>
      <c r="C159" t="s">
        <v>408</v>
      </c>
      <c r="D159" t="s">
        <v>106</v>
      </c>
      <c r="E159">
        <v>6856</v>
      </c>
      <c r="F159" s="2">
        <v>45242.666684444448</v>
      </c>
      <c r="G159" t="s">
        <v>111</v>
      </c>
      <c r="H159" t="s">
        <v>107</v>
      </c>
      <c r="I159" t="s">
        <v>163</v>
      </c>
    </row>
    <row r="160" spans="1:9" x14ac:dyDescent="0.45">
      <c r="A160" t="s">
        <v>409</v>
      </c>
      <c r="B160" t="s">
        <v>99</v>
      </c>
      <c r="C160" t="s">
        <v>410</v>
      </c>
      <c r="D160" t="s">
        <v>74</v>
      </c>
      <c r="E160">
        <v>6277.9</v>
      </c>
      <c r="F160" s="2">
        <v>45428.666684444448</v>
      </c>
      <c r="G160" t="s">
        <v>102</v>
      </c>
      <c r="I160" t="s">
        <v>88</v>
      </c>
    </row>
    <row r="161" spans="1:9" x14ac:dyDescent="0.45">
      <c r="A161" t="s">
        <v>411</v>
      </c>
      <c r="B161" t="s">
        <v>95</v>
      </c>
      <c r="C161" t="s">
        <v>412</v>
      </c>
      <c r="D161" t="s">
        <v>101</v>
      </c>
      <c r="E161">
        <v>521.20000000000005</v>
      </c>
      <c r="F161" s="2">
        <v>45573.666684444448</v>
      </c>
      <c r="G161" t="s">
        <v>97</v>
      </c>
      <c r="H161" t="s">
        <v>136</v>
      </c>
      <c r="I161" t="s">
        <v>77</v>
      </c>
    </row>
    <row r="162" spans="1:9" x14ac:dyDescent="0.45">
      <c r="A162" t="s">
        <v>413</v>
      </c>
      <c r="B162" t="s">
        <v>109</v>
      </c>
      <c r="C162" t="s">
        <v>414</v>
      </c>
      <c r="D162" t="s">
        <v>85</v>
      </c>
      <c r="E162">
        <v>10509.15</v>
      </c>
      <c r="F162" s="2">
        <v>45289.666684444448</v>
      </c>
      <c r="G162" t="s">
        <v>111</v>
      </c>
      <c r="I162" t="s">
        <v>112</v>
      </c>
    </row>
    <row r="163" spans="1:9" x14ac:dyDescent="0.45">
      <c r="A163" t="s">
        <v>415</v>
      </c>
      <c r="B163" t="s">
        <v>79</v>
      </c>
      <c r="D163" t="s">
        <v>74</v>
      </c>
      <c r="E163">
        <v>211.74</v>
      </c>
      <c r="F163" s="2">
        <v>45592.666684444448</v>
      </c>
      <c r="G163" t="s">
        <v>86</v>
      </c>
      <c r="H163" t="s">
        <v>145</v>
      </c>
      <c r="I163" t="s">
        <v>82</v>
      </c>
    </row>
    <row r="164" spans="1:9" x14ac:dyDescent="0.45">
      <c r="A164" t="s">
        <v>416</v>
      </c>
      <c r="B164" t="s">
        <v>95</v>
      </c>
      <c r="C164" t="s">
        <v>293</v>
      </c>
      <c r="D164" t="s">
        <v>74</v>
      </c>
      <c r="E164">
        <v>6354.87</v>
      </c>
      <c r="F164" s="2">
        <v>45131.666684444448</v>
      </c>
      <c r="G164" t="s">
        <v>97</v>
      </c>
      <c r="I164" t="s">
        <v>77</v>
      </c>
    </row>
    <row r="165" spans="1:9" x14ac:dyDescent="0.45">
      <c r="A165" t="s">
        <v>417</v>
      </c>
      <c r="B165" t="s">
        <v>172</v>
      </c>
      <c r="C165" t="s">
        <v>418</v>
      </c>
      <c r="D165" t="s">
        <v>101</v>
      </c>
      <c r="E165">
        <v>3568.72</v>
      </c>
      <c r="F165" s="2">
        <v>45397.666684444448</v>
      </c>
      <c r="H165" t="s">
        <v>81</v>
      </c>
      <c r="I165" t="s">
        <v>119</v>
      </c>
    </row>
    <row r="166" spans="1:9" x14ac:dyDescent="0.45">
      <c r="A166" t="s">
        <v>419</v>
      </c>
      <c r="B166" t="s">
        <v>90</v>
      </c>
      <c r="C166" t="s">
        <v>420</v>
      </c>
      <c r="D166" t="s">
        <v>92</v>
      </c>
      <c r="E166">
        <v>2493.4899999999998</v>
      </c>
      <c r="F166" s="2">
        <v>45640.666684444448</v>
      </c>
      <c r="G166" t="s">
        <v>93</v>
      </c>
      <c r="H166" t="s">
        <v>128</v>
      </c>
      <c r="I166" t="s">
        <v>82</v>
      </c>
    </row>
    <row r="167" spans="1:9" x14ac:dyDescent="0.45">
      <c r="A167" t="s">
        <v>421</v>
      </c>
      <c r="B167" t="s">
        <v>172</v>
      </c>
      <c r="C167" t="s">
        <v>121</v>
      </c>
      <c r="D167" t="s">
        <v>85</v>
      </c>
      <c r="E167">
        <v>9636.4500000000007</v>
      </c>
      <c r="F167" s="2">
        <v>45310.666684444448</v>
      </c>
      <c r="G167" t="s">
        <v>174</v>
      </c>
      <c r="I167" t="s">
        <v>163</v>
      </c>
    </row>
    <row r="168" spans="1:9" x14ac:dyDescent="0.45">
      <c r="A168" t="s">
        <v>422</v>
      </c>
      <c r="B168" t="s">
        <v>99</v>
      </c>
      <c r="C168" t="s">
        <v>423</v>
      </c>
      <c r="D168" t="s">
        <v>85</v>
      </c>
      <c r="E168">
        <v>3402.58</v>
      </c>
      <c r="F168" s="2">
        <v>45647.666684444448</v>
      </c>
      <c r="G168" t="s">
        <v>102</v>
      </c>
      <c r="H168" t="s">
        <v>76</v>
      </c>
      <c r="I168" t="s">
        <v>82</v>
      </c>
    </row>
    <row r="169" spans="1:9" x14ac:dyDescent="0.45">
      <c r="A169" t="s">
        <v>424</v>
      </c>
      <c r="B169" t="s">
        <v>138</v>
      </c>
      <c r="C169" t="s">
        <v>425</v>
      </c>
      <c r="D169" t="s">
        <v>106</v>
      </c>
      <c r="E169">
        <v>5787.5</v>
      </c>
      <c r="F169" s="2">
        <v>45236.666684444448</v>
      </c>
      <c r="G169" t="s">
        <v>140</v>
      </c>
      <c r="H169" t="s">
        <v>87</v>
      </c>
      <c r="I169" t="s">
        <v>119</v>
      </c>
    </row>
    <row r="170" spans="1:9" x14ac:dyDescent="0.45">
      <c r="A170" t="s">
        <v>426</v>
      </c>
      <c r="B170" t="s">
        <v>172</v>
      </c>
      <c r="C170" t="s">
        <v>427</v>
      </c>
      <c r="D170" t="s">
        <v>92</v>
      </c>
      <c r="E170">
        <v>4306.42</v>
      </c>
      <c r="F170" s="2">
        <v>45768.666684444448</v>
      </c>
      <c r="G170" t="s">
        <v>174</v>
      </c>
      <c r="H170" t="s">
        <v>116</v>
      </c>
      <c r="I170" t="s">
        <v>77</v>
      </c>
    </row>
    <row r="171" spans="1:9" x14ac:dyDescent="0.45">
      <c r="A171" t="s">
        <v>428</v>
      </c>
      <c r="B171" t="s">
        <v>172</v>
      </c>
      <c r="C171" t="s">
        <v>429</v>
      </c>
      <c r="D171" t="s">
        <v>101</v>
      </c>
      <c r="E171">
        <v>4589.8100000000004</v>
      </c>
      <c r="F171" s="2">
        <v>45433.666684444448</v>
      </c>
      <c r="G171" t="s">
        <v>174</v>
      </c>
      <c r="H171" t="s">
        <v>145</v>
      </c>
      <c r="I171" t="s">
        <v>119</v>
      </c>
    </row>
    <row r="172" spans="1:9" x14ac:dyDescent="0.45">
      <c r="A172" t="s">
        <v>430</v>
      </c>
      <c r="B172" t="s">
        <v>172</v>
      </c>
      <c r="C172" t="s">
        <v>431</v>
      </c>
      <c r="D172" t="s">
        <v>101</v>
      </c>
      <c r="E172">
        <v>298.31</v>
      </c>
      <c r="F172" s="2">
        <v>45782.666684444448</v>
      </c>
      <c r="G172" t="s">
        <v>174</v>
      </c>
      <c r="H172" t="s">
        <v>133</v>
      </c>
      <c r="I172" t="s">
        <v>119</v>
      </c>
    </row>
    <row r="173" spans="1:9" x14ac:dyDescent="0.45">
      <c r="A173" t="s">
        <v>432</v>
      </c>
      <c r="B173" t="s">
        <v>172</v>
      </c>
      <c r="C173" t="s">
        <v>433</v>
      </c>
      <c r="D173" t="s">
        <v>85</v>
      </c>
      <c r="E173">
        <v>0</v>
      </c>
      <c r="F173" s="2">
        <v>45647.666684444448</v>
      </c>
      <c r="G173" t="s">
        <v>174</v>
      </c>
      <c r="H173" t="s">
        <v>136</v>
      </c>
      <c r="I173" t="s">
        <v>77</v>
      </c>
    </row>
    <row r="174" spans="1:9" x14ac:dyDescent="0.45">
      <c r="A174" t="s">
        <v>434</v>
      </c>
      <c r="B174" t="s">
        <v>172</v>
      </c>
      <c r="C174" t="s">
        <v>298</v>
      </c>
      <c r="D174" t="s">
        <v>92</v>
      </c>
      <c r="E174">
        <v>4876.88</v>
      </c>
      <c r="F174" s="2">
        <v>45751.666684444448</v>
      </c>
      <c r="G174" t="s">
        <v>236</v>
      </c>
      <c r="H174" t="s">
        <v>116</v>
      </c>
      <c r="I174" t="s">
        <v>112</v>
      </c>
    </row>
    <row r="175" spans="1:9" x14ac:dyDescent="0.45">
      <c r="A175" t="s">
        <v>435</v>
      </c>
      <c r="B175" t="s">
        <v>95</v>
      </c>
      <c r="C175" t="s">
        <v>436</v>
      </c>
      <c r="D175" t="s">
        <v>85</v>
      </c>
      <c r="E175">
        <v>9581.81</v>
      </c>
      <c r="F175" s="2">
        <v>45331.666684444448</v>
      </c>
      <c r="G175" t="s">
        <v>97</v>
      </c>
      <c r="H175" t="s">
        <v>118</v>
      </c>
      <c r="I175" t="s">
        <v>119</v>
      </c>
    </row>
    <row r="176" spans="1:9" x14ac:dyDescent="0.45">
      <c r="A176" t="s">
        <v>437</v>
      </c>
      <c r="B176" t="s">
        <v>95</v>
      </c>
      <c r="C176" t="s">
        <v>438</v>
      </c>
      <c r="D176" t="s">
        <v>85</v>
      </c>
      <c r="E176">
        <v>2934.49</v>
      </c>
      <c r="F176" s="2">
        <v>45284.666684444448</v>
      </c>
      <c r="G176" t="s">
        <v>97</v>
      </c>
      <c r="H176" t="s">
        <v>81</v>
      </c>
      <c r="I176" t="s">
        <v>112</v>
      </c>
    </row>
    <row r="177" spans="1:9" x14ac:dyDescent="0.45">
      <c r="A177" t="s">
        <v>439</v>
      </c>
      <c r="B177" t="s">
        <v>172</v>
      </c>
      <c r="C177" t="s">
        <v>440</v>
      </c>
      <c r="D177" t="s">
        <v>74</v>
      </c>
      <c r="E177">
        <v>4070.85</v>
      </c>
      <c r="F177" s="2">
        <v>45510.666684444448</v>
      </c>
      <c r="G177" t="s">
        <v>174</v>
      </c>
      <c r="H177" t="s">
        <v>107</v>
      </c>
      <c r="I177" t="s">
        <v>88</v>
      </c>
    </row>
    <row r="178" spans="1:9" x14ac:dyDescent="0.45">
      <c r="A178" t="s">
        <v>441</v>
      </c>
      <c r="B178" t="s">
        <v>72</v>
      </c>
      <c r="C178" t="s">
        <v>442</v>
      </c>
      <c r="D178" t="s">
        <v>101</v>
      </c>
      <c r="E178">
        <v>5264.01</v>
      </c>
      <c r="F178" s="2">
        <v>45293.666684444448</v>
      </c>
      <c r="G178" t="s">
        <v>75</v>
      </c>
      <c r="H178" t="s">
        <v>136</v>
      </c>
      <c r="I178" t="s">
        <v>119</v>
      </c>
    </row>
    <row r="179" spans="1:9" x14ac:dyDescent="0.45">
      <c r="A179" t="s">
        <v>443</v>
      </c>
      <c r="B179" t="s">
        <v>72</v>
      </c>
      <c r="C179" t="s">
        <v>444</v>
      </c>
      <c r="D179" t="s">
        <v>101</v>
      </c>
      <c r="E179">
        <v>1565.42</v>
      </c>
      <c r="F179" s="2">
        <v>45680.666684444448</v>
      </c>
      <c r="G179" t="s">
        <v>75</v>
      </c>
      <c r="H179" t="s">
        <v>136</v>
      </c>
      <c r="I179" t="s">
        <v>119</v>
      </c>
    </row>
    <row r="180" spans="1:9" x14ac:dyDescent="0.45">
      <c r="A180" t="s">
        <v>445</v>
      </c>
      <c r="B180" t="s">
        <v>95</v>
      </c>
      <c r="C180" t="s">
        <v>446</v>
      </c>
      <c r="D180" t="s">
        <v>74</v>
      </c>
      <c r="E180">
        <v>0</v>
      </c>
      <c r="F180" s="2">
        <v>45671.666684444448</v>
      </c>
      <c r="G180" t="s">
        <v>97</v>
      </c>
      <c r="H180" t="s">
        <v>116</v>
      </c>
      <c r="I180" t="s">
        <v>77</v>
      </c>
    </row>
    <row r="181" spans="1:9" x14ac:dyDescent="0.45">
      <c r="A181" t="s">
        <v>447</v>
      </c>
      <c r="B181" t="s">
        <v>90</v>
      </c>
      <c r="C181" t="s">
        <v>448</v>
      </c>
      <c r="D181" t="s">
        <v>74</v>
      </c>
      <c r="E181">
        <v>8464.2800000000007</v>
      </c>
      <c r="F181" s="2">
        <v>45128.666684444448</v>
      </c>
      <c r="G181" t="s">
        <v>93</v>
      </c>
      <c r="H181" t="s">
        <v>87</v>
      </c>
      <c r="I181" t="s">
        <v>82</v>
      </c>
    </row>
    <row r="182" spans="1:9" x14ac:dyDescent="0.45">
      <c r="A182" t="s">
        <v>449</v>
      </c>
      <c r="B182" t="s">
        <v>138</v>
      </c>
      <c r="C182" t="s">
        <v>450</v>
      </c>
      <c r="D182" t="s">
        <v>85</v>
      </c>
      <c r="E182">
        <v>5623.22</v>
      </c>
      <c r="F182" s="2">
        <v>45741.666684444448</v>
      </c>
      <c r="G182" t="s">
        <v>140</v>
      </c>
      <c r="H182" t="s">
        <v>118</v>
      </c>
      <c r="I182" t="s">
        <v>88</v>
      </c>
    </row>
    <row r="183" spans="1:9" x14ac:dyDescent="0.45">
      <c r="A183" t="s">
        <v>451</v>
      </c>
      <c r="B183" t="s">
        <v>109</v>
      </c>
      <c r="C183" t="s">
        <v>452</v>
      </c>
      <c r="D183" t="s">
        <v>85</v>
      </c>
      <c r="E183">
        <v>10642.09</v>
      </c>
      <c r="F183" s="2">
        <v>45459.666684444448</v>
      </c>
      <c r="G183" t="s">
        <v>111</v>
      </c>
      <c r="I183" t="s">
        <v>163</v>
      </c>
    </row>
    <row r="184" spans="1:9" x14ac:dyDescent="0.45">
      <c r="A184" t="s">
        <v>453</v>
      </c>
      <c r="B184" t="s">
        <v>172</v>
      </c>
      <c r="C184" t="s">
        <v>454</v>
      </c>
      <c r="D184" t="s">
        <v>101</v>
      </c>
      <c r="E184">
        <v>8948.7999999999993</v>
      </c>
      <c r="F184" s="2">
        <v>45628.666684444448</v>
      </c>
      <c r="G184" t="s">
        <v>174</v>
      </c>
      <c r="H184" t="s">
        <v>116</v>
      </c>
      <c r="I184" t="s">
        <v>119</v>
      </c>
    </row>
    <row r="185" spans="1:9" x14ac:dyDescent="0.45">
      <c r="A185" t="s">
        <v>455</v>
      </c>
      <c r="B185" t="s">
        <v>90</v>
      </c>
      <c r="C185" t="s">
        <v>456</v>
      </c>
      <c r="D185" t="s">
        <v>85</v>
      </c>
      <c r="E185">
        <v>0</v>
      </c>
      <c r="F185" s="2">
        <v>45147.666684444448</v>
      </c>
      <c r="G185" t="s">
        <v>93</v>
      </c>
      <c r="H185" t="s">
        <v>118</v>
      </c>
      <c r="I185" t="s">
        <v>163</v>
      </c>
    </row>
    <row r="186" spans="1:9" x14ac:dyDescent="0.45">
      <c r="A186" t="s">
        <v>457</v>
      </c>
      <c r="B186" t="s">
        <v>72</v>
      </c>
      <c r="D186" t="s">
        <v>85</v>
      </c>
      <c r="E186">
        <v>9439</v>
      </c>
      <c r="F186" s="2">
        <v>45242.666684444448</v>
      </c>
      <c r="G186" t="s">
        <v>75</v>
      </c>
      <c r="H186" t="s">
        <v>76</v>
      </c>
      <c r="I186" t="s">
        <v>77</v>
      </c>
    </row>
    <row r="187" spans="1:9" x14ac:dyDescent="0.45">
      <c r="A187" t="s">
        <v>458</v>
      </c>
      <c r="B187" t="s">
        <v>72</v>
      </c>
      <c r="C187" t="s">
        <v>459</v>
      </c>
      <c r="D187" t="s">
        <v>74</v>
      </c>
      <c r="E187">
        <v>0</v>
      </c>
      <c r="F187" s="2">
        <v>45499.666684444448</v>
      </c>
      <c r="G187" t="s">
        <v>75</v>
      </c>
      <c r="H187" t="s">
        <v>81</v>
      </c>
      <c r="I187" t="s">
        <v>88</v>
      </c>
    </row>
    <row r="188" spans="1:9" x14ac:dyDescent="0.45">
      <c r="A188" t="s">
        <v>460</v>
      </c>
      <c r="B188" t="s">
        <v>90</v>
      </c>
      <c r="C188" t="s">
        <v>431</v>
      </c>
      <c r="D188" t="s">
        <v>92</v>
      </c>
      <c r="E188">
        <v>10293.17</v>
      </c>
      <c r="F188" s="2">
        <v>45442.666684444448</v>
      </c>
      <c r="G188" t="s">
        <v>93</v>
      </c>
      <c r="H188" t="s">
        <v>116</v>
      </c>
      <c r="I188" t="s">
        <v>77</v>
      </c>
    </row>
    <row r="189" spans="1:9" x14ac:dyDescent="0.45">
      <c r="A189" t="s">
        <v>461</v>
      </c>
      <c r="B189" t="s">
        <v>138</v>
      </c>
      <c r="C189" t="s">
        <v>462</v>
      </c>
      <c r="D189" t="s">
        <v>92</v>
      </c>
      <c r="E189">
        <v>49.27</v>
      </c>
      <c r="F189" s="2">
        <v>45373.666684444448</v>
      </c>
      <c r="G189" t="s">
        <v>140</v>
      </c>
      <c r="H189" t="s">
        <v>133</v>
      </c>
      <c r="I189" t="s">
        <v>112</v>
      </c>
    </row>
    <row r="190" spans="1:9" x14ac:dyDescent="0.45">
      <c r="A190" t="s">
        <v>463</v>
      </c>
      <c r="B190" t="s">
        <v>95</v>
      </c>
      <c r="C190" t="s">
        <v>464</v>
      </c>
      <c r="D190" t="s">
        <v>92</v>
      </c>
      <c r="E190">
        <v>0</v>
      </c>
      <c r="F190" s="2">
        <v>45187.666684444448</v>
      </c>
      <c r="G190" t="s">
        <v>97</v>
      </c>
      <c r="H190" t="s">
        <v>136</v>
      </c>
      <c r="I190" t="s">
        <v>163</v>
      </c>
    </row>
    <row r="191" spans="1:9" x14ac:dyDescent="0.45">
      <c r="A191" t="s">
        <v>465</v>
      </c>
      <c r="B191" t="s">
        <v>138</v>
      </c>
      <c r="C191" t="s">
        <v>466</v>
      </c>
      <c r="D191" t="s">
        <v>85</v>
      </c>
      <c r="E191">
        <v>1860.1</v>
      </c>
      <c r="F191" s="2">
        <v>45374.666684444448</v>
      </c>
      <c r="G191" t="s">
        <v>194</v>
      </c>
      <c r="H191" t="s">
        <v>133</v>
      </c>
      <c r="I191" t="s">
        <v>163</v>
      </c>
    </row>
    <row r="192" spans="1:9" x14ac:dyDescent="0.45">
      <c r="A192" t="s">
        <v>467</v>
      </c>
      <c r="B192" t="s">
        <v>99</v>
      </c>
      <c r="D192" t="s">
        <v>85</v>
      </c>
      <c r="E192">
        <v>8505.59</v>
      </c>
      <c r="F192" s="2">
        <v>45708.666684444448</v>
      </c>
      <c r="H192" t="s">
        <v>133</v>
      </c>
      <c r="I192" t="s">
        <v>88</v>
      </c>
    </row>
    <row r="193" spans="1:9" x14ac:dyDescent="0.45">
      <c r="A193" t="s">
        <v>468</v>
      </c>
      <c r="B193" t="s">
        <v>99</v>
      </c>
      <c r="D193" t="s">
        <v>74</v>
      </c>
      <c r="E193">
        <v>10662.4</v>
      </c>
      <c r="F193" s="2">
        <v>45208.666684444448</v>
      </c>
      <c r="G193" t="s">
        <v>102</v>
      </c>
      <c r="H193" t="s">
        <v>136</v>
      </c>
      <c r="I193" t="s">
        <v>77</v>
      </c>
    </row>
    <row r="194" spans="1:9" x14ac:dyDescent="0.45">
      <c r="A194" t="s">
        <v>469</v>
      </c>
      <c r="B194" t="s">
        <v>72</v>
      </c>
      <c r="C194" t="s">
        <v>363</v>
      </c>
      <c r="D194" t="s">
        <v>101</v>
      </c>
      <c r="E194">
        <v>1714.15</v>
      </c>
      <c r="F194" s="2">
        <v>45215.666684444448</v>
      </c>
      <c r="G194" t="s">
        <v>75</v>
      </c>
      <c r="H194" t="s">
        <v>107</v>
      </c>
      <c r="I194" t="s">
        <v>77</v>
      </c>
    </row>
    <row r="195" spans="1:9" x14ac:dyDescent="0.45">
      <c r="A195" t="s">
        <v>470</v>
      </c>
      <c r="B195" t="s">
        <v>109</v>
      </c>
      <c r="C195" t="s">
        <v>225</v>
      </c>
      <c r="D195" t="s">
        <v>74</v>
      </c>
      <c r="E195">
        <v>9479.69</v>
      </c>
      <c r="F195" s="2">
        <v>45625.666684444448</v>
      </c>
      <c r="G195" t="s">
        <v>111</v>
      </c>
      <c r="I195" t="s">
        <v>88</v>
      </c>
    </row>
    <row r="196" spans="1:9" x14ac:dyDescent="0.45">
      <c r="A196" t="s">
        <v>471</v>
      </c>
      <c r="B196" t="s">
        <v>99</v>
      </c>
      <c r="C196" t="s">
        <v>472</v>
      </c>
      <c r="D196" t="s">
        <v>106</v>
      </c>
      <c r="E196">
        <v>10241.59</v>
      </c>
      <c r="F196" s="2">
        <v>45198.666684444448</v>
      </c>
      <c r="G196" t="s">
        <v>102</v>
      </c>
      <c r="H196" t="s">
        <v>136</v>
      </c>
      <c r="I196" t="s">
        <v>77</v>
      </c>
    </row>
    <row r="197" spans="1:9" x14ac:dyDescent="0.45">
      <c r="A197" t="s">
        <v>473</v>
      </c>
      <c r="B197" t="s">
        <v>72</v>
      </c>
      <c r="C197" t="s">
        <v>261</v>
      </c>
      <c r="D197" t="s">
        <v>74</v>
      </c>
      <c r="E197">
        <v>10586.47</v>
      </c>
      <c r="F197" s="2">
        <v>45673.666684444448</v>
      </c>
      <c r="H197" t="s">
        <v>81</v>
      </c>
      <c r="I197" t="s">
        <v>119</v>
      </c>
    </row>
    <row r="198" spans="1:9" x14ac:dyDescent="0.45">
      <c r="A198" t="s">
        <v>474</v>
      </c>
      <c r="B198" t="s">
        <v>172</v>
      </c>
      <c r="C198" t="s">
        <v>475</v>
      </c>
      <c r="D198" t="s">
        <v>74</v>
      </c>
      <c r="E198">
        <v>8971.17</v>
      </c>
      <c r="F198" s="2">
        <v>45256.666684444448</v>
      </c>
      <c r="G198" t="s">
        <v>174</v>
      </c>
      <c r="H198" t="s">
        <v>118</v>
      </c>
      <c r="I198" t="s">
        <v>163</v>
      </c>
    </row>
    <row r="199" spans="1:9" x14ac:dyDescent="0.45">
      <c r="A199" t="s">
        <v>476</v>
      </c>
      <c r="B199" t="s">
        <v>104</v>
      </c>
      <c r="C199" t="s">
        <v>321</v>
      </c>
      <c r="D199" t="s">
        <v>148</v>
      </c>
      <c r="E199">
        <v>8699.17</v>
      </c>
      <c r="F199" s="2">
        <v>45259.666684444448</v>
      </c>
      <c r="G199" t="s">
        <v>115</v>
      </c>
      <c r="H199" t="s">
        <v>81</v>
      </c>
      <c r="I199" t="s">
        <v>119</v>
      </c>
    </row>
    <row r="200" spans="1:9" x14ac:dyDescent="0.45">
      <c r="A200" t="s">
        <v>477</v>
      </c>
      <c r="B200" t="s">
        <v>104</v>
      </c>
      <c r="C200" t="s">
        <v>478</v>
      </c>
      <c r="D200" t="s">
        <v>155</v>
      </c>
      <c r="E200">
        <v>6219.82</v>
      </c>
      <c r="F200" s="2">
        <v>45803.666684444448</v>
      </c>
      <c r="G200" t="s">
        <v>115</v>
      </c>
      <c r="H200" t="s">
        <v>136</v>
      </c>
      <c r="I200" t="s">
        <v>88</v>
      </c>
    </row>
    <row r="201" spans="1:9" x14ac:dyDescent="0.45">
      <c r="A201" t="s">
        <v>479</v>
      </c>
      <c r="B201" t="s">
        <v>79</v>
      </c>
      <c r="C201" t="s">
        <v>480</v>
      </c>
      <c r="D201" t="s">
        <v>92</v>
      </c>
      <c r="E201">
        <v>2090.5300000000002</v>
      </c>
      <c r="F201" s="2">
        <v>45614.666684444448</v>
      </c>
      <c r="G201" t="s">
        <v>278</v>
      </c>
      <c r="I201" t="s">
        <v>112</v>
      </c>
    </row>
    <row r="202" spans="1:9" x14ac:dyDescent="0.45">
      <c r="A202" t="s">
        <v>481</v>
      </c>
      <c r="B202" t="s">
        <v>172</v>
      </c>
      <c r="C202" t="s">
        <v>482</v>
      </c>
      <c r="D202" t="s">
        <v>74</v>
      </c>
      <c r="E202">
        <v>2106.96</v>
      </c>
      <c r="F202" s="2">
        <v>45690.666684444448</v>
      </c>
      <c r="G202" t="s">
        <v>236</v>
      </c>
      <c r="H202" t="s">
        <v>133</v>
      </c>
      <c r="I202" t="s">
        <v>77</v>
      </c>
    </row>
    <row r="203" spans="1:9" x14ac:dyDescent="0.45">
      <c r="A203" t="s">
        <v>483</v>
      </c>
      <c r="B203" t="s">
        <v>104</v>
      </c>
      <c r="C203" t="s">
        <v>484</v>
      </c>
      <c r="D203" t="s">
        <v>74</v>
      </c>
      <c r="E203">
        <v>10982.01</v>
      </c>
      <c r="F203" s="2">
        <v>45297.666684444448</v>
      </c>
      <c r="G203" t="s">
        <v>115</v>
      </c>
      <c r="H203" t="s">
        <v>118</v>
      </c>
      <c r="I203" t="s">
        <v>119</v>
      </c>
    </row>
    <row r="204" spans="1:9" x14ac:dyDescent="0.45">
      <c r="A204" t="s">
        <v>485</v>
      </c>
      <c r="B204" t="s">
        <v>138</v>
      </c>
      <c r="D204" t="s">
        <v>101</v>
      </c>
      <c r="E204">
        <v>758.26</v>
      </c>
      <c r="F204" s="2">
        <v>45399.666684444448</v>
      </c>
      <c r="G204" t="s">
        <v>194</v>
      </c>
      <c r="I204" t="s">
        <v>77</v>
      </c>
    </row>
    <row r="205" spans="1:9" x14ac:dyDescent="0.45">
      <c r="A205" t="s">
        <v>486</v>
      </c>
      <c r="B205" t="s">
        <v>79</v>
      </c>
      <c r="C205" t="s">
        <v>487</v>
      </c>
      <c r="D205" t="s">
        <v>74</v>
      </c>
      <c r="E205">
        <v>7221.92</v>
      </c>
      <c r="F205" s="2">
        <v>45668.666684444448</v>
      </c>
      <c r="G205" t="s">
        <v>86</v>
      </c>
      <c r="H205" t="s">
        <v>76</v>
      </c>
      <c r="I205" t="s">
        <v>163</v>
      </c>
    </row>
    <row r="206" spans="1:9" x14ac:dyDescent="0.45">
      <c r="A206" t="s">
        <v>488</v>
      </c>
      <c r="B206" t="s">
        <v>72</v>
      </c>
      <c r="C206" t="s">
        <v>489</v>
      </c>
      <c r="D206" t="s">
        <v>74</v>
      </c>
      <c r="E206">
        <v>0</v>
      </c>
      <c r="F206" s="2">
        <v>45749.666684444448</v>
      </c>
      <c r="G206" t="s">
        <v>75</v>
      </c>
      <c r="H206" t="s">
        <v>145</v>
      </c>
      <c r="I206" t="s">
        <v>77</v>
      </c>
    </row>
    <row r="207" spans="1:9" x14ac:dyDescent="0.45">
      <c r="A207" t="s">
        <v>490</v>
      </c>
      <c r="B207" t="s">
        <v>90</v>
      </c>
      <c r="D207" t="s">
        <v>85</v>
      </c>
      <c r="E207">
        <v>6528.36</v>
      </c>
      <c r="F207" s="2">
        <v>45561.666684444448</v>
      </c>
      <c r="G207" t="s">
        <v>296</v>
      </c>
      <c r="H207" t="s">
        <v>81</v>
      </c>
      <c r="I207" t="s">
        <v>88</v>
      </c>
    </row>
    <row r="208" spans="1:9" x14ac:dyDescent="0.45">
      <c r="A208" t="s">
        <v>491</v>
      </c>
      <c r="B208" t="s">
        <v>90</v>
      </c>
      <c r="C208" t="s">
        <v>492</v>
      </c>
      <c r="D208" t="s">
        <v>155</v>
      </c>
      <c r="E208">
        <v>6241.38</v>
      </c>
      <c r="F208" s="2">
        <v>45344.666684444448</v>
      </c>
      <c r="G208" t="s">
        <v>93</v>
      </c>
      <c r="H208" t="s">
        <v>136</v>
      </c>
      <c r="I208" t="s">
        <v>77</v>
      </c>
    </row>
    <row r="209" spans="1:9" x14ac:dyDescent="0.45">
      <c r="A209" t="s">
        <v>493</v>
      </c>
      <c r="B209" t="s">
        <v>72</v>
      </c>
      <c r="C209" t="s">
        <v>494</v>
      </c>
      <c r="D209" t="s">
        <v>101</v>
      </c>
      <c r="E209">
        <v>3171.6</v>
      </c>
      <c r="F209" s="2">
        <v>45680.666684444448</v>
      </c>
      <c r="G209" t="s">
        <v>75</v>
      </c>
      <c r="H209" t="s">
        <v>107</v>
      </c>
      <c r="I209" t="s">
        <v>82</v>
      </c>
    </row>
    <row r="210" spans="1:9" x14ac:dyDescent="0.45">
      <c r="A210" t="s">
        <v>495</v>
      </c>
      <c r="B210" t="s">
        <v>109</v>
      </c>
      <c r="C210" t="s">
        <v>496</v>
      </c>
      <c r="D210" t="s">
        <v>92</v>
      </c>
      <c r="E210">
        <v>6136.07</v>
      </c>
      <c r="F210" s="2">
        <v>45834.666684444448</v>
      </c>
      <c r="G210" t="s">
        <v>111</v>
      </c>
      <c r="H210" t="s">
        <v>118</v>
      </c>
      <c r="I210" t="s">
        <v>112</v>
      </c>
    </row>
    <row r="211" spans="1:9" x14ac:dyDescent="0.45">
      <c r="A211" t="s">
        <v>497</v>
      </c>
      <c r="B211" t="s">
        <v>72</v>
      </c>
      <c r="C211" t="s">
        <v>243</v>
      </c>
      <c r="D211" t="s">
        <v>92</v>
      </c>
      <c r="E211">
        <v>598.37</v>
      </c>
      <c r="F211" s="2">
        <v>45333.666684444448</v>
      </c>
      <c r="G211" t="s">
        <v>75</v>
      </c>
      <c r="H211" t="s">
        <v>81</v>
      </c>
      <c r="I211" t="s">
        <v>77</v>
      </c>
    </row>
    <row r="212" spans="1:9" x14ac:dyDescent="0.45">
      <c r="A212" t="s">
        <v>498</v>
      </c>
      <c r="B212" t="s">
        <v>95</v>
      </c>
      <c r="C212" t="s">
        <v>499</v>
      </c>
      <c r="D212" t="s">
        <v>101</v>
      </c>
      <c r="E212">
        <v>9681.34</v>
      </c>
      <c r="F212" s="2">
        <v>45858.666684444448</v>
      </c>
      <c r="G212" t="s">
        <v>97</v>
      </c>
      <c r="H212" t="s">
        <v>116</v>
      </c>
      <c r="I212" t="s">
        <v>77</v>
      </c>
    </row>
    <row r="213" spans="1:9" x14ac:dyDescent="0.45">
      <c r="A213" t="s">
        <v>500</v>
      </c>
      <c r="B213" t="s">
        <v>90</v>
      </c>
      <c r="C213" t="s">
        <v>501</v>
      </c>
      <c r="D213" t="s">
        <v>92</v>
      </c>
      <c r="E213">
        <v>180.27</v>
      </c>
      <c r="F213" s="2">
        <v>45447.666684444448</v>
      </c>
      <c r="G213" t="s">
        <v>93</v>
      </c>
      <c r="H213" t="s">
        <v>128</v>
      </c>
      <c r="I213" t="s">
        <v>88</v>
      </c>
    </row>
    <row r="214" spans="1:9" x14ac:dyDescent="0.45">
      <c r="A214" t="s">
        <v>502</v>
      </c>
      <c r="B214" t="s">
        <v>104</v>
      </c>
      <c r="C214" t="s">
        <v>503</v>
      </c>
      <c r="D214" t="s">
        <v>74</v>
      </c>
      <c r="E214">
        <v>7057.72</v>
      </c>
      <c r="F214" s="2">
        <v>45536.666684444448</v>
      </c>
      <c r="G214" t="s">
        <v>115</v>
      </c>
      <c r="I214" t="s">
        <v>77</v>
      </c>
    </row>
    <row r="215" spans="1:9" x14ac:dyDescent="0.45">
      <c r="A215" t="s">
        <v>504</v>
      </c>
      <c r="B215" t="s">
        <v>79</v>
      </c>
      <c r="C215" t="s">
        <v>505</v>
      </c>
      <c r="D215" t="s">
        <v>74</v>
      </c>
      <c r="E215">
        <v>5113.47</v>
      </c>
      <c r="F215" s="2">
        <v>45815.666684444448</v>
      </c>
      <c r="G215" t="s">
        <v>86</v>
      </c>
      <c r="H215" t="s">
        <v>87</v>
      </c>
      <c r="I215" t="s">
        <v>88</v>
      </c>
    </row>
    <row r="216" spans="1:9" x14ac:dyDescent="0.45">
      <c r="A216" t="s">
        <v>506</v>
      </c>
      <c r="B216" t="s">
        <v>109</v>
      </c>
      <c r="C216" t="s">
        <v>507</v>
      </c>
      <c r="D216" t="s">
        <v>92</v>
      </c>
      <c r="E216">
        <v>7186.6</v>
      </c>
      <c r="F216" s="2">
        <v>45793.666684444448</v>
      </c>
      <c r="H216" t="s">
        <v>116</v>
      </c>
      <c r="I216" t="s">
        <v>119</v>
      </c>
    </row>
    <row r="217" spans="1:9" x14ac:dyDescent="0.45">
      <c r="A217" t="s">
        <v>508</v>
      </c>
      <c r="B217" t="s">
        <v>99</v>
      </c>
      <c r="C217" t="s">
        <v>509</v>
      </c>
      <c r="D217" t="s">
        <v>74</v>
      </c>
      <c r="E217">
        <v>4800.3599999999997</v>
      </c>
      <c r="F217" s="2">
        <v>45510.666684444448</v>
      </c>
      <c r="G217" t="s">
        <v>102</v>
      </c>
      <c r="H217" t="s">
        <v>87</v>
      </c>
      <c r="I217" t="s">
        <v>88</v>
      </c>
    </row>
    <row r="218" spans="1:9" x14ac:dyDescent="0.45">
      <c r="A218" t="s">
        <v>510</v>
      </c>
      <c r="B218" t="s">
        <v>172</v>
      </c>
      <c r="C218" t="s">
        <v>511</v>
      </c>
      <c r="D218" t="s">
        <v>106</v>
      </c>
      <c r="E218">
        <v>11294.58</v>
      </c>
      <c r="F218" s="2">
        <v>45576.666684444448</v>
      </c>
      <c r="H218" t="s">
        <v>107</v>
      </c>
      <c r="I218" t="s">
        <v>163</v>
      </c>
    </row>
    <row r="219" spans="1:9" x14ac:dyDescent="0.45">
      <c r="A219" t="s">
        <v>512</v>
      </c>
      <c r="B219" t="s">
        <v>109</v>
      </c>
      <c r="C219" t="s">
        <v>513</v>
      </c>
      <c r="D219" t="s">
        <v>74</v>
      </c>
      <c r="E219">
        <v>6771.4</v>
      </c>
      <c r="F219" s="2">
        <v>45657.666684444448</v>
      </c>
      <c r="H219" t="s">
        <v>76</v>
      </c>
      <c r="I219" t="s">
        <v>112</v>
      </c>
    </row>
    <row r="220" spans="1:9" x14ac:dyDescent="0.45">
      <c r="A220" t="s">
        <v>514</v>
      </c>
      <c r="B220" t="s">
        <v>99</v>
      </c>
      <c r="C220" t="s">
        <v>515</v>
      </c>
      <c r="D220" t="s">
        <v>85</v>
      </c>
      <c r="E220">
        <v>3995.48</v>
      </c>
      <c r="F220" s="2">
        <v>45590.666684444448</v>
      </c>
      <c r="G220" t="s">
        <v>102</v>
      </c>
      <c r="H220" t="s">
        <v>145</v>
      </c>
      <c r="I220" t="s">
        <v>77</v>
      </c>
    </row>
    <row r="221" spans="1:9" x14ac:dyDescent="0.45">
      <c r="A221" t="s">
        <v>516</v>
      </c>
      <c r="B221" t="s">
        <v>109</v>
      </c>
      <c r="D221" t="s">
        <v>101</v>
      </c>
      <c r="E221">
        <v>1278.6099999999999</v>
      </c>
      <c r="F221" s="2">
        <v>45251.666684444448</v>
      </c>
      <c r="G221" t="s">
        <v>111</v>
      </c>
      <c r="H221" t="s">
        <v>87</v>
      </c>
      <c r="I221" t="s">
        <v>88</v>
      </c>
    </row>
    <row r="222" spans="1:9" x14ac:dyDescent="0.45">
      <c r="A222" t="s">
        <v>517</v>
      </c>
      <c r="B222" t="s">
        <v>109</v>
      </c>
      <c r="D222" t="s">
        <v>74</v>
      </c>
      <c r="E222">
        <v>3117.53</v>
      </c>
      <c r="F222" s="2">
        <v>45381.666684444448</v>
      </c>
      <c r="G222" t="s">
        <v>111</v>
      </c>
      <c r="H222" t="s">
        <v>116</v>
      </c>
      <c r="I222" t="s">
        <v>112</v>
      </c>
    </row>
    <row r="223" spans="1:9" x14ac:dyDescent="0.45">
      <c r="A223" t="s">
        <v>518</v>
      </c>
      <c r="B223" t="s">
        <v>104</v>
      </c>
      <c r="C223" t="s">
        <v>519</v>
      </c>
      <c r="D223" t="s">
        <v>74</v>
      </c>
      <c r="E223">
        <v>11978.34</v>
      </c>
      <c r="F223" s="2">
        <v>45358.666684444448</v>
      </c>
      <c r="H223" t="s">
        <v>81</v>
      </c>
      <c r="I223" t="s">
        <v>112</v>
      </c>
    </row>
    <row r="224" spans="1:9" x14ac:dyDescent="0.45">
      <c r="A224" t="s">
        <v>520</v>
      </c>
      <c r="B224" t="s">
        <v>72</v>
      </c>
      <c r="C224" t="s">
        <v>229</v>
      </c>
      <c r="D224" t="s">
        <v>85</v>
      </c>
      <c r="E224">
        <v>1776.72</v>
      </c>
      <c r="F224" s="2">
        <v>45193.666684444448</v>
      </c>
      <c r="G224" t="s">
        <v>521</v>
      </c>
      <c r="H224" t="s">
        <v>145</v>
      </c>
      <c r="I224" t="s">
        <v>119</v>
      </c>
    </row>
    <row r="225" spans="1:9" x14ac:dyDescent="0.45">
      <c r="A225" t="s">
        <v>522</v>
      </c>
      <c r="B225" t="s">
        <v>95</v>
      </c>
      <c r="C225" t="s">
        <v>523</v>
      </c>
      <c r="E225">
        <v>0</v>
      </c>
      <c r="F225" s="2">
        <v>45474.666684444448</v>
      </c>
      <c r="G225" t="s">
        <v>97</v>
      </c>
      <c r="H225" t="s">
        <v>76</v>
      </c>
      <c r="I225" t="s">
        <v>82</v>
      </c>
    </row>
    <row r="226" spans="1:9" x14ac:dyDescent="0.45">
      <c r="A226" t="s">
        <v>524</v>
      </c>
      <c r="B226" t="s">
        <v>79</v>
      </c>
      <c r="C226" t="s">
        <v>208</v>
      </c>
      <c r="E226">
        <v>7534.37</v>
      </c>
      <c r="F226" s="2">
        <v>45149.666684444448</v>
      </c>
      <c r="G226" t="s">
        <v>86</v>
      </c>
      <c r="H226" t="s">
        <v>87</v>
      </c>
      <c r="I226" t="s">
        <v>112</v>
      </c>
    </row>
    <row r="227" spans="1:9" x14ac:dyDescent="0.45">
      <c r="A227" t="s">
        <v>525</v>
      </c>
      <c r="B227" t="s">
        <v>90</v>
      </c>
      <c r="C227" t="s">
        <v>526</v>
      </c>
      <c r="D227" t="s">
        <v>85</v>
      </c>
      <c r="E227">
        <v>6424.96</v>
      </c>
      <c r="F227" s="2">
        <v>45730.666684444448</v>
      </c>
      <c r="H227" t="s">
        <v>87</v>
      </c>
      <c r="I227" t="s">
        <v>88</v>
      </c>
    </row>
    <row r="228" spans="1:9" x14ac:dyDescent="0.45">
      <c r="A228" t="s">
        <v>527</v>
      </c>
      <c r="B228" t="s">
        <v>99</v>
      </c>
      <c r="C228" t="s">
        <v>528</v>
      </c>
      <c r="D228" t="s">
        <v>92</v>
      </c>
      <c r="E228">
        <v>9817.25</v>
      </c>
      <c r="F228" s="2">
        <v>45695.666684444448</v>
      </c>
      <c r="H228" t="s">
        <v>107</v>
      </c>
      <c r="I228" t="s">
        <v>82</v>
      </c>
    </row>
    <row r="229" spans="1:9" x14ac:dyDescent="0.45">
      <c r="A229" t="s">
        <v>529</v>
      </c>
      <c r="B229" t="s">
        <v>79</v>
      </c>
      <c r="C229" t="s">
        <v>530</v>
      </c>
      <c r="D229" t="s">
        <v>92</v>
      </c>
      <c r="E229">
        <v>9891.2199999999993</v>
      </c>
      <c r="F229" s="2">
        <v>45363.666684444448</v>
      </c>
      <c r="G229" t="s">
        <v>86</v>
      </c>
      <c r="H229" t="s">
        <v>136</v>
      </c>
      <c r="I229" t="s">
        <v>119</v>
      </c>
    </row>
    <row r="230" spans="1:9" x14ac:dyDescent="0.45">
      <c r="A230" t="s">
        <v>531</v>
      </c>
      <c r="B230" t="s">
        <v>109</v>
      </c>
      <c r="D230" t="s">
        <v>92</v>
      </c>
      <c r="E230">
        <v>2155.88</v>
      </c>
      <c r="F230" s="2">
        <v>45730.666684444448</v>
      </c>
      <c r="G230" t="s">
        <v>307</v>
      </c>
      <c r="H230" t="s">
        <v>136</v>
      </c>
      <c r="I230" t="s">
        <v>163</v>
      </c>
    </row>
    <row r="231" spans="1:9" x14ac:dyDescent="0.45">
      <c r="A231" t="s">
        <v>532</v>
      </c>
      <c r="B231" t="s">
        <v>72</v>
      </c>
      <c r="C231" t="s">
        <v>533</v>
      </c>
      <c r="D231" t="s">
        <v>85</v>
      </c>
      <c r="E231">
        <v>0</v>
      </c>
      <c r="F231" s="2">
        <v>45353.666684444448</v>
      </c>
      <c r="G231" t="s">
        <v>75</v>
      </c>
      <c r="H231" t="s">
        <v>76</v>
      </c>
      <c r="I231" t="s">
        <v>163</v>
      </c>
    </row>
    <row r="232" spans="1:9" x14ac:dyDescent="0.45">
      <c r="A232" t="s">
        <v>534</v>
      </c>
      <c r="B232" t="s">
        <v>79</v>
      </c>
      <c r="C232" t="s">
        <v>289</v>
      </c>
      <c r="D232" t="s">
        <v>85</v>
      </c>
      <c r="E232">
        <v>0</v>
      </c>
      <c r="F232" s="2">
        <v>45135.666684444448</v>
      </c>
      <c r="G232" t="s">
        <v>86</v>
      </c>
      <c r="H232" t="s">
        <v>116</v>
      </c>
      <c r="I232" t="s">
        <v>163</v>
      </c>
    </row>
    <row r="233" spans="1:9" x14ac:dyDescent="0.45">
      <c r="A233" t="s">
        <v>535</v>
      </c>
      <c r="B233" t="s">
        <v>72</v>
      </c>
      <c r="C233" t="s">
        <v>536</v>
      </c>
      <c r="E233">
        <v>9690.44</v>
      </c>
      <c r="F233" s="2">
        <v>45200.666684444448</v>
      </c>
      <c r="G233" t="s">
        <v>75</v>
      </c>
      <c r="H233" t="s">
        <v>107</v>
      </c>
      <c r="I233" t="s">
        <v>112</v>
      </c>
    </row>
    <row r="234" spans="1:9" x14ac:dyDescent="0.45">
      <c r="A234" t="s">
        <v>537</v>
      </c>
      <c r="B234" t="s">
        <v>99</v>
      </c>
      <c r="C234" t="s">
        <v>538</v>
      </c>
      <c r="D234" t="s">
        <v>101</v>
      </c>
      <c r="E234">
        <v>656.57</v>
      </c>
      <c r="F234" s="2">
        <v>45852.666684444448</v>
      </c>
      <c r="G234" t="s">
        <v>285</v>
      </c>
      <c r="H234" t="s">
        <v>133</v>
      </c>
      <c r="I234" t="s">
        <v>82</v>
      </c>
    </row>
    <row r="235" spans="1:9" x14ac:dyDescent="0.45">
      <c r="A235" t="s">
        <v>539</v>
      </c>
      <c r="B235" t="s">
        <v>104</v>
      </c>
      <c r="C235" t="s">
        <v>442</v>
      </c>
      <c r="E235">
        <v>11228.99</v>
      </c>
      <c r="F235" s="2">
        <v>45774.666684444448</v>
      </c>
      <c r="G235" t="s">
        <v>115</v>
      </c>
      <c r="H235" t="s">
        <v>87</v>
      </c>
      <c r="I235" t="s">
        <v>119</v>
      </c>
    </row>
    <row r="236" spans="1:9" x14ac:dyDescent="0.45">
      <c r="A236" t="s">
        <v>540</v>
      </c>
      <c r="B236" t="s">
        <v>104</v>
      </c>
      <c r="C236" t="s">
        <v>375</v>
      </c>
      <c r="D236" t="s">
        <v>85</v>
      </c>
      <c r="E236">
        <v>9713.1299999999992</v>
      </c>
      <c r="F236" s="2">
        <v>45188.666684444448</v>
      </c>
      <c r="G236" t="s">
        <v>115</v>
      </c>
      <c r="H236" t="s">
        <v>107</v>
      </c>
      <c r="I236" t="s">
        <v>82</v>
      </c>
    </row>
    <row r="237" spans="1:9" x14ac:dyDescent="0.45">
      <c r="A237" t="s">
        <v>541</v>
      </c>
      <c r="B237" t="s">
        <v>72</v>
      </c>
      <c r="C237" t="s">
        <v>369</v>
      </c>
      <c r="D237" t="s">
        <v>74</v>
      </c>
      <c r="E237">
        <v>11185.55</v>
      </c>
      <c r="F237" s="2">
        <v>45362.666684444448</v>
      </c>
      <c r="G237" t="s">
        <v>75</v>
      </c>
      <c r="H237" t="s">
        <v>136</v>
      </c>
      <c r="I237" t="s">
        <v>77</v>
      </c>
    </row>
    <row r="238" spans="1:9" x14ac:dyDescent="0.45">
      <c r="A238" t="s">
        <v>542</v>
      </c>
      <c r="B238" t="s">
        <v>72</v>
      </c>
      <c r="C238" t="s">
        <v>543</v>
      </c>
      <c r="D238" t="s">
        <v>74</v>
      </c>
      <c r="E238">
        <v>8972.41</v>
      </c>
      <c r="F238" s="2">
        <v>45197.666684444448</v>
      </c>
      <c r="G238" t="s">
        <v>75</v>
      </c>
      <c r="I238" t="s">
        <v>112</v>
      </c>
    </row>
    <row r="239" spans="1:9" x14ac:dyDescent="0.45">
      <c r="A239" t="s">
        <v>544</v>
      </c>
      <c r="B239" t="s">
        <v>95</v>
      </c>
      <c r="C239" t="s">
        <v>545</v>
      </c>
      <c r="D239" t="s">
        <v>101</v>
      </c>
      <c r="E239">
        <v>719.1</v>
      </c>
      <c r="F239" s="2">
        <v>45160.666684444448</v>
      </c>
      <c r="G239" t="s">
        <v>97</v>
      </c>
      <c r="H239" t="s">
        <v>76</v>
      </c>
      <c r="I239" t="s">
        <v>88</v>
      </c>
    </row>
    <row r="240" spans="1:9" x14ac:dyDescent="0.45">
      <c r="A240" t="s">
        <v>546</v>
      </c>
      <c r="B240" t="s">
        <v>172</v>
      </c>
      <c r="C240" t="s">
        <v>547</v>
      </c>
      <c r="D240" t="s">
        <v>85</v>
      </c>
      <c r="E240">
        <v>1493.21</v>
      </c>
      <c r="F240" s="2">
        <v>45466.666684444448</v>
      </c>
      <c r="G240" t="s">
        <v>174</v>
      </c>
      <c r="H240" t="s">
        <v>118</v>
      </c>
      <c r="I240" t="s">
        <v>119</v>
      </c>
    </row>
    <row r="241" spans="1:9" x14ac:dyDescent="0.45">
      <c r="A241" t="s">
        <v>548</v>
      </c>
      <c r="B241" t="s">
        <v>95</v>
      </c>
      <c r="C241" t="s">
        <v>295</v>
      </c>
      <c r="E241">
        <v>3479.1</v>
      </c>
      <c r="F241" s="2">
        <v>45200.666684444448</v>
      </c>
      <c r="H241" t="s">
        <v>136</v>
      </c>
      <c r="I241" t="s">
        <v>82</v>
      </c>
    </row>
    <row r="242" spans="1:9" x14ac:dyDescent="0.45">
      <c r="A242" t="s">
        <v>549</v>
      </c>
      <c r="B242" t="s">
        <v>79</v>
      </c>
      <c r="C242" t="s">
        <v>550</v>
      </c>
      <c r="D242" t="s">
        <v>74</v>
      </c>
      <c r="E242">
        <v>4651.5</v>
      </c>
      <c r="F242" s="2">
        <v>45654.666684444448</v>
      </c>
      <c r="G242" t="s">
        <v>86</v>
      </c>
      <c r="H242" t="s">
        <v>116</v>
      </c>
      <c r="I242" t="s">
        <v>82</v>
      </c>
    </row>
    <row r="243" spans="1:9" x14ac:dyDescent="0.45">
      <c r="A243" t="s">
        <v>551</v>
      </c>
      <c r="B243" t="s">
        <v>138</v>
      </c>
      <c r="C243" t="s">
        <v>552</v>
      </c>
      <c r="E243">
        <v>11221.9</v>
      </c>
      <c r="F243" s="2">
        <v>45371.666684444448</v>
      </c>
      <c r="G243" t="s">
        <v>140</v>
      </c>
      <c r="H243" t="s">
        <v>118</v>
      </c>
      <c r="I243" t="s">
        <v>163</v>
      </c>
    </row>
    <row r="244" spans="1:9" x14ac:dyDescent="0.45">
      <c r="A244" t="s">
        <v>553</v>
      </c>
      <c r="B244" t="s">
        <v>95</v>
      </c>
      <c r="C244" t="s">
        <v>554</v>
      </c>
      <c r="D244" t="s">
        <v>148</v>
      </c>
      <c r="E244">
        <v>4683.45</v>
      </c>
      <c r="F244" s="2">
        <v>45413.666684444448</v>
      </c>
      <c r="G244" t="s">
        <v>97</v>
      </c>
      <c r="H244" t="s">
        <v>128</v>
      </c>
      <c r="I244" t="s">
        <v>82</v>
      </c>
    </row>
    <row r="245" spans="1:9" x14ac:dyDescent="0.45">
      <c r="A245" t="s">
        <v>555</v>
      </c>
      <c r="B245" t="s">
        <v>79</v>
      </c>
      <c r="C245" t="s">
        <v>556</v>
      </c>
      <c r="D245" t="s">
        <v>74</v>
      </c>
      <c r="E245">
        <v>8045.36</v>
      </c>
      <c r="F245" s="2">
        <v>45813.666684444448</v>
      </c>
      <c r="G245" t="s">
        <v>278</v>
      </c>
      <c r="H245" t="s">
        <v>145</v>
      </c>
      <c r="I245" t="s">
        <v>82</v>
      </c>
    </row>
    <row r="246" spans="1:9" x14ac:dyDescent="0.45">
      <c r="A246" t="s">
        <v>557</v>
      </c>
      <c r="B246" t="s">
        <v>90</v>
      </c>
      <c r="D246" t="s">
        <v>148</v>
      </c>
      <c r="E246">
        <v>7027.25</v>
      </c>
      <c r="F246" s="2">
        <v>45625.666684444448</v>
      </c>
      <c r="G246" t="s">
        <v>93</v>
      </c>
      <c r="H246" t="s">
        <v>133</v>
      </c>
      <c r="I246" t="s">
        <v>112</v>
      </c>
    </row>
    <row r="247" spans="1:9" x14ac:dyDescent="0.45">
      <c r="A247" t="s">
        <v>558</v>
      </c>
      <c r="B247" t="s">
        <v>79</v>
      </c>
      <c r="C247" t="s">
        <v>559</v>
      </c>
      <c r="D247" t="s">
        <v>106</v>
      </c>
      <c r="E247">
        <v>8630.4</v>
      </c>
      <c r="F247" s="2">
        <v>45347.666684444448</v>
      </c>
      <c r="G247" t="s">
        <v>86</v>
      </c>
      <c r="H247" t="s">
        <v>133</v>
      </c>
      <c r="I247" t="s">
        <v>119</v>
      </c>
    </row>
    <row r="248" spans="1:9" x14ac:dyDescent="0.45">
      <c r="A248" t="s">
        <v>560</v>
      </c>
      <c r="B248" t="s">
        <v>79</v>
      </c>
      <c r="C248" t="s">
        <v>561</v>
      </c>
      <c r="D248" t="s">
        <v>92</v>
      </c>
      <c r="E248">
        <v>6173.43</v>
      </c>
      <c r="F248" s="2">
        <v>45680.666684444448</v>
      </c>
      <c r="G248" t="s">
        <v>86</v>
      </c>
      <c r="H248" t="s">
        <v>87</v>
      </c>
      <c r="I248" t="s">
        <v>77</v>
      </c>
    </row>
    <row r="249" spans="1:9" x14ac:dyDescent="0.45">
      <c r="A249" t="s">
        <v>562</v>
      </c>
      <c r="B249" t="s">
        <v>72</v>
      </c>
      <c r="C249" t="s">
        <v>563</v>
      </c>
      <c r="D249" t="s">
        <v>92</v>
      </c>
      <c r="E249">
        <v>10049.41</v>
      </c>
      <c r="F249" s="2">
        <v>45263.666684444448</v>
      </c>
      <c r="G249" t="s">
        <v>75</v>
      </c>
      <c r="H249" t="s">
        <v>133</v>
      </c>
      <c r="I249" t="s">
        <v>77</v>
      </c>
    </row>
    <row r="250" spans="1:9" x14ac:dyDescent="0.45">
      <c r="A250" t="s">
        <v>564</v>
      </c>
      <c r="B250" t="s">
        <v>109</v>
      </c>
      <c r="C250" t="s">
        <v>565</v>
      </c>
      <c r="D250" t="s">
        <v>106</v>
      </c>
      <c r="E250">
        <v>6090.11</v>
      </c>
      <c r="F250" s="2">
        <v>45712.666684444448</v>
      </c>
      <c r="H250" t="s">
        <v>107</v>
      </c>
      <c r="I250" t="s">
        <v>88</v>
      </c>
    </row>
    <row r="251" spans="1:9" x14ac:dyDescent="0.45">
      <c r="A251" t="s">
        <v>566</v>
      </c>
      <c r="B251" t="s">
        <v>72</v>
      </c>
      <c r="C251" t="s">
        <v>475</v>
      </c>
      <c r="D251" t="s">
        <v>85</v>
      </c>
      <c r="E251">
        <v>10260.94</v>
      </c>
      <c r="F251" s="2">
        <v>45718.666684444448</v>
      </c>
      <c r="G251" t="s">
        <v>75</v>
      </c>
      <c r="I251" t="s">
        <v>163</v>
      </c>
    </row>
    <row r="252" spans="1:9" x14ac:dyDescent="0.45">
      <c r="A252" t="s">
        <v>567</v>
      </c>
      <c r="B252" t="s">
        <v>72</v>
      </c>
      <c r="C252" t="s">
        <v>568</v>
      </c>
      <c r="D252" t="s">
        <v>101</v>
      </c>
      <c r="E252">
        <v>4633.1899999999996</v>
      </c>
      <c r="F252" s="2">
        <v>45612.666684444448</v>
      </c>
      <c r="G252" t="s">
        <v>521</v>
      </c>
      <c r="I252" t="s">
        <v>112</v>
      </c>
    </row>
    <row r="253" spans="1:9" x14ac:dyDescent="0.45">
      <c r="A253" t="s">
        <v>569</v>
      </c>
      <c r="B253" t="s">
        <v>109</v>
      </c>
      <c r="C253" t="s">
        <v>570</v>
      </c>
      <c r="E253">
        <v>7229.29</v>
      </c>
      <c r="F253" s="2">
        <v>45376.666684444448</v>
      </c>
      <c r="G253" t="s">
        <v>111</v>
      </c>
      <c r="H253" t="s">
        <v>87</v>
      </c>
      <c r="I253" t="s">
        <v>82</v>
      </c>
    </row>
    <row r="254" spans="1:9" x14ac:dyDescent="0.45">
      <c r="A254" t="s">
        <v>571</v>
      </c>
      <c r="B254" t="s">
        <v>138</v>
      </c>
      <c r="D254" t="s">
        <v>85</v>
      </c>
      <c r="E254">
        <v>6098.03</v>
      </c>
      <c r="F254" s="2">
        <v>45612.666684444448</v>
      </c>
      <c r="G254" t="s">
        <v>140</v>
      </c>
      <c r="H254" t="s">
        <v>116</v>
      </c>
      <c r="I254" t="s">
        <v>77</v>
      </c>
    </row>
    <row r="255" spans="1:9" x14ac:dyDescent="0.45">
      <c r="A255" t="s">
        <v>572</v>
      </c>
      <c r="B255" t="s">
        <v>90</v>
      </c>
      <c r="C255" t="s">
        <v>573</v>
      </c>
      <c r="D255" t="s">
        <v>85</v>
      </c>
      <c r="E255">
        <v>11904.9</v>
      </c>
      <c r="F255" s="2">
        <v>45544.666684444448</v>
      </c>
      <c r="G255" t="s">
        <v>93</v>
      </c>
      <c r="H255" t="s">
        <v>87</v>
      </c>
      <c r="I255" t="s">
        <v>88</v>
      </c>
    </row>
    <row r="256" spans="1:9" x14ac:dyDescent="0.45">
      <c r="A256" t="s">
        <v>574</v>
      </c>
      <c r="B256" t="s">
        <v>95</v>
      </c>
      <c r="C256" t="s">
        <v>575</v>
      </c>
      <c r="D256" t="s">
        <v>101</v>
      </c>
      <c r="E256">
        <v>4443.5200000000004</v>
      </c>
      <c r="F256" s="2">
        <v>45322.666684444448</v>
      </c>
      <c r="H256" t="s">
        <v>118</v>
      </c>
      <c r="I256" t="s">
        <v>119</v>
      </c>
    </row>
    <row r="257" spans="1:9" x14ac:dyDescent="0.45">
      <c r="A257" t="s">
        <v>576</v>
      </c>
      <c r="B257" t="s">
        <v>79</v>
      </c>
      <c r="C257" t="s">
        <v>577</v>
      </c>
      <c r="D257" t="s">
        <v>92</v>
      </c>
      <c r="E257">
        <v>10473.959999999999</v>
      </c>
      <c r="F257" s="2">
        <v>45224.666684444448</v>
      </c>
      <c r="G257" t="s">
        <v>86</v>
      </c>
      <c r="I257" t="s">
        <v>163</v>
      </c>
    </row>
    <row r="258" spans="1:9" x14ac:dyDescent="0.45">
      <c r="A258" t="s">
        <v>578</v>
      </c>
      <c r="B258" t="s">
        <v>95</v>
      </c>
      <c r="C258" t="s">
        <v>373</v>
      </c>
      <c r="D258" t="s">
        <v>74</v>
      </c>
      <c r="E258">
        <v>2807.07</v>
      </c>
      <c r="F258" s="2">
        <v>45227.666684444448</v>
      </c>
      <c r="G258" t="s">
        <v>97</v>
      </c>
      <c r="H258" t="s">
        <v>76</v>
      </c>
      <c r="I258" t="s">
        <v>88</v>
      </c>
    </row>
    <row r="259" spans="1:9" x14ac:dyDescent="0.45">
      <c r="A259" t="s">
        <v>579</v>
      </c>
      <c r="B259" t="s">
        <v>104</v>
      </c>
      <c r="C259" t="s">
        <v>243</v>
      </c>
      <c r="D259" t="s">
        <v>155</v>
      </c>
      <c r="E259">
        <v>8581.64</v>
      </c>
      <c r="F259" s="2">
        <v>45802.666684444448</v>
      </c>
      <c r="G259" t="s">
        <v>115</v>
      </c>
      <c r="H259" t="s">
        <v>87</v>
      </c>
      <c r="I259" t="s">
        <v>163</v>
      </c>
    </row>
    <row r="260" spans="1:9" x14ac:dyDescent="0.45">
      <c r="A260" t="s">
        <v>580</v>
      </c>
      <c r="B260" t="s">
        <v>99</v>
      </c>
      <c r="C260" t="s">
        <v>269</v>
      </c>
      <c r="D260" t="s">
        <v>101</v>
      </c>
      <c r="E260">
        <v>3676.79</v>
      </c>
      <c r="F260" s="2">
        <v>45569.666684444448</v>
      </c>
      <c r="G260" t="s">
        <v>102</v>
      </c>
      <c r="H260" t="s">
        <v>136</v>
      </c>
      <c r="I260" t="s">
        <v>119</v>
      </c>
    </row>
    <row r="261" spans="1:9" x14ac:dyDescent="0.45">
      <c r="A261" t="s">
        <v>581</v>
      </c>
      <c r="B261" t="s">
        <v>138</v>
      </c>
      <c r="C261" t="s">
        <v>582</v>
      </c>
      <c r="D261" t="s">
        <v>74</v>
      </c>
      <c r="E261">
        <v>3167.71</v>
      </c>
      <c r="F261" s="2">
        <v>45490.666684444448</v>
      </c>
      <c r="H261" t="s">
        <v>87</v>
      </c>
      <c r="I261" t="s">
        <v>82</v>
      </c>
    </row>
    <row r="262" spans="1:9" x14ac:dyDescent="0.45">
      <c r="A262" t="s">
        <v>583</v>
      </c>
      <c r="B262" t="s">
        <v>99</v>
      </c>
      <c r="C262" t="s">
        <v>446</v>
      </c>
      <c r="D262" t="s">
        <v>101</v>
      </c>
      <c r="E262">
        <v>8794.06</v>
      </c>
      <c r="F262" s="2">
        <v>45561.666684444448</v>
      </c>
      <c r="G262" t="s">
        <v>285</v>
      </c>
      <c r="H262" t="s">
        <v>116</v>
      </c>
      <c r="I262" t="s">
        <v>119</v>
      </c>
    </row>
    <row r="263" spans="1:9" x14ac:dyDescent="0.45">
      <c r="A263" t="s">
        <v>584</v>
      </c>
      <c r="B263" t="s">
        <v>79</v>
      </c>
      <c r="C263" t="s">
        <v>478</v>
      </c>
      <c r="D263" t="s">
        <v>74</v>
      </c>
      <c r="E263">
        <v>3943.25</v>
      </c>
      <c r="F263" s="2">
        <v>45548.666684444448</v>
      </c>
      <c r="G263" t="s">
        <v>86</v>
      </c>
      <c r="H263" t="s">
        <v>81</v>
      </c>
      <c r="I263" t="s">
        <v>88</v>
      </c>
    </row>
    <row r="264" spans="1:9" x14ac:dyDescent="0.45">
      <c r="A264" t="s">
        <v>585</v>
      </c>
      <c r="B264" t="s">
        <v>79</v>
      </c>
      <c r="C264" t="s">
        <v>586</v>
      </c>
      <c r="D264" t="s">
        <v>92</v>
      </c>
      <c r="E264">
        <v>5739.4</v>
      </c>
      <c r="F264" s="2">
        <v>45606.666684444448</v>
      </c>
      <c r="G264" t="s">
        <v>86</v>
      </c>
      <c r="H264" t="s">
        <v>128</v>
      </c>
      <c r="I264" t="s">
        <v>163</v>
      </c>
    </row>
    <row r="265" spans="1:9" x14ac:dyDescent="0.45">
      <c r="A265" t="s">
        <v>587</v>
      </c>
      <c r="B265" t="s">
        <v>90</v>
      </c>
      <c r="C265" t="s">
        <v>588</v>
      </c>
      <c r="D265" t="s">
        <v>155</v>
      </c>
      <c r="E265">
        <v>5827.57</v>
      </c>
      <c r="F265" s="2">
        <v>45183.666684444448</v>
      </c>
      <c r="G265" t="s">
        <v>296</v>
      </c>
      <c r="H265" t="s">
        <v>118</v>
      </c>
      <c r="I265" t="s">
        <v>82</v>
      </c>
    </row>
    <row r="266" spans="1:9" x14ac:dyDescent="0.45">
      <c r="A266" t="s">
        <v>589</v>
      </c>
      <c r="B266" t="s">
        <v>95</v>
      </c>
      <c r="C266" t="s">
        <v>590</v>
      </c>
      <c r="E266">
        <v>357.49</v>
      </c>
      <c r="F266" s="2">
        <v>45817.666684444448</v>
      </c>
      <c r="G266" t="s">
        <v>97</v>
      </c>
      <c r="H266" t="s">
        <v>133</v>
      </c>
      <c r="I266" t="s">
        <v>82</v>
      </c>
    </row>
    <row r="267" spans="1:9" x14ac:dyDescent="0.45">
      <c r="A267" t="s">
        <v>591</v>
      </c>
      <c r="B267" t="s">
        <v>109</v>
      </c>
      <c r="C267" t="s">
        <v>592</v>
      </c>
      <c r="D267" t="s">
        <v>74</v>
      </c>
      <c r="E267">
        <v>0</v>
      </c>
      <c r="F267" s="2">
        <v>45797.666684444448</v>
      </c>
      <c r="G267" t="s">
        <v>111</v>
      </c>
      <c r="H267" t="s">
        <v>136</v>
      </c>
      <c r="I267" t="s">
        <v>82</v>
      </c>
    </row>
    <row r="268" spans="1:9" x14ac:dyDescent="0.45">
      <c r="A268" t="s">
        <v>593</v>
      </c>
      <c r="B268" t="s">
        <v>172</v>
      </c>
      <c r="C268" t="s">
        <v>594</v>
      </c>
      <c r="D268" t="s">
        <v>74</v>
      </c>
      <c r="E268">
        <v>0</v>
      </c>
      <c r="F268" s="2">
        <v>45789.666684444448</v>
      </c>
      <c r="G268" t="s">
        <v>174</v>
      </c>
      <c r="H268" t="s">
        <v>145</v>
      </c>
      <c r="I268" t="s">
        <v>119</v>
      </c>
    </row>
    <row r="269" spans="1:9" x14ac:dyDescent="0.45">
      <c r="A269" t="s">
        <v>595</v>
      </c>
      <c r="B269" t="s">
        <v>172</v>
      </c>
      <c r="C269" t="s">
        <v>509</v>
      </c>
      <c r="E269">
        <v>10253.459999999999</v>
      </c>
      <c r="F269" s="2">
        <v>45228.666684444448</v>
      </c>
      <c r="G269" t="s">
        <v>174</v>
      </c>
      <c r="H269" t="s">
        <v>136</v>
      </c>
      <c r="I269" t="s">
        <v>119</v>
      </c>
    </row>
    <row r="270" spans="1:9" x14ac:dyDescent="0.45">
      <c r="A270" t="s">
        <v>596</v>
      </c>
      <c r="B270" t="s">
        <v>109</v>
      </c>
      <c r="C270" t="s">
        <v>597</v>
      </c>
      <c r="D270" t="s">
        <v>155</v>
      </c>
      <c r="E270">
        <v>0</v>
      </c>
      <c r="F270" s="2">
        <v>45190.666684444448</v>
      </c>
      <c r="G270" t="s">
        <v>307</v>
      </c>
      <c r="H270" t="s">
        <v>136</v>
      </c>
      <c r="I270" t="s">
        <v>82</v>
      </c>
    </row>
    <row r="271" spans="1:9" x14ac:dyDescent="0.45">
      <c r="A271" t="s">
        <v>598</v>
      </c>
      <c r="B271" t="s">
        <v>172</v>
      </c>
      <c r="C271" t="s">
        <v>599</v>
      </c>
      <c r="D271" t="s">
        <v>85</v>
      </c>
      <c r="E271">
        <v>1275.3399999999999</v>
      </c>
      <c r="F271" s="2">
        <v>45540.666684444448</v>
      </c>
      <c r="G271" t="s">
        <v>174</v>
      </c>
      <c r="H271" t="s">
        <v>76</v>
      </c>
      <c r="I271" t="s">
        <v>77</v>
      </c>
    </row>
    <row r="272" spans="1:9" x14ac:dyDescent="0.45">
      <c r="A272" t="s">
        <v>600</v>
      </c>
      <c r="B272" t="s">
        <v>72</v>
      </c>
      <c r="C272" t="s">
        <v>601</v>
      </c>
      <c r="D272" t="s">
        <v>85</v>
      </c>
      <c r="E272">
        <v>5794.26</v>
      </c>
      <c r="F272" s="2">
        <v>45475.666684444448</v>
      </c>
      <c r="G272" t="s">
        <v>521</v>
      </c>
      <c r="H272" t="s">
        <v>133</v>
      </c>
      <c r="I272" t="s">
        <v>112</v>
      </c>
    </row>
    <row r="273" spans="1:9" x14ac:dyDescent="0.45">
      <c r="A273" t="s">
        <v>602</v>
      </c>
      <c r="B273" t="s">
        <v>90</v>
      </c>
      <c r="C273" t="s">
        <v>603</v>
      </c>
      <c r="D273" t="s">
        <v>101</v>
      </c>
      <c r="E273">
        <v>6128.2</v>
      </c>
      <c r="F273" s="2">
        <v>45239.666684444448</v>
      </c>
      <c r="G273" t="s">
        <v>93</v>
      </c>
      <c r="H273" t="s">
        <v>128</v>
      </c>
      <c r="I273" t="s">
        <v>163</v>
      </c>
    </row>
    <row r="274" spans="1:9" x14ac:dyDescent="0.45">
      <c r="A274" t="s">
        <v>604</v>
      </c>
      <c r="B274" t="s">
        <v>138</v>
      </c>
      <c r="C274" t="s">
        <v>594</v>
      </c>
      <c r="D274" t="s">
        <v>148</v>
      </c>
      <c r="E274">
        <v>10018.790000000001</v>
      </c>
      <c r="F274" s="2">
        <v>45382.666684444448</v>
      </c>
      <c r="G274" t="s">
        <v>140</v>
      </c>
      <c r="H274" t="s">
        <v>136</v>
      </c>
      <c r="I274" t="s">
        <v>82</v>
      </c>
    </row>
    <row r="275" spans="1:9" x14ac:dyDescent="0.45">
      <c r="A275" t="s">
        <v>605</v>
      </c>
      <c r="B275" t="s">
        <v>95</v>
      </c>
      <c r="C275" t="s">
        <v>606</v>
      </c>
      <c r="D275" t="s">
        <v>85</v>
      </c>
      <c r="E275">
        <v>5800.83</v>
      </c>
      <c r="F275" s="2">
        <v>45324.666684444448</v>
      </c>
      <c r="G275" t="s">
        <v>97</v>
      </c>
      <c r="H275" t="s">
        <v>136</v>
      </c>
      <c r="I275" t="s">
        <v>119</v>
      </c>
    </row>
    <row r="276" spans="1:9" x14ac:dyDescent="0.45">
      <c r="A276" t="s">
        <v>607</v>
      </c>
      <c r="B276" t="s">
        <v>95</v>
      </c>
      <c r="C276" t="s">
        <v>608</v>
      </c>
      <c r="D276" t="s">
        <v>101</v>
      </c>
      <c r="E276">
        <v>1384.84</v>
      </c>
      <c r="F276" s="2">
        <v>45322.666684444448</v>
      </c>
      <c r="G276" t="s">
        <v>97</v>
      </c>
      <c r="H276" t="s">
        <v>128</v>
      </c>
      <c r="I276" t="s">
        <v>119</v>
      </c>
    </row>
    <row r="277" spans="1:9" x14ac:dyDescent="0.45">
      <c r="A277" t="s">
        <v>609</v>
      </c>
      <c r="B277" t="s">
        <v>138</v>
      </c>
      <c r="C277" t="s">
        <v>610</v>
      </c>
      <c r="D277" t="s">
        <v>101</v>
      </c>
      <c r="E277">
        <v>6352.69</v>
      </c>
      <c r="F277" s="2">
        <v>45677.666684444448</v>
      </c>
      <c r="G277" t="s">
        <v>140</v>
      </c>
      <c r="H277" t="s">
        <v>116</v>
      </c>
      <c r="I277" t="s">
        <v>163</v>
      </c>
    </row>
    <row r="278" spans="1:9" x14ac:dyDescent="0.45">
      <c r="A278" t="s">
        <v>611</v>
      </c>
      <c r="B278" t="s">
        <v>79</v>
      </c>
      <c r="C278" t="s">
        <v>612</v>
      </c>
      <c r="D278" t="s">
        <v>148</v>
      </c>
      <c r="E278">
        <v>8166.8</v>
      </c>
      <c r="F278" s="2">
        <v>45587.666684444448</v>
      </c>
      <c r="G278" t="s">
        <v>86</v>
      </c>
      <c r="H278" t="s">
        <v>107</v>
      </c>
      <c r="I278" t="s">
        <v>163</v>
      </c>
    </row>
    <row r="279" spans="1:9" x14ac:dyDescent="0.45">
      <c r="A279" t="s">
        <v>613</v>
      </c>
      <c r="B279" t="s">
        <v>79</v>
      </c>
      <c r="C279" t="s">
        <v>231</v>
      </c>
      <c r="D279" t="s">
        <v>74</v>
      </c>
      <c r="E279">
        <v>7546.48</v>
      </c>
      <c r="F279" s="2">
        <v>45271.666684444448</v>
      </c>
      <c r="G279" t="s">
        <v>86</v>
      </c>
      <c r="H279" t="s">
        <v>133</v>
      </c>
      <c r="I279" t="s">
        <v>112</v>
      </c>
    </row>
    <row r="280" spans="1:9" x14ac:dyDescent="0.45">
      <c r="A280" t="s">
        <v>614</v>
      </c>
      <c r="B280" t="s">
        <v>99</v>
      </c>
      <c r="C280" t="s">
        <v>615</v>
      </c>
      <c r="D280" t="s">
        <v>101</v>
      </c>
      <c r="E280">
        <v>9183.25</v>
      </c>
      <c r="F280" s="2">
        <v>45560.666684444448</v>
      </c>
      <c r="G280" t="s">
        <v>102</v>
      </c>
      <c r="H280" t="s">
        <v>87</v>
      </c>
      <c r="I280" t="s">
        <v>119</v>
      </c>
    </row>
    <row r="281" spans="1:9" x14ac:dyDescent="0.45">
      <c r="A281" t="s">
        <v>616</v>
      </c>
      <c r="B281" t="s">
        <v>79</v>
      </c>
      <c r="C281" t="s">
        <v>617</v>
      </c>
      <c r="D281" t="s">
        <v>85</v>
      </c>
      <c r="E281">
        <v>3289</v>
      </c>
      <c r="F281" s="2">
        <v>45315.666684444448</v>
      </c>
      <c r="G281" t="s">
        <v>86</v>
      </c>
      <c r="H281" t="s">
        <v>116</v>
      </c>
      <c r="I281" t="s">
        <v>88</v>
      </c>
    </row>
    <row r="282" spans="1:9" x14ac:dyDescent="0.45">
      <c r="A282" t="s">
        <v>618</v>
      </c>
      <c r="B282" t="s">
        <v>109</v>
      </c>
      <c r="C282" t="s">
        <v>619</v>
      </c>
      <c r="D282" t="s">
        <v>74</v>
      </c>
      <c r="E282">
        <v>4526.1499999999996</v>
      </c>
      <c r="F282" s="2">
        <v>45413.666684444448</v>
      </c>
      <c r="G282" t="s">
        <v>111</v>
      </c>
      <c r="H282" t="s">
        <v>133</v>
      </c>
      <c r="I282" t="s">
        <v>88</v>
      </c>
    </row>
    <row r="283" spans="1:9" x14ac:dyDescent="0.45">
      <c r="A283" t="s">
        <v>620</v>
      </c>
      <c r="B283" t="s">
        <v>72</v>
      </c>
      <c r="C283" t="s">
        <v>357</v>
      </c>
      <c r="D283" t="s">
        <v>74</v>
      </c>
      <c r="E283">
        <v>836.29</v>
      </c>
      <c r="F283" s="2">
        <v>45601.666684444448</v>
      </c>
      <c r="G283" t="s">
        <v>75</v>
      </c>
      <c r="H283" t="s">
        <v>107</v>
      </c>
      <c r="I283" t="s">
        <v>112</v>
      </c>
    </row>
    <row r="284" spans="1:9" x14ac:dyDescent="0.45">
      <c r="A284" t="s">
        <v>621</v>
      </c>
      <c r="B284" t="s">
        <v>138</v>
      </c>
      <c r="C284" t="s">
        <v>622</v>
      </c>
      <c r="E284">
        <v>0</v>
      </c>
      <c r="F284" s="2">
        <v>45383.666684444448</v>
      </c>
      <c r="G284" t="s">
        <v>140</v>
      </c>
      <c r="H284" t="s">
        <v>76</v>
      </c>
      <c r="I284" t="s">
        <v>163</v>
      </c>
    </row>
    <row r="285" spans="1:9" x14ac:dyDescent="0.45">
      <c r="A285" t="s">
        <v>623</v>
      </c>
      <c r="B285" t="s">
        <v>99</v>
      </c>
      <c r="C285" t="s">
        <v>624</v>
      </c>
      <c r="D285" t="s">
        <v>148</v>
      </c>
      <c r="E285">
        <v>7781.46</v>
      </c>
      <c r="F285" s="2">
        <v>45205.666684444448</v>
      </c>
      <c r="G285" t="s">
        <v>102</v>
      </c>
      <c r="H285" t="s">
        <v>76</v>
      </c>
      <c r="I285" t="s">
        <v>119</v>
      </c>
    </row>
    <row r="286" spans="1:9" x14ac:dyDescent="0.45">
      <c r="A286" t="s">
        <v>625</v>
      </c>
      <c r="B286" t="s">
        <v>90</v>
      </c>
      <c r="C286" t="s">
        <v>626</v>
      </c>
      <c r="E286">
        <v>9060.7199999999993</v>
      </c>
      <c r="F286" s="2">
        <v>45581.666684444448</v>
      </c>
      <c r="G286" t="s">
        <v>93</v>
      </c>
      <c r="H286" t="s">
        <v>136</v>
      </c>
      <c r="I286" t="s">
        <v>163</v>
      </c>
    </row>
    <row r="287" spans="1:9" x14ac:dyDescent="0.45">
      <c r="A287" t="s">
        <v>627</v>
      </c>
      <c r="B287" t="s">
        <v>79</v>
      </c>
      <c r="C287" t="s">
        <v>233</v>
      </c>
      <c r="D287" t="s">
        <v>148</v>
      </c>
      <c r="E287">
        <v>6374.41</v>
      </c>
      <c r="F287" s="2">
        <v>45691.666684444448</v>
      </c>
      <c r="G287" t="s">
        <v>86</v>
      </c>
      <c r="H287" t="s">
        <v>107</v>
      </c>
      <c r="I287" t="s">
        <v>119</v>
      </c>
    </row>
    <row r="288" spans="1:9" x14ac:dyDescent="0.45">
      <c r="A288" t="s">
        <v>628</v>
      </c>
      <c r="B288" t="s">
        <v>95</v>
      </c>
      <c r="C288" t="s">
        <v>629</v>
      </c>
      <c r="D288" t="s">
        <v>85</v>
      </c>
      <c r="E288">
        <v>0</v>
      </c>
      <c r="F288" s="2">
        <v>45228.666684444448</v>
      </c>
      <c r="G288" t="s">
        <v>97</v>
      </c>
      <c r="H288" t="s">
        <v>145</v>
      </c>
      <c r="I288" t="s">
        <v>112</v>
      </c>
    </row>
    <row r="289" spans="1:9" x14ac:dyDescent="0.45">
      <c r="A289" t="s">
        <v>630</v>
      </c>
      <c r="B289" t="s">
        <v>90</v>
      </c>
      <c r="C289" t="s">
        <v>631</v>
      </c>
      <c r="E289">
        <v>10392.280000000001</v>
      </c>
      <c r="F289" s="2">
        <v>45179.666684444448</v>
      </c>
      <c r="G289" t="s">
        <v>93</v>
      </c>
      <c r="H289" t="s">
        <v>128</v>
      </c>
      <c r="I289" t="s">
        <v>77</v>
      </c>
    </row>
    <row r="290" spans="1:9" x14ac:dyDescent="0.45">
      <c r="A290" t="s">
        <v>632</v>
      </c>
      <c r="B290" t="s">
        <v>72</v>
      </c>
      <c r="C290" t="s">
        <v>633</v>
      </c>
      <c r="D290" t="s">
        <v>101</v>
      </c>
      <c r="E290">
        <v>10206.14</v>
      </c>
      <c r="F290" s="2">
        <v>45795.666684444448</v>
      </c>
      <c r="G290" t="s">
        <v>75</v>
      </c>
      <c r="H290" t="s">
        <v>87</v>
      </c>
      <c r="I290" t="s">
        <v>82</v>
      </c>
    </row>
    <row r="291" spans="1:9" x14ac:dyDescent="0.45">
      <c r="A291" t="s">
        <v>634</v>
      </c>
      <c r="B291" t="s">
        <v>72</v>
      </c>
      <c r="C291" t="s">
        <v>635</v>
      </c>
      <c r="D291" t="s">
        <v>92</v>
      </c>
      <c r="E291">
        <v>6593.14</v>
      </c>
      <c r="F291" s="2">
        <v>45681.666684444448</v>
      </c>
      <c r="G291" t="s">
        <v>75</v>
      </c>
      <c r="H291" t="s">
        <v>107</v>
      </c>
      <c r="I291" t="s">
        <v>112</v>
      </c>
    </row>
    <row r="292" spans="1:9" x14ac:dyDescent="0.45">
      <c r="A292" t="s">
        <v>636</v>
      </c>
      <c r="B292" t="s">
        <v>72</v>
      </c>
      <c r="C292" t="s">
        <v>637</v>
      </c>
      <c r="D292" t="s">
        <v>106</v>
      </c>
      <c r="E292">
        <v>4586.8500000000004</v>
      </c>
      <c r="F292" s="2">
        <v>45143.666684444448</v>
      </c>
      <c r="G292" t="s">
        <v>75</v>
      </c>
      <c r="I292" t="s">
        <v>163</v>
      </c>
    </row>
    <row r="293" spans="1:9" x14ac:dyDescent="0.45">
      <c r="A293" t="s">
        <v>638</v>
      </c>
      <c r="B293" t="s">
        <v>79</v>
      </c>
      <c r="C293" t="s">
        <v>639</v>
      </c>
      <c r="D293" t="s">
        <v>74</v>
      </c>
      <c r="E293">
        <v>8663.7999999999993</v>
      </c>
      <c r="F293" s="2">
        <v>45223.666684444448</v>
      </c>
      <c r="G293" t="s">
        <v>86</v>
      </c>
      <c r="H293" t="s">
        <v>81</v>
      </c>
      <c r="I293" t="s">
        <v>163</v>
      </c>
    </row>
    <row r="294" spans="1:9" x14ac:dyDescent="0.45">
      <c r="A294" t="s">
        <v>640</v>
      </c>
      <c r="B294" t="s">
        <v>72</v>
      </c>
      <c r="C294" t="s">
        <v>641</v>
      </c>
      <c r="D294" t="s">
        <v>101</v>
      </c>
      <c r="E294">
        <v>7848.93</v>
      </c>
      <c r="F294" s="2">
        <v>45370.666684444448</v>
      </c>
      <c r="G294" t="s">
        <v>75</v>
      </c>
      <c r="H294" t="s">
        <v>128</v>
      </c>
      <c r="I294" t="s">
        <v>82</v>
      </c>
    </row>
    <row r="295" spans="1:9" x14ac:dyDescent="0.45">
      <c r="A295" t="s">
        <v>642</v>
      </c>
      <c r="B295" t="s">
        <v>138</v>
      </c>
      <c r="C295" t="s">
        <v>643</v>
      </c>
      <c r="D295" t="s">
        <v>85</v>
      </c>
      <c r="E295">
        <v>1907.1</v>
      </c>
      <c r="F295" s="2">
        <v>45298.666684444448</v>
      </c>
      <c r="G295" t="s">
        <v>140</v>
      </c>
      <c r="H295" t="s">
        <v>116</v>
      </c>
      <c r="I295" t="s">
        <v>82</v>
      </c>
    </row>
    <row r="296" spans="1:9" x14ac:dyDescent="0.45">
      <c r="A296" t="s">
        <v>644</v>
      </c>
      <c r="B296" t="s">
        <v>95</v>
      </c>
      <c r="C296" t="s">
        <v>645</v>
      </c>
      <c r="D296" t="s">
        <v>74</v>
      </c>
      <c r="E296">
        <v>0</v>
      </c>
      <c r="F296" s="2">
        <v>45544.666684444448</v>
      </c>
      <c r="G296" t="s">
        <v>97</v>
      </c>
      <c r="H296" t="s">
        <v>81</v>
      </c>
      <c r="I296" t="s">
        <v>82</v>
      </c>
    </row>
    <row r="297" spans="1:9" x14ac:dyDescent="0.45">
      <c r="A297" t="s">
        <v>646</v>
      </c>
      <c r="B297" t="s">
        <v>99</v>
      </c>
      <c r="C297" t="s">
        <v>647</v>
      </c>
      <c r="D297" t="s">
        <v>74</v>
      </c>
      <c r="E297">
        <v>592.19000000000005</v>
      </c>
      <c r="F297" s="2">
        <v>45625.666684444448</v>
      </c>
      <c r="G297" t="s">
        <v>102</v>
      </c>
      <c r="H297" t="s">
        <v>128</v>
      </c>
      <c r="I297" t="s">
        <v>163</v>
      </c>
    </row>
    <row r="298" spans="1:9" x14ac:dyDescent="0.45">
      <c r="A298" t="s">
        <v>648</v>
      </c>
      <c r="B298" t="s">
        <v>79</v>
      </c>
      <c r="C298" t="s">
        <v>235</v>
      </c>
      <c r="E298">
        <v>4592.75</v>
      </c>
      <c r="F298" s="2">
        <v>45620.666684444448</v>
      </c>
      <c r="G298" t="s">
        <v>86</v>
      </c>
      <c r="H298" t="s">
        <v>116</v>
      </c>
      <c r="I298" t="s">
        <v>112</v>
      </c>
    </row>
    <row r="299" spans="1:9" x14ac:dyDescent="0.45">
      <c r="A299" t="s">
        <v>649</v>
      </c>
      <c r="B299" t="s">
        <v>109</v>
      </c>
      <c r="C299" t="s">
        <v>650</v>
      </c>
      <c r="D299" t="s">
        <v>106</v>
      </c>
      <c r="E299">
        <v>3667.78</v>
      </c>
      <c r="F299" s="2">
        <v>45346.666684444448</v>
      </c>
      <c r="H299" t="s">
        <v>128</v>
      </c>
      <c r="I299" t="s">
        <v>88</v>
      </c>
    </row>
    <row r="300" spans="1:9" x14ac:dyDescent="0.45">
      <c r="A300" t="s">
        <v>651</v>
      </c>
      <c r="B300" t="s">
        <v>90</v>
      </c>
      <c r="C300" t="s">
        <v>626</v>
      </c>
      <c r="D300" t="s">
        <v>101</v>
      </c>
      <c r="E300">
        <v>6452.2</v>
      </c>
      <c r="F300" s="2">
        <v>45538.666684444448</v>
      </c>
      <c r="G300" t="s">
        <v>93</v>
      </c>
      <c r="H300" t="s">
        <v>87</v>
      </c>
      <c r="I300" t="s">
        <v>82</v>
      </c>
    </row>
    <row r="301" spans="1:9" x14ac:dyDescent="0.45">
      <c r="A301" t="s">
        <v>652</v>
      </c>
      <c r="B301" t="s">
        <v>104</v>
      </c>
      <c r="C301" t="s">
        <v>653</v>
      </c>
      <c r="D301" t="s">
        <v>74</v>
      </c>
      <c r="E301">
        <v>0</v>
      </c>
      <c r="F301" s="2">
        <v>45188.666684444448</v>
      </c>
      <c r="G301" t="s">
        <v>115</v>
      </c>
      <c r="H301" t="s">
        <v>87</v>
      </c>
      <c r="I301" t="s">
        <v>119</v>
      </c>
    </row>
    <row r="302" spans="1:9" x14ac:dyDescent="0.45">
      <c r="A302" t="s">
        <v>654</v>
      </c>
      <c r="B302" t="s">
        <v>90</v>
      </c>
      <c r="C302" t="s">
        <v>130</v>
      </c>
      <c r="D302" t="s">
        <v>74</v>
      </c>
      <c r="E302">
        <v>0</v>
      </c>
      <c r="F302" s="2">
        <v>45296.666684444448</v>
      </c>
      <c r="G302" t="s">
        <v>93</v>
      </c>
      <c r="H302" t="s">
        <v>116</v>
      </c>
      <c r="I302" t="s">
        <v>163</v>
      </c>
    </row>
    <row r="303" spans="1:9" x14ac:dyDescent="0.45">
      <c r="A303" t="s">
        <v>655</v>
      </c>
      <c r="B303" t="s">
        <v>72</v>
      </c>
      <c r="C303" t="s">
        <v>656</v>
      </c>
      <c r="D303" t="s">
        <v>148</v>
      </c>
      <c r="E303">
        <v>10586.82</v>
      </c>
      <c r="F303" s="2">
        <v>45516.666684444448</v>
      </c>
      <c r="G303" t="s">
        <v>75</v>
      </c>
      <c r="H303" t="s">
        <v>133</v>
      </c>
      <c r="I303" t="s">
        <v>77</v>
      </c>
    </row>
    <row r="304" spans="1:9" x14ac:dyDescent="0.45">
      <c r="A304" t="s">
        <v>657</v>
      </c>
      <c r="B304" t="s">
        <v>95</v>
      </c>
      <c r="C304" t="s">
        <v>658</v>
      </c>
      <c r="D304" t="s">
        <v>85</v>
      </c>
      <c r="E304">
        <v>8530.73</v>
      </c>
      <c r="F304" s="2">
        <v>45130.666684444448</v>
      </c>
      <c r="G304" t="s">
        <v>97</v>
      </c>
      <c r="H304" t="s">
        <v>136</v>
      </c>
      <c r="I304" t="s">
        <v>163</v>
      </c>
    </row>
    <row r="305" spans="1:9" x14ac:dyDescent="0.45">
      <c r="A305" t="s">
        <v>659</v>
      </c>
      <c r="B305" t="s">
        <v>99</v>
      </c>
      <c r="C305" t="s">
        <v>267</v>
      </c>
      <c r="D305" t="s">
        <v>101</v>
      </c>
      <c r="E305">
        <v>9486.81</v>
      </c>
      <c r="F305" s="2">
        <v>45527.666684444448</v>
      </c>
      <c r="G305" t="s">
        <v>102</v>
      </c>
      <c r="I305" t="s">
        <v>112</v>
      </c>
    </row>
    <row r="306" spans="1:9" x14ac:dyDescent="0.45">
      <c r="A306" t="s">
        <v>660</v>
      </c>
      <c r="B306" t="s">
        <v>138</v>
      </c>
      <c r="C306" t="s">
        <v>661</v>
      </c>
      <c r="D306" t="s">
        <v>85</v>
      </c>
      <c r="E306">
        <v>10900.38</v>
      </c>
      <c r="F306" s="2">
        <v>45399.666684444448</v>
      </c>
      <c r="H306" t="s">
        <v>107</v>
      </c>
      <c r="I306" t="s">
        <v>112</v>
      </c>
    </row>
    <row r="307" spans="1:9" x14ac:dyDescent="0.45">
      <c r="A307" t="s">
        <v>662</v>
      </c>
      <c r="B307" t="s">
        <v>172</v>
      </c>
      <c r="C307" t="s">
        <v>663</v>
      </c>
      <c r="D307" t="s">
        <v>101</v>
      </c>
      <c r="E307">
        <v>0</v>
      </c>
      <c r="F307" s="2">
        <v>45593.666684444448</v>
      </c>
      <c r="G307" t="s">
        <v>174</v>
      </c>
      <c r="H307" t="s">
        <v>118</v>
      </c>
      <c r="I307" t="s">
        <v>82</v>
      </c>
    </row>
    <row r="308" spans="1:9" x14ac:dyDescent="0.45">
      <c r="A308" t="s">
        <v>664</v>
      </c>
      <c r="B308" t="s">
        <v>90</v>
      </c>
      <c r="C308" t="s">
        <v>665</v>
      </c>
      <c r="D308" t="s">
        <v>85</v>
      </c>
      <c r="E308">
        <v>10650.5</v>
      </c>
      <c r="F308" s="2">
        <v>45420.666684444448</v>
      </c>
      <c r="G308" t="s">
        <v>93</v>
      </c>
      <c r="H308" t="s">
        <v>107</v>
      </c>
      <c r="I308" t="s">
        <v>77</v>
      </c>
    </row>
    <row r="309" spans="1:9" x14ac:dyDescent="0.45">
      <c r="A309" t="s">
        <v>666</v>
      </c>
      <c r="B309" t="s">
        <v>172</v>
      </c>
      <c r="C309" t="s">
        <v>177</v>
      </c>
      <c r="D309" t="s">
        <v>148</v>
      </c>
      <c r="E309">
        <v>4963.7299999999996</v>
      </c>
      <c r="F309" s="2">
        <v>45561.666684444448</v>
      </c>
      <c r="I309" t="s">
        <v>163</v>
      </c>
    </row>
    <row r="310" spans="1:9" x14ac:dyDescent="0.45">
      <c r="A310" t="s">
        <v>667</v>
      </c>
      <c r="B310" t="s">
        <v>95</v>
      </c>
      <c r="C310" t="s">
        <v>668</v>
      </c>
      <c r="D310" t="s">
        <v>85</v>
      </c>
      <c r="E310">
        <v>4501.1899999999996</v>
      </c>
      <c r="F310" s="2">
        <v>45841.666684444448</v>
      </c>
      <c r="G310" t="s">
        <v>97</v>
      </c>
      <c r="H310" t="s">
        <v>116</v>
      </c>
      <c r="I310" t="s">
        <v>119</v>
      </c>
    </row>
    <row r="311" spans="1:9" x14ac:dyDescent="0.45">
      <c r="A311" t="s">
        <v>669</v>
      </c>
      <c r="B311" t="s">
        <v>172</v>
      </c>
      <c r="D311" t="s">
        <v>92</v>
      </c>
      <c r="E311">
        <v>3828.53</v>
      </c>
      <c r="F311" s="2">
        <v>45697.666684444448</v>
      </c>
      <c r="G311" t="s">
        <v>174</v>
      </c>
      <c r="H311" t="s">
        <v>128</v>
      </c>
      <c r="I311" t="s">
        <v>82</v>
      </c>
    </row>
    <row r="312" spans="1:9" x14ac:dyDescent="0.45">
      <c r="A312" t="s">
        <v>670</v>
      </c>
      <c r="B312" t="s">
        <v>90</v>
      </c>
      <c r="C312" t="s">
        <v>671</v>
      </c>
      <c r="D312" t="s">
        <v>101</v>
      </c>
      <c r="E312">
        <v>11196.93</v>
      </c>
      <c r="F312" s="2">
        <v>45805.666684444448</v>
      </c>
      <c r="G312" t="s">
        <v>93</v>
      </c>
      <c r="H312" t="s">
        <v>81</v>
      </c>
      <c r="I312" t="s">
        <v>77</v>
      </c>
    </row>
    <row r="313" spans="1:9" x14ac:dyDescent="0.45">
      <c r="A313" t="s">
        <v>672</v>
      </c>
      <c r="B313" t="s">
        <v>109</v>
      </c>
      <c r="C313" t="s">
        <v>330</v>
      </c>
      <c r="D313" t="s">
        <v>92</v>
      </c>
      <c r="E313">
        <v>5061.96</v>
      </c>
      <c r="F313" s="2">
        <v>45626.666684444448</v>
      </c>
      <c r="H313" t="s">
        <v>116</v>
      </c>
      <c r="I313" t="s">
        <v>112</v>
      </c>
    </row>
    <row r="314" spans="1:9" x14ac:dyDescent="0.45">
      <c r="A314" t="s">
        <v>673</v>
      </c>
      <c r="B314" t="s">
        <v>104</v>
      </c>
      <c r="C314" t="s">
        <v>674</v>
      </c>
      <c r="D314" t="s">
        <v>92</v>
      </c>
      <c r="E314">
        <v>10833.95</v>
      </c>
      <c r="F314" s="2">
        <v>45286.666684444448</v>
      </c>
      <c r="G314" t="s">
        <v>115</v>
      </c>
      <c r="H314" t="s">
        <v>136</v>
      </c>
      <c r="I314" t="s">
        <v>119</v>
      </c>
    </row>
    <row r="315" spans="1:9" x14ac:dyDescent="0.45">
      <c r="A315" t="s">
        <v>675</v>
      </c>
      <c r="B315" t="s">
        <v>172</v>
      </c>
      <c r="C315" t="s">
        <v>676</v>
      </c>
      <c r="D315" t="s">
        <v>74</v>
      </c>
      <c r="E315">
        <v>4971.92</v>
      </c>
      <c r="F315" s="2">
        <v>45322.666684444448</v>
      </c>
      <c r="G315" t="s">
        <v>174</v>
      </c>
      <c r="H315" t="s">
        <v>133</v>
      </c>
      <c r="I315" t="s">
        <v>112</v>
      </c>
    </row>
    <row r="316" spans="1:9" x14ac:dyDescent="0.45">
      <c r="A316" t="s">
        <v>677</v>
      </c>
      <c r="B316" t="s">
        <v>109</v>
      </c>
      <c r="C316" t="s">
        <v>678</v>
      </c>
      <c r="D316" t="s">
        <v>85</v>
      </c>
      <c r="E316">
        <v>907.56</v>
      </c>
      <c r="F316" s="2">
        <v>45431.666684444448</v>
      </c>
      <c r="G316" t="s">
        <v>111</v>
      </c>
      <c r="H316" t="s">
        <v>76</v>
      </c>
      <c r="I316" t="s">
        <v>82</v>
      </c>
    </row>
    <row r="317" spans="1:9" x14ac:dyDescent="0.45">
      <c r="A317" t="s">
        <v>679</v>
      </c>
      <c r="B317" t="s">
        <v>109</v>
      </c>
      <c r="C317" t="s">
        <v>680</v>
      </c>
      <c r="D317" t="s">
        <v>101</v>
      </c>
      <c r="E317">
        <v>7711.54</v>
      </c>
      <c r="F317" s="2">
        <v>45350.666684444448</v>
      </c>
      <c r="G317" t="s">
        <v>111</v>
      </c>
      <c r="H317" t="s">
        <v>76</v>
      </c>
      <c r="I317" t="s">
        <v>119</v>
      </c>
    </row>
    <row r="318" spans="1:9" x14ac:dyDescent="0.45">
      <c r="A318" t="s">
        <v>681</v>
      </c>
      <c r="B318" t="s">
        <v>72</v>
      </c>
      <c r="C318" t="s">
        <v>412</v>
      </c>
      <c r="E318">
        <v>3510.18</v>
      </c>
      <c r="F318" s="2">
        <v>45187.666684444448</v>
      </c>
      <c r="G318" t="s">
        <v>75</v>
      </c>
      <c r="H318" t="s">
        <v>87</v>
      </c>
      <c r="I318" t="s">
        <v>112</v>
      </c>
    </row>
    <row r="319" spans="1:9" x14ac:dyDescent="0.45">
      <c r="A319" t="s">
        <v>682</v>
      </c>
      <c r="B319" t="s">
        <v>104</v>
      </c>
      <c r="C319" t="s">
        <v>683</v>
      </c>
      <c r="D319" t="s">
        <v>101</v>
      </c>
      <c r="E319">
        <v>4548.07</v>
      </c>
      <c r="F319" s="2">
        <v>45721.666684444448</v>
      </c>
      <c r="G319" t="s">
        <v>247</v>
      </c>
      <c r="H319" t="s">
        <v>81</v>
      </c>
      <c r="I319" t="s">
        <v>163</v>
      </c>
    </row>
    <row r="320" spans="1:9" x14ac:dyDescent="0.45">
      <c r="A320" t="s">
        <v>684</v>
      </c>
      <c r="B320" t="s">
        <v>138</v>
      </c>
      <c r="C320" t="s">
        <v>685</v>
      </c>
      <c r="D320" t="s">
        <v>106</v>
      </c>
      <c r="E320">
        <v>1589.63</v>
      </c>
      <c r="F320" s="2">
        <v>45683.666684444448</v>
      </c>
      <c r="G320" t="s">
        <v>140</v>
      </c>
      <c r="H320" t="s">
        <v>116</v>
      </c>
      <c r="I320" t="s">
        <v>163</v>
      </c>
    </row>
    <row r="321" spans="1:9" x14ac:dyDescent="0.45">
      <c r="A321" t="s">
        <v>686</v>
      </c>
      <c r="B321" t="s">
        <v>90</v>
      </c>
      <c r="C321" t="s">
        <v>687</v>
      </c>
      <c r="D321" t="s">
        <v>74</v>
      </c>
      <c r="E321">
        <v>6104.3</v>
      </c>
      <c r="F321" s="2">
        <v>45190.666684444448</v>
      </c>
      <c r="G321" t="s">
        <v>93</v>
      </c>
      <c r="H321" t="s">
        <v>87</v>
      </c>
      <c r="I321" t="s">
        <v>77</v>
      </c>
    </row>
    <row r="322" spans="1:9" x14ac:dyDescent="0.45">
      <c r="A322" t="s">
        <v>688</v>
      </c>
      <c r="B322" t="s">
        <v>99</v>
      </c>
      <c r="C322" t="s">
        <v>689</v>
      </c>
      <c r="D322" t="s">
        <v>92</v>
      </c>
      <c r="E322">
        <v>4232.29</v>
      </c>
      <c r="F322" s="2">
        <v>45449.666684444448</v>
      </c>
      <c r="G322" t="s">
        <v>102</v>
      </c>
      <c r="H322" t="s">
        <v>107</v>
      </c>
      <c r="I322" t="s">
        <v>82</v>
      </c>
    </row>
    <row r="323" spans="1:9" x14ac:dyDescent="0.45">
      <c r="A323" t="s">
        <v>690</v>
      </c>
      <c r="B323" t="s">
        <v>99</v>
      </c>
      <c r="C323" t="s">
        <v>691</v>
      </c>
      <c r="D323" t="s">
        <v>92</v>
      </c>
      <c r="E323">
        <v>5670.91</v>
      </c>
      <c r="F323" s="2">
        <v>45186.666684444448</v>
      </c>
      <c r="G323" t="s">
        <v>102</v>
      </c>
      <c r="H323" t="s">
        <v>118</v>
      </c>
      <c r="I323" t="s">
        <v>119</v>
      </c>
    </row>
    <row r="324" spans="1:9" x14ac:dyDescent="0.45">
      <c r="A324" t="s">
        <v>692</v>
      </c>
      <c r="B324" t="s">
        <v>172</v>
      </c>
      <c r="C324" t="s">
        <v>693</v>
      </c>
      <c r="D324" t="s">
        <v>92</v>
      </c>
      <c r="E324">
        <v>483.38</v>
      </c>
      <c r="F324" s="2">
        <v>45179.666684444448</v>
      </c>
      <c r="G324" t="s">
        <v>174</v>
      </c>
      <c r="I324" t="s">
        <v>112</v>
      </c>
    </row>
    <row r="325" spans="1:9" x14ac:dyDescent="0.45">
      <c r="A325" t="s">
        <v>694</v>
      </c>
      <c r="B325" t="s">
        <v>104</v>
      </c>
      <c r="C325" t="s">
        <v>462</v>
      </c>
      <c r="D325" t="s">
        <v>101</v>
      </c>
      <c r="E325">
        <v>4427.8500000000004</v>
      </c>
      <c r="F325" s="2">
        <v>45726.666684444448</v>
      </c>
      <c r="G325" t="s">
        <v>115</v>
      </c>
      <c r="H325" t="s">
        <v>133</v>
      </c>
      <c r="I325" t="s">
        <v>77</v>
      </c>
    </row>
    <row r="326" spans="1:9" x14ac:dyDescent="0.45">
      <c r="A326" t="s">
        <v>695</v>
      </c>
      <c r="B326" t="s">
        <v>172</v>
      </c>
      <c r="C326" t="s">
        <v>696</v>
      </c>
      <c r="D326" t="s">
        <v>85</v>
      </c>
      <c r="E326">
        <v>9626.44</v>
      </c>
      <c r="F326" s="2">
        <v>45616.666684444448</v>
      </c>
      <c r="G326" t="s">
        <v>174</v>
      </c>
      <c r="H326" t="s">
        <v>136</v>
      </c>
      <c r="I326" t="s">
        <v>112</v>
      </c>
    </row>
    <row r="327" spans="1:9" x14ac:dyDescent="0.45">
      <c r="A327" t="s">
        <v>697</v>
      </c>
      <c r="B327" t="s">
        <v>104</v>
      </c>
      <c r="C327" t="s">
        <v>212</v>
      </c>
      <c r="D327" t="s">
        <v>92</v>
      </c>
      <c r="E327">
        <v>8326.52</v>
      </c>
      <c r="F327" s="2">
        <v>45642.666684444448</v>
      </c>
      <c r="G327" t="s">
        <v>115</v>
      </c>
      <c r="H327" t="s">
        <v>133</v>
      </c>
      <c r="I327" t="s">
        <v>163</v>
      </c>
    </row>
    <row r="328" spans="1:9" x14ac:dyDescent="0.45">
      <c r="A328" t="s">
        <v>698</v>
      </c>
      <c r="B328" t="s">
        <v>90</v>
      </c>
      <c r="C328" t="s">
        <v>699</v>
      </c>
      <c r="D328" t="s">
        <v>74</v>
      </c>
      <c r="E328">
        <v>10755.38</v>
      </c>
      <c r="F328" s="2">
        <v>45671.666684444448</v>
      </c>
      <c r="G328" t="s">
        <v>93</v>
      </c>
      <c r="I328" t="s">
        <v>77</v>
      </c>
    </row>
    <row r="329" spans="1:9" x14ac:dyDescent="0.45">
      <c r="A329" t="s">
        <v>700</v>
      </c>
      <c r="B329" t="s">
        <v>90</v>
      </c>
      <c r="D329" t="s">
        <v>74</v>
      </c>
      <c r="E329">
        <v>5467.51</v>
      </c>
      <c r="F329" s="2">
        <v>45289.666684444448</v>
      </c>
      <c r="G329" t="s">
        <v>93</v>
      </c>
      <c r="H329" t="s">
        <v>107</v>
      </c>
      <c r="I329" t="s">
        <v>82</v>
      </c>
    </row>
    <row r="330" spans="1:9" x14ac:dyDescent="0.45">
      <c r="A330" t="s">
        <v>701</v>
      </c>
      <c r="B330" t="s">
        <v>138</v>
      </c>
      <c r="C330" t="s">
        <v>702</v>
      </c>
      <c r="D330" t="s">
        <v>85</v>
      </c>
      <c r="E330">
        <v>9850.08</v>
      </c>
      <c r="F330" s="2">
        <v>45186.666684444448</v>
      </c>
      <c r="G330" t="s">
        <v>140</v>
      </c>
      <c r="H330" t="s">
        <v>118</v>
      </c>
      <c r="I330" t="s">
        <v>119</v>
      </c>
    </row>
    <row r="331" spans="1:9" x14ac:dyDescent="0.45">
      <c r="A331" t="s">
        <v>703</v>
      </c>
      <c r="B331" t="s">
        <v>109</v>
      </c>
      <c r="C331" t="s">
        <v>704</v>
      </c>
      <c r="D331" t="s">
        <v>85</v>
      </c>
      <c r="E331">
        <v>7936.2</v>
      </c>
      <c r="F331" s="2">
        <v>45648.666684444448</v>
      </c>
      <c r="G331" t="s">
        <v>111</v>
      </c>
      <c r="H331" t="s">
        <v>76</v>
      </c>
      <c r="I331" t="s">
        <v>163</v>
      </c>
    </row>
    <row r="332" spans="1:9" x14ac:dyDescent="0.45">
      <c r="A332" t="s">
        <v>705</v>
      </c>
      <c r="B332" t="s">
        <v>104</v>
      </c>
      <c r="C332" t="s">
        <v>706</v>
      </c>
      <c r="D332" t="s">
        <v>101</v>
      </c>
      <c r="E332">
        <v>4424.4399999999996</v>
      </c>
      <c r="F332" s="2">
        <v>45210.666684444448</v>
      </c>
      <c r="G332" t="s">
        <v>115</v>
      </c>
      <c r="H332" t="s">
        <v>145</v>
      </c>
      <c r="I332" t="s">
        <v>163</v>
      </c>
    </row>
    <row r="333" spans="1:9" x14ac:dyDescent="0.45">
      <c r="A333" t="s">
        <v>707</v>
      </c>
      <c r="B333" t="s">
        <v>79</v>
      </c>
      <c r="C333" t="s">
        <v>708</v>
      </c>
      <c r="D333" t="s">
        <v>101</v>
      </c>
      <c r="E333">
        <v>4646.2</v>
      </c>
      <c r="F333" s="2">
        <v>45318.666684444448</v>
      </c>
      <c r="G333" t="s">
        <v>86</v>
      </c>
      <c r="H333" t="s">
        <v>76</v>
      </c>
      <c r="I333" t="s">
        <v>88</v>
      </c>
    </row>
    <row r="334" spans="1:9" x14ac:dyDescent="0.45">
      <c r="A334" t="s">
        <v>709</v>
      </c>
      <c r="B334" t="s">
        <v>79</v>
      </c>
      <c r="C334" t="s">
        <v>710</v>
      </c>
      <c r="D334" t="s">
        <v>101</v>
      </c>
      <c r="E334">
        <v>10030.66</v>
      </c>
      <c r="F334" s="2">
        <v>45198.666684444448</v>
      </c>
      <c r="G334" t="s">
        <v>86</v>
      </c>
      <c r="H334" t="s">
        <v>116</v>
      </c>
      <c r="I334" t="s">
        <v>163</v>
      </c>
    </row>
    <row r="335" spans="1:9" x14ac:dyDescent="0.45">
      <c r="A335" t="s">
        <v>711</v>
      </c>
      <c r="B335" t="s">
        <v>109</v>
      </c>
      <c r="C335" t="s">
        <v>712</v>
      </c>
      <c r="D335" t="s">
        <v>92</v>
      </c>
      <c r="E335">
        <v>8110.71</v>
      </c>
      <c r="F335" s="2">
        <v>45737.666684444448</v>
      </c>
      <c r="G335" t="s">
        <v>111</v>
      </c>
      <c r="I335" t="s">
        <v>77</v>
      </c>
    </row>
    <row r="336" spans="1:9" x14ac:dyDescent="0.45">
      <c r="A336" t="s">
        <v>713</v>
      </c>
      <c r="B336" t="s">
        <v>172</v>
      </c>
      <c r="C336" t="s">
        <v>263</v>
      </c>
      <c r="D336" t="s">
        <v>92</v>
      </c>
      <c r="E336">
        <v>185.98</v>
      </c>
      <c r="F336" s="2">
        <v>45197.666684444448</v>
      </c>
      <c r="H336" t="s">
        <v>107</v>
      </c>
      <c r="I336" t="s">
        <v>77</v>
      </c>
    </row>
    <row r="337" spans="1:9" x14ac:dyDescent="0.45">
      <c r="A337" t="s">
        <v>714</v>
      </c>
      <c r="B337" t="s">
        <v>104</v>
      </c>
      <c r="C337" t="s">
        <v>715</v>
      </c>
      <c r="E337">
        <v>7279.94</v>
      </c>
      <c r="F337" s="2">
        <v>45819.666684444448</v>
      </c>
      <c r="G337" t="s">
        <v>115</v>
      </c>
      <c r="H337" t="s">
        <v>136</v>
      </c>
      <c r="I337" t="s">
        <v>112</v>
      </c>
    </row>
    <row r="338" spans="1:9" x14ac:dyDescent="0.45">
      <c r="A338" t="s">
        <v>716</v>
      </c>
      <c r="B338" t="s">
        <v>95</v>
      </c>
      <c r="C338" t="s">
        <v>717</v>
      </c>
      <c r="D338" t="s">
        <v>106</v>
      </c>
      <c r="E338">
        <v>252.69</v>
      </c>
      <c r="F338" s="2">
        <v>45368.666684444448</v>
      </c>
      <c r="G338" t="s">
        <v>97</v>
      </c>
      <c r="H338" t="s">
        <v>116</v>
      </c>
      <c r="I338" t="s">
        <v>82</v>
      </c>
    </row>
    <row r="339" spans="1:9" x14ac:dyDescent="0.45">
      <c r="A339" t="s">
        <v>718</v>
      </c>
      <c r="B339" t="s">
        <v>99</v>
      </c>
      <c r="C339" t="s">
        <v>719</v>
      </c>
      <c r="D339" t="s">
        <v>85</v>
      </c>
      <c r="E339">
        <v>0</v>
      </c>
      <c r="F339" s="2">
        <v>45541.666684444448</v>
      </c>
      <c r="G339" t="s">
        <v>102</v>
      </c>
      <c r="H339" t="s">
        <v>87</v>
      </c>
      <c r="I339" t="s">
        <v>163</v>
      </c>
    </row>
    <row r="340" spans="1:9" x14ac:dyDescent="0.45">
      <c r="A340" t="s">
        <v>720</v>
      </c>
      <c r="B340" t="s">
        <v>95</v>
      </c>
      <c r="C340" t="s">
        <v>721</v>
      </c>
      <c r="D340" t="s">
        <v>74</v>
      </c>
      <c r="E340">
        <v>879.67</v>
      </c>
      <c r="F340" s="2">
        <v>45250.666684444448</v>
      </c>
      <c r="G340" t="s">
        <v>97</v>
      </c>
      <c r="H340" t="s">
        <v>128</v>
      </c>
      <c r="I340" t="s">
        <v>88</v>
      </c>
    </row>
    <row r="341" spans="1:9" x14ac:dyDescent="0.45">
      <c r="A341" t="s">
        <v>722</v>
      </c>
      <c r="B341" t="s">
        <v>99</v>
      </c>
      <c r="C341" t="s">
        <v>723</v>
      </c>
      <c r="D341" t="s">
        <v>74</v>
      </c>
      <c r="E341">
        <v>2737.99</v>
      </c>
      <c r="F341" s="2">
        <v>45711.666684444448</v>
      </c>
      <c r="H341" t="s">
        <v>81</v>
      </c>
      <c r="I341" t="s">
        <v>77</v>
      </c>
    </row>
    <row r="342" spans="1:9" x14ac:dyDescent="0.45">
      <c r="A342" t="s">
        <v>724</v>
      </c>
      <c r="B342" t="s">
        <v>79</v>
      </c>
      <c r="C342" t="s">
        <v>431</v>
      </c>
      <c r="D342" t="s">
        <v>101</v>
      </c>
      <c r="E342">
        <v>3716.8</v>
      </c>
      <c r="F342" s="2">
        <v>45380.666684444448</v>
      </c>
      <c r="G342" t="s">
        <v>86</v>
      </c>
      <c r="H342" t="s">
        <v>81</v>
      </c>
      <c r="I342" t="s">
        <v>77</v>
      </c>
    </row>
    <row r="343" spans="1:9" x14ac:dyDescent="0.45">
      <c r="A343" t="s">
        <v>725</v>
      </c>
      <c r="B343" t="s">
        <v>90</v>
      </c>
      <c r="C343" t="s">
        <v>726</v>
      </c>
      <c r="D343" t="s">
        <v>155</v>
      </c>
      <c r="E343">
        <v>8405.4599999999991</v>
      </c>
      <c r="F343" s="2">
        <v>45720.666684444448</v>
      </c>
      <c r="G343" t="s">
        <v>93</v>
      </c>
      <c r="H343" t="s">
        <v>87</v>
      </c>
      <c r="I343" t="s">
        <v>163</v>
      </c>
    </row>
    <row r="344" spans="1:9" x14ac:dyDescent="0.45">
      <c r="A344" t="s">
        <v>727</v>
      </c>
      <c r="B344" t="s">
        <v>138</v>
      </c>
      <c r="C344" t="s">
        <v>728</v>
      </c>
      <c r="D344" t="s">
        <v>85</v>
      </c>
      <c r="E344">
        <v>915.63</v>
      </c>
      <c r="F344" s="2">
        <v>45736.666684444448</v>
      </c>
      <c r="G344" t="s">
        <v>140</v>
      </c>
      <c r="H344" t="s">
        <v>116</v>
      </c>
      <c r="I344" t="s">
        <v>112</v>
      </c>
    </row>
    <row r="345" spans="1:9" x14ac:dyDescent="0.45">
      <c r="A345" t="s">
        <v>729</v>
      </c>
      <c r="B345" t="s">
        <v>72</v>
      </c>
      <c r="D345" t="s">
        <v>101</v>
      </c>
      <c r="E345">
        <v>7402.62</v>
      </c>
      <c r="F345" s="2">
        <v>45168.666684444448</v>
      </c>
      <c r="G345" t="s">
        <v>75</v>
      </c>
      <c r="H345" t="s">
        <v>81</v>
      </c>
      <c r="I345" t="s">
        <v>119</v>
      </c>
    </row>
    <row r="346" spans="1:9" x14ac:dyDescent="0.45">
      <c r="A346" t="s">
        <v>730</v>
      </c>
      <c r="B346" t="s">
        <v>172</v>
      </c>
      <c r="C346" t="s">
        <v>731</v>
      </c>
      <c r="D346" t="s">
        <v>101</v>
      </c>
      <c r="E346">
        <v>0</v>
      </c>
      <c r="F346" s="2">
        <v>45762.666684444448</v>
      </c>
      <c r="G346" t="s">
        <v>174</v>
      </c>
      <c r="H346" t="s">
        <v>76</v>
      </c>
      <c r="I346" t="s">
        <v>119</v>
      </c>
    </row>
    <row r="347" spans="1:9" x14ac:dyDescent="0.45">
      <c r="A347" t="s">
        <v>732</v>
      </c>
      <c r="B347" t="s">
        <v>109</v>
      </c>
      <c r="C347" t="s">
        <v>733</v>
      </c>
      <c r="D347" t="s">
        <v>85</v>
      </c>
      <c r="E347">
        <v>0</v>
      </c>
      <c r="F347" s="2">
        <v>45211.666684444448</v>
      </c>
      <c r="G347" t="s">
        <v>111</v>
      </c>
      <c r="H347" t="s">
        <v>136</v>
      </c>
      <c r="I347" t="s">
        <v>119</v>
      </c>
    </row>
    <row r="348" spans="1:9" x14ac:dyDescent="0.45">
      <c r="A348" t="s">
        <v>734</v>
      </c>
      <c r="B348" t="s">
        <v>79</v>
      </c>
      <c r="C348" t="s">
        <v>735</v>
      </c>
      <c r="D348" t="s">
        <v>92</v>
      </c>
      <c r="E348">
        <v>3112.8</v>
      </c>
      <c r="F348" s="2">
        <v>45557.666684444448</v>
      </c>
      <c r="G348" t="s">
        <v>86</v>
      </c>
      <c r="H348" t="s">
        <v>133</v>
      </c>
      <c r="I348" t="s">
        <v>112</v>
      </c>
    </row>
    <row r="349" spans="1:9" x14ac:dyDescent="0.45">
      <c r="A349" t="s">
        <v>736</v>
      </c>
      <c r="B349" t="s">
        <v>90</v>
      </c>
      <c r="C349" t="s">
        <v>737</v>
      </c>
      <c r="D349" t="s">
        <v>74</v>
      </c>
      <c r="E349">
        <v>5450.57</v>
      </c>
      <c r="F349" s="2">
        <v>45801.666684444448</v>
      </c>
      <c r="G349" t="s">
        <v>93</v>
      </c>
      <c r="H349" t="s">
        <v>133</v>
      </c>
      <c r="I349" t="s">
        <v>112</v>
      </c>
    </row>
    <row r="350" spans="1:9" x14ac:dyDescent="0.45">
      <c r="A350" t="s">
        <v>738</v>
      </c>
      <c r="B350" t="s">
        <v>90</v>
      </c>
      <c r="C350" t="s">
        <v>739</v>
      </c>
      <c r="D350" t="s">
        <v>106</v>
      </c>
      <c r="E350">
        <v>11003.53</v>
      </c>
      <c r="F350" s="2">
        <v>45725.666684444448</v>
      </c>
      <c r="G350" t="s">
        <v>93</v>
      </c>
      <c r="H350" t="s">
        <v>87</v>
      </c>
      <c r="I350" t="s">
        <v>82</v>
      </c>
    </row>
    <row r="351" spans="1:9" x14ac:dyDescent="0.45">
      <c r="A351" t="s">
        <v>740</v>
      </c>
      <c r="B351" t="s">
        <v>99</v>
      </c>
      <c r="C351" t="s">
        <v>741</v>
      </c>
      <c r="D351" t="s">
        <v>85</v>
      </c>
      <c r="E351">
        <v>1844.21</v>
      </c>
      <c r="F351" s="2">
        <v>45706.666684444448</v>
      </c>
      <c r="G351" t="s">
        <v>285</v>
      </c>
      <c r="H351" t="s">
        <v>136</v>
      </c>
      <c r="I351" t="s">
        <v>88</v>
      </c>
    </row>
    <row r="352" spans="1:9" x14ac:dyDescent="0.45">
      <c r="A352" t="s">
        <v>742</v>
      </c>
      <c r="B352" t="s">
        <v>90</v>
      </c>
      <c r="C352" t="s">
        <v>743</v>
      </c>
      <c r="D352" t="s">
        <v>74</v>
      </c>
      <c r="E352">
        <v>3192.26</v>
      </c>
      <c r="F352" s="2">
        <v>45663.666684444448</v>
      </c>
      <c r="G352" t="s">
        <v>93</v>
      </c>
      <c r="I352" t="s">
        <v>119</v>
      </c>
    </row>
    <row r="353" spans="1:9" x14ac:dyDescent="0.45">
      <c r="A353" t="s">
        <v>744</v>
      </c>
      <c r="B353" t="s">
        <v>104</v>
      </c>
      <c r="C353" t="s">
        <v>745</v>
      </c>
      <c r="D353" t="s">
        <v>148</v>
      </c>
      <c r="E353">
        <v>6069.27</v>
      </c>
      <c r="F353" s="2">
        <v>45451.666684444448</v>
      </c>
      <c r="G353" t="s">
        <v>115</v>
      </c>
      <c r="H353" t="s">
        <v>133</v>
      </c>
      <c r="I353" t="s">
        <v>77</v>
      </c>
    </row>
    <row r="354" spans="1:9" x14ac:dyDescent="0.45">
      <c r="A354" t="s">
        <v>746</v>
      </c>
      <c r="B354" t="s">
        <v>172</v>
      </c>
      <c r="C354" t="s">
        <v>658</v>
      </c>
      <c r="D354" t="s">
        <v>74</v>
      </c>
      <c r="E354">
        <v>0</v>
      </c>
      <c r="F354" s="2">
        <v>45395.666684444448</v>
      </c>
      <c r="G354" t="s">
        <v>174</v>
      </c>
      <c r="H354" t="s">
        <v>107</v>
      </c>
      <c r="I354" t="s">
        <v>112</v>
      </c>
    </row>
    <row r="355" spans="1:9" x14ac:dyDescent="0.45">
      <c r="A355" t="s">
        <v>747</v>
      </c>
      <c r="B355" t="s">
        <v>72</v>
      </c>
      <c r="C355" t="s">
        <v>748</v>
      </c>
      <c r="D355" t="s">
        <v>155</v>
      </c>
      <c r="E355">
        <v>939.92</v>
      </c>
      <c r="F355" s="2">
        <v>45337.666684444448</v>
      </c>
      <c r="G355" t="s">
        <v>75</v>
      </c>
      <c r="I355" t="s">
        <v>119</v>
      </c>
    </row>
    <row r="356" spans="1:9" x14ac:dyDescent="0.45">
      <c r="A356" t="s">
        <v>476</v>
      </c>
      <c r="B356" t="s">
        <v>79</v>
      </c>
      <c r="C356" t="s">
        <v>749</v>
      </c>
      <c r="D356" t="s">
        <v>106</v>
      </c>
      <c r="E356">
        <v>9420.08</v>
      </c>
      <c r="F356" s="2">
        <v>45813.666684444448</v>
      </c>
      <c r="G356" t="s">
        <v>86</v>
      </c>
      <c r="I356" t="s">
        <v>77</v>
      </c>
    </row>
    <row r="357" spans="1:9" x14ac:dyDescent="0.45">
      <c r="A357" t="s">
        <v>750</v>
      </c>
      <c r="B357" t="s">
        <v>104</v>
      </c>
      <c r="C357" t="s">
        <v>459</v>
      </c>
      <c r="D357" t="s">
        <v>92</v>
      </c>
      <c r="E357">
        <v>1625.93</v>
      </c>
      <c r="F357" s="2">
        <v>45449.666684444448</v>
      </c>
      <c r="G357" t="s">
        <v>115</v>
      </c>
      <c r="H357" t="s">
        <v>118</v>
      </c>
      <c r="I357" t="s">
        <v>82</v>
      </c>
    </row>
    <row r="358" spans="1:9" x14ac:dyDescent="0.45">
      <c r="A358" t="s">
        <v>751</v>
      </c>
      <c r="B358" t="s">
        <v>79</v>
      </c>
      <c r="D358" t="s">
        <v>92</v>
      </c>
      <c r="E358">
        <v>9953.15</v>
      </c>
      <c r="F358" s="2">
        <v>45372.666684444448</v>
      </c>
      <c r="G358" t="s">
        <v>86</v>
      </c>
      <c r="H358" t="s">
        <v>136</v>
      </c>
      <c r="I358" t="s">
        <v>163</v>
      </c>
    </row>
    <row r="359" spans="1:9" x14ac:dyDescent="0.45">
      <c r="A359" t="s">
        <v>752</v>
      </c>
      <c r="B359" t="s">
        <v>138</v>
      </c>
      <c r="C359" t="s">
        <v>753</v>
      </c>
      <c r="D359" t="s">
        <v>101</v>
      </c>
      <c r="E359">
        <v>5612.98</v>
      </c>
      <c r="F359" s="2">
        <v>45399.666684444448</v>
      </c>
      <c r="G359" t="s">
        <v>140</v>
      </c>
      <c r="H359" t="s">
        <v>136</v>
      </c>
      <c r="I359" t="s">
        <v>88</v>
      </c>
    </row>
    <row r="360" spans="1:9" x14ac:dyDescent="0.45">
      <c r="A360" t="s">
        <v>754</v>
      </c>
      <c r="B360" t="s">
        <v>72</v>
      </c>
      <c r="C360" t="s">
        <v>755</v>
      </c>
      <c r="D360" t="s">
        <v>155</v>
      </c>
      <c r="E360">
        <v>5562.62</v>
      </c>
      <c r="F360" s="2">
        <v>45533.666684444448</v>
      </c>
      <c r="G360" t="s">
        <v>75</v>
      </c>
      <c r="H360" t="s">
        <v>87</v>
      </c>
      <c r="I360" t="s">
        <v>77</v>
      </c>
    </row>
    <row r="361" spans="1:9" x14ac:dyDescent="0.45">
      <c r="A361" t="s">
        <v>756</v>
      </c>
      <c r="B361" t="s">
        <v>90</v>
      </c>
      <c r="C361" t="s">
        <v>757</v>
      </c>
      <c r="D361" t="s">
        <v>85</v>
      </c>
      <c r="E361">
        <v>5461.49</v>
      </c>
      <c r="F361" s="2">
        <v>45262.666684444448</v>
      </c>
      <c r="G361" t="s">
        <v>296</v>
      </c>
      <c r="H361" t="s">
        <v>107</v>
      </c>
      <c r="I361" t="s">
        <v>119</v>
      </c>
    </row>
    <row r="362" spans="1:9" x14ac:dyDescent="0.45">
      <c r="A362" t="s">
        <v>758</v>
      </c>
      <c r="B362" t="s">
        <v>138</v>
      </c>
      <c r="C362" t="s">
        <v>295</v>
      </c>
      <c r="D362" t="s">
        <v>92</v>
      </c>
      <c r="E362">
        <v>4847.72</v>
      </c>
      <c r="F362" s="2">
        <v>45815.666684444448</v>
      </c>
      <c r="G362" t="s">
        <v>194</v>
      </c>
      <c r="H362" t="s">
        <v>116</v>
      </c>
      <c r="I362" t="s">
        <v>163</v>
      </c>
    </row>
    <row r="363" spans="1:9" x14ac:dyDescent="0.45">
      <c r="A363" t="s">
        <v>759</v>
      </c>
      <c r="B363" t="s">
        <v>99</v>
      </c>
      <c r="C363" t="s">
        <v>760</v>
      </c>
      <c r="D363" t="s">
        <v>155</v>
      </c>
      <c r="E363">
        <v>182.09</v>
      </c>
      <c r="F363" s="2">
        <v>45788.666684444448</v>
      </c>
      <c r="G363" t="s">
        <v>102</v>
      </c>
      <c r="H363" t="s">
        <v>76</v>
      </c>
      <c r="I363" t="s">
        <v>163</v>
      </c>
    </row>
    <row r="364" spans="1:9" x14ac:dyDescent="0.45">
      <c r="A364" t="s">
        <v>761</v>
      </c>
      <c r="B364" t="s">
        <v>138</v>
      </c>
      <c r="C364" t="s">
        <v>762</v>
      </c>
      <c r="D364" t="s">
        <v>106</v>
      </c>
      <c r="E364">
        <v>5238.9799999999996</v>
      </c>
      <c r="F364" s="2">
        <v>45435.666684444448</v>
      </c>
      <c r="G364" t="s">
        <v>140</v>
      </c>
      <c r="H364" t="s">
        <v>76</v>
      </c>
      <c r="I364" t="s">
        <v>82</v>
      </c>
    </row>
    <row r="365" spans="1:9" x14ac:dyDescent="0.45">
      <c r="A365" t="s">
        <v>763</v>
      </c>
      <c r="B365" t="s">
        <v>95</v>
      </c>
      <c r="C365" t="s">
        <v>764</v>
      </c>
      <c r="E365">
        <v>5400.62</v>
      </c>
      <c r="F365" s="2">
        <v>45596.666684444448</v>
      </c>
      <c r="G365" t="s">
        <v>97</v>
      </c>
      <c r="H365" t="s">
        <v>81</v>
      </c>
      <c r="I365" t="s">
        <v>82</v>
      </c>
    </row>
    <row r="366" spans="1:9" x14ac:dyDescent="0.45">
      <c r="A366" t="s">
        <v>765</v>
      </c>
      <c r="B366" t="s">
        <v>99</v>
      </c>
      <c r="C366" t="s">
        <v>766</v>
      </c>
      <c r="D366" t="s">
        <v>101</v>
      </c>
      <c r="E366">
        <v>4657.18</v>
      </c>
      <c r="F366" s="2">
        <v>45451.666684444448</v>
      </c>
      <c r="G366" t="s">
        <v>102</v>
      </c>
      <c r="H366" t="s">
        <v>145</v>
      </c>
      <c r="I366" t="s">
        <v>163</v>
      </c>
    </row>
    <row r="367" spans="1:9" x14ac:dyDescent="0.45">
      <c r="A367" t="s">
        <v>767</v>
      </c>
      <c r="B367" t="s">
        <v>72</v>
      </c>
      <c r="C367" t="s">
        <v>768</v>
      </c>
      <c r="D367" t="s">
        <v>106</v>
      </c>
      <c r="E367">
        <v>11093.93</v>
      </c>
      <c r="F367" s="2">
        <v>45202.666684444448</v>
      </c>
      <c r="G367" t="s">
        <v>521</v>
      </c>
      <c r="H367" t="s">
        <v>116</v>
      </c>
      <c r="I367" t="s">
        <v>119</v>
      </c>
    </row>
    <row r="368" spans="1:9" x14ac:dyDescent="0.45">
      <c r="A368" t="s">
        <v>769</v>
      </c>
      <c r="B368" t="s">
        <v>172</v>
      </c>
      <c r="C368" t="s">
        <v>255</v>
      </c>
      <c r="D368" t="s">
        <v>85</v>
      </c>
      <c r="E368">
        <v>160.91</v>
      </c>
      <c r="F368" s="2">
        <v>45137.666684444448</v>
      </c>
      <c r="H368" t="s">
        <v>81</v>
      </c>
      <c r="I368" t="s">
        <v>163</v>
      </c>
    </row>
    <row r="369" spans="1:9" x14ac:dyDescent="0.45">
      <c r="A369" t="s">
        <v>770</v>
      </c>
      <c r="B369" t="s">
        <v>95</v>
      </c>
      <c r="C369" t="s">
        <v>771</v>
      </c>
      <c r="D369" t="s">
        <v>155</v>
      </c>
      <c r="E369">
        <v>0</v>
      </c>
      <c r="F369" s="2">
        <v>45597.666684444448</v>
      </c>
      <c r="G369" t="s">
        <v>97</v>
      </c>
      <c r="H369" t="s">
        <v>145</v>
      </c>
      <c r="I369" t="s">
        <v>112</v>
      </c>
    </row>
    <row r="370" spans="1:9" x14ac:dyDescent="0.45">
      <c r="A370" t="s">
        <v>772</v>
      </c>
      <c r="B370" t="s">
        <v>79</v>
      </c>
      <c r="C370" t="s">
        <v>330</v>
      </c>
      <c r="D370" t="s">
        <v>92</v>
      </c>
      <c r="E370">
        <v>2657.41</v>
      </c>
      <c r="F370" s="2">
        <v>45764.666684444448</v>
      </c>
      <c r="G370" t="s">
        <v>86</v>
      </c>
      <c r="H370" t="s">
        <v>81</v>
      </c>
      <c r="I370" t="s">
        <v>88</v>
      </c>
    </row>
    <row r="371" spans="1:9" x14ac:dyDescent="0.45">
      <c r="A371" t="s">
        <v>773</v>
      </c>
      <c r="B371" t="s">
        <v>109</v>
      </c>
      <c r="C371" t="s">
        <v>774</v>
      </c>
      <c r="D371" t="s">
        <v>101</v>
      </c>
      <c r="E371">
        <v>699.3</v>
      </c>
      <c r="F371" s="2">
        <v>45704.666684444448</v>
      </c>
      <c r="G371" t="s">
        <v>111</v>
      </c>
      <c r="H371" t="s">
        <v>145</v>
      </c>
      <c r="I371" t="s">
        <v>112</v>
      </c>
    </row>
    <row r="372" spans="1:9" x14ac:dyDescent="0.45">
      <c r="A372" t="s">
        <v>775</v>
      </c>
      <c r="B372" t="s">
        <v>109</v>
      </c>
      <c r="C372" t="s">
        <v>263</v>
      </c>
      <c r="D372" t="s">
        <v>101</v>
      </c>
      <c r="E372">
        <v>10493</v>
      </c>
      <c r="F372" s="2">
        <v>45230.666684444448</v>
      </c>
      <c r="G372" t="s">
        <v>111</v>
      </c>
      <c r="H372" t="s">
        <v>133</v>
      </c>
      <c r="I372" t="s">
        <v>77</v>
      </c>
    </row>
    <row r="373" spans="1:9" x14ac:dyDescent="0.45">
      <c r="A373" t="s">
        <v>776</v>
      </c>
      <c r="B373" t="s">
        <v>95</v>
      </c>
      <c r="C373" t="s">
        <v>511</v>
      </c>
      <c r="D373" t="s">
        <v>85</v>
      </c>
      <c r="E373">
        <v>107.98</v>
      </c>
      <c r="F373" s="2">
        <v>45203.666684444448</v>
      </c>
      <c r="G373" t="s">
        <v>97</v>
      </c>
      <c r="H373" t="s">
        <v>136</v>
      </c>
      <c r="I373" t="s">
        <v>88</v>
      </c>
    </row>
    <row r="374" spans="1:9" x14ac:dyDescent="0.45">
      <c r="A374" t="s">
        <v>777</v>
      </c>
      <c r="B374" t="s">
        <v>172</v>
      </c>
      <c r="C374" t="s">
        <v>778</v>
      </c>
      <c r="D374" t="s">
        <v>92</v>
      </c>
      <c r="E374">
        <v>4881.87</v>
      </c>
      <c r="F374" s="2">
        <v>45678.666684444448</v>
      </c>
      <c r="G374" t="s">
        <v>174</v>
      </c>
      <c r="H374" t="s">
        <v>76</v>
      </c>
      <c r="I374" t="s">
        <v>112</v>
      </c>
    </row>
    <row r="375" spans="1:9" x14ac:dyDescent="0.45">
      <c r="A375" t="s">
        <v>779</v>
      </c>
      <c r="B375" t="s">
        <v>104</v>
      </c>
      <c r="C375" t="s">
        <v>401</v>
      </c>
      <c r="D375" t="s">
        <v>101</v>
      </c>
      <c r="E375">
        <v>3572.15</v>
      </c>
      <c r="F375" s="2">
        <v>45346.666684444448</v>
      </c>
      <c r="G375" t="s">
        <v>115</v>
      </c>
      <c r="H375" t="s">
        <v>136</v>
      </c>
      <c r="I375" t="s">
        <v>112</v>
      </c>
    </row>
    <row r="376" spans="1:9" x14ac:dyDescent="0.45">
      <c r="A376" t="s">
        <v>780</v>
      </c>
      <c r="B376" t="s">
        <v>109</v>
      </c>
      <c r="C376" t="s">
        <v>781</v>
      </c>
      <c r="D376" t="s">
        <v>85</v>
      </c>
      <c r="E376">
        <v>0</v>
      </c>
      <c r="F376" s="2">
        <v>45646.666684444448</v>
      </c>
      <c r="G376" t="s">
        <v>307</v>
      </c>
      <c r="H376" t="s">
        <v>145</v>
      </c>
      <c r="I376" t="s">
        <v>82</v>
      </c>
    </row>
    <row r="377" spans="1:9" x14ac:dyDescent="0.45">
      <c r="A377" t="s">
        <v>782</v>
      </c>
      <c r="B377" t="s">
        <v>95</v>
      </c>
      <c r="C377" t="s">
        <v>393</v>
      </c>
      <c r="D377" t="s">
        <v>101</v>
      </c>
      <c r="E377">
        <v>6289.86</v>
      </c>
      <c r="F377" s="2">
        <v>45399.666684444448</v>
      </c>
      <c r="G377" t="s">
        <v>97</v>
      </c>
      <c r="H377" t="s">
        <v>87</v>
      </c>
      <c r="I377" t="s">
        <v>119</v>
      </c>
    </row>
    <row r="378" spans="1:9" x14ac:dyDescent="0.45">
      <c r="A378" t="s">
        <v>783</v>
      </c>
      <c r="B378" t="s">
        <v>72</v>
      </c>
      <c r="C378" t="s">
        <v>784</v>
      </c>
      <c r="E378">
        <v>455.71</v>
      </c>
      <c r="F378" s="2">
        <v>45263.666684444448</v>
      </c>
      <c r="G378" t="s">
        <v>75</v>
      </c>
      <c r="H378" t="s">
        <v>136</v>
      </c>
      <c r="I378" t="s">
        <v>82</v>
      </c>
    </row>
    <row r="379" spans="1:9" x14ac:dyDescent="0.45">
      <c r="A379" t="s">
        <v>747</v>
      </c>
      <c r="B379" t="s">
        <v>172</v>
      </c>
      <c r="C379" t="s">
        <v>785</v>
      </c>
      <c r="D379" t="s">
        <v>85</v>
      </c>
      <c r="E379">
        <v>5783.83</v>
      </c>
      <c r="F379" s="2">
        <v>45485.666684444448</v>
      </c>
      <c r="G379" t="s">
        <v>174</v>
      </c>
      <c r="H379" t="s">
        <v>128</v>
      </c>
      <c r="I379" t="s">
        <v>77</v>
      </c>
    </row>
    <row r="380" spans="1:9" x14ac:dyDescent="0.45">
      <c r="A380" t="s">
        <v>786</v>
      </c>
      <c r="B380" t="s">
        <v>172</v>
      </c>
      <c r="C380" t="s">
        <v>787</v>
      </c>
      <c r="D380" t="s">
        <v>74</v>
      </c>
      <c r="E380">
        <v>5427.77</v>
      </c>
      <c r="F380" s="2">
        <v>45198.666684444448</v>
      </c>
      <c r="G380" t="s">
        <v>174</v>
      </c>
      <c r="H380" t="s">
        <v>145</v>
      </c>
      <c r="I380" t="s">
        <v>112</v>
      </c>
    </row>
    <row r="381" spans="1:9" x14ac:dyDescent="0.45">
      <c r="A381" t="s">
        <v>788</v>
      </c>
      <c r="B381" t="s">
        <v>104</v>
      </c>
      <c r="C381" t="s">
        <v>789</v>
      </c>
      <c r="D381" t="s">
        <v>74</v>
      </c>
      <c r="E381">
        <v>0</v>
      </c>
      <c r="F381" s="2">
        <v>45378.666684444448</v>
      </c>
      <c r="G381" t="s">
        <v>115</v>
      </c>
      <c r="H381" t="s">
        <v>116</v>
      </c>
      <c r="I381" t="s">
        <v>77</v>
      </c>
    </row>
    <row r="382" spans="1:9" x14ac:dyDescent="0.45">
      <c r="A382" t="s">
        <v>790</v>
      </c>
      <c r="B382" t="s">
        <v>99</v>
      </c>
      <c r="C382" t="s">
        <v>472</v>
      </c>
      <c r="D382" t="s">
        <v>74</v>
      </c>
      <c r="E382">
        <v>3841.32</v>
      </c>
      <c r="F382" s="2">
        <v>45506.666684444448</v>
      </c>
      <c r="G382" t="s">
        <v>102</v>
      </c>
      <c r="H382" t="s">
        <v>107</v>
      </c>
      <c r="I382" t="s">
        <v>163</v>
      </c>
    </row>
    <row r="383" spans="1:9" x14ac:dyDescent="0.45">
      <c r="A383" t="s">
        <v>791</v>
      </c>
      <c r="B383" t="s">
        <v>90</v>
      </c>
      <c r="C383" t="s">
        <v>650</v>
      </c>
      <c r="D383" t="s">
        <v>85</v>
      </c>
      <c r="E383">
        <v>7850.76</v>
      </c>
      <c r="F383" s="2">
        <v>45419.666684444448</v>
      </c>
      <c r="G383" t="s">
        <v>93</v>
      </c>
      <c r="H383" t="s">
        <v>133</v>
      </c>
      <c r="I383" t="s">
        <v>112</v>
      </c>
    </row>
    <row r="384" spans="1:9" x14ac:dyDescent="0.45">
      <c r="A384" t="s">
        <v>792</v>
      </c>
      <c r="B384" t="s">
        <v>109</v>
      </c>
      <c r="C384" t="s">
        <v>704</v>
      </c>
      <c r="D384" t="s">
        <v>74</v>
      </c>
      <c r="E384">
        <v>11612.88</v>
      </c>
      <c r="F384" s="2">
        <v>45289.666684444448</v>
      </c>
      <c r="G384" t="s">
        <v>111</v>
      </c>
      <c r="H384" t="s">
        <v>76</v>
      </c>
      <c r="I384" t="s">
        <v>163</v>
      </c>
    </row>
    <row r="385" spans="1:9" x14ac:dyDescent="0.45">
      <c r="A385" t="s">
        <v>793</v>
      </c>
      <c r="B385" t="s">
        <v>90</v>
      </c>
      <c r="C385" t="s">
        <v>794</v>
      </c>
      <c r="D385" t="s">
        <v>74</v>
      </c>
      <c r="E385">
        <v>11978.81</v>
      </c>
      <c r="F385" s="2">
        <v>45576.666684444448</v>
      </c>
      <c r="G385" t="s">
        <v>93</v>
      </c>
      <c r="H385" t="s">
        <v>133</v>
      </c>
      <c r="I385" t="s">
        <v>77</v>
      </c>
    </row>
    <row r="386" spans="1:9" x14ac:dyDescent="0.45">
      <c r="A386" t="s">
        <v>795</v>
      </c>
      <c r="B386" t="s">
        <v>90</v>
      </c>
      <c r="C386" t="s">
        <v>796</v>
      </c>
      <c r="D386" t="s">
        <v>155</v>
      </c>
      <c r="E386">
        <v>2294.5300000000002</v>
      </c>
      <c r="F386" s="2">
        <v>45684.666684444448</v>
      </c>
      <c r="G386" t="s">
        <v>93</v>
      </c>
      <c r="H386" t="s">
        <v>87</v>
      </c>
      <c r="I386" t="s">
        <v>119</v>
      </c>
    </row>
    <row r="387" spans="1:9" x14ac:dyDescent="0.45">
      <c r="A387" t="s">
        <v>797</v>
      </c>
      <c r="B387" t="s">
        <v>72</v>
      </c>
      <c r="C387" t="s">
        <v>798</v>
      </c>
      <c r="D387" t="s">
        <v>148</v>
      </c>
      <c r="E387">
        <v>5832.53</v>
      </c>
      <c r="F387" s="2">
        <v>45848.666684444448</v>
      </c>
      <c r="G387" t="s">
        <v>75</v>
      </c>
      <c r="H387" t="s">
        <v>81</v>
      </c>
      <c r="I387" t="s">
        <v>77</v>
      </c>
    </row>
    <row r="388" spans="1:9" x14ac:dyDescent="0.45">
      <c r="A388" t="s">
        <v>134</v>
      </c>
      <c r="B388" t="s">
        <v>79</v>
      </c>
      <c r="C388" t="s">
        <v>799</v>
      </c>
      <c r="D388" t="s">
        <v>85</v>
      </c>
      <c r="E388">
        <v>6336.57</v>
      </c>
      <c r="F388" s="2">
        <v>45437.666684444448</v>
      </c>
      <c r="G388" t="s">
        <v>86</v>
      </c>
      <c r="H388" t="s">
        <v>116</v>
      </c>
      <c r="I388" t="s">
        <v>77</v>
      </c>
    </row>
    <row r="389" spans="1:9" x14ac:dyDescent="0.45">
      <c r="A389" t="s">
        <v>800</v>
      </c>
      <c r="B389" t="s">
        <v>90</v>
      </c>
      <c r="C389" t="s">
        <v>801</v>
      </c>
      <c r="D389" t="s">
        <v>106</v>
      </c>
      <c r="E389">
        <v>8687.8700000000008</v>
      </c>
      <c r="F389" s="2">
        <v>45754.666684444448</v>
      </c>
      <c r="H389" t="s">
        <v>76</v>
      </c>
      <c r="I389" t="s">
        <v>88</v>
      </c>
    </row>
    <row r="390" spans="1:9" x14ac:dyDescent="0.45">
      <c r="A390" t="s">
        <v>802</v>
      </c>
      <c r="B390" t="s">
        <v>172</v>
      </c>
      <c r="C390" t="s">
        <v>385</v>
      </c>
      <c r="D390" t="s">
        <v>74</v>
      </c>
      <c r="E390">
        <v>1261.17</v>
      </c>
      <c r="F390" s="2">
        <v>45797.666684444448</v>
      </c>
      <c r="G390" t="s">
        <v>174</v>
      </c>
      <c r="H390" t="s">
        <v>76</v>
      </c>
      <c r="I390" t="s">
        <v>88</v>
      </c>
    </row>
    <row r="391" spans="1:9" x14ac:dyDescent="0.45">
      <c r="A391" t="s">
        <v>803</v>
      </c>
      <c r="B391" t="s">
        <v>104</v>
      </c>
      <c r="C391" t="s">
        <v>804</v>
      </c>
      <c r="D391" t="s">
        <v>85</v>
      </c>
      <c r="E391">
        <v>1901.43</v>
      </c>
      <c r="F391" s="2">
        <v>45669.666684444448</v>
      </c>
      <c r="G391" t="s">
        <v>115</v>
      </c>
      <c r="H391" t="s">
        <v>133</v>
      </c>
      <c r="I391" t="s">
        <v>112</v>
      </c>
    </row>
    <row r="392" spans="1:9" x14ac:dyDescent="0.45">
      <c r="A392" t="s">
        <v>805</v>
      </c>
      <c r="B392" t="s">
        <v>104</v>
      </c>
      <c r="C392" t="s">
        <v>629</v>
      </c>
      <c r="D392" t="s">
        <v>85</v>
      </c>
      <c r="E392">
        <v>3732.44</v>
      </c>
      <c r="F392" s="2">
        <v>45136.666684444448</v>
      </c>
      <c r="G392" t="s">
        <v>115</v>
      </c>
      <c r="H392" t="s">
        <v>133</v>
      </c>
      <c r="I392" t="s">
        <v>112</v>
      </c>
    </row>
    <row r="393" spans="1:9" x14ac:dyDescent="0.45">
      <c r="A393" t="s">
        <v>806</v>
      </c>
      <c r="B393" t="s">
        <v>79</v>
      </c>
      <c r="C393" t="s">
        <v>807</v>
      </c>
      <c r="D393" t="s">
        <v>85</v>
      </c>
      <c r="E393">
        <v>129.58000000000001</v>
      </c>
      <c r="F393" s="2">
        <v>45811.666684444448</v>
      </c>
      <c r="G393" t="s">
        <v>86</v>
      </c>
      <c r="H393" t="s">
        <v>133</v>
      </c>
      <c r="I393" t="s">
        <v>88</v>
      </c>
    </row>
    <row r="394" spans="1:9" x14ac:dyDescent="0.45">
      <c r="A394" t="s">
        <v>808</v>
      </c>
      <c r="B394" t="s">
        <v>99</v>
      </c>
      <c r="C394" t="s">
        <v>809</v>
      </c>
      <c r="D394" t="s">
        <v>101</v>
      </c>
      <c r="E394">
        <v>1359.24</v>
      </c>
      <c r="F394" s="2">
        <v>45695.666684444448</v>
      </c>
      <c r="G394" t="s">
        <v>102</v>
      </c>
      <c r="H394" t="s">
        <v>81</v>
      </c>
      <c r="I394" t="s">
        <v>77</v>
      </c>
    </row>
    <row r="395" spans="1:9" x14ac:dyDescent="0.45">
      <c r="A395" t="s">
        <v>810</v>
      </c>
      <c r="B395" t="s">
        <v>172</v>
      </c>
      <c r="C395" t="s">
        <v>811</v>
      </c>
      <c r="D395" t="s">
        <v>85</v>
      </c>
      <c r="E395">
        <v>5902.41</v>
      </c>
      <c r="F395" s="2">
        <v>45434.666684444448</v>
      </c>
      <c r="H395" t="s">
        <v>133</v>
      </c>
      <c r="I395" t="s">
        <v>77</v>
      </c>
    </row>
    <row r="396" spans="1:9" x14ac:dyDescent="0.45">
      <c r="A396" t="s">
        <v>812</v>
      </c>
      <c r="B396" t="s">
        <v>172</v>
      </c>
      <c r="C396" t="s">
        <v>496</v>
      </c>
      <c r="D396" t="s">
        <v>101</v>
      </c>
      <c r="E396">
        <v>7007.12</v>
      </c>
      <c r="F396" s="2">
        <v>45807.666684444448</v>
      </c>
      <c r="G396" t="s">
        <v>174</v>
      </c>
      <c r="I396" t="s">
        <v>112</v>
      </c>
    </row>
    <row r="397" spans="1:9" x14ac:dyDescent="0.45">
      <c r="A397" t="s">
        <v>813</v>
      </c>
      <c r="B397" t="s">
        <v>138</v>
      </c>
      <c r="C397" t="s">
        <v>814</v>
      </c>
      <c r="D397" t="s">
        <v>92</v>
      </c>
      <c r="E397">
        <v>0</v>
      </c>
      <c r="F397" s="2">
        <v>45234.666684444448</v>
      </c>
      <c r="G397" t="s">
        <v>140</v>
      </c>
      <c r="H397" t="s">
        <v>145</v>
      </c>
      <c r="I397" t="s">
        <v>112</v>
      </c>
    </row>
    <row r="398" spans="1:9" x14ac:dyDescent="0.45">
      <c r="A398" t="s">
        <v>815</v>
      </c>
      <c r="B398" t="s">
        <v>90</v>
      </c>
      <c r="C398" t="s">
        <v>816</v>
      </c>
      <c r="D398" t="s">
        <v>74</v>
      </c>
      <c r="E398">
        <v>837.59</v>
      </c>
      <c r="F398" s="2">
        <v>45265.666684444448</v>
      </c>
      <c r="G398" t="s">
        <v>93</v>
      </c>
      <c r="H398" t="s">
        <v>145</v>
      </c>
      <c r="I398" t="s">
        <v>119</v>
      </c>
    </row>
    <row r="399" spans="1:9" x14ac:dyDescent="0.45">
      <c r="A399" t="s">
        <v>817</v>
      </c>
      <c r="B399" t="s">
        <v>95</v>
      </c>
      <c r="C399" t="s">
        <v>311</v>
      </c>
      <c r="D399" t="s">
        <v>74</v>
      </c>
      <c r="E399">
        <v>2068.19</v>
      </c>
      <c r="F399" s="2">
        <v>45398.666684444448</v>
      </c>
      <c r="G399" t="s">
        <v>97</v>
      </c>
      <c r="H399" t="s">
        <v>107</v>
      </c>
      <c r="I399" t="s">
        <v>112</v>
      </c>
    </row>
    <row r="400" spans="1:9" x14ac:dyDescent="0.45">
      <c r="A400" t="s">
        <v>818</v>
      </c>
      <c r="B400" t="s">
        <v>104</v>
      </c>
      <c r="C400" t="s">
        <v>819</v>
      </c>
      <c r="D400" t="s">
        <v>74</v>
      </c>
      <c r="E400">
        <v>10939.09</v>
      </c>
      <c r="F400" s="2">
        <v>45246.666684444448</v>
      </c>
      <c r="G400" t="s">
        <v>115</v>
      </c>
      <c r="I400" t="s">
        <v>163</v>
      </c>
    </row>
    <row r="401" spans="1:9" x14ac:dyDescent="0.45">
      <c r="A401" t="s">
        <v>820</v>
      </c>
      <c r="B401" t="s">
        <v>90</v>
      </c>
      <c r="C401" t="s">
        <v>821</v>
      </c>
      <c r="D401" t="s">
        <v>101</v>
      </c>
      <c r="E401">
        <v>6325.77</v>
      </c>
      <c r="F401" s="2">
        <v>45237.666684444448</v>
      </c>
      <c r="G401" t="s">
        <v>93</v>
      </c>
      <c r="H401" t="s">
        <v>87</v>
      </c>
      <c r="I401" t="s">
        <v>119</v>
      </c>
    </row>
    <row r="402" spans="1:9" x14ac:dyDescent="0.45">
      <c r="A402" t="s">
        <v>822</v>
      </c>
      <c r="B402" t="s">
        <v>109</v>
      </c>
      <c r="C402" t="s">
        <v>823</v>
      </c>
      <c r="D402" t="s">
        <v>85</v>
      </c>
      <c r="E402">
        <v>60.95</v>
      </c>
      <c r="F402" s="2">
        <v>45694.666684444448</v>
      </c>
      <c r="G402" t="s">
        <v>111</v>
      </c>
      <c r="H402" t="s">
        <v>81</v>
      </c>
      <c r="I402" t="s">
        <v>82</v>
      </c>
    </row>
    <row r="403" spans="1:9" x14ac:dyDescent="0.45">
      <c r="A403" t="s">
        <v>824</v>
      </c>
      <c r="B403" t="s">
        <v>79</v>
      </c>
      <c r="C403" t="s">
        <v>825</v>
      </c>
      <c r="D403" t="s">
        <v>74</v>
      </c>
      <c r="E403">
        <v>2369.39</v>
      </c>
      <c r="F403" s="2">
        <v>45287.666684444448</v>
      </c>
      <c r="G403" t="s">
        <v>86</v>
      </c>
      <c r="H403" t="s">
        <v>118</v>
      </c>
      <c r="I403" t="s">
        <v>112</v>
      </c>
    </row>
    <row r="404" spans="1:9" x14ac:dyDescent="0.45">
      <c r="A404" t="s">
        <v>826</v>
      </c>
      <c r="B404" t="s">
        <v>172</v>
      </c>
      <c r="C404" t="s">
        <v>827</v>
      </c>
      <c r="D404" t="s">
        <v>148</v>
      </c>
      <c r="E404">
        <v>8835.0499999999993</v>
      </c>
      <c r="F404" s="2">
        <v>45406.666684444448</v>
      </c>
      <c r="G404" t="s">
        <v>174</v>
      </c>
      <c r="H404" t="s">
        <v>81</v>
      </c>
      <c r="I404" t="s">
        <v>112</v>
      </c>
    </row>
    <row r="405" spans="1:9" x14ac:dyDescent="0.45">
      <c r="A405" t="s">
        <v>828</v>
      </c>
      <c r="B405" t="s">
        <v>138</v>
      </c>
      <c r="D405" t="s">
        <v>101</v>
      </c>
      <c r="E405">
        <v>7874.44</v>
      </c>
      <c r="F405" s="2">
        <v>45416.666684444448</v>
      </c>
      <c r="G405" t="s">
        <v>194</v>
      </c>
      <c r="H405" t="s">
        <v>116</v>
      </c>
      <c r="I405" t="s">
        <v>163</v>
      </c>
    </row>
    <row r="406" spans="1:9" x14ac:dyDescent="0.45">
      <c r="A406" t="s">
        <v>829</v>
      </c>
      <c r="B406" t="s">
        <v>79</v>
      </c>
      <c r="C406" t="s">
        <v>691</v>
      </c>
      <c r="D406" t="s">
        <v>74</v>
      </c>
      <c r="E406">
        <v>6859.53</v>
      </c>
      <c r="F406" s="2">
        <v>45747.666684444448</v>
      </c>
      <c r="G406" t="s">
        <v>86</v>
      </c>
      <c r="H406" t="s">
        <v>136</v>
      </c>
      <c r="I406" t="s">
        <v>119</v>
      </c>
    </row>
    <row r="407" spans="1:9" x14ac:dyDescent="0.45">
      <c r="A407" t="s">
        <v>830</v>
      </c>
      <c r="B407" t="s">
        <v>90</v>
      </c>
      <c r="C407" t="s">
        <v>831</v>
      </c>
      <c r="D407" t="s">
        <v>92</v>
      </c>
      <c r="E407">
        <v>0</v>
      </c>
      <c r="F407" s="2">
        <v>45343.666684444448</v>
      </c>
      <c r="G407" t="s">
        <v>93</v>
      </c>
      <c r="H407" t="s">
        <v>87</v>
      </c>
      <c r="I407" t="s">
        <v>88</v>
      </c>
    </row>
    <row r="408" spans="1:9" x14ac:dyDescent="0.45">
      <c r="A408" t="s">
        <v>832</v>
      </c>
      <c r="B408" t="s">
        <v>99</v>
      </c>
      <c r="C408" t="s">
        <v>766</v>
      </c>
      <c r="D408" t="s">
        <v>74</v>
      </c>
      <c r="E408">
        <v>7513.18</v>
      </c>
      <c r="F408" s="2">
        <v>45479.666684444448</v>
      </c>
      <c r="G408" t="s">
        <v>102</v>
      </c>
      <c r="H408" t="s">
        <v>87</v>
      </c>
      <c r="I408" t="s">
        <v>112</v>
      </c>
    </row>
    <row r="409" spans="1:9" x14ac:dyDescent="0.45">
      <c r="A409" t="s">
        <v>833</v>
      </c>
      <c r="B409" t="s">
        <v>109</v>
      </c>
      <c r="C409" t="s">
        <v>834</v>
      </c>
      <c r="D409" t="s">
        <v>85</v>
      </c>
      <c r="E409">
        <v>6067.88</v>
      </c>
      <c r="F409" s="2">
        <v>45336.666684444448</v>
      </c>
      <c r="H409" t="s">
        <v>133</v>
      </c>
      <c r="I409" t="s">
        <v>119</v>
      </c>
    </row>
    <row r="410" spans="1:9" x14ac:dyDescent="0.45">
      <c r="A410" t="s">
        <v>835</v>
      </c>
      <c r="B410" t="s">
        <v>90</v>
      </c>
      <c r="C410" t="s">
        <v>836</v>
      </c>
      <c r="D410" t="s">
        <v>92</v>
      </c>
      <c r="E410">
        <v>0</v>
      </c>
      <c r="F410" s="2">
        <v>45831.666684444448</v>
      </c>
      <c r="G410" t="s">
        <v>93</v>
      </c>
      <c r="I410" t="s">
        <v>119</v>
      </c>
    </row>
    <row r="411" spans="1:9" x14ac:dyDescent="0.45">
      <c r="A411" t="s">
        <v>837</v>
      </c>
      <c r="B411" t="s">
        <v>95</v>
      </c>
      <c r="C411" t="s">
        <v>838</v>
      </c>
      <c r="D411" t="s">
        <v>74</v>
      </c>
      <c r="E411">
        <v>7867.55</v>
      </c>
      <c r="F411" s="2">
        <v>45777.666684444448</v>
      </c>
      <c r="G411" t="s">
        <v>97</v>
      </c>
      <c r="I411" t="s">
        <v>163</v>
      </c>
    </row>
    <row r="412" spans="1:9" x14ac:dyDescent="0.45">
      <c r="A412" t="s">
        <v>839</v>
      </c>
      <c r="B412" t="s">
        <v>72</v>
      </c>
      <c r="C412" t="s">
        <v>840</v>
      </c>
      <c r="D412" t="s">
        <v>74</v>
      </c>
      <c r="E412">
        <v>3366.33</v>
      </c>
      <c r="F412" s="2">
        <v>45398.666684444448</v>
      </c>
      <c r="G412" t="s">
        <v>75</v>
      </c>
      <c r="H412" t="s">
        <v>128</v>
      </c>
      <c r="I412" t="s">
        <v>163</v>
      </c>
    </row>
    <row r="413" spans="1:9" x14ac:dyDescent="0.45">
      <c r="A413" t="s">
        <v>841</v>
      </c>
      <c r="B413" t="s">
        <v>90</v>
      </c>
      <c r="D413" t="s">
        <v>101</v>
      </c>
      <c r="E413">
        <v>7011.84</v>
      </c>
      <c r="F413" s="2">
        <v>45645.666684444448</v>
      </c>
      <c r="H413" t="s">
        <v>107</v>
      </c>
      <c r="I413" t="s">
        <v>88</v>
      </c>
    </row>
    <row r="414" spans="1:9" x14ac:dyDescent="0.45">
      <c r="A414" t="s">
        <v>842</v>
      </c>
      <c r="B414" t="s">
        <v>90</v>
      </c>
      <c r="C414" t="s">
        <v>843</v>
      </c>
      <c r="D414" t="s">
        <v>74</v>
      </c>
      <c r="E414">
        <v>3821.42</v>
      </c>
      <c r="F414" s="2">
        <v>45628.666684444448</v>
      </c>
      <c r="G414" t="s">
        <v>93</v>
      </c>
      <c r="H414" t="s">
        <v>81</v>
      </c>
      <c r="I414" t="s">
        <v>82</v>
      </c>
    </row>
    <row r="415" spans="1:9" x14ac:dyDescent="0.45">
      <c r="A415" t="s">
        <v>844</v>
      </c>
      <c r="B415" t="s">
        <v>99</v>
      </c>
      <c r="C415" t="s">
        <v>845</v>
      </c>
      <c r="D415" t="s">
        <v>74</v>
      </c>
      <c r="E415">
        <v>3452.62</v>
      </c>
      <c r="F415" s="2">
        <v>45385.666684444448</v>
      </c>
      <c r="G415" t="s">
        <v>102</v>
      </c>
      <c r="H415" t="s">
        <v>133</v>
      </c>
      <c r="I415" t="s">
        <v>77</v>
      </c>
    </row>
    <row r="416" spans="1:9" x14ac:dyDescent="0.45">
      <c r="A416" t="s">
        <v>846</v>
      </c>
      <c r="B416" t="s">
        <v>172</v>
      </c>
      <c r="C416" t="s">
        <v>847</v>
      </c>
      <c r="D416" t="s">
        <v>101</v>
      </c>
      <c r="E416">
        <v>841.22</v>
      </c>
      <c r="F416" s="2">
        <v>45180.666684444448</v>
      </c>
      <c r="G416" t="s">
        <v>174</v>
      </c>
      <c r="H416" t="s">
        <v>87</v>
      </c>
      <c r="I416" t="s">
        <v>77</v>
      </c>
    </row>
    <row r="417" spans="1:9" x14ac:dyDescent="0.45">
      <c r="A417" t="s">
        <v>848</v>
      </c>
      <c r="B417" t="s">
        <v>104</v>
      </c>
      <c r="C417" t="s">
        <v>601</v>
      </c>
      <c r="D417" t="s">
        <v>101</v>
      </c>
      <c r="E417">
        <v>5994.8</v>
      </c>
      <c r="F417" s="2">
        <v>45222.666684444448</v>
      </c>
      <c r="G417" t="s">
        <v>115</v>
      </c>
      <c r="H417" t="s">
        <v>133</v>
      </c>
      <c r="I417" t="s">
        <v>112</v>
      </c>
    </row>
    <row r="418" spans="1:9" x14ac:dyDescent="0.45">
      <c r="A418" t="s">
        <v>849</v>
      </c>
      <c r="B418" t="s">
        <v>72</v>
      </c>
      <c r="C418" t="s">
        <v>388</v>
      </c>
      <c r="D418" t="s">
        <v>85</v>
      </c>
      <c r="E418">
        <v>7332.28</v>
      </c>
      <c r="F418" s="2">
        <v>45777.666684444448</v>
      </c>
      <c r="G418" t="s">
        <v>75</v>
      </c>
      <c r="H418" t="s">
        <v>128</v>
      </c>
      <c r="I418" t="s">
        <v>112</v>
      </c>
    </row>
    <row r="419" spans="1:9" x14ac:dyDescent="0.45">
      <c r="A419" t="s">
        <v>850</v>
      </c>
      <c r="B419" t="s">
        <v>99</v>
      </c>
      <c r="C419" t="s">
        <v>851</v>
      </c>
      <c r="D419" t="s">
        <v>92</v>
      </c>
      <c r="E419">
        <v>1584.42</v>
      </c>
      <c r="F419" s="2">
        <v>45561.666684444448</v>
      </c>
      <c r="G419" t="s">
        <v>102</v>
      </c>
      <c r="I419" t="s">
        <v>82</v>
      </c>
    </row>
    <row r="420" spans="1:9" x14ac:dyDescent="0.45">
      <c r="A420" t="s">
        <v>852</v>
      </c>
      <c r="B420" t="s">
        <v>104</v>
      </c>
      <c r="C420" t="s">
        <v>853</v>
      </c>
      <c r="D420" t="s">
        <v>85</v>
      </c>
      <c r="E420">
        <v>3311.14</v>
      </c>
      <c r="F420" s="2">
        <v>45411.666684444448</v>
      </c>
      <c r="I420" t="s">
        <v>163</v>
      </c>
    </row>
    <row r="421" spans="1:9" x14ac:dyDescent="0.45">
      <c r="A421" t="s">
        <v>854</v>
      </c>
      <c r="B421" t="s">
        <v>95</v>
      </c>
      <c r="C421" t="s">
        <v>586</v>
      </c>
      <c r="D421" t="s">
        <v>74</v>
      </c>
      <c r="E421">
        <v>9814.2099999999991</v>
      </c>
      <c r="F421" s="2">
        <v>45173.666684444448</v>
      </c>
      <c r="H421" t="s">
        <v>136</v>
      </c>
      <c r="I421" t="s">
        <v>163</v>
      </c>
    </row>
    <row r="422" spans="1:9" x14ac:dyDescent="0.45">
      <c r="A422" t="s">
        <v>855</v>
      </c>
      <c r="B422" t="s">
        <v>79</v>
      </c>
      <c r="C422" t="s">
        <v>856</v>
      </c>
      <c r="D422" t="s">
        <v>74</v>
      </c>
      <c r="E422">
        <v>9692.8700000000008</v>
      </c>
      <c r="F422" s="2">
        <v>45131.666684444448</v>
      </c>
      <c r="G422" t="s">
        <v>86</v>
      </c>
      <c r="H422" t="s">
        <v>133</v>
      </c>
      <c r="I422" t="s">
        <v>119</v>
      </c>
    </row>
    <row r="423" spans="1:9" x14ac:dyDescent="0.45">
      <c r="A423" t="s">
        <v>857</v>
      </c>
      <c r="B423" t="s">
        <v>72</v>
      </c>
      <c r="C423" t="s">
        <v>858</v>
      </c>
      <c r="D423" t="s">
        <v>148</v>
      </c>
      <c r="E423">
        <v>1211.3699999999999</v>
      </c>
      <c r="F423" s="2">
        <v>45469.666684444448</v>
      </c>
      <c r="G423" t="s">
        <v>75</v>
      </c>
      <c r="H423" t="s">
        <v>145</v>
      </c>
      <c r="I423" t="s">
        <v>88</v>
      </c>
    </row>
    <row r="424" spans="1:9" x14ac:dyDescent="0.45">
      <c r="A424" t="s">
        <v>859</v>
      </c>
      <c r="B424" t="s">
        <v>138</v>
      </c>
      <c r="C424" t="s">
        <v>860</v>
      </c>
      <c r="D424" t="s">
        <v>85</v>
      </c>
      <c r="E424">
        <v>7831.22</v>
      </c>
      <c r="F424" s="2">
        <v>45261.666684444448</v>
      </c>
      <c r="G424" t="s">
        <v>194</v>
      </c>
      <c r="H424" t="s">
        <v>81</v>
      </c>
      <c r="I424" t="s">
        <v>163</v>
      </c>
    </row>
    <row r="425" spans="1:9" x14ac:dyDescent="0.45">
      <c r="A425" t="s">
        <v>861</v>
      </c>
      <c r="B425" t="s">
        <v>99</v>
      </c>
      <c r="C425" t="s">
        <v>862</v>
      </c>
      <c r="D425" t="s">
        <v>148</v>
      </c>
      <c r="E425">
        <v>4773.28</v>
      </c>
      <c r="F425" s="2">
        <v>45780.666684444448</v>
      </c>
      <c r="G425" t="s">
        <v>102</v>
      </c>
      <c r="H425" t="s">
        <v>128</v>
      </c>
      <c r="I425" t="s">
        <v>77</v>
      </c>
    </row>
    <row r="426" spans="1:9" x14ac:dyDescent="0.45">
      <c r="A426" t="s">
        <v>863</v>
      </c>
      <c r="B426" t="s">
        <v>79</v>
      </c>
      <c r="C426" t="s">
        <v>864</v>
      </c>
      <c r="D426" t="s">
        <v>101</v>
      </c>
      <c r="E426">
        <v>11777.37</v>
      </c>
      <c r="F426" s="2">
        <v>45396.666684444448</v>
      </c>
      <c r="G426" t="s">
        <v>86</v>
      </c>
      <c r="H426" t="s">
        <v>81</v>
      </c>
      <c r="I426" t="s">
        <v>119</v>
      </c>
    </row>
    <row r="427" spans="1:9" x14ac:dyDescent="0.45">
      <c r="A427" t="s">
        <v>865</v>
      </c>
      <c r="B427" t="s">
        <v>79</v>
      </c>
      <c r="C427" t="s">
        <v>866</v>
      </c>
      <c r="D427" t="s">
        <v>85</v>
      </c>
      <c r="E427">
        <v>3777.66</v>
      </c>
      <c r="F427" s="2">
        <v>45293.666684444448</v>
      </c>
      <c r="G427" t="s">
        <v>86</v>
      </c>
      <c r="H427" t="s">
        <v>87</v>
      </c>
      <c r="I427" t="s">
        <v>82</v>
      </c>
    </row>
    <row r="428" spans="1:9" x14ac:dyDescent="0.45">
      <c r="A428" t="s">
        <v>867</v>
      </c>
      <c r="B428" t="s">
        <v>90</v>
      </c>
      <c r="C428" t="s">
        <v>868</v>
      </c>
      <c r="D428" t="s">
        <v>85</v>
      </c>
      <c r="E428">
        <v>5735.99</v>
      </c>
      <c r="F428" s="2">
        <v>45580.666684444448</v>
      </c>
      <c r="G428" t="s">
        <v>93</v>
      </c>
      <c r="I428" t="s">
        <v>119</v>
      </c>
    </row>
    <row r="429" spans="1:9" x14ac:dyDescent="0.45">
      <c r="A429" t="s">
        <v>869</v>
      </c>
      <c r="B429" t="s">
        <v>90</v>
      </c>
      <c r="C429" t="s">
        <v>870</v>
      </c>
      <c r="D429" t="s">
        <v>101</v>
      </c>
      <c r="E429">
        <v>2109.41</v>
      </c>
      <c r="F429" s="2">
        <v>45692.666684444448</v>
      </c>
      <c r="G429" t="s">
        <v>93</v>
      </c>
      <c r="H429" t="s">
        <v>118</v>
      </c>
      <c r="I429" t="s">
        <v>82</v>
      </c>
    </row>
    <row r="430" spans="1:9" x14ac:dyDescent="0.45">
      <c r="A430" t="s">
        <v>871</v>
      </c>
      <c r="B430" t="s">
        <v>138</v>
      </c>
      <c r="C430" t="s">
        <v>872</v>
      </c>
      <c r="D430" t="s">
        <v>85</v>
      </c>
      <c r="E430">
        <v>3057.21</v>
      </c>
      <c r="F430" s="2">
        <v>45850.666684444448</v>
      </c>
      <c r="G430" t="s">
        <v>140</v>
      </c>
      <c r="H430" t="s">
        <v>128</v>
      </c>
      <c r="I430" t="s">
        <v>82</v>
      </c>
    </row>
    <row r="431" spans="1:9" x14ac:dyDescent="0.45">
      <c r="A431" t="s">
        <v>873</v>
      </c>
      <c r="B431" t="s">
        <v>138</v>
      </c>
      <c r="C431" t="s">
        <v>733</v>
      </c>
      <c r="D431" t="s">
        <v>85</v>
      </c>
      <c r="E431">
        <v>1356.64</v>
      </c>
      <c r="F431" s="2">
        <v>45565.666684444448</v>
      </c>
      <c r="G431" t="s">
        <v>140</v>
      </c>
      <c r="H431" t="s">
        <v>116</v>
      </c>
      <c r="I431" t="s">
        <v>82</v>
      </c>
    </row>
    <row r="432" spans="1:9" x14ac:dyDescent="0.45">
      <c r="A432" t="s">
        <v>874</v>
      </c>
      <c r="B432" t="s">
        <v>138</v>
      </c>
      <c r="C432" t="s">
        <v>875</v>
      </c>
      <c r="D432" t="s">
        <v>74</v>
      </c>
      <c r="E432">
        <v>9090.58</v>
      </c>
      <c r="F432" s="2">
        <v>45702.666684444448</v>
      </c>
      <c r="G432" t="s">
        <v>140</v>
      </c>
      <c r="H432" t="s">
        <v>107</v>
      </c>
      <c r="I432" t="s">
        <v>82</v>
      </c>
    </row>
    <row r="433" spans="1:9" x14ac:dyDescent="0.45">
      <c r="A433" t="s">
        <v>876</v>
      </c>
      <c r="B433" t="s">
        <v>79</v>
      </c>
      <c r="C433" t="s">
        <v>877</v>
      </c>
      <c r="D433" t="s">
        <v>101</v>
      </c>
      <c r="E433">
        <v>10639.39</v>
      </c>
      <c r="F433" s="2">
        <v>45137.666684444448</v>
      </c>
      <c r="G433" t="s">
        <v>86</v>
      </c>
      <c r="H433" t="s">
        <v>136</v>
      </c>
      <c r="I433" t="s">
        <v>77</v>
      </c>
    </row>
    <row r="434" spans="1:9" x14ac:dyDescent="0.45">
      <c r="A434" t="s">
        <v>878</v>
      </c>
      <c r="B434" t="s">
        <v>104</v>
      </c>
      <c r="C434" t="s">
        <v>879</v>
      </c>
      <c r="D434" t="s">
        <v>92</v>
      </c>
      <c r="E434">
        <v>2694.71</v>
      </c>
      <c r="F434" s="2">
        <v>45242.666684444448</v>
      </c>
      <c r="G434" t="s">
        <v>247</v>
      </c>
      <c r="H434" t="s">
        <v>87</v>
      </c>
      <c r="I434" t="s">
        <v>163</v>
      </c>
    </row>
    <row r="435" spans="1:9" x14ac:dyDescent="0.45">
      <c r="A435" t="s">
        <v>673</v>
      </c>
      <c r="B435" t="s">
        <v>172</v>
      </c>
      <c r="C435" t="s">
        <v>880</v>
      </c>
      <c r="D435" t="s">
        <v>155</v>
      </c>
      <c r="E435">
        <v>3181.07</v>
      </c>
      <c r="F435" s="2">
        <v>45205.666684444448</v>
      </c>
      <c r="G435" t="s">
        <v>174</v>
      </c>
      <c r="H435" t="s">
        <v>133</v>
      </c>
      <c r="I435" t="s">
        <v>112</v>
      </c>
    </row>
    <row r="436" spans="1:9" x14ac:dyDescent="0.45">
      <c r="A436" t="s">
        <v>881</v>
      </c>
      <c r="B436" t="s">
        <v>172</v>
      </c>
      <c r="C436" t="s">
        <v>277</v>
      </c>
      <c r="D436" t="s">
        <v>101</v>
      </c>
      <c r="E436">
        <v>7631.27</v>
      </c>
      <c r="F436" s="2">
        <v>45835.666684444448</v>
      </c>
      <c r="G436" t="s">
        <v>174</v>
      </c>
      <c r="H436" t="s">
        <v>116</v>
      </c>
      <c r="I436" t="s">
        <v>82</v>
      </c>
    </row>
    <row r="437" spans="1:9" x14ac:dyDescent="0.45">
      <c r="A437" t="s">
        <v>882</v>
      </c>
      <c r="B437" t="s">
        <v>172</v>
      </c>
      <c r="C437" t="s">
        <v>883</v>
      </c>
      <c r="D437" t="s">
        <v>101</v>
      </c>
      <c r="E437">
        <v>992.86</v>
      </c>
      <c r="F437" s="2">
        <v>45280.666684444448</v>
      </c>
      <c r="H437" t="s">
        <v>133</v>
      </c>
      <c r="I437" t="s">
        <v>119</v>
      </c>
    </row>
    <row r="438" spans="1:9" x14ac:dyDescent="0.45">
      <c r="A438" t="s">
        <v>347</v>
      </c>
      <c r="B438" t="s">
        <v>72</v>
      </c>
      <c r="C438" t="s">
        <v>884</v>
      </c>
      <c r="D438" t="s">
        <v>74</v>
      </c>
      <c r="E438">
        <v>3520.18</v>
      </c>
      <c r="F438" s="2">
        <v>45686.666684444448</v>
      </c>
      <c r="G438" t="s">
        <v>75</v>
      </c>
      <c r="I438" t="s">
        <v>112</v>
      </c>
    </row>
    <row r="439" spans="1:9" x14ac:dyDescent="0.45">
      <c r="A439" t="s">
        <v>885</v>
      </c>
      <c r="B439" t="s">
        <v>72</v>
      </c>
      <c r="C439" t="s">
        <v>886</v>
      </c>
      <c r="D439" t="s">
        <v>92</v>
      </c>
      <c r="E439">
        <v>5263.34</v>
      </c>
      <c r="F439" s="2">
        <v>45164.666684444448</v>
      </c>
      <c r="G439" t="s">
        <v>75</v>
      </c>
      <c r="H439" t="s">
        <v>136</v>
      </c>
      <c r="I439" t="s">
        <v>119</v>
      </c>
    </row>
    <row r="440" spans="1:9" x14ac:dyDescent="0.45">
      <c r="A440" t="s">
        <v>887</v>
      </c>
      <c r="B440" t="s">
        <v>138</v>
      </c>
      <c r="C440" t="s">
        <v>888</v>
      </c>
      <c r="D440" t="s">
        <v>101</v>
      </c>
      <c r="E440">
        <v>5044</v>
      </c>
      <c r="F440" s="2">
        <v>45506.666684444448</v>
      </c>
      <c r="G440" t="s">
        <v>194</v>
      </c>
      <c r="H440" t="s">
        <v>118</v>
      </c>
      <c r="I440" t="s">
        <v>119</v>
      </c>
    </row>
    <row r="441" spans="1:9" x14ac:dyDescent="0.45">
      <c r="A441" t="s">
        <v>889</v>
      </c>
      <c r="B441" t="s">
        <v>172</v>
      </c>
      <c r="C441" t="s">
        <v>890</v>
      </c>
      <c r="D441" t="s">
        <v>106</v>
      </c>
      <c r="E441">
        <v>10830.41</v>
      </c>
      <c r="F441" s="2">
        <v>45724.666684444448</v>
      </c>
      <c r="G441" t="s">
        <v>174</v>
      </c>
      <c r="H441" t="s">
        <v>133</v>
      </c>
      <c r="I441" t="s">
        <v>119</v>
      </c>
    </row>
    <row r="442" spans="1:9" x14ac:dyDescent="0.45">
      <c r="A442" t="s">
        <v>891</v>
      </c>
      <c r="B442" t="s">
        <v>95</v>
      </c>
      <c r="C442" t="s">
        <v>892</v>
      </c>
      <c r="D442" t="s">
        <v>101</v>
      </c>
      <c r="E442">
        <v>855.1</v>
      </c>
      <c r="F442" s="2">
        <v>45693.666684444448</v>
      </c>
      <c r="G442" t="s">
        <v>97</v>
      </c>
      <c r="H442" t="s">
        <v>87</v>
      </c>
      <c r="I442" t="s">
        <v>77</v>
      </c>
    </row>
    <row r="443" spans="1:9" x14ac:dyDescent="0.45">
      <c r="A443" t="s">
        <v>893</v>
      </c>
      <c r="B443" t="s">
        <v>90</v>
      </c>
      <c r="C443" t="s">
        <v>894</v>
      </c>
      <c r="D443" t="s">
        <v>101</v>
      </c>
      <c r="E443">
        <v>9379.6299999999992</v>
      </c>
      <c r="F443" s="2">
        <v>45279.666684444448</v>
      </c>
      <c r="G443" t="s">
        <v>93</v>
      </c>
      <c r="H443" t="s">
        <v>81</v>
      </c>
      <c r="I443" t="s">
        <v>77</v>
      </c>
    </row>
    <row r="444" spans="1:9" x14ac:dyDescent="0.45">
      <c r="A444" t="s">
        <v>895</v>
      </c>
      <c r="B444" t="s">
        <v>95</v>
      </c>
      <c r="C444" t="s">
        <v>896</v>
      </c>
      <c r="D444" t="s">
        <v>85</v>
      </c>
      <c r="E444">
        <v>1288.97</v>
      </c>
      <c r="F444" s="2">
        <v>45568.666684444448</v>
      </c>
      <c r="G444" t="s">
        <v>97</v>
      </c>
      <c r="H444" t="s">
        <v>76</v>
      </c>
      <c r="I444" t="s">
        <v>82</v>
      </c>
    </row>
    <row r="445" spans="1:9" x14ac:dyDescent="0.45">
      <c r="A445" t="s">
        <v>897</v>
      </c>
      <c r="B445" t="s">
        <v>172</v>
      </c>
      <c r="C445" t="s">
        <v>898</v>
      </c>
      <c r="E445">
        <v>135.99</v>
      </c>
      <c r="F445" s="2">
        <v>45258.666684444448</v>
      </c>
      <c r="G445" t="s">
        <v>174</v>
      </c>
      <c r="H445" t="s">
        <v>107</v>
      </c>
      <c r="I445" t="s">
        <v>112</v>
      </c>
    </row>
    <row r="446" spans="1:9" x14ac:dyDescent="0.45">
      <c r="A446" t="s">
        <v>899</v>
      </c>
      <c r="B446" t="s">
        <v>172</v>
      </c>
      <c r="D446" t="s">
        <v>85</v>
      </c>
      <c r="E446">
        <v>11680.73</v>
      </c>
      <c r="F446" s="2">
        <v>45170.666684444448</v>
      </c>
      <c r="G446" t="s">
        <v>174</v>
      </c>
      <c r="H446" t="s">
        <v>145</v>
      </c>
      <c r="I446" t="s">
        <v>82</v>
      </c>
    </row>
    <row r="447" spans="1:9" x14ac:dyDescent="0.45">
      <c r="A447" t="s">
        <v>900</v>
      </c>
      <c r="B447" t="s">
        <v>90</v>
      </c>
      <c r="C447" t="s">
        <v>901</v>
      </c>
      <c r="D447" t="s">
        <v>101</v>
      </c>
      <c r="E447">
        <v>6489.09</v>
      </c>
      <c r="F447" s="2">
        <v>45443.666684444448</v>
      </c>
      <c r="H447" t="s">
        <v>133</v>
      </c>
      <c r="I447" t="s">
        <v>163</v>
      </c>
    </row>
    <row r="448" spans="1:9" x14ac:dyDescent="0.45">
      <c r="A448" t="s">
        <v>902</v>
      </c>
      <c r="B448" t="s">
        <v>172</v>
      </c>
      <c r="C448" t="s">
        <v>257</v>
      </c>
      <c r="D448" t="s">
        <v>106</v>
      </c>
      <c r="E448">
        <v>3062.19</v>
      </c>
      <c r="F448" s="2">
        <v>45501.666684444448</v>
      </c>
      <c r="G448" t="s">
        <v>174</v>
      </c>
      <c r="H448" t="s">
        <v>118</v>
      </c>
      <c r="I448" t="s">
        <v>82</v>
      </c>
    </row>
    <row r="449" spans="1:9" x14ac:dyDescent="0.45">
      <c r="A449" t="s">
        <v>903</v>
      </c>
      <c r="B449" t="s">
        <v>99</v>
      </c>
      <c r="C449" t="s">
        <v>904</v>
      </c>
      <c r="D449" t="s">
        <v>74</v>
      </c>
      <c r="E449">
        <v>6556.69</v>
      </c>
      <c r="F449" s="2">
        <v>45168.666684444448</v>
      </c>
      <c r="G449" t="s">
        <v>102</v>
      </c>
      <c r="H449" t="s">
        <v>133</v>
      </c>
      <c r="I449" t="s">
        <v>88</v>
      </c>
    </row>
    <row r="450" spans="1:9" x14ac:dyDescent="0.45">
      <c r="A450" t="s">
        <v>905</v>
      </c>
      <c r="B450" t="s">
        <v>79</v>
      </c>
      <c r="C450" t="s">
        <v>906</v>
      </c>
      <c r="D450" t="s">
        <v>148</v>
      </c>
      <c r="E450">
        <v>4118.09</v>
      </c>
      <c r="F450" s="2">
        <v>45494.666684444448</v>
      </c>
      <c r="G450" t="s">
        <v>86</v>
      </c>
      <c r="H450" t="s">
        <v>145</v>
      </c>
      <c r="I450" t="s">
        <v>119</v>
      </c>
    </row>
    <row r="451" spans="1:9" x14ac:dyDescent="0.45">
      <c r="A451" t="s">
        <v>907</v>
      </c>
      <c r="B451" t="s">
        <v>90</v>
      </c>
      <c r="C451" t="s">
        <v>908</v>
      </c>
      <c r="D451" t="s">
        <v>74</v>
      </c>
      <c r="E451">
        <v>877.71</v>
      </c>
      <c r="F451" s="2">
        <v>45343.666684444448</v>
      </c>
      <c r="G451" t="s">
        <v>93</v>
      </c>
      <c r="H451" t="s">
        <v>128</v>
      </c>
      <c r="I451" t="s">
        <v>163</v>
      </c>
    </row>
    <row r="452" spans="1:9" x14ac:dyDescent="0.45">
      <c r="A452" t="s">
        <v>909</v>
      </c>
      <c r="B452" t="s">
        <v>172</v>
      </c>
      <c r="C452" t="s">
        <v>910</v>
      </c>
      <c r="D452" t="s">
        <v>92</v>
      </c>
      <c r="E452">
        <v>3416.25</v>
      </c>
      <c r="F452" s="2">
        <v>45826.666684444448</v>
      </c>
      <c r="H452" t="s">
        <v>145</v>
      </c>
      <c r="I452" t="s">
        <v>112</v>
      </c>
    </row>
    <row r="453" spans="1:9" x14ac:dyDescent="0.45">
      <c r="A453" t="s">
        <v>911</v>
      </c>
      <c r="B453" t="s">
        <v>72</v>
      </c>
      <c r="C453" t="s">
        <v>487</v>
      </c>
      <c r="D453" t="s">
        <v>85</v>
      </c>
      <c r="E453">
        <v>4414.21</v>
      </c>
      <c r="F453" s="2">
        <v>45383.666684444448</v>
      </c>
      <c r="G453" t="s">
        <v>75</v>
      </c>
      <c r="I453" t="s">
        <v>82</v>
      </c>
    </row>
    <row r="454" spans="1:9" x14ac:dyDescent="0.45">
      <c r="A454" t="s">
        <v>912</v>
      </c>
      <c r="B454" t="s">
        <v>72</v>
      </c>
      <c r="C454" t="s">
        <v>913</v>
      </c>
      <c r="D454" t="s">
        <v>101</v>
      </c>
      <c r="E454">
        <v>8350.58</v>
      </c>
      <c r="F454" s="2">
        <v>45810.666684444448</v>
      </c>
      <c r="G454" t="s">
        <v>75</v>
      </c>
      <c r="H454" t="s">
        <v>136</v>
      </c>
      <c r="I454" t="s">
        <v>163</v>
      </c>
    </row>
    <row r="455" spans="1:9" x14ac:dyDescent="0.45">
      <c r="A455" t="s">
        <v>914</v>
      </c>
      <c r="B455" t="s">
        <v>79</v>
      </c>
      <c r="C455" t="s">
        <v>915</v>
      </c>
      <c r="D455" t="s">
        <v>148</v>
      </c>
      <c r="E455">
        <v>9044.17</v>
      </c>
      <c r="F455" s="2">
        <v>45233.666684444448</v>
      </c>
      <c r="G455" t="s">
        <v>86</v>
      </c>
      <c r="H455" t="s">
        <v>118</v>
      </c>
      <c r="I455" t="s">
        <v>82</v>
      </c>
    </row>
    <row r="456" spans="1:9" x14ac:dyDescent="0.45">
      <c r="A456" t="s">
        <v>916</v>
      </c>
      <c r="B456" t="s">
        <v>72</v>
      </c>
      <c r="C456" t="s">
        <v>454</v>
      </c>
      <c r="D456" t="s">
        <v>74</v>
      </c>
      <c r="E456">
        <v>9354.6299999999992</v>
      </c>
      <c r="F456" s="2">
        <v>45490.666684444448</v>
      </c>
      <c r="G456" t="s">
        <v>75</v>
      </c>
      <c r="I456" t="s">
        <v>82</v>
      </c>
    </row>
    <row r="457" spans="1:9" x14ac:dyDescent="0.45">
      <c r="A457" t="s">
        <v>917</v>
      </c>
      <c r="B457" t="s">
        <v>109</v>
      </c>
      <c r="C457" t="s">
        <v>220</v>
      </c>
      <c r="D457" t="s">
        <v>74</v>
      </c>
      <c r="E457">
        <v>0</v>
      </c>
      <c r="F457" s="2">
        <v>45701.666684444448</v>
      </c>
      <c r="H457" t="s">
        <v>136</v>
      </c>
      <c r="I457" t="s">
        <v>82</v>
      </c>
    </row>
    <row r="458" spans="1:9" x14ac:dyDescent="0.45">
      <c r="A458" t="s">
        <v>918</v>
      </c>
      <c r="B458" t="s">
        <v>109</v>
      </c>
      <c r="C458" t="s">
        <v>127</v>
      </c>
      <c r="D458" t="s">
        <v>85</v>
      </c>
      <c r="E458">
        <v>8344.93</v>
      </c>
      <c r="F458" s="2">
        <v>45544.666684444448</v>
      </c>
      <c r="G458" t="s">
        <v>111</v>
      </c>
      <c r="H458" t="s">
        <v>133</v>
      </c>
      <c r="I458" t="s">
        <v>119</v>
      </c>
    </row>
    <row r="459" spans="1:9" x14ac:dyDescent="0.45">
      <c r="A459" t="s">
        <v>919</v>
      </c>
      <c r="B459" t="s">
        <v>109</v>
      </c>
      <c r="C459" t="s">
        <v>683</v>
      </c>
      <c r="D459" t="s">
        <v>101</v>
      </c>
      <c r="E459">
        <v>672.03</v>
      </c>
      <c r="F459" s="2">
        <v>45763.666684444448</v>
      </c>
      <c r="G459" t="s">
        <v>111</v>
      </c>
      <c r="H459" t="s">
        <v>76</v>
      </c>
      <c r="I459" t="s">
        <v>119</v>
      </c>
    </row>
    <row r="460" spans="1:9" x14ac:dyDescent="0.45">
      <c r="A460" t="s">
        <v>920</v>
      </c>
      <c r="B460" t="s">
        <v>79</v>
      </c>
      <c r="C460" t="s">
        <v>543</v>
      </c>
      <c r="D460" t="s">
        <v>85</v>
      </c>
      <c r="E460">
        <v>6424.45</v>
      </c>
      <c r="F460" s="2">
        <v>45286.666684444448</v>
      </c>
      <c r="G460" t="s">
        <v>86</v>
      </c>
      <c r="H460" t="s">
        <v>107</v>
      </c>
      <c r="I460" t="s">
        <v>77</v>
      </c>
    </row>
    <row r="461" spans="1:9" x14ac:dyDescent="0.45">
      <c r="A461" t="s">
        <v>921</v>
      </c>
      <c r="B461" t="s">
        <v>79</v>
      </c>
      <c r="C461" t="s">
        <v>922</v>
      </c>
      <c r="D461" t="s">
        <v>74</v>
      </c>
      <c r="E461">
        <v>3869.4</v>
      </c>
      <c r="F461" s="2">
        <v>45370.666684444448</v>
      </c>
      <c r="G461" t="s">
        <v>86</v>
      </c>
      <c r="H461" t="s">
        <v>87</v>
      </c>
      <c r="I461" t="s">
        <v>119</v>
      </c>
    </row>
    <row r="462" spans="1:9" x14ac:dyDescent="0.45">
      <c r="A462" t="s">
        <v>923</v>
      </c>
      <c r="B462" t="s">
        <v>90</v>
      </c>
      <c r="C462" t="s">
        <v>924</v>
      </c>
      <c r="D462" t="s">
        <v>74</v>
      </c>
      <c r="E462">
        <v>9998.52</v>
      </c>
      <c r="F462" s="2">
        <v>45294.666684444448</v>
      </c>
      <c r="G462" t="s">
        <v>93</v>
      </c>
      <c r="H462" t="s">
        <v>87</v>
      </c>
      <c r="I462" t="s">
        <v>77</v>
      </c>
    </row>
    <row r="463" spans="1:9" x14ac:dyDescent="0.45">
      <c r="A463" t="s">
        <v>925</v>
      </c>
      <c r="B463" t="s">
        <v>138</v>
      </c>
      <c r="C463" t="s">
        <v>926</v>
      </c>
      <c r="D463" t="s">
        <v>74</v>
      </c>
      <c r="E463">
        <v>7541.07</v>
      </c>
      <c r="F463" s="2">
        <v>45309.666684444448</v>
      </c>
      <c r="G463" t="s">
        <v>140</v>
      </c>
      <c r="H463" t="s">
        <v>136</v>
      </c>
      <c r="I463" t="s">
        <v>88</v>
      </c>
    </row>
    <row r="464" spans="1:9" x14ac:dyDescent="0.45">
      <c r="A464" t="s">
        <v>927</v>
      </c>
      <c r="B464" t="s">
        <v>109</v>
      </c>
      <c r="C464" t="s">
        <v>928</v>
      </c>
      <c r="D464" t="s">
        <v>74</v>
      </c>
      <c r="E464">
        <v>3048.37</v>
      </c>
      <c r="F464" s="2">
        <v>45550.666684444448</v>
      </c>
      <c r="H464" t="s">
        <v>136</v>
      </c>
      <c r="I464" t="s">
        <v>112</v>
      </c>
    </row>
    <row r="465" spans="1:9" x14ac:dyDescent="0.45">
      <c r="A465" t="s">
        <v>929</v>
      </c>
      <c r="B465" t="s">
        <v>72</v>
      </c>
      <c r="C465" t="s">
        <v>930</v>
      </c>
      <c r="D465" t="s">
        <v>85</v>
      </c>
      <c r="E465">
        <v>11796.24</v>
      </c>
      <c r="F465" s="2">
        <v>45153.666684444448</v>
      </c>
      <c r="G465" t="s">
        <v>75</v>
      </c>
      <c r="H465" t="s">
        <v>118</v>
      </c>
      <c r="I465" t="s">
        <v>82</v>
      </c>
    </row>
    <row r="466" spans="1:9" x14ac:dyDescent="0.45">
      <c r="A466" t="s">
        <v>931</v>
      </c>
      <c r="B466" t="s">
        <v>95</v>
      </c>
      <c r="C466" t="s">
        <v>932</v>
      </c>
      <c r="D466" t="s">
        <v>92</v>
      </c>
      <c r="E466">
        <v>9428.0300000000007</v>
      </c>
      <c r="F466" s="2">
        <v>45311.666684444448</v>
      </c>
      <c r="G466" t="s">
        <v>97</v>
      </c>
      <c r="H466" t="s">
        <v>133</v>
      </c>
      <c r="I466" t="s">
        <v>82</v>
      </c>
    </row>
    <row r="467" spans="1:9" x14ac:dyDescent="0.45">
      <c r="A467" t="s">
        <v>933</v>
      </c>
      <c r="B467" t="s">
        <v>138</v>
      </c>
      <c r="C467" t="s">
        <v>901</v>
      </c>
      <c r="D467" t="s">
        <v>155</v>
      </c>
      <c r="E467">
        <v>9804.01</v>
      </c>
      <c r="F467" s="2">
        <v>45468.666684444448</v>
      </c>
      <c r="G467" t="s">
        <v>140</v>
      </c>
      <c r="H467" t="s">
        <v>76</v>
      </c>
      <c r="I467" t="s">
        <v>77</v>
      </c>
    </row>
    <row r="468" spans="1:9" x14ac:dyDescent="0.45">
      <c r="A468" t="s">
        <v>934</v>
      </c>
      <c r="B468" t="s">
        <v>90</v>
      </c>
      <c r="C468" t="s">
        <v>935</v>
      </c>
      <c r="E468">
        <v>3921.28</v>
      </c>
      <c r="F468" s="2">
        <v>45549.666684444448</v>
      </c>
      <c r="G468" t="s">
        <v>93</v>
      </c>
      <c r="I468" t="s">
        <v>82</v>
      </c>
    </row>
    <row r="469" spans="1:9" x14ac:dyDescent="0.45">
      <c r="A469" t="s">
        <v>936</v>
      </c>
      <c r="B469" t="s">
        <v>72</v>
      </c>
      <c r="C469" t="s">
        <v>760</v>
      </c>
      <c r="D469" t="s">
        <v>74</v>
      </c>
      <c r="E469">
        <v>955.85</v>
      </c>
      <c r="F469" s="2">
        <v>45813.666684444448</v>
      </c>
      <c r="G469" t="s">
        <v>75</v>
      </c>
      <c r="H469" t="s">
        <v>145</v>
      </c>
      <c r="I469" t="s">
        <v>77</v>
      </c>
    </row>
    <row r="470" spans="1:9" x14ac:dyDescent="0.45">
      <c r="A470" t="s">
        <v>937</v>
      </c>
      <c r="B470" t="s">
        <v>172</v>
      </c>
      <c r="C470" t="s">
        <v>603</v>
      </c>
      <c r="D470" t="s">
        <v>101</v>
      </c>
      <c r="E470">
        <v>0</v>
      </c>
      <c r="F470" s="2">
        <v>45382.666684444448</v>
      </c>
      <c r="G470" t="s">
        <v>174</v>
      </c>
      <c r="H470" t="s">
        <v>107</v>
      </c>
      <c r="I470" t="s">
        <v>88</v>
      </c>
    </row>
    <row r="471" spans="1:9" x14ac:dyDescent="0.45">
      <c r="A471" t="s">
        <v>938</v>
      </c>
      <c r="B471" t="s">
        <v>90</v>
      </c>
      <c r="C471" t="s">
        <v>939</v>
      </c>
      <c r="D471" t="s">
        <v>74</v>
      </c>
      <c r="E471">
        <v>5347.67</v>
      </c>
      <c r="F471" s="2">
        <v>45401.666684444448</v>
      </c>
      <c r="G471" t="s">
        <v>93</v>
      </c>
      <c r="H471" t="s">
        <v>116</v>
      </c>
      <c r="I471" t="s">
        <v>88</v>
      </c>
    </row>
    <row r="472" spans="1:9" x14ac:dyDescent="0.45">
      <c r="A472" t="s">
        <v>940</v>
      </c>
      <c r="B472" t="s">
        <v>109</v>
      </c>
      <c r="C472" t="s">
        <v>223</v>
      </c>
      <c r="D472" t="s">
        <v>101</v>
      </c>
      <c r="E472">
        <v>1513.84</v>
      </c>
      <c r="F472" s="2">
        <v>45291.666684444448</v>
      </c>
      <c r="G472" t="s">
        <v>111</v>
      </c>
      <c r="H472" t="s">
        <v>136</v>
      </c>
      <c r="I472" t="s">
        <v>88</v>
      </c>
    </row>
    <row r="473" spans="1:9" x14ac:dyDescent="0.45">
      <c r="A473" t="s">
        <v>941</v>
      </c>
      <c r="B473" t="s">
        <v>109</v>
      </c>
      <c r="C473" t="s">
        <v>875</v>
      </c>
      <c r="D473" t="s">
        <v>85</v>
      </c>
      <c r="E473">
        <v>1769.43</v>
      </c>
      <c r="F473" s="2">
        <v>45846.666684444448</v>
      </c>
      <c r="G473" t="s">
        <v>111</v>
      </c>
      <c r="H473" t="s">
        <v>133</v>
      </c>
      <c r="I473" t="s">
        <v>82</v>
      </c>
    </row>
    <row r="474" spans="1:9" x14ac:dyDescent="0.45">
      <c r="A474" t="s">
        <v>942</v>
      </c>
      <c r="B474" t="s">
        <v>172</v>
      </c>
      <c r="C474" t="s">
        <v>142</v>
      </c>
      <c r="D474" t="s">
        <v>74</v>
      </c>
      <c r="E474">
        <v>0</v>
      </c>
      <c r="F474" s="2">
        <v>45238.666684444448</v>
      </c>
      <c r="H474" t="s">
        <v>76</v>
      </c>
      <c r="I474" t="s">
        <v>112</v>
      </c>
    </row>
    <row r="475" spans="1:9" x14ac:dyDescent="0.45">
      <c r="A475" t="s">
        <v>943</v>
      </c>
      <c r="B475" t="s">
        <v>104</v>
      </c>
      <c r="C475" t="s">
        <v>944</v>
      </c>
      <c r="D475" t="s">
        <v>74</v>
      </c>
      <c r="E475">
        <v>0</v>
      </c>
      <c r="F475" s="2">
        <v>45519.666684444448</v>
      </c>
      <c r="H475" t="s">
        <v>76</v>
      </c>
      <c r="I475" t="s">
        <v>77</v>
      </c>
    </row>
    <row r="476" spans="1:9" x14ac:dyDescent="0.45">
      <c r="A476" t="s">
        <v>945</v>
      </c>
      <c r="B476" t="s">
        <v>90</v>
      </c>
      <c r="C476" t="s">
        <v>179</v>
      </c>
      <c r="D476" t="s">
        <v>155</v>
      </c>
      <c r="E476">
        <v>5179.01</v>
      </c>
      <c r="F476" s="2">
        <v>45167.666684444448</v>
      </c>
      <c r="G476" t="s">
        <v>296</v>
      </c>
      <c r="H476" t="s">
        <v>145</v>
      </c>
      <c r="I476" t="s">
        <v>82</v>
      </c>
    </row>
    <row r="477" spans="1:9" x14ac:dyDescent="0.45">
      <c r="A477" t="s">
        <v>946</v>
      </c>
      <c r="B477" t="s">
        <v>172</v>
      </c>
      <c r="C477" t="s">
        <v>947</v>
      </c>
      <c r="D477" t="s">
        <v>85</v>
      </c>
      <c r="E477">
        <v>11911.17</v>
      </c>
      <c r="F477" s="2">
        <v>45609.666684444448</v>
      </c>
      <c r="H477" t="s">
        <v>76</v>
      </c>
      <c r="I477" t="s">
        <v>112</v>
      </c>
    </row>
    <row r="478" spans="1:9" x14ac:dyDescent="0.45">
      <c r="A478" t="s">
        <v>948</v>
      </c>
      <c r="B478" t="s">
        <v>79</v>
      </c>
      <c r="C478" t="s">
        <v>949</v>
      </c>
      <c r="D478" t="s">
        <v>101</v>
      </c>
      <c r="E478">
        <v>605.47</v>
      </c>
      <c r="F478" s="2">
        <v>45355.666684444448</v>
      </c>
      <c r="G478" t="s">
        <v>86</v>
      </c>
      <c r="I478" t="s">
        <v>88</v>
      </c>
    </row>
    <row r="479" spans="1:9" x14ac:dyDescent="0.45">
      <c r="A479" t="s">
        <v>950</v>
      </c>
      <c r="B479" t="s">
        <v>90</v>
      </c>
      <c r="C479" t="s">
        <v>745</v>
      </c>
      <c r="D479" t="s">
        <v>74</v>
      </c>
      <c r="E479">
        <v>10572.05</v>
      </c>
      <c r="F479" s="2">
        <v>45332.666684444448</v>
      </c>
      <c r="G479" t="s">
        <v>93</v>
      </c>
      <c r="H479" t="s">
        <v>133</v>
      </c>
      <c r="I479" t="s">
        <v>163</v>
      </c>
    </row>
    <row r="480" spans="1:9" x14ac:dyDescent="0.45">
      <c r="A480" t="s">
        <v>951</v>
      </c>
      <c r="B480" t="s">
        <v>72</v>
      </c>
      <c r="C480" t="s">
        <v>641</v>
      </c>
      <c r="D480" t="s">
        <v>74</v>
      </c>
      <c r="E480">
        <v>9898.0499999999993</v>
      </c>
      <c r="F480" s="2">
        <v>45599.666684444448</v>
      </c>
      <c r="G480" t="s">
        <v>75</v>
      </c>
      <c r="H480" t="s">
        <v>116</v>
      </c>
      <c r="I480" t="s">
        <v>119</v>
      </c>
    </row>
    <row r="481" spans="1:9" x14ac:dyDescent="0.45">
      <c r="A481" t="s">
        <v>952</v>
      </c>
      <c r="B481" t="s">
        <v>104</v>
      </c>
      <c r="C481" t="s">
        <v>953</v>
      </c>
      <c r="D481" t="s">
        <v>148</v>
      </c>
      <c r="E481">
        <v>11132.09</v>
      </c>
      <c r="F481" s="2">
        <v>45486.666684444448</v>
      </c>
      <c r="H481" t="s">
        <v>87</v>
      </c>
      <c r="I481" t="s">
        <v>119</v>
      </c>
    </row>
    <row r="482" spans="1:9" x14ac:dyDescent="0.45">
      <c r="A482" t="s">
        <v>954</v>
      </c>
      <c r="B482" t="s">
        <v>99</v>
      </c>
      <c r="C482" t="s">
        <v>955</v>
      </c>
      <c r="D482" t="s">
        <v>74</v>
      </c>
      <c r="E482">
        <v>6657.91</v>
      </c>
      <c r="F482" s="2">
        <v>45440.666684444448</v>
      </c>
      <c r="G482" t="s">
        <v>102</v>
      </c>
      <c r="H482" t="s">
        <v>133</v>
      </c>
      <c r="I482" t="s">
        <v>112</v>
      </c>
    </row>
    <row r="483" spans="1:9" x14ac:dyDescent="0.45">
      <c r="A483" t="s">
        <v>956</v>
      </c>
      <c r="B483" t="s">
        <v>95</v>
      </c>
      <c r="C483" t="s">
        <v>957</v>
      </c>
      <c r="D483" t="s">
        <v>101</v>
      </c>
      <c r="E483">
        <v>11542.38</v>
      </c>
      <c r="F483" s="2">
        <v>45361.666684444448</v>
      </c>
      <c r="G483" t="s">
        <v>97</v>
      </c>
      <c r="H483" t="s">
        <v>107</v>
      </c>
      <c r="I483" t="s">
        <v>77</v>
      </c>
    </row>
    <row r="484" spans="1:9" x14ac:dyDescent="0.45">
      <c r="A484" t="s">
        <v>725</v>
      </c>
      <c r="B484" t="s">
        <v>90</v>
      </c>
      <c r="C484" t="s">
        <v>547</v>
      </c>
      <c r="D484" t="s">
        <v>74</v>
      </c>
      <c r="E484">
        <v>771.03</v>
      </c>
      <c r="F484" s="2">
        <v>45356.666684444448</v>
      </c>
      <c r="G484" t="s">
        <v>93</v>
      </c>
      <c r="H484" t="s">
        <v>145</v>
      </c>
      <c r="I484" t="s">
        <v>77</v>
      </c>
    </row>
    <row r="485" spans="1:9" x14ac:dyDescent="0.45">
      <c r="A485" t="s">
        <v>958</v>
      </c>
      <c r="B485" t="s">
        <v>138</v>
      </c>
      <c r="C485" t="s">
        <v>959</v>
      </c>
      <c r="D485" t="s">
        <v>85</v>
      </c>
      <c r="E485">
        <v>7052.22</v>
      </c>
      <c r="F485" s="2">
        <v>45152.666684444448</v>
      </c>
      <c r="G485" t="s">
        <v>140</v>
      </c>
      <c r="H485" t="s">
        <v>145</v>
      </c>
      <c r="I485" t="s">
        <v>88</v>
      </c>
    </row>
    <row r="486" spans="1:9" x14ac:dyDescent="0.45">
      <c r="A486" t="s">
        <v>960</v>
      </c>
      <c r="B486" t="s">
        <v>79</v>
      </c>
      <c r="C486" t="s">
        <v>680</v>
      </c>
      <c r="D486" t="s">
        <v>74</v>
      </c>
      <c r="E486">
        <v>7838.25</v>
      </c>
      <c r="F486" s="2">
        <v>45803.666684444448</v>
      </c>
      <c r="G486" t="s">
        <v>86</v>
      </c>
      <c r="H486" t="s">
        <v>128</v>
      </c>
      <c r="I486" t="s">
        <v>119</v>
      </c>
    </row>
    <row r="487" spans="1:9" x14ac:dyDescent="0.45">
      <c r="A487" t="s">
        <v>961</v>
      </c>
      <c r="B487" t="s">
        <v>172</v>
      </c>
      <c r="C487" t="s">
        <v>962</v>
      </c>
      <c r="E487">
        <v>11594.71</v>
      </c>
      <c r="F487" s="2">
        <v>45325.666684444448</v>
      </c>
      <c r="G487" t="s">
        <v>174</v>
      </c>
      <c r="H487" t="s">
        <v>81</v>
      </c>
      <c r="I487" t="s">
        <v>119</v>
      </c>
    </row>
    <row r="488" spans="1:9" x14ac:dyDescent="0.45">
      <c r="A488" t="s">
        <v>963</v>
      </c>
      <c r="B488" t="s">
        <v>109</v>
      </c>
      <c r="C488" t="s">
        <v>964</v>
      </c>
      <c r="E488">
        <v>7565.01</v>
      </c>
      <c r="F488" s="2">
        <v>45536.666684444448</v>
      </c>
      <c r="H488" t="s">
        <v>81</v>
      </c>
      <c r="I488" t="s">
        <v>88</v>
      </c>
    </row>
    <row r="489" spans="1:9" x14ac:dyDescent="0.45">
      <c r="A489" t="s">
        <v>965</v>
      </c>
      <c r="B489" t="s">
        <v>172</v>
      </c>
      <c r="C489" t="s">
        <v>966</v>
      </c>
      <c r="D489" t="s">
        <v>92</v>
      </c>
      <c r="E489">
        <v>4482.4799999999996</v>
      </c>
      <c r="F489" s="2">
        <v>45464.666684444448</v>
      </c>
      <c r="G489" t="s">
        <v>174</v>
      </c>
      <c r="H489" t="s">
        <v>118</v>
      </c>
      <c r="I489" t="s">
        <v>77</v>
      </c>
    </row>
    <row r="490" spans="1:9" x14ac:dyDescent="0.45">
      <c r="A490" t="s">
        <v>967</v>
      </c>
      <c r="B490" t="s">
        <v>172</v>
      </c>
      <c r="C490" t="s">
        <v>440</v>
      </c>
      <c r="D490" t="s">
        <v>101</v>
      </c>
      <c r="E490">
        <v>863.77</v>
      </c>
      <c r="F490" s="2">
        <v>45413.666684444448</v>
      </c>
      <c r="G490" t="s">
        <v>236</v>
      </c>
      <c r="H490" t="s">
        <v>107</v>
      </c>
      <c r="I490" t="s">
        <v>112</v>
      </c>
    </row>
    <row r="491" spans="1:9" x14ac:dyDescent="0.45">
      <c r="A491" t="s">
        <v>968</v>
      </c>
      <c r="B491" t="s">
        <v>104</v>
      </c>
      <c r="C491" t="s">
        <v>259</v>
      </c>
      <c r="E491">
        <v>8566.81</v>
      </c>
      <c r="F491" s="2">
        <v>45199.666684444448</v>
      </c>
      <c r="H491" t="s">
        <v>118</v>
      </c>
      <c r="I491" t="s">
        <v>112</v>
      </c>
    </row>
    <row r="492" spans="1:9" x14ac:dyDescent="0.45">
      <c r="A492" t="s">
        <v>969</v>
      </c>
      <c r="B492" t="s">
        <v>90</v>
      </c>
      <c r="C492" t="s">
        <v>970</v>
      </c>
      <c r="D492" t="s">
        <v>85</v>
      </c>
      <c r="E492">
        <v>4828.72</v>
      </c>
      <c r="F492" s="2">
        <v>45413.666684444448</v>
      </c>
      <c r="G492" t="s">
        <v>93</v>
      </c>
      <c r="H492" t="s">
        <v>136</v>
      </c>
      <c r="I492" t="s">
        <v>77</v>
      </c>
    </row>
    <row r="493" spans="1:9" x14ac:dyDescent="0.45">
      <c r="A493" t="s">
        <v>971</v>
      </c>
      <c r="B493" t="s">
        <v>172</v>
      </c>
      <c r="C493" t="s">
        <v>972</v>
      </c>
      <c r="D493" t="s">
        <v>101</v>
      </c>
      <c r="E493">
        <v>5302.19</v>
      </c>
      <c r="F493" s="2">
        <v>45487.666684444448</v>
      </c>
      <c r="G493" t="s">
        <v>174</v>
      </c>
      <c r="H493" t="s">
        <v>76</v>
      </c>
      <c r="I493" t="s">
        <v>163</v>
      </c>
    </row>
    <row r="494" spans="1:9" x14ac:dyDescent="0.45">
      <c r="A494" t="s">
        <v>973</v>
      </c>
      <c r="B494" t="s">
        <v>104</v>
      </c>
      <c r="C494" t="s">
        <v>974</v>
      </c>
      <c r="D494" t="s">
        <v>85</v>
      </c>
      <c r="E494">
        <v>3168.15</v>
      </c>
      <c r="F494" s="2">
        <v>45784.666684444448</v>
      </c>
      <c r="G494" t="s">
        <v>115</v>
      </c>
      <c r="H494" t="s">
        <v>76</v>
      </c>
      <c r="I494" t="s">
        <v>119</v>
      </c>
    </row>
    <row r="495" spans="1:9" x14ac:dyDescent="0.45">
      <c r="A495" t="s">
        <v>975</v>
      </c>
      <c r="B495" t="s">
        <v>99</v>
      </c>
      <c r="C495" t="s">
        <v>976</v>
      </c>
      <c r="D495" t="s">
        <v>74</v>
      </c>
      <c r="E495">
        <v>0</v>
      </c>
      <c r="F495" s="2">
        <v>45649.666684444448</v>
      </c>
      <c r="G495" t="s">
        <v>102</v>
      </c>
      <c r="H495" t="s">
        <v>128</v>
      </c>
      <c r="I495" t="s">
        <v>119</v>
      </c>
    </row>
    <row r="496" spans="1:9" x14ac:dyDescent="0.45">
      <c r="A496" t="s">
        <v>977</v>
      </c>
      <c r="B496" t="s">
        <v>72</v>
      </c>
      <c r="C496" t="s">
        <v>367</v>
      </c>
      <c r="D496" t="s">
        <v>74</v>
      </c>
      <c r="E496">
        <v>11671.52</v>
      </c>
      <c r="F496" s="2">
        <v>45537.666684444448</v>
      </c>
      <c r="G496" t="s">
        <v>75</v>
      </c>
      <c r="H496" t="s">
        <v>81</v>
      </c>
      <c r="I496" t="s">
        <v>88</v>
      </c>
    </row>
    <row r="497" spans="1:9" x14ac:dyDescent="0.45">
      <c r="A497" t="s">
        <v>978</v>
      </c>
      <c r="B497" t="s">
        <v>99</v>
      </c>
      <c r="C497" t="s">
        <v>676</v>
      </c>
      <c r="D497" t="s">
        <v>92</v>
      </c>
      <c r="E497">
        <v>1439.06</v>
      </c>
      <c r="F497" s="2">
        <v>45823.666684444448</v>
      </c>
      <c r="G497" t="s">
        <v>102</v>
      </c>
      <c r="H497" t="s">
        <v>116</v>
      </c>
      <c r="I497" t="s">
        <v>88</v>
      </c>
    </row>
    <row r="498" spans="1:9" x14ac:dyDescent="0.45">
      <c r="A498" t="s">
        <v>979</v>
      </c>
      <c r="B498" t="s">
        <v>90</v>
      </c>
      <c r="C498" t="s">
        <v>980</v>
      </c>
      <c r="D498" t="s">
        <v>74</v>
      </c>
      <c r="E498">
        <v>10411.700000000001</v>
      </c>
      <c r="F498" s="2">
        <v>45677.666684444448</v>
      </c>
      <c r="G498" t="s">
        <v>93</v>
      </c>
      <c r="H498" t="s">
        <v>118</v>
      </c>
      <c r="I498" t="s">
        <v>82</v>
      </c>
    </row>
    <row r="499" spans="1:9" x14ac:dyDescent="0.45">
      <c r="A499" t="s">
        <v>981</v>
      </c>
      <c r="B499" t="s">
        <v>109</v>
      </c>
      <c r="C499" t="s">
        <v>982</v>
      </c>
      <c r="D499" t="s">
        <v>85</v>
      </c>
      <c r="E499">
        <v>7292.35</v>
      </c>
      <c r="F499" s="2">
        <v>45467.666684444448</v>
      </c>
      <c r="G499" t="s">
        <v>111</v>
      </c>
      <c r="H499" t="s">
        <v>87</v>
      </c>
      <c r="I499" t="s">
        <v>82</v>
      </c>
    </row>
    <row r="500" spans="1:9" x14ac:dyDescent="0.45">
      <c r="A500" t="s">
        <v>835</v>
      </c>
      <c r="B500" t="s">
        <v>99</v>
      </c>
      <c r="C500" t="s">
        <v>983</v>
      </c>
      <c r="D500" t="s">
        <v>101</v>
      </c>
      <c r="E500">
        <v>2494.12</v>
      </c>
      <c r="F500" s="2">
        <v>45156.666684444448</v>
      </c>
      <c r="G500" t="s">
        <v>102</v>
      </c>
      <c r="H500" t="s">
        <v>116</v>
      </c>
      <c r="I500" t="s">
        <v>77</v>
      </c>
    </row>
    <row r="501" spans="1:9" x14ac:dyDescent="0.45">
      <c r="A501" t="s">
        <v>984</v>
      </c>
      <c r="B501" t="s">
        <v>104</v>
      </c>
      <c r="C501" t="s">
        <v>985</v>
      </c>
      <c r="D501" t="s">
        <v>148</v>
      </c>
      <c r="E501">
        <v>8913.98</v>
      </c>
      <c r="F501" s="2">
        <v>45246.666684444448</v>
      </c>
      <c r="G501" t="s">
        <v>115</v>
      </c>
      <c r="I501" t="s">
        <v>163</v>
      </c>
    </row>
    <row r="502" spans="1:9" x14ac:dyDescent="0.45">
      <c r="A502" t="s">
        <v>986</v>
      </c>
      <c r="B502" t="s">
        <v>104</v>
      </c>
      <c r="C502" t="s">
        <v>987</v>
      </c>
      <c r="D502" t="s">
        <v>106</v>
      </c>
      <c r="E502">
        <v>2836.04</v>
      </c>
      <c r="F502" s="2">
        <v>45395.666684444448</v>
      </c>
      <c r="H502" t="s">
        <v>145</v>
      </c>
      <c r="I502" t="s">
        <v>112</v>
      </c>
    </row>
    <row r="503" spans="1:9" x14ac:dyDescent="0.45">
      <c r="A503" t="s">
        <v>988</v>
      </c>
      <c r="B503" t="s">
        <v>95</v>
      </c>
      <c r="C503" t="s">
        <v>989</v>
      </c>
      <c r="D503" t="s">
        <v>148</v>
      </c>
      <c r="E503">
        <v>0</v>
      </c>
      <c r="F503" s="2">
        <v>45310.666684444448</v>
      </c>
      <c r="G503" t="s">
        <v>97</v>
      </c>
      <c r="H503" t="s">
        <v>116</v>
      </c>
      <c r="I503" t="s">
        <v>88</v>
      </c>
    </row>
    <row r="504" spans="1:9" x14ac:dyDescent="0.45">
      <c r="A504" t="s">
        <v>990</v>
      </c>
      <c r="B504" t="s">
        <v>138</v>
      </c>
      <c r="C504" t="s">
        <v>715</v>
      </c>
      <c r="D504" t="s">
        <v>101</v>
      </c>
      <c r="E504">
        <v>6644.13</v>
      </c>
      <c r="F504" s="2">
        <v>45722.666684444448</v>
      </c>
      <c r="H504" t="s">
        <v>128</v>
      </c>
      <c r="I504" t="s">
        <v>77</v>
      </c>
    </row>
    <row r="505" spans="1:9" x14ac:dyDescent="0.45">
      <c r="A505" t="s">
        <v>991</v>
      </c>
      <c r="B505" t="s">
        <v>138</v>
      </c>
      <c r="C505" t="s">
        <v>992</v>
      </c>
      <c r="D505" t="s">
        <v>74</v>
      </c>
      <c r="E505">
        <v>674.96</v>
      </c>
      <c r="F505" s="2">
        <v>45399.666684444448</v>
      </c>
      <c r="G505" t="s">
        <v>140</v>
      </c>
      <c r="H505" t="s">
        <v>145</v>
      </c>
      <c r="I505" t="s">
        <v>112</v>
      </c>
    </row>
    <row r="506" spans="1:9" x14ac:dyDescent="0.45">
      <c r="A506" t="s">
        <v>993</v>
      </c>
      <c r="B506" t="s">
        <v>90</v>
      </c>
      <c r="C506" t="s">
        <v>994</v>
      </c>
      <c r="D506" t="s">
        <v>85</v>
      </c>
      <c r="E506">
        <v>0</v>
      </c>
      <c r="F506" s="2">
        <v>45167.666684444448</v>
      </c>
      <c r="H506" t="s">
        <v>133</v>
      </c>
      <c r="I506" t="s">
        <v>119</v>
      </c>
    </row>
    <row r="507" spans="1:9" x14ac:dyDescent="0.45">
      <c r="A507" t="s">
        <v>995</v>
      </c>
      <c r="B507" t="s">
        <v>95</v>
      </c>
      <c r="C507" t="s">
        <v>821</v>
      </c>
      <c r="D507" t="s">
        <v>74</v>
      </c>
      <c r="E507">
        <v>9403.01</v>
      </c>
      <c r="F507" s="2">
        <v>45239.666684444448</v>
      </c>
      <c r="G507" t="s">
        <v>97</v>
      </c>
      <c r="H507" t="s">
        <v>107</v>
      </c>
      <c r="I507" t="s">
        <v>112</v>
      </c>
    </row>
    <row r="508" spans="1:9" x14ac:dyDescent="0.45">
      <c r="A508" t="s">
        <v>996</v>
      </c>
      <c r="B508" t="s">
        <v>79</v>
      </c>
      <c r="C508" t="s">
        <v>997</v>
      </c>
      <c r="D508" t="s">
        <v>74</v>
      </c>
      <c r="E508">
        <v>2340.66</v>
      </c>
      <c r="F508" s="2">
        <v>45738.666684444448</v>
      </c>
      <c r="G508" t="s">
        <v>86</v>
      </c>
      <c r="H508" t="s">
        <v>118</v>
      </c>
      <c r="I508" t="s">
        <v>112</v>
      </c>
    </row>
    <row r="509" spans="1:9" x14ac:dyDescent="0.45">
      <c r="A509" t="s">
        <v>998</v>
      </c>
      <c r="B509" t="s">
        <v>172</v>
      </c>
      <c r="C509" t="s">
        <v>999</v>
      </c>
      <c r="D509" t="s">
        <v>85</v>
      </c>
      <c r="E509">
        <v>1711.85</v>
      </c>
      <c r="F509" s="2">
        <v>45572.666684444448</v>
      </c>
      <c r="G509" t="s">
        <v>174</v>
      </c>
      <c r="H509" t="s">
        <v>118</v>
      </c>
      <c r="I509" t="s">
        <v>163</v>
      </c>
    </row>
    <row r="510" spans="1:9" x14ac:dyDescent="0.45">
      <c r="A510" t="s">
        <v>1000</v>
      </c>
      <c r="B510" t="s">
        <v>99</v>
      </c>
      <c r="C510" t="s">
        <v>1001</v>
      </c>
      <c r="D510" t="s">
        <v>85</v>
      </c>
      <c r="E510">
        <v>9956.35</v>
      </c>
      <c r="F510" s="2">
        <v>45481.666684444448</v>
      </c>
      <c r="G510" t="s">
        <v>102</v>
      </c>
      <c r="H510" t="s">
        <v>81</v>
      </c>
      <c r="I510" t="s">
        <v>88</v>
      </c>
    </row>
    <row r="511" spans="1:9" x14ac:dyDescent="0.45">
      <c r="A511" t="s">
        <v>1002</v>
      </c>
      <c r="B511" t="s">
        <v>172</v>
      </c>
      <c r="C511" t="s">
        <v>395</v>
      </c>
      <c r="D511" t="s">
        <v>106</v>
      </c>
      <c r="E511">
        <v>5097.9399999999996</v>
      </c>
      <c r="F511" s="2">
        <v>45449.666684444448</v>
      </c>
      <c r="G511" t="s">
        <v>174</v>
      </c>
      <c r="H511" t="s">
        <v>128</v>
      </c>
      <c r="I511" t="s">
        <v>77</v>
      </c>
    </row>
    <row r="512" spans="1:9" x14ac:dyDescent="0.45">
      <c r="A512" t="s">
        <v>1003</v>
      </c>
      <c r="B512" t="s">
        <v>79</v>
      </c>
      <c r="C512" t="s">
        <v>1004</v>
      </c>
      <c r="D512" t="s">
        <v>74</v>
      </c>
      <c r="E512">
        <v>1475.06</v>
      </c>
      <c r="F512" s="2">
        <v>45574.666684444448</v>
      </c>
      <c r="G512" t="s">
        <v>278</v>
      </c>
      <c r="H512" t="s">
        <v>107</v>
      </c>
      <c r="I512" t="s">
        <v>82</v>
      </c>
    </row>
    <row r="513" spans="1:9" x14ac:dyDescent="0.45">
      <c r="A513" t="s">
        <v>1005</v>
      </c>
      <c r="B513" t="s">
        <v>109</v>
      </c>
      <c r="C513" t="s">
        <v>100</v>
      </c>
      <c r="D513" t="s">
        <v>101</v>
      </c>
      <c r="E513">
        <v>8106.39</v>
      </c>
      <c r="F513" s="2">
        <v>45748.666684444448</v>
      </c>
      <c r="G513" t="s">
        <v>111</v>
      </c>
      <c r="H513" t="s">
        <v>76</v>
      </c>
      <c r="I513" t="s">
        <v>88</v>
      </c>
    </row>
    <row r="514" spans="1:9" x14ac:dyDescent="0.45">
      <c r="A514" t="s">
        <v>1006</v>
      </c>
      <c r="B514" t="s">
        <v>95</v>
      </c>
      <c r="C514" t="s">
        <v>1007</v>
      </c>
      <c r="D514" t="s">
        <v>74</v>
      </c>
      <c r="E514">
        <v>6680.18</v>
      </c>
      <c r="F514" s="2">
        <v>45651.666684444448</v>
      </c>
      <c r="G514" t="s">
        <v>97</v>
      </c>
      <c r="H514" t="s">
        <v>128</v>
      </c>
      <c r="I514" t="s">
        <v>82</v>
      </c>
    </row>
    <row r="515" spans="1:9" x14ac:dyDescent="0.45">
      <c r="A515" t="s">
        <v>1008</v>
      </c>
      <c r="B515" t="s">
        <v>172</v>
      </c>
      <c r="C515" t="s">
        <v>489</v>
      </c>
      <c r="D515" t="s">
        <v>155</v>
      </c>
      <c r="E515">
        <v>162.21</v>
      </c>
      <c r="F515" s="2">
        <v>45246.666684444448</v>
      </c>
      <c r="G515" t="s">
        <v>174</v>
      </c>
      <c r="I515" t="s">
        <v>82</v>
      </c>
    </row>
    <row r="516" spans="1:9" x14ac:dyDescent="0.45">
      <c r="A516" t="s">
        <v>1009</v>
      </c>
      <c r="B516" t="s">
        <v>95</v>
      </c>
      <c r="C516" t="s">
        <v>594</v>
      </c>
      <c r="D516" t="s">
        <v>92</v>
      </c>
      <c r="E516">
        <v>11818.98</v>
      </c>
      <c r="F516" s="2">
        <v>45522.666684444448</v>
      </c>
      <c r="G516" t="s">
        <v>97</v>
      </c>
      <c r="H516" t="s">
        <v>136</v>
      </c>
      <c r="I516" t="s">
        <v>163</v>
      </c>
    </row>
    <row r="517" spans="1:9" x14ac:dyDescent="0.45">
      <c r="A517" t="s">
        <v>1010</v>
      </c>
      <c r="B517" t="s">
        <v>95</v>
      </c>
      <c r="C517" t="s">
        <v>957</v>
      </c>
      <c r="E517">
        <v>0</v>
      </c>
      <c r="F517" s="2">
        <v>45718.666684444448</v>
      </c>
      <c r="G517" t="s">
        <v>97</v>
      </c>
      <c r="H517" t="s">
        <v>116</v>
      </c>
      <c r="I517" t="s">
        <v>77</v>
      </c>
    </row>
    <row r="518" spans="1:9" x14ac:dyDescent="0.45">
      <c r="A518" t="s">
        <v>1011</v>
      </c>
      <c r="B518" t="s">
        <v>104</v>
      </c>
      <c r="C518" t="s">
        <v>974</v>
      </c>
      <c r="D518" t="s">
        <v>155</v>
      </c>
      <c r="E518">
        <v>2112.9899999999998</v>
      </c>
      <c r="F518" s="2">
        <v>45322.666684444448</v>
      </c>
      <c r="G518" t="s">
        <v>115</v>
      </c>
      <c r="H518" t="s">
        <v>81</v>
      </c>
      <c r="I518" t="s">
        <v>77</v>
      </c>
    </row>
    <row r="519" spans="1:9" x14ac:dyDescent="0.45">
      <c r="A519" t="s">
        <v>1012</v>
      </c>
      <c r="B519" t="s">
        <v>72</v>
      </c>
      <c r="C519" t="s">
        <v>1013</v>
      </c>
      <c r="D519" t="s">
        <v>85</v>
      </c>
      <c r="E519">
        <v>8471.8799999999992</v>
      </c>
      <c r="F519" s="2">
        <v>45388.666684444448</v>
      </c>
      <c r="G519" t="s">
        <v>75</v>
      </c>
      <c r="H519" t="s">
        <v>133</v>
      </c>
      <c r="I519" t="s">
        <v>119</v>
      </c>
    </row>
    <row r="520" spans="1:9" x14ac:dyDescent="0.45">
      <c r="A520" t="s">
        <v>1014</v>
      </c>
      <c r="B520" t="s">
        <v>90</v>
      </c>
      <c r="C520" t="s">
        <v>1015</v>
      </c>
      <c r="D520" t="s">
        <v>85</v>
      </c>
      <c r="E520">
        <v>3235.61</v>
      </c>
      <c r="F520" s="2">
        <v>45173.666684444448</v>
      </c>
      <c r="G520" t="s">
        <v>296</v>
      </c>
      <c r="H520" t="s">
        <v>133</v>
      </c>
      <c r="I520" t="s">
        <v>163</v>
      </c>
    </row>
    <row r="521" spans="1:9" x14ac:dyDescent="0.45">
      <c r="A521" t="s">
        <v>1016</v>
      </c>
      <c r="B521" t="s">
        <v>138</v>
      </c>
      <c r="C521" t="s">
        <v>615</v>
      </c>
      <c r="D521" t="s">
        <v>101</v>
      </c>
      <c r="E521">
        <v>4681.03</v>
      </c>
      <c r="F521" s="2">
        <v>45853.666684444448</v>
      </c>
      <c r="G521" t="s">
        <v>140</v>
      </c>
      <c r="H521" t="s">
        <v>116</v>
      </c>
      <c r="I521" t="s">
        <v>119</v>
      </c>
    </row>
    <row r="522" spans="1:9" x14ac:dyDescent="0.45">
      <c r="A522" t="s">
        <v>1017</v>
      </c>
      <c r="B522" t="s">
        <v>95</v>
      </c>
      <c r="C522" t="s">
        <v>1018</v>
      </c>
      <c r="D522" t="s">
        <v>85</v>
      </c>
      <c r="E522">
        <v>8780.16</v>
      </c>
      <c r="F522" s="2">
        <v>45574.666684444448</v>
      </c>
      <c r="G522" t="s">
        <v>97</v>
      </c>
      <c r="H522" t="s">
        <v>116</v>
      </c>
      <c r="I522" t="s">
        <v>163</v>
      </c>
    </row>
    <row r="523" spans="1:9" x14ac:dyDescent="0.45">
      <c r="A523" t="s">
        <v>1019</v>
      </c>
      <c r="B523" t="s">
        <v>172</v>
      </c>
      <c r="C523" t="s">
        <v>809</v>
      </c>
      <c r="D523" t="s">
        <v>85</v>
      </c>
      <c r="E523">
        <v>10267.719999999999</v>
      </c>
      <c r="F523" s="2">
        <v>45129.666684444448</v>
      </c>
      <c r="G523" t="s">
        <v>174</v>
      </c>
      <c r="I523" t="s">
        <v>163</v>
      </c>
    </row>
    <row r="524" spans="1:9" x14ac:dyDescent="0.45">
      <c r="A524" t="s">
        <v>1020</v>
      </c>
      <c r="B524" t="s">
        <v>172</v>
      </c>
      <c r="C524" t="s">
        <v>1021</v>
      </c>
      <c r="D524" t="s">
        <v>85</v>
      </c>
      <c r="E524">
        <v>1268.4100000000001</v>
      </c>
      <c r="F524" s="2">
        <v>45660.666684444448</v>
      </c>
      <c r="G524" t="s">
        <v>236</v>
      </c>
      <c r="I524" t="s">
        <v>88</v>
      </c>
    </row>
    <row r="525" spans="1:9" x14ac:dyDescent="0.45">
      <c r="A525" t="s">
        <v>1022</v>
      </c>
      <c r="B525" t="s">
        <v>99</v>
      </c>
      <c r="C525" t="s">
        <v>955</v>
      </c>
      <c r="D525" t="s">
        <v>155</v>
      </c>
      <c r="E525">
        <v>6229.96</v>
      </c>
      <c r="F525" s="2">
        <v>45679.666684444448</v>
      </c>
      <c r="G525" t="s">
        <v>102</v>
      </c>
      <c r="H525" t="s">
        <v>116</v>
      </c>
      <c r="I525" t="s">
        <v>88</v>
      </c>
    </row>
    <row r="526" spans="1:9" x14ac:dyDescent="0.45">
      <c r="A526" t="s">
        <v>1023</v>
      </c>
      <c r="B526" t="s">
        <v>95</v>
      </c>
      <c r="C526" t="s">
        <v>944</v>
      </c>
      <c r="D526" t="s">
        <v>106</v>
      </c>
      <c r="E526">
        <v>5070.47</v>
      </c>
      <c r="F526" s="2">
        <v>45831.666684444448</v>
      </c>
      <c r="G526" t="s">
        <v>97</v>
      </c>
      <c r="H526" t="s">
        <v>128</v>
      </c>
      <c r="I526" t="s">
        <v>119</v>
      </c>
    </row>
    <row r="527" spans="1:9" x14ac:dyDescent="0.45">
      <c r="A527" t="s">
        <v>1024</v>
      </c>
      <c r="B527" t="s">
        <v>72</v>
      </c>
      <c r="C527" t="s">
        <v>1025</v>
      </c>
      <c r="D527" t="s">
        <v>92</v>
      </c>
      <c r="E527">
        <v>3156.31</v>
      </c>
      <c r="F527" s="2">
        <v>45814.666684444448</v>
      </c>
      <c r="G527" t="s">
        <v>521</v>
      </c>
      <c r="H527" t="s">
        <v>81</v>
      </c>
      <c r="I527" t="s">
        <v>112</v>
      </c>
    </row>
    <row r="528" spans="1:9" x14ac:dyDescent="0.45">
      <c r="A528" t="s">
        <v>1026</v>
      </c>
      <c r="B528" t="s">
        <v>90</v>
      </c>
      <c r="C528" t="s">
        <v>489</v>
      </c>
      <c r="D528" t="s">
        <v>92</v>
      </c>
      <c r="E528">
        <v>4353.21</v>
      </c>
      <c r="F528" s="2">
        <v>45329.666684444448</v>
      </c>
      <c r="G528" t="s">
        <v>93</v>
      </c>
      <c r="H528" t="s">
        <v>128</v>
      </c>
      <c r="I528" t="s">
        <v>88</v>
      </c>
    </row>
    <row r="529" spans="1:9" x14ac:dyDescent="0.45">
      <c r="A529" t="s">
        <v>1027</v>
      </c>
      <c r="B529" t="s">
        <v>90</v>
      </c>
      <c r="C529" t="s">
        <v>1028</v>
      </c>
      <c r="D529" t="s">
        <v>92</v>
      </c>
      <c r="E529">
        <v>8201.2099999999991</v>
      </c>
      <c r="F529" s="2">
        <v>45500.666684444448</v>
      </c>
      <c r="G529" t="s">
        <v>93</v>
      </c>
      <c r="H529" t="s">
        <v>116</v>
      </c>
      <c r="I529" t="s">
        <v>82</v>
      </c>
    </row>
    <row r="530" spans="1:9" x14ac:dyDescent="0.45">
      <c r="A530" t="s">
        <v>1029</v>
      </c>
      <c r="B530" t="s">
        <v>109</v>
      </c>
      <c r="C530" t="s">
        <v>658</v>
      </c>
      <c r="D530" t="s">
        <v>74</v>
      </c>
      <c r="E530">
        <v>6022.08</v>
      </c>
      <c r="F530" s="2">
        <v>45569.666684444448</v>
      </c>
      <c r="G530" t="s">
        <v>111</v>
      </c>
      <c r="H530" t="s">
        <v>76</v>
      </c>
      <c r="I530" t="s">
        <v>77</v>
      </c>
    </row>
    <row r="531" spans="1:9" x14ac:dyDescent="0.45">
      <c r="A531" t="s">
        <v>580</v>
      </c>
      <c r="B531" t="s">
        <v>109</v>
      </c>
      <c r="C531" t="s">
        <v>1030</v>
      </c>
      <c r="D531" t="s">
        <v>74</v>
      </c>
      <c r="E531">
        <v>10096.08</v>
      </c>
      <c r="F531" s="2">
        <v>45199.666684444448</v>
      </c>
      <c r="G531" t="s">
        <v>111</v>
      </c>
      <c r="H531" t="s">
        <v>136</v>
      </c>
      <c r="I531" t="s">
        <v>112</v>
      </c>
    </row>
    <row r="532" spans="1:9" x14ac:dyDescent="0.45">
      <c r="A532" t="s">
        <v>1031</v>
      </c>
      <c r="B532" t="s">
        <v>99</v>
      </c>
      <c r="C532" t="s">
        <v>1032</v>
      </c>
      <c r="D532" t="s">
        <v>92</v>
      </c>
      <c r="E532">
        <v>7427.22</v>
      </c>
      <c r="F532" s="2">
        <v>45808.666684444448</v>
      </c>
      <c r="G532" t="s">
        <v>102</v>
      </c>
      <c r="H532" t="s">
        <v>116</v>
      </c>
      <c r="I532" t="s">
        <v>82</v>
      </c>
    </row>
    <row r="533" spans="1:9" x14ac:dyDescent="0.45">
      <c r="A533" t="s">
        <v>1033</v>
      </c>
      <c r="B533" t="s">
        <v>138</v>
      </c>
      <c r="C533" t="s">
        <v>1034</v>
      </c>
      <c r="D533" t="s">
        <v>92</v>
      </c>
      <c r="E533">
        <v>10738.43</v>
      </c>
      <c r="F533" s="2">
        <v>45466.666684444448</v>
      </c>
      <c r="G533" t="s">
        <v>140</v>
      </c>
      <c r="H533" t="s">
        <v>145</v>
      </c>
      <c r="I533" t="s">
        <v>119</v>
      </c>
    </row>
    <row r="534" spans="1:9" x14ac:dyDescent="0.45">
      <c r="A534" t="s">
        <v>1035</v>
      </c>
      <c r="B534" t="s">
        <v>109</v>
      </c>
      <c r="C534" t="s">
        <v>1036</v>
      </c>
      <c r="D534" t="s">
        <v>74</v>
      </c>
      <c r="E534">
        <v>0</v>
      </c>
      <c r="F534" s="2">
        <v>45766.666684444448</v>
      </c>
      <c r="H534" t="s">
        <v>118</v>
      </c>
      <c r="I534" t="s">
        <v>88</v>
      </c>
    </row>
    <row r="535" spans="1:9" x14ac:dyDescent="0.45">
      <c r="A535" t="s">
        <v>1037</v>
      </c>
      <c r="B535" t="s">
        <v>79</v>
      </c>
      <c r="C535" t="s">
        <v>840</v>
      </c>
      <c r="D535" t="s">
        <v>155</v>
      </c>
      <c r="E535">
        <v>8661.61</v>
      </c>
      <c r="F535" s="2">
        <v>45449.666684444448</v>
      </c>
      <c r="G535" t="s">
        <v>86</v>
      </c>
      <c r="H535" t="s">
        <v>76</v>
      </c>
      <c r="I535" t="s">
        <v>119</v>
      </c>
    </row>
    <row r="536" spans="1:9" x14ac:dyDescent="0.45">
      <c r="A536" t="s">
        <v>1038</v>
      </c>
      <c r="B536" t="s">
        <v>99</v>
      </c>
      <c r="C536" t="s">
        <v>239</v>
      </c>
      <c r="D536" t="s">
        <v>74</v>
      </c>
      <c r="E536">
        <v>0</v>
      </c>
      <c r="F536" s="2">
        <v>45807.666684444448</v>
      </c>
      <c r="G536" t="s">
        <v>102</v>
      </c>
      <c r="H536" t="s">
        <v>107</v>
      </c>
      <c r="I536" t="s">
        <v>77</v>
      </c>
    </row>
    <row r="537" spans="1:9" x14ac:dyDescent="0.45">
      <c r="A537" t="s">
        <v>1039</v>
      </c>
      <c r="B537" t="s">
        <v>90</v>
      </c>
      <c r="C537" t="s">
        <v>563</v>
      </c>
      <c r="D537" t="s">
        <v>101</v>
      </c>
      <c r="E537">
        <v>7071.43</v>
      </c>
      <c r="F537" s="2">
        <v>45255.666684444448</v>
      </c>
      <c r="G537" t="s">
        <v>93</v>
      </c>
      <c r="H537" t="s">
        <v>133</v>
      </c>
      <c r="I537" t="s">
        <v>112</v>
      </c>
    </row>
    <row r="538" spans="1:9" x14ac:dyDescent="0.45">
      <c r="A538" t="s">
        <v>1040</v>
      </c>
      <c r="B538" t="s">
        <v>90</v>
      </c>
      <c r="C538" t="s">
        <v>298</v>
      </c>
      <c r="D538" t="s">
        <v>92</v>
      </c>
      <c r="E538">
        <v>8867.14</v>
      </c>
      <c r="F538" s="2">
        <v>45435.666684444448</v>
      </c>
      <c r="H538" t="s">
        <v>128</v>
      </c>
      <c r="I538" t="s">
        <v>77</v>
      </c>
    </row>
    <row r="539" spans="1:9" x14ac:dyDescent="0.45">
      <c r="A539" t="s">
        <v>1041</v>
      </c>
      <c r="B539" t="s">
        <v>72</v>
      </c>
      <c r="C539" t="s">
        <v>1042</v>
      </c>
      <c r="D539" t="s">
        <v>74</v>
      </c>
      <c r="E539">
        <v>1542.95</v>
      </c>
      <c r="F539" s="2">
        <v>45647.666684444448</v>
      </c>
      <c r="G539" t="s">
        <v>75</v>
      </c>
      <c r="H539" t="s">
        <v>133</v>
      </c>
      <c r="I539" t="s">
        <v>163</v>
      </c>
    </row>
    <row r="540" spans="1:9" x14ac:dyDescent="0.45">
      <c r="A540" t="s">
        <v>1043</v>
      </c>
      <c r="B540" t="s">
        <v>79</v>
      </c>
      <c r="C540" t="s">
        <v>1044</v>
      </c>
      <c r="D540" t="s">
        <v>74</v>
      </c>
      <c r="E540">
        <v>0</v>
      </c>
      <c r="F540" s="2">
        <v>45444.666684444448</v>
      </c>
      <c r="G540" t="s">
        <v>86</v>
      </c>
      <c r="H540" t="s">
        <v>116</v>
      </c>
      <c r="I540" t="s">
        <v>163</v>
      </c>
    </row>
    <row r="541" spans="1:9" x14ac:dyDescent="0.45">
      <c r="A541" t="s">
        <v>1045</v>
      </c>
      <c r="B541" t="s">
        <v>138</v>
      </c>
      <c r="C541" t="s">
        <v>139</v>
      </c>
      <c r="D541" t="s">
        <v>101</v>
      </c>
      <c r="E541">
        <v>3616.7</v>
      </c>
      <c r="F541" s="2">
        <v>45810.666684444448</v>
      </c>
      <c r="G541" t="s">
        <v>140</v>
      </c>
      <c r="H541" t="s">
        <v>76</v>
      </c>
      <c r="I541" t="s">
        <v>77</v>
      </c>
    </row>
    <row r="542" spans="1:9" x14ac:dyDescent="0.45">
      <c r="A542" t="s">
        <v>1046</v>
      </c>
      <c r="B542" t="s">
        <v>172</v>
      </c>
      <c r="C542" t="s">
        <v>1028</v>
      </c>
      <c r="D542" t="s">
        <v>92</v>
      </c>
      <c r="E542">
        <v>1806.54</v>
      </c>
      <c r="F542" s="2">
        <v>45546.666684444448</v>
      </c>
      <c r="G542" t="s">
        <v>236</v>
      </c>
      <c r="H542" t="s">
        <v>136</v>
      </c>
      <c r="I542" t="s">
        <v>88</v>
      </c>
    </row>
    <row r="543" spans="1:9" x14ac:dyDescent="0.45">
      <c r="A543" t="s">
        <v>1047</v>
      </c>
      <c r="B543" t="s">
        <v>99</v>
      </c>
      <c r="C543" t="s">
        <v>1048</v>
      </c>
      <c r="D543" t="s">
        <v>101</v>
      </c>
      <c r="E543">
        <v>6053.1</v>
      </c>
      <c r="F543" s="2">
        <v>45462.666684444448</v>
      </c>
      <c r="G543" t="s">
        <v>102</v>
      </c>
      <c r="H543" t="s">
        <v>118</v>
      </c>
      <c r="I543" t="s">
        <v>88</v>
      </c>
    </row>
    <row r="544" spans="1:9" x14ac:dyDescent="0.45">
      <c r="A544" t="s">
        <v>1049</v>
      </c>
      <c r="B544" t="s">
        <v>109</v>
      </c>
      <c r="C544" t="s">
        <v>1050</v>
      </c>
      <c r="D544" t="s">
        <v>92</v>
      </c>
      <c r="E544">
        <v>6158.04</v>
      </c>
      <c r="F544" s="2">
        <v>45540.666684444448</v>
      </c>
      <c r="H544" t="s">
        <v>118</v>
      </c>
      <c r="I544" t="s">
        <v>119</v>
      </c>
    </row>
    <row r="545" spans="1:9" x14ac:dyDescent="0.45">
      <c r="A545" t="s">
        <v>1051</v>
      </c>
      <c r="B545" t="s">
        <v>104</v>
      </c>
      <c r="C545" t="s">
        <v>1052</v>
      </c>
      <c r="D545" t="s">
        <v>85</v>
      </c>
      <c r="E545">
        <v>3992.81</v>
      </c>
      <c r="F545" s="2">
        <v>45841.666684444448</v>
      </c>
      <c r="G545" t="s">
        <v>115</v>
      </c>
      <c r="H545" t="s">
        <v>76</v>
      </c>
      <c r="I545" t="s">
        <v>112</v>
      </c>
    </row>
    <row r="546" spans="1:9" x14ac:dyDescent="0.45">
      <c r="A546" t="s">
        <v>1053</v>
      </c>
      <c r="B546" t="s">
        <v>72</v>
      </c>
      <c r="C546" t="s">
        <v>105</v>
      </c>
      <c r="D546" t="s">
        <v>74</v>
      </c>
      <c r="E546">
        <v>0</v>
      </c>
      <c r="F546" s="2">
        <v>45430.666684444448</v>
      </c>
      <c r="G546" t="s">
        <v>75</v>
      </c>
      <c r="H546" t="s">
        <v>116</v>
      </c>
      <c r="I546" t="s">
        <v>163</v>
      </c>
    </row>
    <row r="547" spans="1:9" x14ac:dyDescent="0.45">
      <c r="A547" t="s">
        <v>1054</v>
      </c>
      <c r="B547" t="s">
        <v>90</v>
      </c>
      <c r="C547" t="s">
        <v>1055</v>
      </c>
      <c r="D547" t="s">
        <v>106</v>
      </c>
      <c r="E547">
        <v>0</v>
      </c>
      <c r="F547" s="2">
        <v>45695.666684444448</v>
      </c>
      <c r="G547" t="s">
        <v>93</v>
      </c>
      <c r="H547" t="s">
        <v>145</v>
      </c>
      <c r="I547" t="s">
        <v>88</v>
      </c>
    </row>
    <row r="548" spans="1:9" x14ac:dyDescent="0.45">
      <c r="A548" t="s">
        <v>1056</v>
      </c>
      <c r="B548" t="s">
        <v>104</v>
      </c>
      <c r="C548" t="s">
        <v>1057</v>
      </c>
      <c r="D548" t="s">
        <v>74</v>
      </c>
      <c r="E548">
        <v>4269.5200000000004</v>
      </c>
      <c r="F548" s="2">
        <v>45258.666684444448</v>
      </c>
      <c r="H548" t="s">
        <v>133</v>
      </c>
      <c r="I548" t="s">
        <v>163</v>
      </c>
    </row>
    <row r="549" spans="1:9" x14ac:dyDescent="0.45">
      <c r="A549" t="s">
        <v>1058</v>
      </c>
      <c r="B549" t="s">
        <v>99</v>
      </c>
      <c r="C549" t="s">
        <v>726</v>
      </c>
      <c r="D549" t="s">
        <v>106</v>
      </c>
      <c r="E549">
        <v>3658.06</v>
      </c>
      <c r="F549" s="2">
        <v>45324.666684444448</v>
      </c>
      <c r="H549" t="s">
        <v>87</v>
      </c>
      <c r="I549" t="s">
        <v>88</v>
      </c>
    </row>
    <row r="550" spans="1:9" x14ac:dyDescent="0.45">
      <c r="A550" t="s">
        <v>1059</v>
      </c>
      <c r="B550" t="s">
        <v>95</v>
      </c>
      <c r="C550" t="s">
        <v>590</v>
      </c>
      <c r="D550" t="s">
        <v>85</v>
      </c>
      <c r="E550">
        <v>10367.459999999999</v>
      </c>
      <c r="F550" s="2">
        <v>45558.666684444448</v>
      </c>
      <c r="G550" t="s">
        <v>97</v>
      </c>
      <c r="H550" t="s">
        <v>81</v>
      </c>
      <c r="I550" t="s">
        <v>163</v>
      </c>
    </row>
    <row r="551" spans="1:9" x14ac:dyDescent="0.45">
      <c r="A551" t="s">
        <v>1060</v>
      </c>
      <c r="B551" t="s">
        <v>138</v>
      </c>
      <c r="C551" t="s">
        <v>1061</v>
      </c>
      <c r="D551" t="s">
        <v>106</v>
      </c>
      <c r="E551">
        <v>2315.81</v>
      </c>
      <c r="F551" s="2">
        <v>45808.666684444448</v>
      </c>
      <c r="H551" t="s">
        <v>145</v>
      </c>
      <c r="I551" t="s">
        <v>163</v>
      </c>
    </row>
    <row r="552" spans="1:9" x14ac:dyDescent="0.45">
      <c r="A552" t="s">
        <v>1062</v>
      </c>
      <c r="B552" t="s">
        <v>95</v>
      </c>
      <c r="C552" t="s">
        <v>639</v>
      </c>
      <c r="D552" t="s">
        <v>74</v>
      </c>
      <c r="E552">
        <v>7395.05</v>
      </c>
      <c r="F552" s="2">
        <v>45516.666684444448</v>
      </c>
      <c r="G552" t="s">
        <v>97</v>
      </c>
      <c r="H552" t="s">
        <v>133</v>
      </c>
      <c r="I552" t="s">
        <v>88</v>
      </c>
    </row>
    <row r="553" spans="1:9" x14ac:dyDescent="0.45">
      <c r="A553" t="s">
        <v>1063</v>
      </c>
      <c r="B553" t="s">
        <v>99</v>
      </c>
      <c r="C553" t="s">
        <v>1064</v>
      </c>
      <c r="D553" t="s">
        <v>85</v>
      </c>
      <c r="E553">
        <v>2256.19</v>
      </c>
      <c r="F553" s="2">
        <v>45821.666684444448</v>
      </c>
      <c r="G553" t="s">
        <v>102</v>
      </c>
      <c r="H553" t="s">
        <v>118</v>
      </c>
      <c r="I553" t="s">
        <v>82</v>
      </c>
    </row>
    <row r="554" spans="1:9" x14ac:dyDescent="0.45">
      <c r="A554" t="s">
        <v>1065</v>
      </c>
      <c r="B554" t="s">
        <v>95</v>
      </c>
      <c r="C554" t="s">
        <v>511</v>
      </c>
      <c r="D554" t="s">
        <v>74</v>
      </c>
      <c r="E554">
        <v>1781.8</v>
      </c>
      <c r="F554" s="2">
        <v>45306.666684444448</v>
      </c>
      <c r="G554" t="s">
        <v>97</v>
      </c>
      <c r="H554" t="s">
        <v>107</v>
      </c>
      <c r="I554" t="s">
        <v>112</v>
      </c>
    </row>
    <row r="555" spans="1:9" x14ac:dyDescent="0.45">
      <c r="A555" t="s">
        <v>1066</v>
      </c>
      <c r="B555" t="s">
        <v>138</v>
      </c>
      <c r="C555" t="s">
        <v>1067</v>
      </c>
      <c r="D555" t="s">
        <v>74</v>
      </c>
      <c r="E555">
        <v>6325.78</v>
      </c>
      <c r="F555" s="2">
        <v>45758.666684444448</v>
      </c>
      <c r="G555" t="s">
        <v>140</v>
      </c>
      <c r="H555" t="s">
        <v>128</v>
      </c>
      <c r="I555" t="s">
        <v>112</v>
      </c>
    </row>
    <row r="556" spans="1:9" x14ac:dyDescent="0.45">
      <c r="A556" t="s">
        <v>1068</v>
      </c>
      <c r="B556" t="s">
        <v>99</v>
      </c>
      <c r="C556" t="s">
        <v>484</v>
      </c>
      <c r="D556" t="s">
        <v>85</v>
      </c>
      <c r="E556">
        <v>661.32</v>
      </c>
      <c r="F556" s="2">
        <v>45710.666684444448</v>
      </c>
      <c r="G556" t="s">
        <v>102</v>
      </c>
      <c r="H556" t="s">
        <v>76</v>
      </c>
      <c r="I556" t="s">
        <v>119</v>
      </c>
    </row>
    <row r="557" spans="1:9" x14ac:dyDescent="0.45">
      <c r="A557" t="s">
        <v>1058</v>
      </c>
      <c r="B557" t="s">
        <v>104</v>
      </c>
      <c r="C557" t="s">
        <v>1069</v>
      </c>
      <c r="D557" t="s">
        <v>74</v>
      </c>
      <c r="E557">
        <v>8435.9</v>
      </c>
      <c r="F557" s="2">
        <v>45436.666684444448</v>
      </c>
      <c r="G557" t="s">
        <v>247</v>
      </c>
      <c r="H557" t="s">
        <v>116</v>
      </c>
      <c r="I557" t="s">
        <v>112</v>
      </c>
    </row>
    <row r="558" spans="1:9" x14ac:dyDescent="0.45">
      <c r="A558" t="s">
        <v>1070</v>
      </c>
      <c r="B558" t="s">
        <v>95</v>
      </c>
      <c r="C558" t="s">
        <v>348</v>
      </c>
      <c r="D558" t="s">
        <v>85</v>
      </c>
      <c r="E558">
        <v>2200.86</v>
      </c>
      <c r="F558" s="2">
        <v>45543.666684444448</v>
      </c>
      <c r="G558" t="s">
        <v>97</v>
      </c>
      <c r="H558" t="s">
        <v>107</v>
      </c>
      <c r="I558" t="s">
        <v>88</v>
      </c>
    </row>
    <row r="559" spans="1:9" x14ac:dyDescent="0.45">
      <c r="A559" t="s">
        <v>1071</v>
      </c>
      <c r="B559" t="s">
        <v>138</v>
      </c>
      <c r="C559" t="s">
        <v>1072</v>
      </c>
      <c r="D559" t="s">
        <v>74</v>
      </c>
      <c r="E559">
        <v>9810.7800000000007</v>
      </c>
      <c r="F559" s="2">
        <v>45689.666684444448</v>
      </c>
      <c r="G559" t="s">
        <v>140</v>
      </c>
      <c r="H559" t="s">
        <v>118</v>
      </c>
      <c r="I559" t="s">
        <v>112</v>
      </c>
    </row>
    <row r="560" spans="1:9" x14ac:dyDescent="0.45">
      <c r="A560" t="s">
        <v>1073</v>
      </c>
      <c r="B560" t="s">
        <v>109</v>
      </c>
      <c r="C560" t="s">
        <v>1074</v>
      </c>
      <c r="D560" t="s">
        <v>101</v>
      </c>
      <c r="E560">
        <v>6245.47</v>
      </c>
      <c r="F560" s="2">
        <v>45128.666684444448</v>
      </c>
      <c r="G560" t="s">
        <v>111</v>
      </c>
      <c r="H560" t="s">
        <v>87</v>
      </c>
      <c r="I560" t="s">
        <v>88</v>
      </c>
    </row>
    <row r="561" spans="1:9" x14ac:dyDescent="0.45">
      <c r="A561" t="s">
        <v>1075</v>
      </c>
      <c r="B561" t="s">
        <v>172</v>
      </c>
      <c r="C561" t="s">
        <v>1076</v>
      </c>
      <c r="D561" t="s">
        <v>92</v>
      </c>
      <c r="E561">
        <v>65.319999999999993</v>
      </c>
      <c r="F561" s="2">
        <v>45439.666684444448</v>
      </c>
      <c r="G561" t="s">
        <v>174</v>
      </c>
      <c r="H561" t="s">
        <v>118</v>
      </c>
      <c r="I561" t="s">
        <v>77</v>
      </c>
    </row>
    <row r="562" spans="1:9" x14ac:dyDescent="0.45">
      <c r="A562" t="s">
        <v>1077</v>
      </c>
      <c r="B562" t="s">
        <v>138</v>
      </c>
      <c r="C562" t="s">
        <v>1078</v>
      </c>
      <c r="D562" t="s">
        <v>101</v>
      </c>
      <c r="E562">
        <v>0</v>
      </c>
      <c r="F562" s="2">
        <v>45421.666684444448</v>
      </c>
      <c r="G562" t="s">
        <v>140</v>
      </c>
      <c r="H562" t="s">
        <v>136</v>
      </c>
      <c r="I562" t="s">
        <v>119</v>
      </c>
    </row>
    <row r="563" spans="1:9" x14ac:dyDescent="0.45">
      <c r="A563" t="s">
        <v>1079</v>
      </c>
      <c r="B563" t="s">
        <v>72</v>
      </c>
      <c r="C563" t="s">
        <v>1080</v>
      </c>
      <c r="D563" t="s">
        <v>85</v>
      </c>
      <c r="E563">
        <v>9303.98</v>
      </c>
      <c r="F563" s="2">
        <v>45343.666684444448</v>
      </c>
      <c r="G563" t="s">
        <v>75</v>
      </c>
      <c r="H563" t="s">
        <v>136</v>
      </c>
      <c r="I563" t="s">
        <v>88</v>
      </c>
    </row>
    <row r="564" spans="1:9" x14ac:dyDescent="0.45">
      <c r="A564" t="s">
        <v>549</v>
      </c>
      <c r="B564" t="s">
        <v>172</v>
      </c>
      <c r="C564" t="s">
        <v>1081</v>
      </c>
      <c r="D564" t="s">
        <v>85</v>
      </c>
      <c r="E564">
        <v>9043.32</v>
      </c>
      <c r="F564" s="2">
        <v>45568.666684444448</v>
      </c>
      <c r="G564" t="s">
        <v>174</v>
      </c>
      <c r="H564" t="s">
        <v>145</v>
      </c>
      <c r="I564" t="s">
        <v>163</v>
      </c>
    </row>
    <row r="565" spans="1:9" x14ac:dyDescent="0.45">
      <c r="A565" t="s">
        <v>1082</v>
      </c>
      <c r="B565" t="s">
        <v>109</v>
      </c>
      <c r="C565" t="s">
        <v>1083</v>
      </c>
      <c r="E565">
        <v>9265.07</v>
      </c>
      <c r="F565" s="2">
        <v>45721.666684444448</v>
      </c>
      <c r="G565" t="s">
        <v>111</v>
      </c>
      <c r="H565" t="s">
        <v>76</v>
      </c>
      <c r="I565" t="s">
        <v>88</v>
      </c>
    </row>
    <row r="566" spans="1:9" x14ac:dyDescent="0.45">
      <c r="A566" t="s">
        <v>1084</v>
      </c>
      <c r="B566" t="s">
        <v>79</v>
      </c>
      <c r="C566" t="s">
        <v>459</v>
      </c>
      <c r="D566" t="s">
        <v>101</v>
      </c>
      <c r="E566">
        <v>9127.2800000000007</v>
      </c>
      <c r="F566" s="2">
        <v>45749.666684444448</v>
      </c>
      <c r="G566" t="s">
        <v>278</v>
      </c>
      <c r="H566" t="s">
        <v>128</v>
      </c>
      <c r="I566" t="s">
        <v>77</v>
      </c>
    </row>
    <row r="567" spans="1:9" x14ac:dyDescent="0.45">
      <c r="A567" t="s">
        <v>1085</v>
      </c>
      <c r="B567" t="s">
        <v>104</v>
      </c>
      <c r="C567" t="s">
        <v>1086</v>
      </c>
      <c r="D567" t="s">
        <v>92</v>
      </c>
      <c r="E567">
        <v>10002.89</v>
      </c>
      <c r="F567" s="2">
        <v>45798.666684444448</v>
      </c>
      <c r="G567" t="s">
        <v>115</v>
      </c>
      <c r="H567" t="s">
        <v>87</v>
      </c>
      <c r="I567" t="s">
        <v>77</v>
      </c>
    </row>
    <row r="568" spans="1:9" x14ac:dyDescent="0.45">
      <c r="A568" t="s">
        <v>1087</v>
      </c>
      <c r="B568" t="s">
        <v>90</v>
      </c>
      <c r="C568" t="s">
        <v>1088</v>
      </c>
      <c r="D568" t="s">
        <v>106</v>
      </c>
      <c r="E568">
        <v>10711.34</v>
      </c>
      <c r="F568" s="2">
        <v>45457.666684444448</v>
      </c>
      <c r="H568" t="s">
        <v>145</v>
      </c>
      <c r="I568" t="s">
        <v>88</v>
      </c>
    </row>
    <row r="569" spans="1:9" x14ac:dyDescent="0.45">
      <c r="A569" t="s">
        <v>1089</v>
      </c>
      <c r="B569" t="s">
        <v>109</v>
      </c>
      <c r="C569" t="s">
        <v>459</v>
      </c>
      <c r="D569" t="s">
        <v>92</v>
      </c>
      <c r="E569">
        <v>8123.72</v>
      </c>
      <c r="F569" s="2">
        <v>45604.666684444448</v>
      </c>
      <c r="G569" t="s">
        <v>111</v>
      </c>
      <c r="H569" t="s">
        <v>76</v>
      </c>
      <c r="I569" t="s">
        <v>82</v>
      </c>
    </row>
    <row r="570" spans="1:9" x14ac:dyDescent="0.45">
      <c r="A570" t="s">
        <v>1090</v>
      </c>
      <c r="B570" t="s">
        <v>172</v>
      </c>
      <c r="C570" t="s">
        <v>328</v>
      </c>
      <c r="D570" t="s">
        <v>85</v>
      </c>
      <c r="E570">
        <v>1127.8900000000001</v>
      </c>
      <c r="F570" s="2">
        <v>45580.666684444448</v>
      </c>
      <c r="G570" t="s">
        <v>174</v>
      </c>
      <c r="H570" t="s">
        <v>87</v>
      </c>
      <c r="I570" t="s">
        <v>82</v>
      </c>
    </row>
    <row r="571" spans="1:9" x14ac:dyDescent="0.45">
      <c r="A571" t="s">
        <v>1091</v>
      </c>
      <c r="B571" t="s">
        <v>172</v>
      </c>
      <c r="C571" t="s">
        <v>1092</v>
      </c>
      <c r="D571" t="s">
        <v>85</v>
      </c>
      <c r="E571">
        <v>11804.78</v>
      </c>
      <c r="F571" s="2">
        <v>45580.666684444448</v>
      </c>
      <c r="G571" t="s">
        <v>174</v>
      </c>
      <c r="H571" t="s">
        <v>87</v>
      </c>
      <c r="I571" t="s">
        <v>112</v>
      </c>
    </row>
    <row r="572" spans="1:9" x14ac:dyDescent="0.45">
      <c r="A572" t="s">
        <v>1093</v>
      </c>
      <c r="B572" t="s">
        <v>72</v>
      </c>
      <c r="C572" t="s">
        <v>1094</v>
      </c>
      <c r="D572" t="s">
        <v>92</v>
      </c>
      <c r="E572">
        <v>3845.84</v>
      </c>
      <c r="F572" s="2">
        <v>45819.666684444448</v>
      </c>
      <c r="H572" t="s">
        <v>87</v>
      </c>
      <c r="I572" t="s">
        <v>82</v>
      </c>
    </row>
    <row r="573" spans="1:9" x14ac:dyDescent="0.45">
      <c r="A573" t="s">
        <v>1095</v>
      </c>
      <c r="B573" t="s">
        <v>79</v>
      </c>
      <c r="C573" t="s">
        <v>1096</v>
      </c>
      <c r="D573" t="s">
        <v>85</v>
      </c>
      <c r="E573">
        <v>10146.61</v>
      </c>
      <c r="F573" s="2">
        <v>45346.666684444448</v>
      </c>
      <c r="G573" t="s">
        <v>86</v>
      </c>
      <c r="H573" t="s">
        <v>133</v>
      </c>
      <c r="I573" t="s">
        <v>77</v>
      </c>
    </row>
    <row r="574" spans="1:9" x14ac:dyDescent="0.45">
      <c r="A574" t="s">
        <v>1097</v>
      </c>
      <c r="B574" t="s">
        <v>90</v>
      </c>
      <c r="C574" t="s">
        <v>823</v>
      </c>
      <c r="D574" t="s">
        <v>74</v>
      </c>
      <c r="E574">
        <v>481.5</v>
      </c>
      <c r="F574" s="2">
        <v>45651.666684444448</v>
      </c>
      <c r="G574" t="s">
        <v>93</v>
      </c>
      <c r="H574" t="s">
        <v>128</v>
      </c>
      <c r="I574" t="s">
        <v>82</v>
      </c>
    </row>
    <row r="575" spans="1:9" x14ac:dyDescent="0.45">
      <c r="A575" t="s">
        <v>1098</v>
      </c>
      <c r="B575" t="s">
        <v>72</v>
      </c>
      <c r="C575" t="s">
        <v>1021</v>
      </c>
      <c r="D575" t="s">
        <v>74</v>
      </c>
      <c r="E575">
        <v>6689.15</v>
      </c>
      <c r="F575" s="2">
        <v>45612.666684444448</v>
      </c>
      <c r="G575" t="s">
        <v>75</v>
      </c>
      <c r="H575" t="s">
        <v>136</v>
      </c>
      <c r="I575" t="s">
        <v>88</v>
      </c>
    </row>
    <row r="576" spans="1:9" x14ac:dyDescent="0.45">
      <c r="A576" t="s">
        <v>1099</v>
      </c>
      <c r="B576" t="s">
        <v>109</v>
      </c>
      <c r="C576" t="s">
        <v>1100</v>
      </c>
      <c r="E576">
        <v>10013.15</v>
      </c>
      <c r="F576" s="2">
        <v>45301.666684444448</v>
      </c>
      <c r="G576" t="s">
        <v>307</v>
      </c>
      <c r="H576" t="s">
        <v>118</v>
      </c>
      <c r="I576" t="s">
        <v>119</v>
      </c>
    </row>
    <row r="577" spans="1:9" x14ac:dyDescent="0.45">
      <c r="A577" t="s">
        <v>1101</v>
      </c>
      <c r="B577" t="s">
        <v>172</v>
      </c>
      <c r="C577" t="s">
        <v>243</v>
      </c>
      <c r="D577" t="s">
        <v>101</v>
      </c>
      <c r="E577">
        <v>8378.09</v>
      </c>
      <c r="F577" s="2">
        <v>45802.666684444448</v>
      </c>
      <c r="G577" t="s">
        <v>174</v>
      </c>
      <c r="H577" t="s">
        <v>81</v>
      </c>
      <c r="I577" t="s">
        <v>112</v>
      </c>
    </row>
    <row r="578" spans="1:9" x14ac:dyDescent="0.45">
      <c r="A578" t="s">
        <v>1102</v>
      </c>
      <c r="B578" t="s">
        <v>109</v>
      </c>
      <c r="C578" t="s">
        <v>1103</v>
      </c>
      <c r="D578" t="s">
        <v>92</v>
      </c>
      <c r="E578">
        <v>4033.92</v>
      </c>
      <c r="F578" s="2">
        <v>45214.666684444448</v>
      </c>
      <c r="G578" t="s">
        <v>111</v>
      </c>
      <c r="H578" t="s">
        <v>133</v>
      </c>
      <c r="I578" t="s">
        <v>112</v>
      </c>
    </row>
    <row r="579" spans="1:9" x14ac:dyDescent="0.45">
      <c r="A579" t="s">
        <v>1104</v>
      </c>
      <c r="B579" t="s">
        <v>138</v>
      </c>
      <c r="C579" t="s">
        <v>1105</v>
      </c>
      <c r="D579" t="s">
        <v>101</v>
      </c>
      <c r="E579">
        <v>240.55</v>
      </c>
      <c r="F579" s="2">
        <v>45418.666684444448</v>
      </c>
      <c r="G579" t="s">
        <v>140</v>
      </c>
      <c r="H579" t="s">
        <v>76</v>
      </c>
      <c r="I579" t="s">
        <v>119</v>
      </c>
    </row>
    <row r="580" spans="1:9" x14ac:dyDescent="0.45">
      <c r="A580" t="s">
        <v>1106</v>
      </c>
      <c r="B580" t="s">
        <v>79</v>
      </c>
      <c r="C580" t="s">
        <v>637</v>
      </c>
      <c r="D580" t="s">
        <v>85</v>
      </c>
      <c r="E580">
        <v>8386</v>
      </c>
      <c r="F580" s="2">
        <v>45655.666684444448</v>
      </c>
      <c r="G580" t="s">
        <v>86</v>
      </c>
      <c r="H580" t="s">
        <v>81</v>
      </c>
      <c r="I580" t="s">
        <v>88</v>
      </c>
    </row>
    <row r="581" spans="1:9" x14ac:dyDescent="0.45">
      <c r="A581" t="s">
        <v>1107</v>
      </c>
      <c r="B581" t="s">
        <v>104</v>
      </c>
      <c r="C581" t="s">
        <v>1108</v>
      </c>
      <c r="D581" t="s">
        <v>74</v>
      </c>
      <c r="E581">
        <v>1681.99</v>
      </c>
      <c r="F581" s="2">
        <v>45807.666684444448</v>
      </c>
      <c r="G581" t="s">
        <v>115</v>
      </c>
      <c r="H581" t="s">
        <v>128</v>
      </c>
      <c r="I581" t="s">
        <v>112</v>
      </c>
    </row>
    <row r="582" spans="1:9" x14ac:dyDescent="0.45">
      <c r="A582" t="s">
        <v>1109</v>
      </c>
      <c r="B582" t="s">
        <v>138</v>
      </c>
      <c r="C582" t="s">
        <v>888</v>
      </c>
      <c r="D582" t="s">
        <v>74</v>
      </c>
      <c r="E582">
        <v>96.1</v>
      </c>
      <c r="F582" s="2">
        <v>45776.666684444448</v>
      </c>
      <c r="H582" t="s">
        <v>116</v>
      </c>
      <c r="I582" t="s">
        <v>82</v>
      </c>
    </row>
    <row r="583" spans="1:9" x14ac:dyDescent="0.45">
      <c r="A583" t="s">
        <v>1110</v>
      </c>
      <c r="B583" t="s">
        <v>79</v>
      </c>
      <c r="C583" t="s">
        <v>843</v>
      </c>
      <c r="D583" t="s">
        <v>106</v>
      </c>
      <c r="E583">
        <v>0</v>
      </c>
      <c r="F583" s="2">
        <v>45762.666684444448</v>
      </c>
      <c r="H583" t="s">
        <v>116</v>
      </c>
      <c r="I583" t="s">
        <v>119</v>
      </c>
    </row>
    <row r="584" spans="1:9" x14ac:dyDescent="0.45">
      <c r="A584" t="s">
        <v>1111</v>
      </c>
      <c r="B584" t="s">
        <v>79</v>
      </c>
      <c r="C584" t="s">
        <v>1112</v>
      </c>
      <c r="D584" t="s">
        <v>148</v>
      </c>
      <c r="E584">
        <v>0</v>
      </c>
      <c r="F584" s="2">
        <v>45471.666684444448</v>
      </c>
      <c r="G584" t="s">
        <v>86</v>
      </c>
      <c r="H584" t="s">
        <v>118</v>
      </c>
      <c r="I584" t="s">
        <v>77</v>
      </c>
    </row>
    <row r="585" spans="1:9" x14ac:dyDescent="0.45">
      <c r="A585" t="s">
        <v>1113</v>
      </c>
      <c r="B585" t="s">
        <v>109</v>
      </c>
      <c r="C585" t="s">
        <v>1114</v>
      </c>
      <c r="D585" t="s">
        <v>92</v>
      </c>
      <c r="E585">
        <v>972.71</v>
      </c>
      <c r="F585" s="2">
        <v>45223.666684444448</v>
      </c>
      <c r="G585" t="s">
        <v>111</v>
      </c>
      <c r="H585" t="s">
        <v>118</v>
      </c>
      <c r="I585" t="s">
        <v>112</v>
      </c>
    </row>
    <row r="586" spans="1:9" x14ac:dyDescent="0.45">
      <c r="A586" t="s">
        <v>1115</v>
      </c>
      <c r="B586" t="s">
        <v>138</v>
      </c>
      <c r="C586" t="s">
        <v>1116</v>
      </c>
      <c r="D586" t="s">
        <v>85</v>
      </c>
      <c r="E586">
        <v>2995.5</v>
      </c>
      <c r="F586" s="2">
        <v>45368.666684444448</v>
      </c>
      <c r="G586" t="s">
        <v>140</v>
      </c>
      <c r="H586" t="s">
        <v>87</v>
      </c>
      <c r="I586" t="s">
        <v>82</v>
      </c>
    </row>
    <row r="587" spans="1:9" x14ac:dyDescent="0.45">
      <c r="A587" t="s">
        <v>1117</v>
      </c>
      <c r="B587" t="s">
        <v>109</v>
      </c>
      <c r="C587" t="s">
        <v>1118</v>
      </c>
      <c r="D587" t="s">
        <v>92</v>
      </c>
      <c r="E587">
        <v>9757.7999999999993</v>
      </c>
      <c r="F587" s="2">
        <v>45816.666684444448</v>
      </c>
      <c r="H587" t="s">
        <v>76</v>
      </c>
      <c r="I587" t="s">
        <v>112</v>
      </c>
    </row>
    <row r="588" spans="1:9" x14ac:dyDescent="0.45">
      <c r="A588" t="s">
        <v>1119</v>
      </c>
      <c r="B588" t="s">
        <v>109</v>
      </c>
      <c r="C588" t="s">
        <v>1120</v>
      </c>
      <c r="D588" t="s">
        <v>85</v>
      </c>
      <c r="E588">
        <v>10605.14</v>
      </c>
      <c r="F588" s="2">
        <v>45445.666684444448</v>
      </c>
      <c r="G588" t="s">
        <v>111</v>
      </c>
      <c r="H588" t="s">
        <v>87</v>
      </c>
      <c r="I588" t="s">
        <v>82</v>
      </c>
    </row>
    <row r="589" spans="1:9" x14ac:dyDescent="0.45">
      <c r="A589" t="s">
        <v>1121</v>
      </c>
      <c r="B589" t="s">
        <v>109</v>
      </c>
      <c r="C589" t="s">
        <v>1122</v>
      </c>
      <c r="D589" t="s">
        <v>85</v>
      </c>
      <c r="E589">
        <v>10304.91</v>
      </c>
      <c r="F589" s="2">
        <v>45358.666684444448</v>
      </c>
      <c r="G589" t="s">
        <v>111</v>
      </c>
      <c r="H589" t="s">
        <v>81</v>
      </c>
      <c r="I589" t="s">
        <v>119</v>
      </c>
    </row>
    <row r="590" spans="1:9" x14ac:dyDescent="0.45">
      <c r="A590" t="s">
        <v>1123</v>
      </c>
      <c r="B590" t="s">
        <v>172</v>
      </c>
      <c r="C590" t="s">
        <v>298</v>
      </c>
      <c r="D590" t="s">
        <v>74</v>
      </c>
      <c r="E590">
        <v>2043.11</v>
      </c>
      <c r="F590" s="2">
        <v>45331.666684444448</v>
      </c>
      <c r="G590" t="s">
        <v>236</v>
      </c>
      <c r="H590" t="s">
        <v>87</v>
      </c>
      <c r="I590" t="s">
        <v>77</v>
      </c>
    </row>
    <row r="591" spans="1:9" x14ac:dyDescent="0.45">
      <c r="A591" t="s">
        <v>1124</v>
      </c>
      <c r="B591" t="s">
        <v>172</v>
      </c>
      <c r="C591" t="s">
        <v>1125</v>
      </c>
      <c r="D591" t="s">
        <v>85</v>
      </c>
      <c r="E591">
        <v>2552.7199999999998</v>
      </c>
      <c r="F591" s="2">
        <v>45278.666684444448</v>
      </c>
      <c r="G591" t="s">
        <v>174</v>
      </c>
      <c r="H591" t="s">
        <v>81</v>
      </c>
      <c r="I591" t="s">
        <v>112</v>
      </c>
    </row>
    <row r="592" spans="1:9" x14ac:dyDescent="0.45">
      <c r="A592" t="s">
        <v>1126</v>
      </c>
      <c r="B592" t="s">
        <v>90</v>
      </c>
      <c r="C592" t="s">
        <v>922</v>
      </c>
      <c r="D592" t="s">
        <v>92</v>
      </c>
      <c r="E592">
        <v>6043.44</v>
      </c>
      <c r="F592" s="2">
        <v>45153.666684444448</v>
      </c>
      <c r="G592" t="s">
        <v>93</v>
      </c>
      <c r="H592" t="s">
        <v>136</v>
      </c>
      <c r="I592" t="s">
        <v>112</v>
      </c>
    </row>
    <row r="593" spans="1:9" x14ac:dyDescent="0.45">
      <c r="A593" t="s">
        <v>1127</v>
      </c>
      <c r="B593" t="s">
        <v>104</v>
      </c>
      <c r="C593" t="s">
        <v>710</v>
      </c>
      <c r="D593" t="s">
        <v>106</v>
      </c>
      <c r="E593">
        <v>11432.07</v>
      </c>
      <c r="F593" s="2">
        <v>45175.666684444448</v>
      </c>
      <c r="G593" t="s">
        <v>115</v>
      </c>
      <c r="H593" t="s">
        <v>136</v>
      </c>
      <c r="I593" t="s">
        <v>88</v>
      </c>
    </row>
    <row r="594" spans="1:9" x14ac:dyDescent="0.45">
      <c r="A594" t="s">
        <v>1128</v>
      </c>
      <c r="B594" t="s">
        <v>72</v>
      </c>
      <c r="C594" t="s">
        <v>1129</v>
      </c>
      <c r="D594" t="s">
        <v>74</v>
      </c>
      <c r="E594">
        <v>6076.21</v>
      </c>
      <c r="F594" s="2">
        <v>45378.666684444448</v>
      </c>
      <c r="H594" t="s">
        <v>76</v>
      </c>
      <c r="I594" t="s">
        <v>119</v>
      </c>
    </row>
    <row r="595" spans="1:9" x14ac:dyDescent="0.45">
      <c r="A595" t="s">
        <v>1130</v>
      </c>
      <c r="B595" t="s">
        <v>104</v>
      </c>
      <c r="C595" t="s">
        <v>478</v>
      </c>
      <c r="D595" t="s">
        <v>92</v>
      </c>
      <c r="E595">
        <v>3314.87</v>
      </c>
      <c r="F595" s="2">
        <v>45614.666684444448</v>
      </c>
      <c r="G595" t="s">
        <v>115</v>
      </c>
      <c r="I595" t="s">
        <v>119</v>
      </c>
    </row>
    <row r="596" spans="1:9" x14ac:dyDescent="0.45">
      <c r="A596" t="s">
        <v>593</v>
      </c>
      <c r="B596" t="s">
        <v>95</v>
      </c>
      <c r="C596" t="s">
        <v>431</v>
      </c>
      <c r="D596" t="s">
        <v>85</v>
      </c>
      <c r="E596">
        <v>2702.88</v>
      </c>
      <c r="F596" s="2">
        <v>45753.666684444448</v>
      </c>
      <c r="G596" t="s">
        <v>97</v>
      </c>
      <c r="H596" t="s">
        <v>81</v>
      </c>
      <c r="I596" t="s">
        <v>77</v>
      </c>
    </row>
    <row r="597" spans="1:9" x14ac:dyDescent="0.45">
      <c r="A597" t="s">
        <v>1131</v>
      </c>
      <c r="B597" t="s">
        <v>72</v>
      </c>
      <c r="C597" t="s">
        <v>1132</v>
      </c>
      <c r="D597" t="s">
        <v>101</v>
      </c>
      <c r="E597">
        <v>3043.39</v>
      </c>
      <c r="F597" s="2">
        <v>45202.666684444448</v>
      </c>
      <c r="G597" t="s">
        <v>521</v>
      </c>
      <c r="H597" t="s">
        <v>136</v>
      </c>
      <c r="I597" t="s">
        <v>82</v>
      </c>
    </row>
    <row r="598" spans="1:9" x14ac:dyDescent="0.45">
      <c r="A598" t="s">
        <v>1133</v>
      </c>
      <c r="B598" t="s">
        <v>90</v>
      </c>
      <c r="C598" t="s">
        <v>1134</v>
      </c>
      <c r="D598" t="s">
        <v>74</v>
      </c>
      <c r="E598">
        <v>6737.74</v>
      </c>
      <c r="F598" s="2">
        <v>45594.666684444448</v>
      </c>
      <c r="G598" t="s">
        <v>93</v>
      </c>
      <c r="H598" t="s">
        <v>136</v>
      </c>
      <c r="I598" t="s">
        <v>77</v>
      </c>
    </row>
    <row r="599" spans="1:9" x14ac:dyDescent="0.45">
      <c r="A599" t="s">
        <v>1135</v>
      </c>
      <c r="B599" t="s">
        <v>99</v>
      </c>
      <c r="C599" t="s">
        <v>183</v>
      </c>
      <c r="D599" t="s">
        <v>101</v>
      </c>
      <c r="E599">
        <v>2692.43</v>
      </c>
      <c r="F599" s="2">
        <v>45552.666684444448</v>
      </c>
      <c r="G599" t="s">
        <v>102</v>
      </c>
      <c r="H599" t="s">
        <v>128</v>
      </c>
      <c r="I599" t="s">
        <v>88</v>
      </c>
    </row>
    <row r="600" spans="1:9" x14ac:dyDescent="0.45">
      <c r="A600" t="s">
        <v>1136</v>
      </c>
      <c r="B600" t="s">
        <v>72</v>
      </c>
      <c r="C600" t="s">
        <v>1137</v>
      </c>
      <c r="D600" t="s">
        <v>101</v>
      </c>
      <c r="E600">
        <v>11539.22</v>
      </c>
      <c r="F600" s="2">
        <v>45772.666684444448</v>
      </c>
      <c r="G600" t="s">
        <v>75</v>
      </c>
      <c r="H600" t="s">
        <v>107</v>
      </c>
      <c r="I600" t="s">
        <v>82</v>
      </c>
    </row>
    <row r="601" spans="1:9" x14ac:dyDescent="0.45">
      <c r="A601" t="s">
        <v>1138</v>
      </c>
      <c r="B601" t="s">
        <v>79</v>
      </c>
      <c r="C601" t="s">
        <v>1139</v>
      </c>
      <c r="D601" t="s">
        <v>101</v>
      </c>
      <c r="E601">
        <v>5859.72</v>
      </c>
      <c r="F601" s="2">
        <v>45717.666684444448</v>
      </c>
      <c r="G601" t="s">
        <v>86</v>
      </c>
      <c r="H601" t="s">
        <v>87</v>
      </c>
      <c r="I601" t="s">
        <v>82</v>
      </c>
    </row>
    <row r="602" spans="1:9" x14ac:dyDescent="0.45">
      <c r="A602" t="s">
        <v>1140</v>
      </c>
      <c r="B602" t="s">
        <v>99</v>
      </c>
      <c r="C602" t="s">
        <v>1141</v>
      </c>
      <c r="D602" t="s">
        <v>92</v>
      </c>
      <c r="E602">
        <v>6591.22</v>
      </c>
      <c r="F602" s="2">
        <v>45327.666684444448</v>
      </c>
      <c r="G602" t="s">
        <v>102</v>
      </c>
      <c r="H602" t="s">
        <v>87</v>
      </c>
      <c r="I602" t="s">
        <v>119</v>
      </c>
    </row>
    <row r="603" spans="1:9" x14ac:dyDescent="0.45">
      <c r="A603" t="s">
        <v>1142</v>
      </c>
      <c r="B603" t="s">
        <v>104</v>
      </c>
      <c r="C603" t="s">
        <v>801</v>
      </c>
      <c r="D603" t="s">
        <v>92</v>
      </c>
      <c r="E603">
        <v>9407.14</v>
      </c>
      <c r="F603" s="2">
        <v>45841.666684444448</v>
      </c>
      <c r="G603" t="s">
        <v>115</v>
      </c>
      <c r="H603" t="s">
        <v>136</v>
      </c>
      <c r="I603" t="s">
        <v>77</v>
      </c>
    </row>
    <row r="604" spans="1:9" x14ac:dyDescent="0.45">
      <c r="A604" t="s">
        <v>1143</v>
      </c>
      <c r="B604" t="s">
        <v>99</v>
      </c>
      <c r="C604" t="s">
        <v>1144</v>
      </c>
      <c r="D604" t="s">
        <v>85</v>
      </c>
      <c r="E604">
        <v>8653.91</v>
      </c>
      <c r="F604" s="2">
        <v>45521.666684444448</v>
      </c>
      <c r="G604" t="s">
        <v>102</v>
      </c>
      <c r="H604" t="s">
        <v>128</v>
      </c>
      <c r="I604" t="s">
        <v>88</v>
      </c>
    </row>
    <row r="605" spans="1:9" x14ac:dyDescent="0.45">
      <c r="A605" t="s">
        <v>1145</v>
      </c>
      <c r="B605" t="s">
        <v>104</v>
      </c>
      <c r="C605" t="s">
        <v>1146</v>
      </c>
      <c r="D605" t="s">
        <v>155</v>
      </c>
      <c r="E605">
        <v>11509.35</v>
      </c>
      <c r="F605" s="2">
        <v>45634.666684444448</v>
      </c>
      <c r="G605" t="s">
        <v>115</v>
      </c>
      <c r="H605" t="s">
        <v>107</v>
      </c>
      <c r="I605" t="s">
        <v>82</v>
      </c>
    </row>
    <row r="606" spans="1:9" x14ac:dyDescent="0.45">
      <c r="A606" t="s">
        <v>1147</v>
      </c>
      <c r="B606" t="s">
        <v>138</v>
      </c>
      <c r="C606" t="s">
        <v>1148</v>
      </c>
      <c r="D606" t="s">
        <v>101</v>
      </c>
      <c r="E606">
        <v>9472.5499999999993</v>
      </c>
      <c r="F606" s="2">
        <v>45537.666684444448</v>
      </c>
      <c r="G606" t="s">
        <v>140</v>
      </c>
      <c r="H606" t="s">
        <v>118</v>
      </c>
      <c r="I606" t="s">
        <v>77</v>
      </c>
    </row>
    <row r="607" spans="1:9" x14ac:dyDescent="0.45">
      <c r="A607" t="s">
        <v>1149</v>
      </c>
      <c r="B607" t="s">
        <v>95</v>
      </c>
      <c r="C607" t="s">
        <v>728</v>
      </c>
      <c r="D607" t="s">
        <v>74</v>
      </c>
      <c r="E607">
        <v>3288.5</v>
      </c>
      <c r="F607" s="2">
        <v>45377.666684444448</v>
      </c>
      <c r="G607" t="s">
        <v>97</v>
      </c>
      <c r="H607" t="s">
        <v>118</v>
      </c>
      <c r="I607" t="s">
        <v>112</v>
      </c>
    </row>
    <row r="608" spans="1:9" x14ac:dyDescent="0.45">
      <c r="A608" t="s">
        <v>895</v>
      </c>
      <c r="B608" t="s">
        <v>90</v>
      </c>
      <c r="C608" t="s">
        <v>1150</v>
      </c>
      <c r="D608" t="s">
        <v>92</v>
      </c>
      <c r="E608">
        <v>5130.07</v>
      </c>
      <c r="F608" s="2">
        <v>45279.666684444448</v>
      </c>
      <c r="G608" t="s">
        <v>296</v>
      </c>
      <c r="H608" t="s">
        <v>81</v>
      </c>
      <c r="I608" t="s">
        <v>163</v>
      </c>
    </row>
    <row r="609" spans="1:9" x14ac:dyDescent="0.45">
      <c r="A609" t="s">
        <v>1151</v>
      </c>
      <c r="B609" t="s">
        <v>90</v>
      </c>
      <c r="C609" t="s">
        <v>423</v>
      </c>
      <c r="D609" t="s">
        <v>74</v>
      </c>
      <c r="E609">
        <v>4609.93</v>
      </c>
      <c r="F609" s="2">
        <v>45799.666684444448</v>
      </c>
      <c r="G609" t="s">
        <v>93</v>
      </c>
      <c r="H609" t="s">
        <v>107</v>
      </c>
      <c r="I609" t="s">
        <v>88</v>
      </c>
    </row>
    <row r="610" spans="1:9" x14ac:dyDescent="0.45">
      <c r="A610" t="s">
        <v>1152</v>
      </c>
      <c r="B610" t="s">
        <v>79</v>
      </c>
      <c r="C610" t="s">
        <v>1015</v>
      </c>
      <c r="D610" t="s">
        <v>101</v>
      </c>
      <c r="E610">
        <v>1783.6</v>
      </c>
      <c r="F610" s="2">
        <v>45832.666684444448</v>
      </c>
      <c r="G610" t="s">
        <v>86</v>
      </c>
      <c r="H610" t="s">
        <v>128</v>
      </c>
      <c r="I610" t="s">
        <v>82</v>
      </c>
    </row>
    <row r="611" spans="1:9" x14ac:dyDescent="0.45">
      <c r="A611" t="s">
        <v>1153</v>
      </c>
      <c r="B611" t="s">
        <v>95</v>
      </c>
      <c r="C611" t="s">
        <v>868</v>
      </c>
      <c r="D611" t="s">
        <v>74</v>
      </c>
      <c r="E611">
        <v>5908.29</v>
      </c>
      <c r="F611" s="2">
        <v>45133.666684444448</v>
      </c>
      <c r="G611" t="s">
        <v>97</v>
      </c>
      <c r="I611" t="s">
        <v>82</v>
      </c>
    </row>
    <row r="612" spans="1:9" x14ac:dyDescent="0.45">
      <c r="A612" t="s">
        <v>1154</v>
      </c>
      <c r="B612" t="s">
        <v>95</v>
      </c>
      <c r="C612" t="s">
        <v>1155</v>
      </c>
      <c r="D612" t="s">
        <v>74</v>
      </c>
      <c r="E612">
        <v>0</v>
      </c>
      <c r="F612" s="2">
        <v>45237.666684444448</v>
      </c>
      <c r="G612" t="s">
        <v>97</v>
      </c>
      <c r="H612" t="s">
        <v>76</v>
      </c>
      <c r="I612" t="s">
        <v>119</v>
      </c>
    </row>
    <row r="613" spans="1:9" x14ac:dyDescent="0.45">
      <c r="A613" t="s">
        <v>1156</v>
      </c>
      <c r="B613" t="s">
        <v>79</v>
      </c>
      <c r="C613" t="s">
        <v>1157</v>
      </c>
      <c r="E613">
        <v>9920.91</v>
      </c>
      <c r="F613" s="2">
        <v>45563.666684444448</v>
      </c>
      <c r="G613" t="s">
        <v>86</v>
      </c>
      <c r="H613" t="s">
        <v>87</v>
      </c>
      <c r="I613" t="s">
        <v>77</v>
      </c>
    </row>
    <row r="614" spans="1:9" x14ac:dyDescent="0.45">
      <c r="A614" t="s">
        <v>1158</v>
      </c>
      <c r="B614" t="s">
        <v>104</v>
      </c>
      <c r="C614" t="s">
        <v>1159</v>
      </c>
      <c r="D614" t="s">
        <v>101</v>
      </c>
      <c r="E614">
        <v>3508.98</v>
      </c>
      <c r="F614" s="2">
        <v>45352.666684444448</v>
      </c>
      <c r="H614" t="s">
        <v>133</v>
      </c>
      <c r="I614" t="s">
        <v>119</v>
      </c>
    </row>
    <row r="615" spans="1:9" x14ac:dyDescent="0.45">
      <c r="A615" t="s">
        <v>1160</v>
      </c>
      <c r="B615" t="s">
        <v>79</v>
      </c>
      <c r="C615" t="s">
        <v>1161</v>
      </c>
      <c r="D615" t="s">
        <v>85</v>
      </c>
      <c r="E615">
        <v>9261.4</v>
      </c>
      <c r="F615" s="2">
        <v>45308.666684444448</v>
      </c>
      <c r="G615" t="s">
        <v>86</v>
      </c>
      <c r="H615" t="s">
        <v>136</v>
      </c>
      <c r="I615" t="s">
        <v>82</v>
      </c>
    </row>
    <row r="616" spans="1:9" x14ac:dyDescent="0.45">
      <c r="A616" t="s">
        <v>217</v>
      </c>
      <c r="B616" t="s">
        <v>104</v>
      </c>
      <c r="C616" t="s">
        <v>259</v>
      </c>
      <c r="D616" t="s">
        <v>74</v>
      </c>
      <c r="E616">
        <v>8980.8799999999992</v>
      </c>
      <c r="F616" s="2">
        <v>45840.666684444448</v>
      </c>
      <c r="G616" t="s">
        <v>115</v>
      </c>
      <c r="H616" t="s">
        <v>145</v>
      </c>
      <c r="I616" t="s">
        <v>112</v>
      </c>
    </row>
    <row r="617" spans="1:9" x14ac:dyDescent="0.45">
      <c r="A617" t="s">
        <v>1162</v>
      </c>
      <c r="B617" t="s">
        <v>79</v>
      </c>
      <c r="C617" t="s">
        <v>728</v>
      </c>
      <c r="D617" t="s">
        <v>92</v>
      </c>
      <c r="E617">
        <v>5507.64</v>
      </c>
      <c r="F617" s="2">
        <v>45658.666684444448</v>
      </c>
      <c r="G617" t="s">
        <v>86</v>
      </c>
      <c r="H617" t="s">
        <v>128</v>
      </c>
      <c r="I617" t="s">
        <v>77</v>
      </c>
    </row>
    <row r="618" spans="1:9" x14ac:dyDescent="0.45">
      <c r="A618" t="s">
        <v>1163</v>
      </c>
      <c r="B618" t="s">
        <v>72</v>
      </c>
      <c r="C618" t="s">
        <v>966</v>
      </c>
      <c r="D618" t="s">
        <v>101</v>
      </c>
      <c r="E618">
        <v>11301.8</v>
      </c>
      <c r="F618" s="2">
        <v>45603.666684444448</v>
      </c>
      <c r="G618" t="s">
        <v>75</v>
      </c>
      <c r="I618" t="s">
        <v>82</v>
      </c>
    </row>
    <row r="619" spans="1:9" x14ac:dyDescent="0.45">
      <c r="A619" t="s">
        <v>1164</v>
      </c>
      <c r="B619" t="s">
        <v>72</v>
      </c>
      <c r="C619" t="s">
        <v>997</v>
      </c>
      <c r="D619" t="s">
        <v>92</v>
      </c>
      <c r="E619">
        <v>1263.18</v>
      </c>
      <c r="F619" s="2">
        <v>45179.666684444448</v>
      </c>
      <c r="G619" t="s">
        <v>75</v>
      </c>
      <c r="I619" t="s">
        <v>112</v>
      </c>
    </row>
    <row r="620" spans="1:9" x14ac:dyDescent="0.45">
      <c r="A620" t="s">
        <v>1165</v>
      </c>
      <c r="B620" t="s">
        <v>138</v>
      </c>
      <c r="C620" t="s">
        <v>130</v>
      </c>
      <c r="D620" t="s">
        <v>101</v>
      </c>
      <c r="E620">
        <v>6006.97</v>
      </c>
      <c r="F620" s="2">
        <v>45698.666684444448</v>
      </c>
      <c r="G620" t="s">
        <v>140</v>
      </c>
      <c r="H620" t="s">
        <v>136</v>
      </c>
      <c r="I620" t="s">
        <v>82</v>
      </c>
    </row>
    <row r="621" spans="1:9" x14ac:dyDescent="0.45">
      <c r="A621" t="s">
        <v>1166</v>
      </c>
      <c r="B621" t="s">
        <v>172</v>
      </c>
      <c r="C621" t="s">
        <v>706</v>
      </c>
      <c r="D621" t="s">
        <v>74</v>
      </c>
      <c r="E621">
        <v>6368.34</v>
      </c>
      <c r="F621" s="2">
        <v>45383.666684444448</v>
      </c>
      <c r="H621" t="s">
        <v>133</v>
      </c>
      <c r="I621" t="s">
        <v>119</v>
      </c>
    </row>
    <row r="622" spans="1:9" x14ac:dyDescent="0.45">
      <c r="A622" t="s">
        <v>1167</v>
      </c>
      <c r="B622" t="s">
        <v>79</v>
      </c>
      <c r="D622" t="s">
        <v>85</v>
      </c>
      <c r="E622">
        <v>8107.73</v>
      </c>
      <c r="F622" s="2">
        <v>45252.666684444448</v>
      </c>
      <c r="G622" t="s">
        <v>86</v>
      </c>
      <c r="H622" t="s">
        <v>118</v>
      </c>
      <c r="I622" t="s">
        <v>88</v>
      </c>
    </row>
    <row r="623" spans="1:9" x14ac:dyDescent="0.45">
      <c r="A623" t="s">
        <v>1168</v>
      </c>
      <c r="B623" t="s">
        <v>95</v>
      </c>
      <c r="C623" t="s">
        <v>1169</v>
      </c>
      <c r="D623" t="s">
        <v>74</v>
      </c>
      <c r="E623">
        <v>2796.54</v>
      </c>
      <c r="F623" s="2">
        <v>45595.666684444448</v>
      </c>
      <c r="G623" t="s">
        <v>97</v>
      </c>
      <c r="H623" t="s">
        <v>136</v>
      </c>
      <c r="I623" t="s">
        <v>77</v>
      </c>
    </row>
    <row r="624" spans="1:9" x14ac:dyDescent="0.45">
      <c r="A624" t="s">
        <v>1170</v>
      </c>
      <c r="B624" t="s">
        <v>72</v>
      </c>
      <c r="C624" t="s">
        <v>612</v>
      </c>
      <c r="D624" t="s">
        <v>101</v>
      </c>
      <c r="E624">
        <v>9858.43</v>
      </c>
      <c r="F624" s="2">
        <v>45264.666684444448</v>
      </c>
      <c r="G624" t="s">
        <v>75</v>
      </c>
      <c r="H624" t="s">
        <v>87</v>
      </c>
      <c r="I624" t="s">
        <v>88</v>
      </c>
    </row>
    <row r="625" spans="1:9" x14ac:dyDescent="0.45">
      <c r="A625" t="s">
        <v>1171</v>
      </c>
      <c r="B625" t="s">
        <v>109</v>
      </c>
      <c r="C625" t="s">
        <v>1172</v>
      </c>
      <c r="D625" t="s">
        <v>101</v>
      </c>
      <c r="E625">
        <v>0</v>
      </c>
      <c r="F625" s="2">
        <v>45603.666684444448</v>
      </c>
      <c r="G625" t="s">
        <v>111</v>
      </c>
      <c r="H625" t="s">
        <v>145</v>
      </c>
      <c r="I625" t="s">
        <v>119</v>
      </c>
    </row>
    <row r="626" spans="1:9" x14ac:dyDescent="0.45">
      <c r="A626" t="s">
        <v>1173</v>
      </c>
      <c r="B626" t="s">
        <v>104</v>
      </c>
      <c r="C626" t="s">
        <v>944</v>
      </c>
      <c r="D626" t="s">
        <v>155</v>
      </c>
      <c r="E626">
        <v>4195.0200000000004</v>
      </c>
      <c r="F626" s="2">
        <v>45811.666684444448</v>
      </c>
      <c r="G626" t="s">
        <v>115</v>
      </c>
      <c r="H626" t="s">
        <v>107</v>
      </c>
      <c r="I626" t="s">
        <v>77</v>
      </c>
    </row>
    <row r="627" spans="1:9" x14ac:dyDescent="0.45">
      <c r="A627" t="s">
        <v>1174</v>
      </c>
      <c r="B627" t="s">
        <v>72</v>
      </c>
      <c r="C627" t="s">
        <v>452</v>
      </c>
      <c r="D627" t="s">
        <v>74</v>
      </c>
      <c r="E627">
        <v>4711.05</v>
      </c>
      <c r="F627" s="2">
        <v>45671.666684444448</v>
      </c>
      <c r="H627" t="s">
        <v>116</v>
      </c>
      <c r="I627" t="s">
        <v>77</v>
      </c>
    </row>
    <row r="628" spans="1:9" x14ac:dyDescent="0.45">
      <c r="A628" t="s">
        <v>1175</v>
      </c>
      <c r="B628" t="s">
        <v>72</v>
      </c>
      <c r="C628" t="s">
        <v>326</v>
      </c>
      <c r="D628" t="s">
        <v>92</v>
      </c>
      <c r="E628">
        <v>9986.8700000000008</v>
      </c>
      <c r="F628" s="2">
        <v>45700.666684444448</v>
      </c>
      <c r="G628" t="s">
        <v>75</v>
      </c>
      <c r="H628" t="s">
        <v>81</v>
      </c>
      <c r="I628" t="s">
        <v>77</v>
      </c>
    </row>
    <row r="629" spans="1:9" x14ac:dyDescent="0.45">
      <c r="A629" t="s">
        <v>1176</v>
      </c>
      <c r="B629" t="s">
        <v>104</v>
      </c>
      <c r="C629" t="s">
        <v>674</v>
      </c>
      <c r="D629" t="s">
        <v>74</v>
      </c>
      <c r="E629">
        <v>8797.84</v>
      </c>
      <c r="F629" s="2">
        <v>45737.666684444448</v>
      </c>
      <c r="G629" t="s">
        <v>247</v>
      </c>
      <c r="H629" t="s">
        <v>128</v>
      </c>
      <c r="I629" t="s">
        <v>163</v>
      </c>
    </row>
    <row r="630" spans="1:9" x14ac:dyDescent="0.45">
      <c r="A630" t="s">
        <v>1177</v>
      </c>
      <c r="B630" t="s">
        <v>90</v>
      </c>
      <c r="C630" t="s">
        <v>1083</v>
      </c>
      <c r="D630" t="s">
        <v>101</v>
      </c>
      <c r="E630">
        <v>0</v>
      </c>
      <c r="F630" s="2">
        <v>45452.666684444448</v>
      </c>
      <c r="G630" t="s">
        <v>93</v>
      </c>
      <c r="H630" t="s">
        <v>118</v>
      </c>
      <c r="I630" t="s">
        <v>77</v>
      </c>
    </row>
    <row r="631" spans="1:9" x14ac:dyDescent="0.45">
      <c r="A631" t="s">
        <v>1178</v>
      </c>
      <c r="B631" t="s">
        <v>99</v>
      </c>
      <c r="C631" t="s">
        <v>1144</v>
      </c>
      <c r="D631" t="s">
        <v>101</v>
      </c>
      <c r="E631">
        <v>7467.8</v>
      </c>
      <c r="F631" s="2">
        <v>45581.666684444448</v>
      </c>
      <c r="G631" t="s">
        <v>102</v>
      </c>
      <c r="H631" t="s">
        <v>87</v>
      </c>
      <c r="I631" t="s">
        <v>82</v>
      </c>
    </row>
    <row r="632" spans="1:9" x14ac:dyDescent="0.45">
      <c r="A632" t="s">
        <v>1179</v>
      </c>
      <c r="B632" t="s">
        <v>104</v>
      </c>
      <c r="C632" t="s">
        <v>1180</v>
      </c>
      <c r="D632" t="s">
        <v>155</v>
      </c>
      <c r="E632">
        <v>3576.47</v>
      </c>
      <c r="F632" s="2">
        <v>45755.666684444448</v>
      </c>
      <c r="G632" t="s">
        <v>115</v>
      </c>
      <c r="H632" t="s">
        <v>76</v>
      </c>
      <c r="I632" t="s">
        <v>77</v>
      </c>
    </row>
    <row r="633" spans="1:9" x14ac:dyDescent="0.45">
      <c r="A633" t="s">
        <v>1181</v>
      </c>
      <c r="B633" t="s">
        <v>138</v>
      </c>
      <c r="C633" t="s">
        <v>1116</v>
      </c>
      <c r="D633" t="s">
        <v>74</v>
      </c>
      <c r="E633">
        <v>2685.34</v>
      </c>
      <c r="F633" s="2">
        <v>45644.666684444448</v>
      </c>
      <c r="G633" t="s">
        <v>194</v>
      </c>
      <c r="H633" t="s">
        <v>128</v>
      </c>
      <c r="I633" t="s">
        <v>77</v>
      </c>
    </row>
    <row r="634" spans="1:9" x14ac:dyDescent="0.45">
      <c r="A634" t="s">
        <v>1182</v>
      </c>
      <c r="B634" t="s">
        <v>104</v>
      </c>
      <c r="C634" t="s">
        <v>1183</v>
      </c>
      <c r="D634" t="s">
        <v>74</v>
      </c>
      <c r="E634">
        <v>5857.25</v>
      </c>
      <c r="F634" s="2">
        <v>45564.666684444448</v>
      </c>
      <c r="G634" t="s">
        <v>115</v>
      </c>
      <c r="H634" t="s">
        <v>128</v>
      </c>
      <c r="I634" t="s">
        <v>88</v>
      </c>
    </row>
    <row r="635" spans="1:9" x14ac:dyDescent="0.45">
      <c r="A635" t="s">
        <v>1184</v>
      </c>
      <c r="B635" t="s">
        <v>104</v>
      </c>
      <c r="C635" t="s">
        <v>1105</v>
      </c>
      <c r="D635" t="s">
        <v>101</v>
      </c>
      <c r="E635">
        <v>8811.26</v>
      </c>
      <c r="F635" s="2">
        <v>45689.666684444448</v>
      </c>
      <c r="G635" t="s">
        <v>115</v>
      </c>
      <c r="H635" t="s">
        <v>107</v>
      </c>
      <c r="I635" t="s">
        <v>88</v>
      </c>
    </row>
    <row r="636" spans="1:9" x14ac:dyDescent="0.45">
      <c r="A636" t="s">
        <v>1185</v>
      </c>
      <c r="B636" t="s">
        <v>172</v>
      </c>
      <c r="C636" t="s">
        <v>1186</v>
      </c>
      <c r="D636" t="s">
        <v>74</v>
      </c>
      <c r="E636">
        <v>8641.2199999999993</v>
      </c>
      <c r="F636" s="2">
        <v>45584.666684444448</v>
      </c>
      <c r="G636" t="s">
        <v>174</v>
      </c>
      <c r="H636" t="s">
        <v>145</v>
      </c>
      <c r="I636" t="s">
        <v>112</v>
      </c>
    </row>
    <row r="637" spans="1:9" x14ac:dyDescent="0.45">
      <c r="A637" t="s">
        <v>1187</v>
      </c>
      <c r="B637" t="s">
        <v>104</v>
      </c>
      <c r="C637" t="s">
        <v>1188</v>
      </c>
      <c r="D637" t="s">
        <v>74</v>
      </c>
      <c r="E637">
        <v>8467.91</v>
      </c>
      <c r="F637" s="2">
        <v>45290.666684444448</v>
      </c>
      <c r="G637" t="s">
        <v>115</v>
      </c>
      <c r="H637" t="s">
        <v>116</v>
      </c>
      <c r="I637" t="s">
        <v>163</v>
      </c>
    </row>
    <row r="638" spans="1:9" x14ac:dyDescent="0.45">
      <c r="A638" t="s">
        <v>1189</v>
      </c>
      <c r="B638" t="s">
        <v>99</v>
      </c>
      <c r="C638" t="s">
        <v>712</v>
      </c>
      <c r="D638" t="s">
        <v>85</v>
      </c>
      <c r="E638">
        <v>4595.25</v>
      </c>
      <c r="F638" s="2">
        <v>45614.666684444448</v>
      </c>
      <c r="G638" t="s">
        <v>102</v>
      </c>
      <c r="H638" t="s">
        <v>128</v>
      </c>
      <c r="I638" t="s">
        <v>112</v>
      </c>
    </row>
    <row r="639" spans="1:9" x14ac:dyDescent="0.45">
      <c r="A639" t="s">
        <v>1190</v>
      </c>
      <c r="B639" t="s">
        <v>99</v>
      </c>
      <c r="C639" t="s">
        <v>1191</v>
      </c>
      <c r="D639" t="s">
        <v>74</v>
      </c>
      <c r="E639">
        <v>9895.52</v>
      </c>
      <c r="F639" s="2">
        <v>45588.666684444448</v>
      </c>
      <c r="G639" t="s">
        <v>102</v>
      </c>
      <c r="H639" t="s">
        <v>128</v>
      </c>
      <c r="I639" t="s">
        <v>82</v>
      </c>
    </row>
    <row r="640" spans="1:9" x14ac:dyDescent="0.45">
      <c r="A640" t="s">
        <v>1192</v>
      </c>
      <c r="B640" t="s">
        <v>109</v>
      </c>
      <c r="C640" t="s">
        <v>494</v>
      </c>
      <c r="D640" t="s">
        <v>74</v>
      </c>
      <c r="E640">
        <v>5332.23</v>
      </c>
      <c r="F640" s="2">
        <v>45393.666684444448</v>
      </c>
      <c r="G640" t="s">
        <v>111</v>
      </c>
      <c r="H640" t="s">
        <v>107</v>
      </c>
      <c r="I640" t="s">
        <v>82</v>
      </c>
    </row>
    <row r="641" spans="1:9" x14ac:dyDescent="0.45">
      <c r="A641" t="s">
        <v>378</v>
      </c>
      <c r="B641" t="s">
        <v>90</v>
      </c>
      <c r="C641" t="s">
        <v>957</v>
      </c>
      <c r="D641" t="s">
        <v>92</v>
      </c>
      <c r="E641">
        <v>574.07000000000005</v>
      </c>
      <c r="F641" s="2">
        <v>45381.666684444448</v>
      </c>
      <c r="G641" t="s">
        <v>93</v>
      </c>
      <c r="H641" t="s">
        <v>128</v>
      </c>
      <c r="I641" t="s">
        <v>112</v>
      </c>
    </row>
    <row r="642" spans="1:9" x14ac:dyDescent="0.45">
      <c r="A642" t="s">
        <v>1193</v>
      </c>
      <c r="B642" t="s">
        <v>104</v>
      </c>
      <c r="C642" t="s">
        <v>440</v>
      </c>
      <c r="D642" t="s">
        <v>101</v>
      </c>
      <c r="E642">
        <v>11970.99</v>
      </c>
      <c r="F642" s="2">
        <v>45780.666684444448</v>
      </c>
      <c r="G642" t="s">
        <v>115</v>
      </c>
      <c r="H642" t="s">
        <v>118</v>
      </c>
      <c r="I642" t="s">
        <v>88</v>
      </c>
    </row>
    <row r="643" spans="1:9" x14ac:dyDescent="0.45">
      <c r="A643" t="s">
        <v>1194</v>
      </c>
      <c r="B643" t="s">
        <v>172</v>
      </c>
      <c r="C643" t="s">
        <v>1195</v>
      </c>
      <c r="D643" t="s">
        <v>74</v>
      </c>
      <c r="E643">
        <v>9725.24</v>
      </c>
      <c r="F643" s="2">
        <v>45411.666684444448</v>
      </c>
      <c r="G643" t="s">
        <v>174</v>
      </c>
      <c r="H643" t="s">
        <v>136</v>
      </c>
      <c r="I643" t="s">
        <v>77</v>
      </c>
    </row>
    <row r="644" spans="1:9" x14ac:dyDescent="0.45">
      <c r="A644" t="s">
        <v>1196</v>
      </c>
      <c r="B644" t="s">
        <v>172</v>
      </c>
      <c r="C644" t="s">
        <v>924</v>
      </c>
      <c r="D644" t="s">
        <v>101</v>
      </c>
      <c r="E644">
        <v>2775.77</v>
      </c>
      <c r="F644" s="2">
        <v>45661.666684444448</v>
      </c>
      <c r="G644" t="s">
        <v>174</v>
      </c>
      <c r="H644" t="s">
        <v>76</v>
      </c>
      <c r="I644" t="s">
        <v>163</v>
      </c>
    </row>
    <row r="645" spans="1:9" x14ac:dyDescent="0.45">
      <c r="A645" t="s">
        <v>1197</v>
      </c>
      <c r="B645" t="s">
        <v>95</v>
      </c>
      <c r="C645" t="s">
        <v>1198</v>
      </c>
      <c r="D645" t="s">
        <v>85</v>
      </c>
      <c r="E645">
        <v>3654.9</v>
      </c>
      <c r="F645" s="2">
        <v>45624.666684444448</v>
      </c>
      <c r="G645" t="s">
        <v>97</v>
      </c>
      <c r="H645" t="s">
        <v>81</v>
      </c>
      <c r="I645" t="s">
        <v>112</v>
      </c>
    </row>
    <row r="646" spans="1:9" x14ac:dyDescent="0.45">
      <c r="A646" t="s">
        <v>1199</v>
      </c>
      <c r="B646" t="s">
        <v>90</v>
      </c>
      <c r="C646" t="s">
        <v>1200</v>
      </c>
      <c r="D646" t="s">
        <v>101</v>
      </c>
      <c r="E646">
        <v>9438.31</v>
      </c>
      <c r="F646" s="2">
        <v>45769.666684444448</v>
      </c>
      <c r="G646" t="s">
        <v>93</v>
      </c>
      <c r="H646" t="s">
        <v>81</v>
      </c>
      <c r="I646" t="s">
        <v>163</v>
      </c>
    </row>
    <row r="647" spans="1:9" x14ac:dyDescent="0.45">
      <c r="A647" t="s">
        <v>1201</v>
      </c>
      <c r="B647" t="s">
        <v>172</v>
      </c>
      <c r="C647" t="s">
        <v>1202</v>
      </c>
      <c r="D647" t="s">
        <v>85</v>
      </c>
      <c r="E647">
        <v>10973.3</v>
      </c>
      <c r="F647" s="2">
        <v>45372.666684444448</v>
      </c>
      <c r="G647" t="s">
        <v>174</v>
      </c>
      <c r="H647" t="s">
        <v>128</v>
      </c>
      <c r="I647" t="s">
        <v>112</v>
      </c>
    </row>
    <row r="648" spans="1:9" x14ac:dyDescent="0.45">
      <c r="A648" t="s">
        <v>1203</v>
      </c>
      <c r="B648" t="s">
        <v>99</v>
      </c>
      <c r="C648" t="s">
        <v>1204</v>
      </c>
      <c r="D648" t="s">
        <v>74</v>
      </c>
      <c r="E648">
        <v>10171.68</v>
      </c>
      <c r="F648" s="2">
        <v>45409.666684444448</v>
      </c>
      <c r="G648" t="s">
        <v>102</v>
      </c>
      <c r="I648" t="s">
        <v>77</v>
      </c>
    </row>
    <row r="649" spans="1:9" x14ac:dyDescent="0.45">
      <c r="A649" t="s">
        <v>1205</v>
      </c>
      <c r="B649" t="s">
        <v>95</v>
      </c>
      <c r="C649" t="s">
        <v>293</v>
      </c>
      <c r="D649" t="s">
        <v>85</v>
      </c>
      <c r="E649">
        <v>10570.58</v>
      </c>
      <c r="F649" s="2">
        <v>45578.666684444448</v>
      </c>
      <c r="G649" t="s">
        <v>97</v>
      </c>
      <c r="H649" t="s">
        <v>107</v>
      </c>
      <c r="I649" t="s">
        <v>77</v>
      </c>
    </row>
    <row r="650" spans="1:9" x14ac:dyDescent="0.45">
      <c r="A650" t="s">
        <v>1206</v>
      </c>
      <c r="B650" t="s">
        <v>79</v>
      </c>
      <c r="C650" t="s">
        <v>1207</v>
      </c>
      <c r="D650" t="s">
        <v>101</v>
      </c>
      <c r="E650">
        <v>7230.14</v>
      </c>
      <c r="F650" s="2">
        <v>45207.666684444448</v>
      </c>
      <c r="G650" t="s">
        <v>86</v>
      </c>
      <c r="H650" t="s">
        <v>145</v>
      </c>
      <c r="I650" t="s">
        <v>163</v>
      </c>
    </row>
    <row r="651" spans="1:9" x14ac:dyDescent="0.45">
      <c r="A651" t="s">
        <v>1208</v>
      </c>
      <c r="B651" t="s">
        <v>172</v>
      </c>
      <c r="C651" t="s">
        <v>633</v>
      </c>
      <c r="D651" t="s">
        <v>85</v>
      </c>
      <c r="E651">
        <v>10658.51</v>
      </c>
      <c r="F651" s="2">
        <v>45858.666684444448</v>
      </c>
      <c r="H651" t="s">
        <v>107</v>
      </c>
      <c r="I651" t="s">
        <v>82</v>
      </c>
    </row>
    <row r="652" spans="1:9" x14ac:dyDescent="0.45">
      <c r="A652" t="s">
        <v>1209</v>
      </c>
      <c r="B652" t="s">
        <v>138</v>
      </c>
      <c r="C652" t="s">
        <v>1032</v>
      </c>
      <c r="E652">
        <v>5674.55</v>
      </c>
      <c r="F652" s="2">
        <v>45420.666684444448</v>
      </c>
      <c r="G652" t="s">
        <v>140</v>
      </c>
      <c r="H652" t="s">
        <v>87</v>
      </c>
      <c r="I652" t="s">
        <v>112</v>
      </c>
    </row>
    <row r="653" spans="1:9" x14ac:dyDescent="0.45">
      <c r="A653" t="s">
        <v>1210</v>
      </c>
      <c r="B653" t="s">
        <v>172</v>
      </c>
      <c r="C653" t="s">
        <v>144</v>
      </c>
      <c r="D653" t="s">
        <v>85</v>
      </c>
      <c r="E653">
        <v>0</v>
      </c>
      <c r="F653" s="2">
        <v>45368.666684444448</v>
      </c>
      <c r="G653" t="s">
        <v>174</v>
      </c>
      <c r="H653" t="s">
        <v>128</v>
      </c>
      <c r="I653" t="s">
        <v>163</v>
      </c>
    </row>
    <row r="654" spans="1:9" x14ac:dyDescent="0.45">
      <c r="A654" t="s">
        <v>1211</v>
      </c>
      <c r="B654" t="s">
        <v>72</v>
      </c>
      <c r="C654" t="s">
        <v>277</v>
      </c>
      <c r="D654" t="s">
        <v>101</v>
      </c>
      <c r="E654">
        <v>607.16</v>
      </c>
      <c r="F654" s="2">
        <v>45406.666684444448</v>
      </c>
      <c r="G654" t="s">
        <v>75</v>
      </c>
      <c r="H654" t="s">
        <v>116</v>
      </c>
      <c r="I654" t="s">
        <v>119</v>
      </c>
    </row>
    <row r="655" spans="1:9" x14ac:dyDescent="0.45">
      <c r="A655" t="s">
        <v>1212</v>
      </c>
      <c r="B655" t="s">
        <v>90</v>
      </c>
      <c r="C655" t="s">
        <v>1213</v>
      </c>
      <c r="D655" t="s">
        <v>101</v>
      </c>
      <c r="E655">
        <v>11539.58</v>
      </c>
      <c r="F655" s="2">
        <v>45471.666684444448</v>
      </c>
      <c r="G655" t="s">
        <v>93</v>
      </c>
      <c r="H655" t="s">
        <v>81</v>
      </c>
      <c r="I655" t="s">
        <v>163</v>
      </c>
    </row>
    <row r="656" spans="1:9" x14ac:dyDescent="0.45">
      <c r="A656" t="s">
        <v>1214</v>
      </c>
      <c r="B656" t="s">
        <v>72</v>
      </c>
      <c r="C656" t="s">
        <v>1215</v>
      </c>
      <c r="D656" t="s">
        <v>101</v>
      </c>
      <c r="E656">
        <v>8116.67</v>
      </c>
      <c r="F656" s="2">
        <v>45455.666684444448</v>
      </c>
      <c r="G656" t="s">
        <v>75</v>
      </c>
      <c r="H656" t="s">
        <v>118</v>
      </c>
      <c r="I656" t="s">
        <v>112</v>
      </c>
    </row>
    <row r="657" spans="1:9" x14ac:dyDescent="0.45">
      <c r="A657" t="s">
        <v>1216</v>
      </c>
      <c r="B657" t="s">
        <v>109</v>
      </c>
      <c r="C657" t="s">
        <v>338</v>
      </c>
      <c r="D657" t="s">
        <v>74</v>
      </c>
      <c r="E657">
        <v>0</v>
      </c>
      <c r="F657" s="2">
        <v>45681.666684444448</v>
      </c>
      <c r="G657" t="s">
        <v>111</v>
      </c>
      <c r="H657" t="s">
        <v>107</v>
      </c>
      <c r="I657" t="s">
        <v>163</v>
      </c>
    </row>
    <row r="658" spans="1:9" x14ac:dyDescent="0.45">
      <c r="A658" t="s">
        <v>1217</v>
      </c>
      <c r="B658" t="s">
        <v>172</v>
      </c>
      <c r="C658" t="s">
        <v>821</v>
      </c>
      <c r="D658" t="s">
        <v>74</v>
      </c>
      <c r="E658">
        <v>4167.45</v>
      </c>
      <c r="F658" s="2">
        <v>45210.666684444448</v>
      </c>
      <c r="H658" t="s">
        <v>136</v>
      </c>
      <c r="I658" t="s">
        <v>112</v>
      </c>
    </row>
    <row r="659" spans="1:9" x14ac:dyDescent="0.45">
      <c r="A659" t="s">
        <v>1218</v>
      </c>
      <c r="B659" t="s">
        <v>79</v>
      </c>
      <c r="D659" t="s">
        <v>92</v>
      </c>
      <c r="E659">
        <v>4474.5200000000004</v>
      </c>
      <c r="F659" s="2">
        <v>45269.666684444448</v>
      </c>
      <c r="G659" t="s">
        <v>86</v>
      </c>
      <c r="H659" t="s">
        <v>128</v>
      </c>
      <c r="I659" t="s">
        <v>112</v>
      </c>
    </row>
    <row r="660" spans="1:9" x14ac:dyDescent="0.45">
      <c r="A660" t="s">
        <v>1219</v>
      </c>
      <c r="B660" t="s">
        <v>72</v>
      </c>
      <c r="C660" t="s">
        <v>764</v>
      </c>
      <c r="D660" t="s">
        <v>101</v>
      </c>
      <c r="E660">
        <v>4873.32</v>
      </c>
      <c r="F660" s="2">
        <v>45282.666684444448</v>
      </c>
      <c r="G660" t="s">
        <v>75</v>
      </c>
      <c r="H660" t="s">
        <v>118</v>
      </c>
      <c r="I660" t="s">
        <v>112</v>
      </c>
    </row>
    <row r="661" spans="1:9" x14ac:dyDescent="0.45">
      <c r="A661" t="s">
        <v>1220</v>
      </c>
      <c r="B661" t="s">
        <v>72</v>
      </c>
      <c r="C661" t="s">
        <v>1221</v>
      </c>
      <c r="D661" t="s">
        <v>101</v>
      </c>
      <c r="E661">
        <v>6922.6</v>
      </c>
      <c r="F661" s="2">
        <v>45364.666684444448</v>
      </c>
      <c r="G661" t="s">
        <v>75</v>
      </c>
      <c r="H661" t="s">
        <v>116</v>
      </c>
      <c r="I661" t="s">
        <v>88</v>
      </c>
    </row>
    <row r="662" spans="1:9" x14ac:dyDescent="0.45">
      <c r="A662" t="s">
        <v>1222</v>
      </c>
      <c r="B662" t="s">
        <v>90</v>
      </c>
      <c r="C662" t="s">
        <v>1223</v>
      </c>
      <c r="D662" t="s">
        <v>85</v>
      </c>
      <c r="E662">
        <v>0</v>
      </c>
      <c r="F662" s="2">
        <v>45520.666684444448</v>
      </c>
      <c r="H662" t="s">
        <v>81</v>
      </c>
      <c r="I662" t="s">
        <v>163</v>
      </c>
    </row>
    <row r="663" spans="1:9" x14ac:dyDescent="0.45">
      <c r="A663" t="s">
        <v>1224</v>
      </c>
      <c r="B663" t="s">
        <v>95</v>
      </c>
      <c r="C663" t="s">
        <v>1225</v>
      </c>
      <c r="D663" t="s">
        <v>85</v>
      </c>
      <c r="E663">
        <v>10636.42</v>
      </c>
      <c r="F663" s="2">
        <v>45838.666684444448</v>
      </c>
      <c r="G663" t="s">
        <v>97</v>
      </c>
      <c r="H663" t="s">
        <v>136</v>
      </c>
      <c r="I663" t="s">
        <v>77</v>
      </c>
    </row>
    <row r="664" spans="1:9" x14ac:dyDescent="0.45">
      <c r="A664" t="s">
        <v>1226</v>
      </c>
      <c r="B664" t="s">
        <v>79</v>
      </c>
      <c r="C664" t="s">
        <v>1227</v>
      </c>
      <c r="D664" t="s">
        <v>74</v>
      </c>
      <c r="E664">
        <v>10593.38</v>
      </c>
      <c r="F664" s="2">
        <v>45284.666684444448</v>
      </c>
      <c r="H664" t="s">
        <v>116</v>
      </c>
      <c r="I664" t="s">
        <v>112</v>
      </c>
    </row>
    <row r="665" spans="1:9" x14ac:dyDescent="0.45">
      <c r="A665" t="s">
        <v>1228</v>
      </c>
      <c r="B665" t="s">
        <v>72</v>
      </c>
      <c r="C665" t="s">
        <v>287</v>
      </c>
      <c r="E665">
        <v>1254.33</v>
      </c>
      <c r="F665" s="2">
        <v>45851.666684444448</v>
      </c>
      <c r="G665" t="s">
        <v>75</v>
      </c>
      <c r="H665" t="s">
        <v>133</v>
      </c>
      <c r="I665" t="s">
        <v>77</v>
      </c>
    </row>
    <row r="666" spans="1:9" x14ac:dyDescent="0.45">
      <c r="A666" t="s">
        <v>1229</v>
      </c>
      <c r="B666" t="s">
        <v>104</v>
      </c>
      <c r="C666" t="s">
        <v>1230</v>
      </c>
      <c r="D666" t="s">
        <v>74</v>
      </c>
      <c r="E666">
        <v>6684.08</v>
      </c>
      <c r="F666" s="2">
        <v>45347.666684444448</v>
      </c>
      <c r="G666" t="s">
        <v>115</v>
      </c>
      <c r="H666" t="s">
        <v>107</v>
      </c>
      <c r="I666" t="s">
        <v>82</v>
      </c>
    </row>
    <row r="667" spans="1:9" x14ac:dyDescent="0.45">
      <c r="A667" t="s">
        <v>763</v>
      </c>
      <c r="B667" t="s">
        <v>79</v>
      </c>
      <c r="C667" t="s">
        <v>1231</v>
      </c>
      <c r="D667" t="s">
        <v>92</v>
      </c>
      <c r="E667">
        <v>11692.19</v>
      </c>
      <c r="F667" s="2">
        <v>45193.666684444448</v>
      </c>
      <c r="G667" t="s">
        <v>86</v>
      </c>
      <c r="I667" t="s">
        <v>119</v>
      </c>
    </row>
    <row r="668" spans="1:9" x14ac:dyDescent="0.45">
      <c r="A668" t="s">
        <v>1232</v>
      </c>
      <c r="B668" t="s">
        <v>104</v>
      </c>
      <c r="C668" t="s">
        <v>1233</v>
      </c>
      <c r="D668" t="s">
        <v>92</v>
      </c>
      <c r="E668">
        <v>0</v>
      </c>
      <c r="F668" s="2">
        <v>45552.666684444448</v>
      </c>
      <c r="G668" t="s">
        <v>115</v>
      </c>
      <c r="H668" t="s">
        <v>81</v>
      </c>
      <c r="I668" t="s">
        <v>82</v>
      </c>
    </row>
    <row r="669" spans="1:9" x14ac:dyDescent="0.45">
      <c r="A669" t="s">
        <v>1234</v>
      </c>
      <c r="B669" t="s">
        <v>172</v>
      </c>
      <c r="C669" t="s">
        <v>84</v>
      </c>
      <c r="D669" t="s">
        <v>92</v>
      </c>
      <c r="E669">
        <v>2554.73</v>
      </c>
      <c r="F669" s="2">
        <v>45545.666684444448</v>
      </c>
      <c r="G669" t="s">
        <v>174</v>
      </c>
      <c r="H669" t="s">
        <v>133</v>
      </c>
      <c r="I669" t="s">
        <v>112</v>
      </c>
    </row>
    <row r="670" spans="1:9" x14ac:dyDescent="0.45">
      <c r="A670" t="s">
        <v>1235</v>
      </c>
      <c r="B670" t="s">
        <v>72</v>
      </c>
      <c r="D670" t="s">
        <v>85</v>
      </c>
      <c r="E670">
        <v>7682.33</v>
      </c>
      <c r="F670" s="2">
        <v>45466.666684444448</v>
      </c>
      <c r="G670" t="s">
        <v>75</v>
      </c>
      <c r="H670" t="s">
        <v>118</v>
      </c>
      <c r="I670" t="s">
        <v>112</v>
      </c>
    </row>
    <row r="671" spans="1:9" x14ac:dyDescent="0.45">
      <c r="A671" t="s">
        <v>1236</v>
      </c>
      <c r="B671" t="s">
        <v>72</v>
      </c>
      <c r="C671" t="s">
        <v>261</v>
      </c>
      <c r="D671" t="s">
        <v>74</v>
      </c>
      <c r="E671">
        <v>5802.26</v>
      </c>
      <c r="F671" s="2">
        <v>45683.666684444448</v>
      </c>
      <c r="G671" t="s">
        <v>521</v>
      </c>
      <c r="H671" t="s">
        <v>145</v>
      </c>
      <c r="I671" t="s">
        <v>163</v>
      </c>
    </row>
    <row r="672" spans="1:9" x14ac:dyDescent="0.45">
      <c r="A672" t="s">
        <v>1237</v>
      </c>
      <c r="B672" t="s">
        <v>99</v>
      </c>
      <c r="C672" t="s">
        <v>1238</v>
      </c>
      <c r="D672" t="s">
        <v>101</v>
      </c>
      <c r="E672">
        <v>9348.06</v>
      </c>
      <c r="F672" s="2">
        <v>45605.666684444448</v>
      </c>
      <c r="G672" t="s">
        <v>102</v>
      </c>
      <c r="I672" t="s">
        <v>77</v>
      </c>
    </row>
    <row r="673" spans="1:9" x14ac:dyDescent="0.45">
      <c r="A673" t="s">
        <v>1239</v>
      </c>
      <c r="B673" t="s">
        <v>99</v>
      </c>
      <c r="C673" t="s">
        <v>1240</v>
      </c>
      <c r="D673" t="s">
        <v>85</v>
      </c>
      <c r="E673">
        <v>0</v>
      </c>
      <c r="F673" s="2">
        <v>45553.666684444448</v>
      </c>
      <c r="G673" t="s">
        <v>102</v>
      </c>
      <c r="I673" t="s">
        <v>88</v>
      </c>
    </row>
    <row r="674" spans="1:9" x14ac:dyDescent="0.45">
      <c r="A674" t="s">
        <v>1241</v>
      </c>
      <c r="B674" t="s">
        <v>90</v>
      </c>
      <c r="C674" t="s">
        <v>796</v>
      </c>
      <c r="D674" t="s">
        <v>101</v>
      </c>
      <c r="E674">
        <v>6831.38</v>
      </c>
      <c r="F674" s="2">
        <v>45191.666684444448</v>
      </c>
      <c r="H674" t="s">
        <v>136</v>
      </c>
      <c r="I674" t="s">
        <v>112</v>
      </c>
    </row>
    <row r="675" spans="1:9" x14ac:dyDescent="0.45">
      <c r="A675" t="s">
        <v>1242</v>
      </c>
      <c r="B675" t="s">
        <v>95</v>
      </c>
      <c r="C675" t="s">
        <v>440</v>
      </c>
      <c r="D675" t="s">
        <v>148</v>
      </c>
      <c r="E675">
        <v>9695.26</v>
      </c>
      <c r="F675" s="2">
        <v>45339.666684444448</v>
      </c>
      <c r="G675" t="s">
        <v>97</v>
      </c>
      <c r="H675" t="s">
        <v>136</v>
      </c>
      <c r="I675" t="s">
        <v>119</v>
      </c>
    </row>
    <row r="676" spans="1:9" x14ac:dyDescent="0.45">
      <c r="A676" t="s">
        <v>1243</v>
      </c>
      <c r="B676" t="s">
        <v>90</v>
      </c>
      <c r="C676" t="s">
        <v>293</v>
      </c>
      <c r="D676" t="s">
        <v>101</v>
      </c>
      <c r="E676">
        <v>1322.07</v>
      </c>
      <c r="F676" s="2">
        <v>45558.666684444448</v>
      </c>
      <c r="G676" t="s">
        <v>93</v>
      </c>
      <c r="H676" t="s">
        <v>128</v>
      </c>
      <c r="I676" t="s">
        <v>112</v>
      </c>
    </row>
    <row r="677" spans="1:9" x14ac:dyDescent="0.45">
      <c r="A677" t="s">
        <v>1244</v>
      </c>
      <c r="B677" t="s">
        <v>90</v>
      </c>
      <c r="C677" t="s">
        <v>554</v>
      </c>
      <c r="D677" t="s">
        <v>101</v>
      </c>
      <c r="E677">
        <v>1877.12</v>
      </c>
      <c r="F677" s="2">
        <v>45526.666684444448</v>
      </c>
      <c r="G677" t="s">
        <v>296</v>
      </c>
      <c r="I677" t="s">
        <v>119</v>
      </c>
    </row>
    <row r="678" spans="1:9" x14ac:dyDescent="0.45">
      <c r="A678" t="s">
        <v>1245</v>
      </c>
      <c r="B678" t="s">
        <v>72</v>
      </c>
      <c r="C678" t="s">
        <v>538</v>
      </c>
      <c r="D678" t="s">
        <v>101</v>
      </c>
      <c r="E678">
        <v>8714.27</v>
      </c>
      <c r="F678" s="2">
        <v>45726.666684444448</v>
      </c>
      <c r="G678" t="s">
        <v>75</v>
      </c>
      <c r="H678" t="s">
        <v>145</v>
      </c>
      <c r="I678" t="s">
        <v>163</v>
      </c>
    </row>
    <row r="679" spans="1:9" x14ac:dyDescent="0.45">
      <c r="A679" t="s">
        <v>1246</v>
      </c>
      <c r="B679" t="s">
        <v>99</v>
      </c>
      <c r="C679" t="s">
        <v>1247</v>
      </c>
      <c r="D679" t="s">
        <v>101</v>
      </c>
      <c r="E679">
        <v>3588.15</v>
      </c>
      <c r="F679" s="2">
        <v>45840.666684444448</v>
      </c>
      <c r="G679" t="s">
        <v>285</v>
      </c>
      <c r="H679" t="s">
        <v>118</v>
      </c>
      <c r="I679" t="s">
        <v>112</v>
      </c>
    </row>
    <row r="680" spans="1:9" x14ac:dyDescent="0.45">
      <c r="A680" t="s">
        <v>1248</v>
      </c>
      <c r="B680" t="s">
        <v>99</v>
      </c>
      <c r="C680" t="s">
        <v>1249</v>
      </c>
      <c r="D680" t="s">
        <v>85</v>
      </c>
      <c r="E680">
        <v>8054.66</v>
      </c>
      <c r="F680" s="2">
        <v>45148.666684444448</v>
      </c>
      <c r="G680" t="s">
        <v>102</v>
      </c>
      <c r="H680" t="s">
        <v>107</v>
      </c>
      <c r="I680" t="s">
        <v>163</v>
      </c>
    </row>
    <row r="681" spans="1:9" x14ac:dyDescent="0.45">
      <c r="A681" t="s">
        <v>1250</v>
      </c>
      <c r="B681" t="s">
        <v>99</v>
      </c>
      <c r="C681" t="s">
        <v>816</v>
      </c>
      <c r="D681" t="s">
        <v>92</v>
      </c>
      <c r="E681">
        <v>0</v>
      </c>
      <c r="F681" s="2">
        <v>45717.666684444448</v>
      </c>
      <c r="G681" t="s">
        <v>102</v>
      </c>
      <c r="H681" t="s">
        <v>107</v>
      </c>
      <c r="I681" t="s">
        <v>77</v>
      </c>
    </row>
    <row r="682" spans="1:9" x14ac:dyDescent="0.45">
      <c r="A682" t="s">
        <v>1251</v>
      </c>
      <c r="B682" t="s">
        <v>79</v>
      </c>
      <c r="D682" t="s">
        <v>92</v>
      </c>
      <c r="E682">
        <v>10029.4</v>
      </c>
      <c r="F682" s="2">
        <v>45517.666684444448</v>
      </c>
      <c r="G682" t="s">
        <v>86</v>
      </c>
      <c r="H682" t="s">
        <v>136</v>
      </c>
      <c r="I682" t="s">
        <v>163</v>
      </c>
    </row>
    <row r="683" spans="1:9" x14ac:dyDescent="0.45">
      <c r="A683" t="s">
        <v>1252</v>
      </c>
      <c r="B683" t="s">
        <v>138</v>
      </c>
      <c r="C683" t="s">
        <v>1064</v>
      </c>
      <c r="E683">
        <v>9178.5499999999993</v>
      </c>
      <c r="F683" s="2">
        <v>45616.666684444448</v>
      </c>
      <c r="G683" t="s">
        <v>140</v>
      </c>
      <c r="I683" t="s">
        <v>119</v>
      </c>
    </row>
    <row r="684" spans="1:9" x14ac:dyDescent="0.45">
      <c r="A684" t="s">
        <v>1253</v>
      </c>
      <c r="B684" t="s">
        <v>72</v>
      </c>
      <c r="C684" t="s">
        <v>289</v>
      </c>
      <c r="D684" t="s">
        <v>148</v>
      </c>
      <c r="E684">
        <v>3867.12</v>
      </c>
      <c r="F684" s="2">
        <v>45134.666684444448</v>
      </c>
      <c r="G684" t="s">
        <v>75</v>
      </c>
      <c r="H684" t="s">
        <v>136</v>
      </c>
      <c r="I684" t="s">
        <v>77</v>
      </c>
    </row>
    <row r="685" spans="1:9" x14ac:dyDescent="0.45">
      <c r="A685" t="s">
        <v>1254</v>
      </c>
      <c r="B685" t="s">
        <v>172</v>
      </c>
      <c r="C685" t="s">
        <v>440</v>
      </c>
      <c r="E685">
        <v>11835.94</v>
      </c>
      <c r="F685" s="2">
        <v>45488.666684444448</v>
      </c>
      <c r="G685" t="s">
        <v>174</v>
      </c>
      <c r="H685" t="s">
        <v>76</v>
      </c>
      <c r="I685" t="s">
        <v>88</v>
      </c>
    </row>
    <row r="686" spans="1:9" x14ac:dyDescent="0.45">
      <c r="A686" t="s">
        <v>1255</v>
      </c>
      <c r="B686" t="s">
        <v>90</v>
      </c>
      <c r="D686" t="s">
        <v>74</v>
      </c>
      <c r="E686">
        <v>11211.24</v>
      </c>
      <c r="F686" s="2">
        <v>45433.666684444448</v>
      </c>
      <c r="G686" t="s">
        <v>296</v>
      </c>
      <c r="H686" t="s">
        <v>87</v>
      </c>
      <c r="I686" t="s">
        <v>112</v>
      </c>
    </row>
    <row r="687" spans="1:9" x14ac:dyDescent="0.45">
      <c r="A687" t="s">
        <v>1256</v>
      </c>
      <c r="B687" t="s">
        <v>99</v>
      </c>
      <c r="C687" t="s">
        <v>1257</v>
      </c>
      <c r="D687" t="s">
        <v>92</v>
      </c>
      <c r="E687">
        <v>3499.06</v>
      </c>
      <c r="F687" s="2">
        <v>45527.666684444448</v>
      </c>
      <c r="G687" t="s">
        <v>102</v>
      </c>
      <c r="H687" t="s">
        <v>128</v>
      </c>
      <c r="I687" t="s">
        <v>77</v>
      </c>
    </row>
    <row r="688" spans="1:9" x14ac:dyDescent="0.45">
      <c r="A688" t="s">
        <v>1258</v>
      </c>
      <c r="B688" t="s">
        <v>99</v>
      </c>
      <c r="D688" t="s">
        <v>74</v>
      </c>
      <c r="E688">
        <v>11154.07</v>
      </c>
      <c r="F688" s="2">
        <v>45557.666684444448</v>
      </c>
      <c r="G688" t="s">
        <v>102</v>
      </c>
      <c r="H688" t="s">
        <v>145</v>
      </c>
      <c r="I688" t="s">
        <v>119</v>
      </c>
    </row>
    <row r="689" spans="1:9" x14ac:dyDescent="0.45">
      <c r="A689" t="s">
        <v>1259</v>
      </c>
      <c r="B689" t="s">
        <v>99</v>
      </c>
      <c r="C689" t="s">
        <v>503</v>
      </c>
      <c r="D689" t="s">
        <v>74</v>
      </c>
      <c r="E689">
        <v>6955.59</v>
      </c>
      <c r="F689" s="2">
        <v>45679.666684444448</v>
      </c>
      <c r="G689" t="s">
        <v>102</v>
      </c>
      <c r="H689" t="s">
        <v>116</v>
      </c>
      <c r="I689" t="s">
        <v>88</v>
      </c>
    </row>
    <row r="690" spans="1:9" x14ac:dyDescent="0.45">
      <c r="A690" t="s">
        <v>1260</v>
      </c>
      <c r="B690" t="s">
        <v>72</v>
      </c>
      <c r="C690" t="s">
        <v>823</v>
      </c>
      <c r="D690" t="s">
        <v>85</v>
      </c>
      <c r="E690">
        <v>8875.4599999999991</v>
      </c>
      <c r="F690" s="2">
        <v>45687.666684444448</v>
      </c>
      <c r="G690" t="s">
        <v>75</v>
      </c>
      <c r="H690" t="s">
        <v>118</v>
      </c>
      <c r="I690" t="s">
        <v>119</v>
      </c>
    </row>
    <row r="691" spans="1:9" x14ac:dyDescent="0.45">
      <c r="A691" t="s">
        <v>758</v>
      </c>
      <c r="B691" t="s">
        <v>99</v>
      </c>
      <c r="C691" t="s">
        <v>1261</v>
      </c>
      <c r="D691" t="s">
        <v>101</v>
      </c>
      <c r="E691">
        <v>3267.43</v>
      </c>
      <c r="F691" s="2">
        <v>45745.666684444448</v>
      </c>
      <c r="G691" t="s">
        <v>285</v>
      </c>
      <c r="H691" t="s">
        <v>128</v>
      </c>
      <c r="I691" t="s">
        <v>163</v>
      </c>
    </row>
    <row r="692" spans="1:9" x14ac:dyDescent="0.45">
      <c r="A692" t="s">
        <v>1262</v>
      </c>
      <c r="B692" t="s">
        <v>95</v>
      </c>
      <c r="C692" t="s">
        <v>1263</v>
      </c>
      <c r="D692" t="s">
        <v>74</v>
      </c>
      <c r="E692">
        <v>7449.83</v>
      </c>
      <c r="F692" s="2">
        <v>45353.666684444448</v>
      </c>
      <c r="G692" t="s">
        <v>97</v>
      </c>
      <c r="I692" t="s">
        <v>163</v>
      </c>
    </row>
    <row r="693" spans="1:9" x14ac:dyDescent="0.45">
      <c r="A693" t="s">
        <v>1264</v>
      </c>
      <c r="B693" t="s">
        <v>90</v>
      </c>
      <c r="C693" t="s">
        <v>1265</v>
      </c>
      <c r="D693" t="s">
        <v>74</v>
      </c>
      <c r="E693">
        <v>6834.26</v>
      </c>
      <c r="F693" s="2">
        <v>45627.666684444448</v>
      </c>
      <c r="H693" t="s">
        <v>145</v>
      </c>
      <c r="I693" t="s">
        <v>119</v>
      </c>
    </row>
    <row r="694" spans="1:9" x14ac:dyDescent="0.45">
      <c r="A694" t="s">
        <v>1266</v>
      </c>
      <c r="B694" t="s">
        <v>72</v>
      </c>
      <c r="C694" t="s">
        <v>1267</v>
      </c>
      <c r="D694" t="s">
        <v>74</v>
      </c>
      <c r="E694">
        <v>1698.25</v>
      </c>
      <c r="F694" s="2">
        <v>45352.666684444448</v>
      </c>
      <c r="G694" t="s">
        <v>75</v>
      </c>
      <c r="H694" t="s">
        <v>118</v>
      </c>
      <c r="I694" t="s">
        <v>119</v>
      </c>
    </row>
    <row r="695" spans="1:9" x14ac:dyDescent="0.45">
      <c r="A695" t="s">
        <v>1268</v>
      </c>
      <c r="B695" t="s">
        <v>90</v>
      </c>
      <c r="C695" t="s">
        <v>1269</v>
      </c>
      <c r="D695" t="s">
        <v>155</v>
      </c>
      <c r="E695">
        <v>6988.75</v>
      </c>
      <c r="F695" s="2">
        <v>45407.666684444448</v>
      </c>
      <c r="G695" t="s">
        <v>93</v>
      </c>
      <c r="H695" t="s">
        <v>133</v>
      </c>
      <c r="I695" t="s">
        <v>119</v>
      </c>
    </row>
    <row r="696" spans="1:9" x14ac:dyDescent="0.45">
      <c r="A696" t="s">
        <v>1270</v>
      </c>
      <c r="B696" t="s">
        <v>104</v>
      </c>
      <c r="C696" t="s">
        <v>1271</v>
      </c>
      <c r="D696" t="s">
        <v>74</v>
      </c>
      <c r="E696">
        <v>5543.1</v>
      </c>
      <c r="F696" s="2">
        <v>45574.666684444448</v>
      </c>
      <c r="G696" t="s">
        <v>247</v>
      </c>
      <c r="H696" t="s">
        <v>116</v>
      </c>
      <c r="I696" t="s">
        <v>77</v>
      </c>
    </row>
    <row r="697" spans="1:9" x14ac:dyDescent="0.45">
      <c r="A697" t="s">
        <v>1272</v>
      </c>
      <c r="B697" t="s">
        <v>109</v>
      </c>
      <c r="D697" t="s">
        <v>74</v>
      </c>
      <c r="E697">
        <v>10770.75</v>
      </c>
      <c r="F697" s="2">
        <v>45625.666684444448</v>
      </c>
      <c r="G697" t="s">
        <v>111</v>
      </c>
      <c r="H697" t="s">
        <v>76</v>
      </c>
      <c r="I697" t="s">
        <v>119</v>
      </c>
    </row>
    <row r="698" spans="1:9" x14ac:dyDescent="0.45">
      <c r="A698" t="s">
        <v>1273</v>
      </c>
      <c r="B698" t="s">
        <v>95</v>
      </c>
      <c r="D698" t="s">
        <v>101</v>
      </c>
      <c r="E698">
        <v>8535.19</v>
      </c>
      <c r="F698" s="2">
        <v>45157.666684444448</v>
      </c>
      <c r="G698" t="s">
        <v>97</v>
      </c>
      <c r="H698" t="s">
        <v>87</v>
      </c>
      <c r="I698" t="s">
        <v>112</v>
      </c>
    </row>
    <row r="699" spans="1:9" x14ac:dyDescent="0.45">
      <c r="A699" t="s">
        <v>1274</v>
      </c>
      <c r="B699" t="s">
        <v>79</v>
      </c>
      <c r="C699" t="s">
        <v>1275</v>
      </c>
      <c r="D699" t="s">
        <v>101</v>
      </c>
      <c r="E699">
        <v>0</v>
      </c>
      <c r="F699" s="2">
        <v>45526.666684444448</v>
      </c>
      <c r="G699" t="s">
        <v>86</v>
      </c>
      <c r="H699" t="s">
        <v>87</v>
      </c>
      <c r="I699" t="s">
        <v>112</v>
      </c>
    </row>
    <row r="700" spans="1:9" x14ac:dyDescent="0.45">
      <c r="A700" t="s">
        <v>1276</v>
      </c>
      <c r="B700" t="s">
        <v>79</v>
      </c>
      <c r="C700" t="s">
        <v>1277</v>
      </c>
      <c r="D700" t="s">
        <v>155</v>
      </c>
      <c r="E700">
        <v>0</v>
      </c>
      <c r="F700" s="2">
        <v>45472.666684444448</v>
      </c>
      <c r="G700" t="s">
        <v>86</v>
      </c>
      <c r="H700" t="s">
        <v>116</v>
      </c>
      <c r="I700" t="s">
        <v>119</v>
      </c>
    </row>
    <row r="701" spans="1:9" x14ac:dyDescent="0.45">
      <c r="A701" t="s">
        <v>1278</v>
      </c>
      <c r="B701" t="s">
        <v>138</v>
      </c>
      <c r="C701" t="s">
        <v>1279</v>
      </c>
      <c r="D701" t="s">
        <v>74</v>
      </c>
      <c r="E701">
        <v>8337.93</v>
      </c>
      <c r="F701" s="2">
        <v>45812.666684444448</v>
      </c>
      <c r="G701" t="s">
        <v>194</v>
      </c>
      <c r="H701" t="s">
        <v>116</v>
      </c>
      <c r="I701" t="s">
        <v>82</v>
      </c>
    </row>
    <row r="702" spans="1:9" x14ac:dyDescent="0.45">
      <c r="A702" t="s">
        <v>1280</v>
      </c>
      <c r="B702" t="s">
        <v>95</v>
      </c>
      <c r="C702" t="s">
        <v>220</v>
      </c>
      <c r="D702" t="s">
        <v>85</v>
      </c>
      <c r="E702">
        <v>4082.59</v>
      </c>
      <c r="F702" s="2">
        <v>45823.666684444448</v>
      </c>
      <c r="G702" t="s">
        <v>97</v>
      </c>
      <c r="H702" t="s">
        <v>81</v>
      </c>
      <c r="I702" t="s">
        <v>112</v>
      </c>
    </row>
    <row r="703" spans="1:9" x14ac:dyDescent="0.45">
      <c r="A703" t="s">
        <v>1281</v>
      </c>
      <c r="B703" t="s">
        <v>90</v>
      </c>
      <c r="C703" t="s">
        <v>193</v>
      </c>
      <c r="D703" t="s">
        <v>92</v>
      </c>
      <c r="E703">
        <v>0</v>
      </c>
      <c r="F703" s="2">
        <v>45542.666684444448</v>
      </c>
      <c r="H703" t="s">
        <v>87</v>
      </c>
      <c r="I703" t="s">
        <v>77</v>
      </c>
    </row>
    <row r="704" spans="1:9" x14ac:dyDescent="0.45">
      <c r="A704" t="s">
        <v>1282</v>
      </c>
      <c r="B704" t="s">
        <v>79</v>
      </c>
      <c r="C704" t="s">
        <v>1283</v>
      </c>
      <c r="D704" t="s">
        <v>155</v>
      </c>
      <c r="E704">
        <v>190.24</v>
      </c>
      <c r="F704" s="2">
        <v>45297.666684444448</v>
      </c>
      <c r="G704" t="s">
        <v>86</v>
      </c>
      <c r="H704" t="s">
        <v>76</v>
      </c>
      <c r="I704" t="s">
        <v>88</v>
      </c>
    </row>
    <row r="705" spans="1:9" x14ac:dyDescent="0.45">
      <c r="A705" t="s">
        <v>1284</v>
      </c>
      <c r="B705" t="s">
        <v>109</v>
      </c>
      <c r="C705" t="s">
        <v>110</v>
      </c>
      <c r="D705" t="s">
        <v>85</v>
      </c>
      <c r="E705">
        <v>0</v>
      </c>
      <c r="F705" s="2">
        <v>45606.666684444448</v>
      </c>
      <c r="G705" t="s">
        <v>111</v>
      </c>
      <c r="H705" t="s">
        <v>133</v>
      </c>
      <c r="I705" t="s">
        <v>119</v>
      </c>
    </row>
    <row r="706" spans="1:9" x14ac:dyDescent="0.45">
      <c r="A706" t="s">
        <v>1285</v>
      </c>
      <c r="B706" t="s">
        <v>79</v>
      </c>
      <c r="C706" t="s">
        <v>1286</v>
      </c>
      <c r="E706">
        <v>5246.06</v>
      </c>
      <c r="F706" s="2">
        <v>45258.666684444448</v>
      </c>
      <c r="G706" t="s">
        <v>86</v>
      </c>
      <c r="H706" t="s">
        <v>145</v>
      </c>
      <c r="I706" t="s">
        <v>119</v>
      </c>
    </row>
    <row r="707" spans="1:9" x14ac:dyDescent="0.45">
      <c r="A707" t="s">
        <v>1287</v>
      </c>
      <c r="B707" t="s">
        <v>99</v>
      </c>
      <c r="C707" t="s">
        <v>1288</v>
      </c>
      <c r="D707" t="s">
        <v>74</v>
      </c>
      <c r="E707">
        <v>6982.38</v>
      </c>
      <c r="F707" s="2">
        <v>45765.666684444448</v>
      </c>
      <c r="G707" t="s">
        <v>102</v>
      </c>
      <c r="H707" t="s">
        <v>133</v>
      </c>
      <c r="I707" t="s">
        <v>119</v>
      </c>
    </row>
    <row r="708" spans="1:9" x14ac:dyDescent="0.45">
      <c r="A708" t="s">
        <v>1289</v>
      </c>
      <c r="B708" t="s">
        <v>138</v>
      </c>
      <c r="C708" t="s">
        <v>1290</v>
      </c>
      <c r="D708" t="s">
        <v>101</v>
      </c>
      <c r="E708">
        <v>0</v>
      </c>
      <c r="F708" s="2">
        <v>45674.666684444448</v>
      </c>
      <c r="G708" t="s">
        <v>140</v>
      </c>
      <c r="H708" t="s">
        <v>116</v>
      </c>
      <c r="I708" t="s">
        <v>88</v>
      </c>
    </row>
    <row r="709" spans="1:9" x14ac:dyDescent="0.45">
      <c r="A709" t="s">
        <v>1291</v>
      </c>
      <c r="B709" t="s">
        <v>72</v>
      </c>
      <c r="C709" t="s">
        <v>73</v>
      </c>
      <c r="D709" t="s">
        <v>101</v>
      </c>
      <c r="E709">
        <v>8343.1</v>
      </c>
      <c r="F709" s="2">
        <v>45155.666684444448</v>
      </c>
      <c r="G709" t="s">
        <v>75</v>
      </c>
      <c r="H709" t="s">
        <v>118</v>
      </c>
      <c r="I709" t="s">
        <v>77</v>
      </c>
    </row>
    <row r="710" spans="1:9" x14ac:dyDescent="0.45">
      <c r="A710" t="s">
        <v>1292</v>
      </c>
      <c r="B710" t="s">
        <v>172</v>
      </c>
      <c r="C710" t="s">
        <v>603</v>
      </c>
      <c r="D710" t="s">
        <v>148</v>
      </c>
      <c r="E710">
        <v>7677.3</v>
      </c>
      <c r="F710" s="2">
        <v>45531.666684444448</v>
      </c>
      <c r="G710" t="s">
        <v>236</v>
      </c>
      <c r="H710" t="s">
        <v>136</v>
      </c>
      <c r="I710" t="s">
        <v>82</v>
      </c>
    </row>
    <row r="711" spans="1:9" x14ac:dyDescent="0.45">
      <c r="A711" t="s">
        <v>1293</v>
      </c>
      <c r="B711" t="s">
        <v>172</v>
      </c>
      <c r="C711" t="s">
        <v>1294</v>
      </c>
      <c r="D711" t="s">
        <v>74</v>
      </c>
      <c r="E711">
        <v>0</v>
      </c>
      <c r="F711" s="2">
        <v>45734.666684444448</v>
      </c>
      <c r="G711" t="s">
        <v>174</v>
      </c>
      <c r="H711" t="s">
        <v>128</v>
      </c>
      <c r="I711" t="s">
        <v>77</v>
      </c>
    </row>
    <row r="712" spans="1:9" x14ac:dyDescent="0.45">
      <c r="A712" t="s">
        <v>1295</v>
      </c>
      <c r="B712" t="s">
        <v>79</v>
      </c>
      <c r="C712" t="s">
        <v>1129</v>
      </c>
      <c r="D712" t="s">
        <v>74</v>
      </c>
      <c r="E712">
        <v>2128.91</v>
      </c>
      <c r="F712" s="2">
        <v>45705.666684444448</v>
      </c>
      <c r="G712" t="s">
        <v>86</v>
      </c>
      <c r="H712" t="s">
        <v>87</v>
      </c>
      <c r="I712" t="s">
        <v>119</v>
      </c>
    </row>
    <row r="713" spans="1:9" x14ac:dyDescent="0.45">
      <c r="A713" t="s">
        <v>1296</v>
      </c>
      <c r="B713" t="s">
        <v>90</v>
      </c>
      <c r="C713" t="s">
        <v>1297</v>
      </c>
      <c r="D713" t="s">
        <v>101</v>
      </c>
      <c r="E713">
        <v>6804.39</v>
      </c>
      <c r="F713" s="2">
        <v>45806.666684444448</v>
      </c>
      <c r="G713" t="s">
        <v>93</v>
      </c>
      <c r="I713" t="s">
        <v>112</v>
      </c>
    </row>
    <row r="714" spans="1:9" x14ac:dyDescent="0.45">
      <c r="A714" t="s">
        <v>1298</v>
      </c>
      <c r="B714" t="s">
        <v>90</v>
      </c>
      <c r="C714" t="s">
        <v>1299</v>
      </c>
      <c r="D714" t="s">
        <v>74</v>
      </c>
      <c r="E714">
        <v>657.44</v>
      </c>
      <c r="F714" s="2">
        <v>45155.666684444448</v>
      </c>
      <c r="G714" t="s">
        <v>93</v>
      </c>
      <c r="H714" t="s">
        <v>128</v>
      </c>
      <c r="I714" t="s">
        <v>112</v>
      </c>
    </row>
    <row r="715" spans="1:9" x14ac:dyDescent="0.45">
      <c r="A715" t="s">
        <v>1300</v>
      </c>
      <c r="B715" t="s">
        <v>99</v>
      </c>
      <c r="C715" t="s">
        <v>1301</v>
      </c>
      <c r="D715" t="s">
        <v>74</v>
      </c>
      <c r="E715">
        <v>8490.43</v>
      </c>
      <c r="F715" s="2">
        <v>45213.666684444448</v>
      </c>
      <c r="G715" t="s">
        <v>102</v>
      </c>
      <c r="H715" t="s">
        <v>128</v>
      </c>
      <c r="I715" t="s">
        <v>163</v>
      </c>
    </row>
    <row r="716" spans="1:9" x14ac:dyDescent="0.45">
      <c r="A716" t="s">
        <v>1302</v>
      </c>
      <c r="B716" t="s">
        <v>79</v>
      </c>
      <c r="C716" t="s">
        <v>183</v>
      </c>
      <c r="D716" t="s">
        <v>106</v>
      </c>
      <c r="E716">
        <v>9677.9500000000007</v>
      </c>
      <c r="F716" s="2">
        <v>45786.666684444448</v>
      </c>
      <c r="G716" t="s">
        <v>86</v>
      </c>
      <c r="H716" t="s">
        <v>87</v>
      </c>
      <c r="I716" t="s">
        <v>88</v>
      </c>
    </row>
    <row r="717" spans="1:9" x14ac:dyDescent="0.45">
      <c r="A717" t="s">
        <v>1303</v>
      </c>
      <c r="B717" t="s">
        <v>79</v>
      </c>
      <c r="C717" t="s">
        <v>373</v>
      </c>
      <c r="D717" t="s">
        <v>101</v>
      </c>
      <c r="E717">
        <v>11515.13</v>
      </c>
      <c r="F717" s="2">
        <v>45566.666684444448</v>
      </c>
      <c r="G717" t="s">
        <v>86</v>
      </c>
      <c r="H717" t="s">
        <v>107</v>
      </c>
      <c r="I717" t="s">
        <v>163</v>
      </c>
    </row>
    <row r="718" spans="1:9" x14ac:dyDescent="0.45">
      <c r="A718" t="s">
        <v>1304</v>
      </c>
      <c r="B718" t="s">
        <v>172</v>
      </c>
      <c r="C718" t="s">
        <v>1297</v>
      </c>
      <c r="D718" t="s">
        <v>85</v>
      </c>
      <c r="E718">
        <v>4098.84</v>
      </c>
      <c r="F718" s="2">
        <v>45266.666684444448</v>
      </c>
      <c r="G718" t="s">
        <v>174</v>
      </c>
      <c r="I718" t="s">
        <v>112</v>
      </c>
    </row>
    <row r="719" spans="1:9" x14ac:dyDescent="0.45">
      <c r="A719" t="s">
        <v>1305</v>
      </c>
      <c r="B719" t="s">
        <v>104</v>
      </c>
      <c r="C719" t="s">
        <v>210</v>
      </c>
      <c r="D719" t="s">
        <v>92</v>
      </c>
      <c r="E719">
        <v>6766.4</v>
      </c>
      <c r="F719" s="2">
        <v>45600.666684444448</v>
      </c>
      <c r="G719" t="s">
        <v>115</v>
      </c>
      <c r="H719" t="s">
        <v>133</v>
      </c>
      <c r="I719" t="s">
        <v>82</v>
      </c>
    </row>
    <row r="720" spans="1:9" x14ac:dyDescent="0.45">
      <c r="A720" t="s">
        <v>1306</v>
      </c>
      <c r="B720" t="s">
        <v>79</v>
      </c>
      <c r="C720" t="s">
        <v>1307</v>
      </c>
      <c r="D720" t="s">
        <v>101</v>
      </c>
      <c r="E720">
        <v>8723.74</v>
      </c>
      <c r="F720" s="2">
        <v>45314.666684444448</v>
      </c>
      <c r="G720" t="s">
        <v>86</v>
      </c>
      <c r="H720" t="s">
        <v>136</v>
      </c>
      <c r="I720" t="s">
        <v>82</v>
      </c>
    </row>
    <row r="721" spans="1:9" x14ac:dyDescent="0.45">
      <c r="A721" t="s">
        <v>1308</v>
      </c>
      <c r="B721" t="s">
        <v>72</v>
      </c>
      <c r="C721" t="s">
        <v>838</v>
      </c>
      <c r="D721" t="s">
        <v>74</v>
      </c>
      <c r="E721">
        <v>1950.19</v>
      </c>
      <c r="F721" s="2">
        <v>45179.666684444448</v>
      </c>
      <c r="G721" t="s">
        <v>75</v>
      </c>
      <c r="H721" t="s">
        <v>87</v>
      </c>
      <c r="I721" t="s">
        <v>163</v>
      </c>
    </row>
    <row r="722" spans="1:9" x14ac:dyDescent="0.45">
      <c r="A722" t="s">
        <v>1309</v>
      </c>
      <c r="B722" t="s">
        <v>138</v>
      </c>
      <c r="C722" t="s">
        <v>1310</v>
      </c>
      <c r="D722" t="s">
        <v>74</v>
      </c>
      <c r="E722">
        <v>1601.63</v>
      </c>
      <c r="F722" s="2">
        <v>45394.666684444448</v>
      </c>
      <c r="G722" t="s">
        <v>194</v>
      </c>
      <c r="H722" t="s">
        <v>133</v>
      </c>
      <c r="I722" t="s">
        <v>112</v>
      </c>
    </row>
    <row r="723" spans="1:9" x14ac:dyDescent="0.45">
      <c r="A723" t="s">
        <v>1311</v>
      </c>
      <c r="B723" t="s">
        <v>138</v>
      </c>
      <c r="C723" t="s">
        <v>1312</v>
      </c>
      <c r="D723" t="s">
        <v>101</v>
      </c>
      <c r="E723">
        <v>11876.84</v>
      </c>
      <c r="F723" s="2">
        <v>45516.666684444448</v>
      </c>
      <c r="G723" t="s">
        <v>140</v>
      </c>
      <c r="H723" t="s">
        <v>133</v>
      </c>
      <c r="I723" t="s">
        <v>112</v>
      </c>
    </row>
    <row r="724" spans="1:9" x14ac:dyDescent="0.45">
      <c r="A724" t="s">
        <v>1313</v>
      </c>
      <c r="B724" t="s">
        <v>72</v>
      </c>
      <c r="C724" t="s">
        <v>1314</v>
      </c>
      <c r="D724" t="s">
        <v>85</v>
      </c>
      <c r="E724">
        <v>5337.07</v>
      </c>
      <c r="F724" s="2">
        <v>45463.666684444448</v>
      </c>
      <c r="G724" t="s">
        <v>75</v>
      </c>
      <c r="H724" t="s">
        <v>87</v>
      </c>
      <c r="I724" t="s">
        <v>119</v>
      </c>
    </row>
    <row r="725" spans="1:9" x14ac:dyDescent="0.45">
      <c r="A725" t="s">
        <v>386</v>
      </c>
      <c r="B725" t="s">
        <v>104</v>
      </c>
      <c r="C725" t="s">
        <v>526</v>
      </c>
      <c r="D725" t="s">
        <v>101</v>
      </c>
      <c r="E725">
        <v>0</v>
      </c>
      <c r="F725" s="2">
        <v>45344.666684444448</v>
      </c>
      <c r="G725" t="s">
        <v>115</v>
      </c>
      <c r="H725" t="s">
        <v>76</v>
      </c>
      <c r="I725" t="s">
        <v>88</v>
      </c>
    </row>
    <row r="726" spans="1:9" x14ac:dyDescent="0.45">
      <c r="A726" t="s">
        <v>1315</v>
      </c>
      <c r="B726" t="s">
        <v>90</v>
      </c>
      <c r="C726" t="s">
        <v>1316</v>
      </c>
      <c r="D726" t="s">
        <v>74</v>
      </c>
      <c r="E726">
        <v>0</v>
      </c>
      <c r="F726" s="2">
        <v>45593.666684444448</v>
      </c>
      <c r="G726" t="s">
        <v>93</v>
      </c>
      <c r="H726" t="s">
        <v>76</v>
      </c>
      <c r="I726" t="s">
        <v>77</v>
      </c>
    </row>
    <row r="727" spans="1:9" x14ac:dyDescent="0.45">
      <c r="A727" t="s">
        <v>1317</v>
      </c>
      <c r="B727" t="s">
        <v>172</v>
      </c>
      <c r="C727" t="s">
        <v>985</v>
      </c>
      <c r="D727" t="s">
        <v>85</v>
      </c>
      <c r="E727">
        <v>1543.49</v>
      </c>
      <c r="F727" s="2">
        <v>45462.666684444448</v>
      </c>
      <c r="G727" t="s">
        <v>174</v>
      </c>
      <c r="H727" t="s">
        <v>128</v>
      </c>
      <c r="I727" t="s">
        <v>82</v>
      </c>
    </row>
    <row r="728" spans="1:9" x14ac:dyDescent="0.45">
      <c r="A728" t="s">
        <v>1318</v>
      </c>
      <c r="B728" t="s">
        <v>138</v>
      </c>
      <c r="C728" t="s">
        <v>280</v>
      </c>
      <c r="D728" t="s">
        <v>155</v>
      </c>
      <c r="E728">
        <v>9784.26</v>
      </c>
      <c r="F728" s="2">
        <v>45473.666684444448</v>
      </c>
      <c r="G728" t="s">
        <v>140</v>
      </c>
      <c r="H728" t="s">
        <v>76</v>
      </c>
      <c r="I728" t="s">
        <v>77</v>
      </c>
    </row>
    <row r="729" spans="1:9" x14ac:dyDescent="0.45">
      <c r="A729" t="s">
        <v>387</v>
      </c>
      <c r="B729" t="s">
        <v>95</v>
      </c>
      <c r="E729">
        <v>6232.77</v>
      </c>
      <c r="F729" s="2">
        <v>45516.666684444448</v>
      </c>
      <c r="G729" t="s">
        <v>97</v>
      </c>
      <c r="H729" t="s">
        <v>133</v>
      </c>
      <c r="I729" t="s">
        <v>88</v>
      </c>
    </row>
    <row r="730" spans="1:9" x14ac:dyDescent="0.45">
      <c r="A730" t="s">
        <v>1319</v>
      </c>
      <c r="B730" t="s">
        <v>109</v>
      </c>
      <c r="C730" t="s">
        <v>1320</v>
      </c>
      <c r="E730">
        <v>8036.21</v>
      </c>
      <c r="F730" s="2">
        <v>45412.666684444448</v>
      </c>
      <c r="G730" t="s">
        <v>111</v>
      </c>
      <c r="H730" t="s">
        <v>133</v>
      </c>
      <c r="I730" t="s">
        <v>119</v>
      </c>
    </row>
    <row r="731" spans="1:9" x14ac:dyDescent="0.45">
      <c r="A731" t="s">
        <v>1321</v>
      </c>
      <c r="B731" t="s">
        <v>172</v>
      </c>
      <c r="C731" t="s">
        <v>892</v>
      </c>
      <c r="D731" t="s">
        <v>92</v>
      </c>
      <c r="E731">
        <v>7232.04</v>
      </c>
      <c r="F731" s="2">
        <v>45559.666684444448</v>
      </c>
      <c r="G731" t="s">
        <v>174</v>
      </c>
      <c r="H731" t="s">
        <v>76</v>
      </c>
      <c r="I731" t="s">
        <v>119</v>
      </c>
    </row>
    <row r="732" spans="1:9" x14ac:dyDescent="0.45">
      <c r="A732" t="s">
        <v>1322</v>
      </c>
      <c r="B732" t="s">
        <v>104</v>
      </c>
      <c r="C732" t="s">
        <v>1323</v>
      </c>
      <c r="D732" t="s">
        <v>101</v>
      </c>
      <c r="E732">
        <v>174.41</v>
      </c>
      <c r="F732" s="2">
        <v>45386.666684444448</v>
      </c>
      <c r="G732" t="s">
        <v>115</v>
      </c>
      <c r="H732" t="s">
        <v>128</v>
      </c>
      <c r="I732" t="s">
        <v>119</v>
      </c>
    </row>
    <row r="733" spans="1:9" x14ac:dyDescent="0.45">
      <c r="A733" t="s">
        <v>1324</v>
      </c>
      <c r="B733" t="s">
        <v>95</v>
      </c>
      <c r="C733" t="s">
        <v>1325</v>
      </c>
      <c r="D733" t="s">
        <v>92</v>
      </c>
      <c r="E733">
        <v>0</v>
      </c>
      <c r="F733" s="2">
        <v>45211.666684444448</v>
      </c>
      <c r="G733" t="s">
        <v>97</v>
      </c>
      <c r="H733" t="s">
        <v>128</v>
      </c>
      <c r="I733" t="s">
        <v>119</v>
      </c>
    </row>
    <row r="734" spans="1:9" x14ac:dyDescent="0.45">
      <c r="A734" t="s">
        <v>1326</v>
      </c>
      <c r="B734" t="s">
        <v>79</v>
      </c>
      <c r="C734" t="s">
        <v>1096</v>
      </c>
      <c r="D734" t="s">
        <v>74</v>
      </c>
      <c r="E734">
        <v>11234.88</v>
      </c>
      <c r="F734" s="2">
        <v>45609.666684444448</v>
      </c>
      <c r="G734" t="s">
        <v>86</v>
      </c>
      <c r="H734" t="s">
        <v>116</v>
      </c>
      <c r="I734" t="s">
        <v>88</v>
      </c>
    </row>
    <row r="735" spans="1:9" x14ac:dyDescent="0.45">
      <c r="A735" t="s">
        <v>1327</v>
      </c>
      <c r="B735" t="s">
        <v>72</v>
      </c>
      <c r="C735" t="s">
        <v>1328</v>
      </c>
      <c r="D735" t="s">
        <v>92</v>
      </c>
      <c r="E735">
        <v>11790.95</v>
      </c>
      <c r="F735" s="2">
        <v>45147.666684444448</v>
      </c>
      <c r="G735" t="s">
        <v>521</v>
      </c>
      <c r="H735" t="s">
        <v>145</v>
      </c>
      <c r="I735" t="s">
        <v>82</v>
      </c>
    </row>
    <row r="736" spans="1:9" x14ac:dyDescent="0.45">
      <c r="A736" t="s">
        <v>1329</v>
      </c>
      <c r="B736" t="s">
        <v>79</v>
      </c>
      <c r="C736" t="s">
        <v>1330</v>
      </c>
      <c r="D736" t="s">
        <v>85</v>
      </c>
      <c r="E736">
        <v>9455.17</v>
      </c>
      <c r="F736" s="2">
        <v>45680.666684444448</v>
      </c>
      <c r="G736" t="s">
        <v>86</v>
      </c>
      <c r="H736" t="s">
        <v>133</v>
      </c>
      <c r="I736" t="s">
        <v>119</v>
      </c>
    </row>
    <row r="737" spans="1:9" x14ac:dyDescent="0.45">
      <c r="A737" t="s">
        <v>1331</v>
      </c>
      <c r="B737" t="s">
        <v>99</v>
      </c>
      <c r="C737" t="s">
        <v>1227</v>
      </c>
      <c r="D737" t="s">
        <v>74</v>
      </c>
      <c r="E737">
        <v>7776.38</v>
      </c>
      <c r="F737" s="2">
        <v>45181.666684444448</v>
      </c>
      <c r="G737" t="s">
        <v>102</v>
      </c>
      <c r="H737" t="s">
        <v>133</v>
      </c>
      <c r="I737" t="s">
        <v>88</v>
      </c>
    </row>
    <row r="738" spans="1:9" x14ac:dyDescent="0.45">
      <c r="A738" t="s">
        <v>1332</v>
      </c>
      <c r="B738" t="s">
        <v>72</v>
      </c>
      <c r="C738" t="s">
        <v>1132</v>
      </c>
      <c r="D738" t="s">
        <v>92</v>
      </c>
      <c r="E738">
        <v>5639.74</v>
      </c>
      <c r="F738" s="2">
        <v>45486.666684444448</v>
      </c>
      <c r="H738" t="s">
        <v>81</v>
      </c>
      <c r="I738" t="s">
        <v>163</v>
      </c>
    </row>
    <row r="739" spans="1:9" x14ac:dyDescent="0.45">
      <c r="A739" t="s">
        <v>1333</v>
      </c>
      <c r="B739" t="s">
        <v>95</v>
      </c>
      <c r="C739" t="s">
        <v>1334</v>
      </c>
      <c r="D739" t="s">
        <v>155</v>
      </c>
      <c r="E739">
        <v>3582.58</v>
      </c>
      <c r="F739" s="2">
        <v>45357.666684444448</v>
      </c>
      <c r="G739" t="s">
        <v>97</v>
      </c>
      <c r="H739" t="s">
        <v>76</v>
      </c>
      <c r="I739" t="s">
        <v>112</v>
      </c>
    </row>
    <row r="740" spans="1:9" x14ac:dyDescent="0.45">
      <c r="A740" t="s">
        <v>1335</v>
      </c>
      <c r="B740" t="s">
        <v>109</v>
      </c>
      <c r="C740" t="s">
        <v>328</v>
      </c>
      <c r="D740" t="s">
        <v>101</v>
      </c>
      <c r="E740">
        <v>2757.68</v>
      </c>
      <c r="F740" s="2">
        <v>45793.666684444448</v>
      </c>
      <c r="G740" t="s">
        <v>111</v>
      </c>
      <c r="H740" t="s">
        <v>128</v>
      </c>
      <c r="I740" t="s">
        <v>119</v>
      </c>
    </row>
    <row r="741" spans="1:9" x14ac:dyDescent="0.45">
      <c r="A741" t="s">
        <v>1336</v>
      </c>
      <c r="B741" t="s">
        <v>99</v>
      </c>
      <c r="C741" t="s">
        <v>427</v>
      </c>
      <c r="E741">
        <v>7566.71</v>
      </c>
      <c r="F741" s="2">
        <v>45198.666684444448</v>
      </c>
      <c r="G741" t="s">
        <v>102</v>
      </c>
      <c r="H741" t="s">
        <v>118</v>
      </c>
      <c r="I741" t="s">
        <v>112</v>
      </c>
    </row>
    <row r="742" spans="1:9" x14ac:dyDescent="0.45">
      <c r="A742" t="s">
        <v>1337</v>
      </c>
      <c r="B742" t="s">
        <v>90</v>
      </c>
      <c r="C742" t="s">
        <v>1338</v>
      </c>
      <c r="D742" t="s">
        <v>74</v>
      </c>
      <c r="E742">
        <v>5248.17</v>
      </c>
      <c r="F742" s="2">
        <v>45795.666684444448</v>
      </c>
      <c r="H742" t="s">
        <v>116</v>
      </c>
      <c r="I742" t="s">
        <v>119</v>
      </c>
    </row>
    <row r="743" spans="1:9" x14ac:dyDescent="0.45">
      <c r="A743" t="s">
        <v>1339</v>
      </c>
      <c r="B743" t="s">
        <v>99</v>
      </c>
      <c r="C743" t="s">
        <v>246</v>
      </c>
      <c r="D743" t="s">
        <v>85</v>
      </c>
      <c r="E743">
        <v>7589.67</v>
      </c>
      <c r="F743" s="2">
        <v>45169.666684444448</v>
      </c>
      <c r="G743" t="s">
        <v>102</v>
      </c>
      <c r="I743" t="s">
        <v>112</v>
      </c>
    </row>
    <row r="744" spans="1:9" x14ac:dyDescent="0.45">
      <c r="A744" t="s">
        <v>1340</v>
      </c>
      <c r="B744" t="s">
        <v>138</v>
      </c>
      <c r="C744" t="s">
        <v>838</v>
      </c>
      <c r="D744" t="s">
        <v>85</v>
      </c>
      <c r="E744">
        <v>7661.46</v>
      </c>
      <c r="F744" s="2">
        <v>45159.666684444448</v>
      </c>
      <c r="G744" t="s">
        <v>140</v>
      </c>
      <c r="H744" t="s">
        <v>87</v>
      </c>
      <c r="I744" t="s">
        <v>163</v>
      </c>
    </row>
    <row r="745" spans="1:9" x14ac:dyDescent="0.45">
      <c r="A745" t="s">
        <v>1341</v>
      </c>
      <c r="B745" t="s">
        <v>172</v>
      </c>
      <c r="C745" t="s">
        <v>926</v>
      </c>
      <c r="D745" t="s">
        <v>85</v>
      </c>
      <c r="E745">
        <v>3523.59</v>
      </c>
      <c r="F745" s="2">
        <v>45381.666684444448</v>
      </c>
      <c r="G745" t="s">
        <v>236</v>
      </c>
      <c r="H745" t="s">
        <v>116</v>
      </c>
      <c r="I745" t="s">
        <v>163</v>
      </c>
    </row>
    <row r="746" spans="1:9" x14ac:dyDescent="0.45">
      <c r="A746" t="s">
        <v>1342</v>
      </c>
      <c r="B746" t="s">
        <v>104</v>
      </c>
      <c r="C746" t="s">
        <v>1290</v>
      </c>
      <c r="D746" t="s">
        <v>155</v>
      </c>
      <c r="E746">
        <v>10229.17</v>
      </c>
      <c r="F746" s="2">
        <v>45332.666684444448</v>
      </c>
      <c r="G746" t="s">
        <v>115</v>
      </c>
      <c r="H746" t="s">
        <v>116</v>
      </c>
      <c r="I746" t="s">
        <v>112</v>
      </c>
    </row>
    <row r="747" spans="1:9" x14ac:dyDescent="0.45">
      <c r="A747" t="s">
        <v>1343</v>
      </c>
      <c r="B747" t="s">
        <v>79</v>
      </c>
      <c r="C747" t="s">
        <v>1344</v>
      </c>
      <c r="D747" t="s">
        <v>148</v>
      </c>
      <c r="E747">
        <v>8146.81</v>
      </c>
      <c r="F747" s="2">
        <v>45148.666684444448</v>
      </c>
      <c r="G747" t="s">
        <v>86</v>
      </c>
      <c r="H747" t="s">
        <v>118</v>
      </c>
      <c r="I747" t="s">
        <v>82</v>
      </c>
    </row>
    <row r="748" spans="1:9" x14ac:dyDescent="0.45">
      <c r="A748" t="s">
        <v>1345</v>
      </c>
      <c r="B748" t="s">
        <v>90</v>
      </c>
      <c r="C748" t="s">
        <v>1346</v>
      </c>
      <c r="D748" t="s">
        <v>92</v>
      </c>
      <c r="E748">
        <v>3163.27</v>
      </c>
      <c r="F748" s="2">
        <v>45764.666684444448</v>
      </c>
      <c r="G748" t="s">
        <v>93</v>
      </c>
      <c r="I748" t="s">
        <v>77</v>
      </c>
    </row>
    <row r="749" spans="1:9" x14ac:dyDescent="0.45">
      <c r="A749" t="s">
        <v>1347</v>
      </c>
      <c r="B749" t="s">
        <v>104</v>
      </c>
      <c r="C749" t="s">
        <v>1320</v>
      </c>
      <c r="D749" t="s">
        <v>101</v>
      </c>
      <c r="E749">
        <v>7242.97</v>
      </c>
      <c r="F749" s="2">
        <v>45284.666684444448</v>
      </c>
      <c r="G749" t="s">
        <v>115</v>
      </c>
      <c r="H749" t="s">
        <v>107</v>
      </c>
      <c r="I749" t="s">
        <v>82</v>
      </c>
    </row>
    <row r="750" spans="1:9" x14ac:dyDescent="0.45">
      <c r="A750" t="s">
        <v>1348</v>
      </c>
      <c r="B750" t="s">
        <v>99</v>
      </c>
      <c r="C750" t="s">
        <v>1349</v>
      </c>
      <c r="D750" t="s">
        <v>155</v>
      </c>
      <c r="E750">
        <v>2440.96</v>
      </c>
      <c r="F750" s="2">
        <v>45372.666684444448</v>
      </c>
      <c r="G750" t="s">
        <v>102</v>
      </c>
      <c r="H750" t="s">
        <v>81</v>
      </c>
      <c r="I750" t="s">
        <v>112</v>
      </c>
    </row>
    <row r="751" spans="1:9" x14ac:dyDescent="0.45">
      <c r="A751" t="s">
        <v>1350</v>
      </c>
      <c r="B751" t="s">
        <v>109</v>
      </c>
      <c r="C751" t="s">
        <v>843</v>
      </c>
      <c r="D751" t="s">
        <v>74</v>
      </c>
      <c r="E751">
        <v>10269.870000000001</v>
      </c>
      <c r="F751" s="2">
        <v>45257.666684444448</v>
      </c>
      <c r="G751" t="s">
        <v>111</v>
      </c>
      <c r="H751" t="s">
        <v>128</v>
      </c>
      <c r="I751" t="s">
        <v>77</v>
      </c>
    </row>
    <row r="752" spans="1:9" x14ac:dyDescent="0.45">
      <c r="A752" t="s">
        <v>1351</v>
      </c>
      <c r="B752" t="s">
        <v>79</v>
      </c>
      <c r="C752" t="s">
        <v>1346</v>
      </c>
      <c r="D752" t="s">
        <v>148</v>
      </c>
      <c r="E752">
        <v>2238.94</v>
      </c>
      <c r="F752" s="2">
        <v>45612.666684444448</v>
      </c>
      <c r="G752" t="s">
        <v>86</v>
      </c>
      <c r="H752" t="s">
        <v>76</v>
      </c>
      <c r="I752" t="s">
        <v>163</v>
      </c>
    </row>
    <row r="753" spans="1:9" x14ac:dyDescent="0.45">
      <c r="A753" t="s">
        <v>1352</v>
      </c>
      <c r="B753" t="s">
        <v>90</v>
      </c>
      <c r="C753" t="s">
        <v>1353</v>
      </c>
      <c r="D753" t="s">
        <v>101</v>
      </c>
      <c r="E753">
        <v>9607.9699999999993</v>
      </c>
      <c r="F753" s="2">
        <v>45813.666684444448</v>
      </c>
      <c r="G753" t="s">
        <v>93</v>
      </c>
      <c r="H753" t="s">
        <v>116</v>
      </c>
      <c r="I753" t="s">
        <v>77</v>
      </c>
    </row>
    <row r="754" spans="1:9" x14ac:dyDescent="0.45">
      <c r="A754" t="s">
        <v>1354</v>
      </c>
      <c r="B754" t="s">
        <v>104</v>
      </c>
      <c r="C754" t="s">
        <v>862</v>
      </c>
      <c r="D754" t="s">
        <v>74</v>
      </c>
      <c r="E754">
        <v>8046.49</v>
      </c>
      <c r="F754" s="2">
        <v>45245.666684444448</v>
      </c>
      <c r="G754" t="s">
        <v>115</v>
      </c>
      <c r="H754" t="s">
        <v>118</v>
      </c>
      <c r="I754" t="s">
        <v>77</v>
      </c>
    </row>
    <row r="755" spans="1:9" x14ac:dyDescent="0.45">
      <c r="A755" t="s">
        <v>1355</v>
      </c>
      <c r="B755" t="s">
        <v>79</v>
      </c>
      <c r="C755" t="s">
        <v>880</v>
      </c>
      <c r="D755" t="s">
        <v>92</v>
      </c>
      <c r="E755">
        <v>4574.76</v>
      </c>
      <c r="F755" s="2">
        <v>45705.666684444448</v>
      </c>
      <c r="G755" t="s">
        <v>86</v>
      </c>
      <c r="H755" t="s">
        <v>107</v>
      </c>
      <c r="I755" t="s">
        <v>119</v>
      </c>
    </row>
    <row r="756" spans="1:9" x14ac:dyDescent="0.45">
      <c r="A756" t="s">
        <v>1356</v>
      </c>
      <c r="B756" t="s">
        <v>79</v>
      </c>
      <c r="C756" t="s">
        <v>1118</v>
      </c>
      <c r="D756" t="s">
        <v>74</v>
      </c>
      <c r="E756">
        <v>2971.41</v>
      </c>
      <c r="F756" s="2">
        <v>45351.666684444448</v>
      </c>
      <c r="G756" t="s">
        <v>86</v>
      </c>
      <c r="H756" t="s">
        <v>118</v>
      </c>
      <c r="I756" t="s">
        <v>163</v>
      </c>
    </row>
    <row r="757" spans="1:9" x14ac:dyDescent="0.45">
      <c r="A757" t="s">
        <v>1357</v>
      </c>
      <c r="B757" t="s">
        <v>90</v>
      </c>
      <c r="C757" t="s">
        <v>1358</v>
      </c>
      <c r="D757" t="s">
        <v>74</v>
      </c>
      <c r="E757">
        <v>10132.83</v>
      </c>
      <c r="F757" s="2">
        <v>45604.666684444448</v>
      </c>
      <c r="H757" t="s">
        <v>107</v>
      </c>
      <c r="I757" t="s">
        <v>112</v>
      </c>
    </row>
    <row r="758" spans="1:9" x14ac:dyDescent="0.45">
      <c r="A758" t="s">
        <v>1359</v>
      </c>
      <c r="B758" t="s">
        <v>95</v>
      </c>
      <c r="C758" t="s">
        <v>814</v>
      </c>
      <c r="D758" t="s">
        <v>101</v>
      </c>
      <c r="E758">
        <v>4982.57</v>
      </c>
      <c r="F758" s="2">
        <v>45844.666684444448</v>
      </c>
      <c r="G758" t="s">
        <v>97</v>
      </c>
      <c r="H758" t="s">
        <v>107</v>
      </c>
      <c r="I758" t="s">
        <v>119</v>
      </c>
    </row>
    <row r="759" spans="1:9" x14ac:dyDescent="0.45">
      <c r="A759" t="s">
        <v>1360</v>
      </c>
      <c r="B759" t="s">
        <v>172</v>
      </c>
      <c r="D759" t="s">
        <v>74</v>
      </c>
      <c r="E759">
        <v>5774.26</v>
      </c>
      <c r="F759" s="2">
        <v>45390.666684444448</v>
      </c>
      <c r="G759" t="s">
        <v>174</v>
      </c>
      <c r="H759" t="s">
        <v>133</v>
      </c>
      <c r="I759" t="s">
        <v>112</v>
      </c>
    </row>
    <row r="760" spans="1:9" x14ac:dyDescent="0.45">
      <c r="A760" t="s">
        <v>1361</v>
      </c>
      <c r="B760" t="s">
        <v>95</v>
      </c>
      <c r="C760" t="s">
        <v>1362</v>
      </c>
      <c r="D760" t="s">
        <v>74</v>
      </c>
      <c r="E760">
        <v>4350.12</v>
      </c>
      <c r="F760" s="2">
        <v>45505.666684444448</v>
      </c>
      <c r="G760" t="s">
        <v>97</v>
      </c>
      <c r="H760" t="s">
        <v>81</v>
      </c>
      <c r="I760" t="s">
        <v>119</v>
      </c>
    </row>
    <row r="761" spans="1:9" x14ac:dyDescent="0.45">
      <c r="A761" t="s">
        <v>1363</v>
      </c>
      <c r="B761" t="s">
        <v>79</v>
      </c>
      <c r="C761" t="s">
        <v>678</v>
      </c>
      <c r="D761" t="s">
        <v>74</v>
      </c>
      <c r="E761">
        <v>7492.47</v>
      </c>
      <c r="F761" s="2">
        <v>45299.666684444448</v>
      </c>
      <c r="G761" t="s">
        <v>86</v>
      </c>
      <c r="H761" t="s">
        <v>76</v>
      </c>
      <c r="I761" t="s">
        <v>82</v>
      </c>
    </row>
    <row r="762" spans="1:9" x14ac:dyDescent="0.45">
      <c r="A762" t="s">
        <v>1364</v>
      </c>
      <c r="B762" t="s">
        <v>72</v>
      </c>
      <c r="C762" t="s">
        <v>894</v>
      </c>
      <c r="D762" t="s">
        <v>101</v>
      </c>
      <c r="E762">
        <v>844.42</v>
      </c>
      <c r="F762" s="2">
        <v>45748.666684444448</v>
      </c>
      <c r="G762" t="s">
        <v>75</v>
      </c>
      <c r="H762" t="s">
        <v>76</v>
      </c>
      <c r="I762" t="s">
        <v>82</v>
      </c>
    </row>
    <row r="763" spans="1:9" x14ac:dyDescent="0.45">
      <c r="A763" t="s">
        <v>1365</v>
      </c>
      <c r="B763" t="s">
        <v>90</v>
      </c>
      <c r="C763" t="s">
        <v>972</v>
      </c>
      <c r="D763" t="s">
        <v>74</v>
      </c>
      <c r="E763">
        <v>11438.85</v>
      </c>
      <c r="F763" s="2">
        <v>45749.666684444448</v>
      </c>
      <c r="G763" t="s">
        <v>93</v>
      </c>
      <c r="I763" t="s">
        <v>119</v>
      </c>
    </row>
    <row r="764" spans="1:9" x14ac:dyDescent="0.45">
      <c r="A764" t="s">
        <v>1366</v>
      </c>
      <c r="B764" t="s">
        <v>79</v>
      </c>
      <c r="C764" t="s">
        <v>1367</v>
      </c>
      <c r="D764" t="s">
        <v>92</v>
      </c>
      <c r="E764">
        <v>8583.2000000000007</v>
      </c>
      <c r="F764" s="2">
        <v>45245.666684444448</v>
      </c>
      <c r="H764" t="s">
        <v>87</v>
      </c>
      <c r="I764" t="s">
        <v>88</v>
      </c>
    </row>
    <row r="765" spans="1:9" x14ac:dyDescent="0.45">
      <c r="A765" t="s">
        <v>1368</v>
      </c>
      <c r="B765" t="s">
        <v>79</v>
      </c>
      <c r="C765" t="s">
        <v>1183</v>
      </c>
      <c r="D765" t="s">
        <v>74</v>
      </c>
      <c r="E765">
        <v>10256.89</v>
      </c>
      <c r="F765" s="2">
        <v>45295.666684444448</v>
      </c>
      <c r="G765" t="s">
        <v>86</v>
      </c>
      <c r="H765" t="s">
        <v>81</v>
      </c>
      <c r="I765" t="s">
        <v>82</v>
      </c>
    </row>
    <row r="766" spans="1:9" x14ac:dyDescent="0.45">
      <c r="A766" t="s">
        <v>1024</v>
      </c>
      <c r="B766" t="s">
        <v>109</v>
      </c>
      <c r="C766" t="s">
        <v>1369</v>
      </c>
      <c r="D766" t="s">
        <v>155</v>
      </c>
      <c r="E766">
        <v>2210.64</v>
      </c>
      <c r="F766" s="2">
        <v>45446.666684444448</v>
      </c>
      <c r="G766" t="s">
        <v>111</v>
      </c>
      <c r="H766" t="s">
        <v>107</v>
      </c>
      <c r="I766" t="s">
        <v>119</v>
      </c>
    </row>
    <row r="767" spans="1:9" x14ac:dyDescent="0.45">
      <c r="A767" t="s">
        <v>1370</v>
      </c>
      <c r="B767" t="s">
        <v>172</v>
      </c>
      <c r="C767" t="s">
        <v>1371</v>
      </c>
      <c r="D767" t="s">
        <v>148</v>
      </c>
      <c r="E767">
        <v>4708.59</v>
      </c>
      <c r="F767" s="2">
        <v>45238.666684444448</v>
      </c>
      <c r="G767" t="s">
        <v>174</v>
      </c>
      <c r="H767" t="s">
        <v>107</v>
      </c>
      <c r="I767" t="s">
        <v>82</v>
      </c>
    </row>
    <row r="768" spans="1:9" x14ac:dyDescent="0.45">
      <c r="A768" t="s">
        <v>1372</v>
      </c>
      <c r="B768" t="s">
        <v>109</v>
      </c>
      <c r="C768" t="s">
        <v>1373</v>
      </c>
      <c r="D768" t="s">
        <v>101</v>
      </c>
      <c r="E768">
        <v>1506.29</v>
      </c>
      <c r="F768" s="2">
        <v>45720.666684444448</v>
      </c>
      <c r="G768" t="s">
        <v>111</v>
      </c>
      <c r="H768" t="s">
        <v>145</v>
      </c>
      <c r="I768" t="s">
        <v>119</v>
      </c>
    </row>
    <row r="769" spans="1:9" x14ac:dyDescent="0.45">
      <c r="A769" t="s">
        <v>1374</v>
      </c>
      <c r="B769" t="s">
        <v>90</v>
      </c>
      <c r="C769" t="s">
        <v>1375</v>
      </c>
      <c r="D769" t="s">
        <v>92</v>
      </c>
      <c r="E769">
        <v>429.19</v>
      </c>
      <c r="F769" s="2">
        <v>45154.666684444448</v>
      </c>
      <c r="G769" t="s">
        <v>93</v>
      </c>
      <c r="H769" t="s">
        <v>76</v>
      </c>
      <c r="I769" t="s">
        <v>119</v>
      </c>
    </row>
    <row r="770" spans="1:9" x14ac:dyDescent="0.45">
      <c r="A770" t="s">
        <v>1376</v>
      </c>
      <c r="B770" t="s">
        <v>138</v>
      </c>
      <c r="C770" t="s">
        <v>335</v>
      </c>
      <c r="E770">
        <v>7942.54</v>
      </c>
      <c r="F770" s="2">
        <v>45447.666684444448</v>
      </c>
      <c r="G770" t="s">
        <v>140</v>
      </c>
      <c r="H770" t="s">
        <v>133</v>
      </c>
      <c r="I770" t="s">
        <v>88</v>
      </c>
    </row>
    <row r="771" spans="1:9" x14ac:dyDescent="0.45">
      <c r="A771" t="s">
        <v>1377</v>
      </c>
      <c r="B771" t="s">
        <v>95</v>
      </c>
      <c r="C771" t="s">
        <v>1269</v>
      </c>
      <c r="D771" t="s">
        <v>106</v>
      </c>
      <c r="E771">
        <v>10870.2</v>
      </c>
      <c r="F771" s="2">
        <v>45717.666684444448</v>
      </c>
      <c r="G771" t="s">
        <v>97</v>
      </c>
      <c r="H771" t="s">
        <v>81</v>
      </c>
      <c r="I771" t="s">
        <v>112</v>
      </c>
    </row>
    <row r="772" spans="1:9" x14ac:dyDescent="0.45">
      <c r="A772" t="s">
        <v>1378</v>
      </c>
      <c r="B772" t="s">
        <v>109</v>
      </c>
      <c r="C772" t="s">
        <v>408</v>
      </c>
      <c r="D772" t="s">
        <v>85</v>
      </c>
      <c r="E772">
        <v>5653</v>
      </c>
      <c r="F772" s="2">
        <v>45821.666684444448</v>
      </c>
      <c r="G772" t="s">
        <v>111</v>
      </c>
      <c r="H772" t="s">
        <v>116</v>
      </c>
      <c r="I772" t="s">
        <v>112</v>
      </c>
    </row>
    <row r="773" spans="1:9" x14ac:dyDescent="0.45">
      <c r="A773" t="s">
        <v>1379</v>
      </c>
      <c r="B773" t="s">
        <v>90</v>
      </c>
      <c r="C773" t="s">
        <v>764</v>
      </c>
      <c r="D773" t="s">
        <v>74</v>
      </c>
      <c r="E773">
        <v>2838.82</v>
      </c>
      <c r="F773" s="2">
        <v>45512.666684444448</v>
      </c>
      <c r="G773" t="s">
        <v>93</v>
      </c>
      <c r="H773" t="s">
        <v>128</v>
      </c>
      <c r="I773" t="s">
        <v>163</v>
      </c>
    </row>
    <row r="774" spans="1:9" x14ac:dyDescent="0.45">
      <c r="A774" t="s">
        <v>1380</v>
      </c>
      <c r="B774" t="s">
        <v>95</v>
      </c>
      <c r="C774" t="s">
        <v>1381</v>
      </c>
      <c r="D774" t="s">
        <v>85</v>
      </c>
      <c r="E774">
        <v>1580.93</v>
      </c>
      <c r="F774" s="2">
        <v>45534.666684444448</v>
      </c>
      <c r="G774" t="s">
        <v>97</v>
      </c>
      <c r="H774" t="s">
        <v>118</v>
      </c>
      <c r="I774" t="s">
        <v>88</v>
      </c>
    </row>
    <row r="775" spans="1:9" x14ac:dyDescent="0.45">
      <c r="A775" t="s">
        <v>1382</v>
      </c>
      <c r="B775" t="s">
        <v>90</v>
      </c>
      <c r="C775" t="s">
        <v>1312</v>
      </c>
      <c r="D775" t="s">
        <v>85</v>
      </c>
      <c r="E775">
        <v>10109.48</v>
      </c>
      <c r="F775" s="2">
        <v>45331.666684444448</v>
      </c>
      <c r="H775" t="s">
        <v>116</v>
      </c>
      <c r="I775" t="s">
        <v>82</v>
      </c>
    </row>
    <row r="776" spans="1:9" x14ac:dyDescent="0.45">
      <c r="A776" t="s">
        <v>1383</v>
      </c>
      <c r="B776" t="s">
        <v>138</v>
      </c>
      <c r="D776" t="s">
        <v>85</v>
      </c>
      <c r="E776">
        <v>10397.129999999999</v>
      </c>
      <c r="F776" s="2">
        <v>45205.666684444448</v>
      </c>
      <c r="G776" t="s">
        <v>140</v>
      </c>
      <c r="H776" t="s">
        <v>81</v>
      </c>
      <c r="I776" t="s">
        <v>88</v>
      </c>
    </row>
    <row r="777" spans="1:9" x14ac:dyDescent="0.45">
      <c r="A777" t="s">
        <v>1384</v>
      </c>
      <c r="B777" t="s">
        <v>172</v>
      </c>
      <c r="C777" t="s">
        <v>505</v>
      </c>
      <c r="D777" t="s">
        <v>101</v>
      </c>
      <c r="E777">
        <v>0</v>
      </c>
      <c r="F777" s="2">
        <v>45734.666684444448</v>
      </c>
      <c r="H777" t="s">
        <v>87</v>
      </c>
      <c r="I777" t="s">
        <v>112</v>
      </c>
    </row>
    <row r="778" spans="1:9" x14ac:dyDescent="0.45">
      <c r="A778" t="s">
        <v>1385</v>
      </c>
      <c r="B778" t="s">
        <v>172</v>
      </c>
      <c r="C778" t="s">
        <v>1386</v>
      </c>
      <c r="D778" t="s">
        <v>148</v>
      </c>
      <c r="E778">
        <v>1420.35</v>
      </c>
      <c r="F778" s="2">
        <v>45835.666684444448</v>
      </c>
      <c r="G778" t="s">
        <v>174</v>
      </c>
      <c r="H778" t="s">
        <v>133</v>
      </c>
      <c r="I778" t="s">
        <v>77</v>
      </c>
    </row>
    <row r="779" spans="1:9" x14ac:dyDescent="0.45">
      <c r="A779" t="s">
        <v>1387</v>
      </c>
      <c r="B779" t="s">
        <v>90</v>
      </c>
      <c r="C779" t="s">
        <v>674</v>
      </c>
      <c r="D779" t="s">
        <v>106</v>
      </c>
      <c r="E779">
        <v>3000.99</v>
      </c>
      <c r="F779" s="2">
        <v>45770.666684444448</v>
      </c>
      <c r="G779" t="s">
        <v>296</v>
      </c>
      <c r="I779" t="s">
        <v>163</v>
      </c>
    </row>
    <row r="780" spans="1:9" x14ac:dyDescent="0.45">
      <c r="A780" t="s">
        <v>1388</v>
      </c>
      <c r="B780" t="s">
        <v>109</v>
      </c>
      <c r="C780" t="s">
        <v>1389</v>
      </c>
      <c r="D780" t="s">
        <v>74</v>
      </c>
      <c r="E780">
        <v>6147.6</v>
      </c>
      <c r="F780" s="2">
        <v>45376.666684444448</v>
      </c>
      <c r="G780" t="s">
        <v>111</v>
      </c>
      <c r="H780" t="s">
        <v>107</v>
      </c>
      <c r="I780" t="s">
        <v>112</v>
      </c>
    </row>
    <row r="781" spans="1:9" x14ac:dyDescent="0.45">
      <c r="A781" t="s">
        <v>1390</v>
      </c>
      <c r="B781" t="s">
        <v>172</v>
      </c>
      <c r="D781" t="s">
        <v>74</v>
      </c>
      <c r="E781">
        <v>6851.9</v>
      </c>
      <c r="F781" s="2">
        <v>45232.666684444448</v>
      </c>
      <c r="G781" t="s">
        <v>174</v>
      </c>
      <c r="I781" t="s">
        <v>77</v>
      </c>
    </row>
    <row r="782" spans="1:9" x14ac:dyDescent="0.45">
      <c r="A782" t="s">
        <v>1391</v>
      </c>
      <c r="B782" t="s">
        <v>72</v>
      </c>
      <c r="D782" t="s">
        <v>74</v>
      </c>
      <c r="E782">
        <v>7937.37</v>
      </c>
      <c r="F782" s="2">
        <v>45841.666684444448</v>
      </c>
      <c r="G782" t="s">
        <v>75</v>
      </c>
      <c r="H782" t="s">
        <v>133</v>
      </c>
      <c r="I782" t="s">
        <v>77</v>
      </c>
    </row>
    <row r="783" spans="1:9" x14ac:dyDescent="0.45">
      <c r="A783" t="s">
        <v>1392</v>
      </c>
      <c r="B783" t="s">
        <v>109</v>
      </c>
      <c r="C783" t="s">
        <v>1393</v>
      </c>
      <c r="E783">
        <v>4912.67</v>
      </c>
      <c r="F783" s="2">
        <v>45436.666684444448</v>
      </c>
      <c r="G783" t="s">
        <v>111</v>
      </c>
      <c r="H783" t="s">
        <v>118</v>
      </c>
      <c r="I783" t="s">
        <v>82</v>
      </c>
    </row>
    <row r="784" spans="1:9" x14ac:dyDescent="0.45">
      <c r="A784" t="s">
        <v>1394</v>
      </c>
      <c r="B784" t="s">
        <v>104</v>
      </c>
      <c r="C784" t="s">
        <v>1395</v>
      </c>
      <c r="D784" t="s">
        <v>92</v>
      </c>
      <c r="E784">
        <v>174.18</v>
      </c>
      <c r="F784" s="2">
        <v>45828.666684444448</v>
      </c>
      <c r="G784" t="s">
        <v>115</v>
      </c>
      <c r="H784" t="s">
        <v>87</v>
      </c>
      <c r="I784" t="s">
        <v>88</v>
      </c>
    </row>
    <row r="785" spans="1:9" x14ac:dyDescent="0.45">
      <c r="A785" t="s">
        <v>1396</v>
      </c>
      <c r="B785" t="s">
        <v>99</v>
      </c>
      <c r="C785" t="s">
        <v>1397</v>
      </c>
      <c r="D785" t="s">
        <v>85</v>
      </c>
      <c r="E785">
        <v>4827.3</v>
      </c>
      <c r="F785" s="2">
        <v>45742.666684444448</v>
      </c>
      <c r="G785" t="s">
        <v>102</v>
      </c>
      <c r="H785" t="s">
        <v>133</v>
      </c>
      <c r="I785" t="s">
        <v>82</v>
      </c>
    </row>
    <row r="786" spans="1:9" x14ac:dyDescent="0.45">
      <c r="A786" t="s">
        <v>1398</v>
      </c>
      <c r="B786" t="s">
        <v>90</v>
      </c>
      <c r="C786" t="s">
        <v>1399</v>
      </c>
      <c r="D786" t="s">
        <v>101</v>
      </c>
      <c r="E786">
        <v>2195.2199999999998</v>
      </c>
      <c r="F786" s="2">
        <v>45251.666684444448</v>
      </c>
      <c r="G786" t="s">
        <v>93</v>
      </c>
      <c r="I786" t="s">
        <v>82</v>
      </c>
    </row>
    <row r="787" spans="1:9" x14ac:dyDescent="0.45">
      <c r="A787" t="s">
        <v>1400</v>
      </c>
      <c r="B787" t="s">
        <v>90</v>
      </c>
      <c r="C787" t="s">
        <v>373</v>
      </c>
      <c r="D787" t="s">
        <v>85</v>
      </c>
      <c r="E787">
        <v>11813.3</v>
      </c>
      <c r="F787" s="2">
        <v>45707.666684444448</v>
      </c>
      <c r="G787" t="s">
        <v>93</v>
      </c>
      <c r="H787" t="s">
        <v>76</v>
      </c>
      <c r="I787" t="s">
        <v>119</v>
      </c>
    </row>
    <row r="788" spans="1:9" x14ac:dyDescent="0.45">
      <c r="A788" t="s">
        <v>1401</v>
      </c>
      <c r="B788" t="s">
        <v>90</v>
      </c>
      <c r="C788" t="s">
        <v>440</v>
      </c>
      <c r="D788" t="s">
        <v>101</v>
      </c>
      <c r="E788">
        <v>7196.45</v>
      </c>
      <c r="F788" s="2">
        <v>45170.666684444448</v>
      </c>
      <c r="G788" t="s">
        <v>93</v>
      </c>
      <c r="H788" t="s">
        <v>76</v>
      </c>
      <c r="I788" t="s">
        <v>82</v>
      </c>
    </row>
    <row r="789" spans="1:9" x14ac:dyDescent="0.45">
      <c r="A789" t="s">
        <v>1402</v>
      </c>
      <c r="B789" t="s">
        <v>138</v>
      </c>
      <c r="C789" t="s">
        <v>784</v>
      </c>
      <c r="D789" t="s">
        <v>85</v>
      </c>
      <c r="E789">
        <v>8989.89</v>
      </c>
      <c r="F789" s="2">
        <v>45483.666684444448</v>
      </c>
      <c r="G789" t="s">
        <v>140</v>
      </c>
      <c r="H789" t="s">
        <v>128</v>
      </c>
      <c r="I789" t="s">
        <v>163</v>
      </c>
    </row>
    <row r="790" spans="1:9" x14ac:dyDescent="0.45">
      <c r="A790" t="s">
        <v>1403</v>
      </c>
      <c r="B790" t="s">
        <v>90</v>
      </c>
      <c r="C790" t="s">
        <v>321</v>
      </c>
      <c r="D790" t="s">
        <v>92</v>
      </c>
      <c r="E790">
        <v>7330.32</v>
      </c>
      <c r="F790" s="2">
        <v>45673.666684444448</v>
      </c>
      <c r="G790" t="s">
        <v>93</v>
      </c>
      <c r="H790" t="s">
        <v>136</v>
      </c>
      <c r="I790" t="s">
        <v>77</v>
      </c>
    </row>
    <row r="791" spans="1:9" x14ac:dyDescent="0.45">
      <c r="A791" t="s">
        <v>1404</v>
      </c>
      <c r="B791" t="s">
        <v>172</v>
      </c>
      <c r="C791" t="s">
        <v>135</v>
      </c>
      <c r="D791" t="s">
        <v>106</v>
      </c>
      <c r="E791">
        <v>185.37</v>
      </c>
      <c r="F791" s="2">
        <v>45566.666684444448</v>
      </c>
      <c r="H791" t="s">
        <v>133</v>
      </c>
      <c r="I791" t="s">
        <v>82</v>
      </c>
    </row>
    <row r="792" spans="1:9" x14ac:dyDescent="0.45">
      <c r="A792" t="s">
        <v>1405</v>
      </c>
      <c r="B792" t="s">
        <v>172</v>
      </c>
      <c r="C792" t="s">
        <v>123</v>
      </c>
      <c r="D792" t="s">
        <v>155</v>
      </c>
      <c r="E792">
        <v>2691.28</v>
      </c>
      <c r="F792" s="2">
        <v>45805.666684444448</v>
      </c>
      <c r="G792" t="s">
        <v>174</v>
      </c>
      <c r="H792" t="s">
        <v>133</v>
      </c>
      <c r="I792" t="s">
        <v>82</v>
      </c>
    </row>
    <row r="793" spans="1:9" x14ac:dyDescent="0.45">
      <c r="A793" t="s">
        <v>1406</v>
      </c>
      <c r="B793" t="s">
        <v>99</v>
      </c>
      <c r="C793" t="s">
        <v>1407</v>
      </c>
      <c r="D793" t="s">
        <v>155</v>
      </c>
      <c r="E793">
        <v>4991.88</v>
      </c>
      <c r="F793" s="2">
        <v>45507.666684444448</v>
      </c>
      <c r="G793" t="s">
        <v>102</v>
      </c>
      <c r="H793" t="s">
        <v>136</v>
      </c>
      <c r="I793" t="s">
        <v>77</v>
      </c>
    </row>
    <row r="794" spans="1:9" x14ac:dyDescent="0.45">
      <c r="A794" t="s">
        <v>1408</v>
      </c>
      <c r="B794" t="s">
        <v>99</v>
      </c>
      <c r="C794" t="s">
        <v>1409</v>
      </c>
      <c r="D794" t="s">
        <v>101</v>
      </c>
      <c r="E794">
        <v>1125.8599999999999</v>
      </c>
      <c r="F794" s="2">
        <v>45198.666684444448</v>
      </c>
      <c r="G794" t="s">
        <v>102</v>
      </c>
      <c r="H794" t="s">
        <v>133</v>
      </c>
      <c r="I794" t="s">
        <v>119</v>
      </c>
    </row>
    <row r="795" spans="1:9" x14ac:dyDescent="0.45">
      <c r="A795" t="s">
        <v>1410</v>
      </c>
      <c r="B795" t="s">
        <v>109</v>
      </c>
      <c r="D795" t="s">
        <v>85</v>
      </c>
      <c r="E795">
        <v>6770.34</v>
      </c>
      <c r="F795" s="2">
        <v>45646.666684444448</v>
      </c>
      <c r="G795" t="s">
        <v>111</v>
      </c>
      <c r="H795" t="s">
        <v>76</v>
      </c>
      <c r="I795" t="s">
        <v>119</v>
      </c>
    </row>
    <row r="796" spans="1:9" x14ac:dyDescent="0.45">
      <c r="A796" t="s">
        <v>1411</v>
      </c>
      <c r="B796" t="s">
        <v>172</v>
      </c>
      <c r="C796" t="s">
        <v>766</v>
      </c>
      <c r="D796" t="s">
        <v>92</v>
      </c>
      <c r="E796">
        <v>8782.48</v>
      </c>
      <c r="F796" s="2">
        <v>45791.666684444448</v>
      </c>
      <c r="G796" t="s">
        <v>174</v>
      </c>
      <c r="H796" t="s">
        <v>118</v>
      </c>
      <c r="I796" t="s">
        <v>112</v>
      </c>
    </row>
    <row r="797" spans="1:9" x14ac:dyDescent="0.45">
      <c r="A797" t="s">
        <v>1412</v>
      </c>
      <c r="B797" t="s">
        <v>172</v>
      </c>
      <c r="C797" t="s">
        <v>1413</v>
      </c>
      <c r="D797" t="s">
        <v>155</v>
      </c>
      <c r="E797">
        <v>11339.6</v>
      </c>
      <c r="F797" s="2">
        <v>45477.666684444448</v>
      </c>
      <c r="G797" t="s">
        <v>174</v>
      </c>
      <c r="H797" t="s">
        <v>116</v>
      </c>
      <c r="I797" t="s">
        <v>77</v>
      </c>
    </row>
    <row r="798" spans="1:9" x14ac:dyDescent="0.45">
      <c r="A798" t="s">
        <v>1414</v>
      </c>
      <c r="B798" t="s">
        <v>138</v>
      </c>
      <c r="C798" t="s">
        <v>519</v>
      </c>
      <c r="D798" t="s">
        <v>74</v>
      </c>
      <c r="E798">
        <v>6854.57</v>
      </c>
      <c r="F798" s="2">
        <v>45140.666684444448</v>
      </c>
      <c r="G798" t="s">
        <v>140</v>
      </c>
      <c r="I798" t="s">
        <v>112</v>
      </c>
    </row>
    <row r="799" spans="1:9" x14ac:dyDescent="0.45">
      <c r="A799" t="s">
        <v>1415</v>
      </c>
      <c r="B799" t="s">
        <v>172</v>
      </c>
      <c r="C799" t="s">
        <v>1416</v>
      </c>
      <c r="D799" t="s">
        <v>101</v>
      </c>
      <c r="E799">
        <v>3302.83</v>
      </c>
      <c r="F799" s="2">
        <v>45558.666684444448</v>
      </c>
      <c r="G799" t="s">
        <v>174</v>
      </c>
      <c r="H799" t="s">
        <v>136</v>
      </c>
      <c r="I799" t="s">
        <v>82</v>
      </c>
    </row>
    <row r="800" spans="1:9" x14ac:dyDescent="0.45">
      <c r="A800" t="s">
        <v>1417</v>
      </c>
      <c r="B800" t="s">
        <v>172</v>
      </c>
      <c r="C800" t="s">
        <v>1418</v>
      </c>
      <c r="D800" t="s">
        <v>74</v>
      </c>
      <c r="E800">
        <v>0</v>
      </c>
      <c r="F800" s="2">
        <v>45629.666684444448</v>
      </c>
      <c r="G800" t="s">
        <v>174</v>
      </c>
      <c r="I800" t="s">
        <v>112</v>
      </c>
    </row>
    <row r="801" spans="1:9" x14ac:dyDescent="0.45">
      <c r="A801" t="s">
        <v>1419</v>
      </c>
      <c r="B801" t="s">
        <v>72</v>
      </c>
      <c r="C801" t="s">
        <v>1420</v>
      </c>
      <c r="D801" t="s">
        <v>85</v>
      </c>
      <c r="E801">
        <v>5796.14</v>
      </c>
      <c r="F801" s="2">
        <v>45236.666684444448</v>
      </c>
      <c r="G801" t="s">
        <v>75</v>
      </c>
      <c r="H801" t="s">
        <v>87</v>
      </c>
      <c r="I801" t="s">
        <v>163</v>
      </c>
    </row>
    <row r="802" spans="1:9" x14ac:dyDescent="0.45">
      <c r="A802" t="s">
        <v>1421</v>
      </c>
      <c r="B802" t="s">
        <v>72</v>
      </c>
      <c r="D802" t="s">
        <v>101</v>
      </c>
      <c r="E802">
        <v>11792.16</v>
      </c>
      <c r="F802" s="2">
        <v>45571.666684444448</v>
      </c>
      <c r="G802" t="s">
        <v>521</v>
      </c>
      <c r="H802" t="s">
        <v>87</v>
      </c>
      <c r="I802" t="s">
        <v>163</v>
      </c>
    </row>
    <row r="803" spans="1:9" x14ac:dyDescent="0.45">
      <c r="A803" t="s">
        <v>1422</v>
      </c>
      <c r="B803" t="s">
        <v>172</v>
      </c>
      <c r="C803" t="s">
        <v>814</v>
      </c>
      <c r="D803" t="s">
        <v>101</v>
      </c>
      <c r="E803">
        <v>4985.2700000000004</v>
      </c>
      <c r="F803" s="2">
        <v>45498.666684444448</v>
      </c>
      <c r="G803" t="s">
        <v>174</v>
      </c>
      <c r="H803" t="s">
        <v>145</v>
      </c>
      <c r="I803" t="s">
        <v>77</v>
      </c>
    </row>
    <row r="804" spans="1:9" x14ac:dyDescent="0.45">
      <c r="A804" t="s">
        <v>1423</v>
      </c>
      <c r="B804" t="s">
        <v>172</v>
      </c>
      <c r="C804" t="s">
        <v>622</v>
      </c>
      <c r="D804" t="s">
        <v>74</v>
      </c>
      <c r="E804">
        <v>3894.65</v>
      </c>
      <c r="F804" s="2">
        <v>45778.666684444448</v>
      </c>
      <c r="G804" t="s">
        <v>174</v>
      </c>
      <c r="H804" t="s">
        <v>87</v>
      </c>
      <c r="I804" t="s">
        <v>163</v>
      </c>
    </row>
    <row r="805" spans="1:9" x14ac:dyDescent="0.45">
      <c r="A805" t="s">
        <v>1424</v>
      </c>
      <c r="B805" t="s">
        <v>172</v>
      </c>
      <c r="C805" t="s">
        <v>1425</v>
      </c>
      <c r="D805" t="s">
        <v>101</v>
      </c>
      <c r="E805">
        <v>9107.9500000000007</v>
      </c>
      <c r="F805" s="2">
        <v>45598.666684444448</v>
      </c>
      <c r="G805" t="s">
        <v>174</v>
      </c>
      <c r="H805" t="s">
        <v>118</v>
      </c>
      <c r="I805" t="s">
        <v>119</v>
      </c>
    </row>
    <row r="806" spans="1:9" x14ac:dyDescent="0.45">
      <c r="A806" t="s">
        <v>1426</v>
      </c>
      <c r="B806" t="s">
        <v>99</v>
      </c>
      <c r="C806" t="s">
        <v>1427</v>
      </c>
      <c r="D806" t="s">
        <v>148</v>
      </c>
      <c r="E806">
        <v>535.92999999999995</v>
      </c>
      <c r="F806" s="2">
        <v>45852.666684444448</v>
      </c>
      <c r="G806" t="s">
        <v>102</v>
      </c>
      <c r="H806" t="s">
        <v>128</v>
      </c>
      <c r="I806" t="s">
        <v>119</v>
      </c>
    </row>
    <row r="807" spans="1:9" x14ac:dyDescent="0.45">
      <c r="A807" t="s">
        <v>1428</v>
      </c>
      <c r="B807" t="s">
        <v>79</v>
      </c>
      <c r="C807" t="s">
        <v>1429</v>
      </c>
      <c r="D807" t="s">
        <v>74</v>
      </c>
      <c r="E807">
        <v>3507.64</v>
      </c>
      <c r="F807" s="2">
        <v>45284.666684444448</v>
      </c>
      <c r="G807" t="s">
        <v>86</v>
      </c>
      <c r="H807" t="s">
        <v>81</v>
      </c>
      <c r="I807" t="s">
        <v>88</v>
      </c>
    </row>
    <row r="808" spans="1:9" x14ac:dyDescent="0.45">
      <c r="A808" t="s">
        <v>1430</v>
      </c>
      <c r="B808" t="s">
        <v>72</v>
      </c>
      <c r="C808" t="s">
        <v>1431</v>
      </c>
      <c r="D808" t="s">
        <v>92</v>
      </c>
      <c r="E808">
        <v>1050.9100000000001</v>
      </c>
      <c r="F808" s="2">
        <v>45573.666684444448</v>
      </c>
      <c r="G808" t="s">
        <v>75</v>
      </c>
      <c r="H808" t="s">
        <v>136</v>
      </c>
      <c r="I808" t="s">
        <v>163</v>
      </c>
    </row>
    <row r="809" spans="1:9" x14ac:dyDescent="0.45">
      <c r="A809" t="s">
        <v>1432</v>
      </c>
      <c r="B809" t="s">
        <v>104</v>
      </c>
      <c r="C809" t="s">
        <v>1433</v>
      </c>
      <c r="D809" t="s">
        <v>85</v>
      </c>
      <c r="E809">
        <v>8030.2</v>
      </c>
      <c r="F809" s="2">
        <v>45308.666684444448</v>
      </c>
      <c r="G809" t="s">
        <v>115</v>
      </c>
      <c r="H809" t="s">
        <v>133</v>
      </c>
      <c r="I809" t="s">
        <v>77</v>
      </c>
    </row>
    <row r="810" spans="1:9" x14ac:dyDescent="0.45">
      <c r="A810" t="s">
        <v>1434</v>
      </c>
      <c r="B810" t="s">
        <v>109</v>
      </c>
      <c r="C810" t="s">
        <v>612</v>
      </c>
      <c r="D810" t="s">
        <v>148</v>
      </c>
      <c r="E810">
        <v>5186.5600000000004</v>
      </c>
      <c r="F810" s="2">
        <v>45662.666684444448</v>
      </c>
      <c r="H810" t="s">
        <v>107</v>
      </c>
      <c r="I810" t="s">
        <v>82</v>
      </c>
    </row>
    <row r="811" spans="1:9" x14ac:dyDescent="0.45">
      <c r="A811" t="s">
        <v>1435</v>
      </c>
      <c r="B811" t="s">
        <v>109</v>
      </c>
      <c r="C811" t="s">
        <v>1436</v>
      </c>
      <c r="D811" t="s">
        <v>74</v>
      </c>
      <c r="E811">
        <v>7308.35</v>
      </c>
      <c r="F811" s="2">
        <v>45794.666684444448</v>
      </c>
      <c r="G811" t="s">
        <v>111</v>
      </c>
      <c r="H811" t="s">
        <v>136</v>
      </c>
      <c r="I811" t="s">
        <v>112</v>
      </c>
    </row>
    <row r="812" spans="1:9" x14ac:dyDescent="0.45">
      <c r="A812" t="s">
        <v>1437</v>
      </c>
      <c r="B812" t="s">
        <v>79</v>
      </c>
      <c r="C812" t="s">
        <v>706</v>
      </c>
      <c r="D812" t="s">
        <v>106</v>
      </c>
      <c r="E812">
        <v>5361.24</v>
      </c>
      <c r="F812" s="2">
        <v>45404.666684444448</v>
      </c>
      <c r="G812" t="s">
        <v>86</v>
      </c>
      <c r="H812" t="s">
        <v>116</v>
      </c>
      <c r="I812" t="s">
        <v>119</v>
      </c>
    </row>
    <row r="813" spans="1:9" x14ac:dyDescent="0.45">
      <c r="A813" t="s">
        <v>1438</v>
      </c>
      <c r="B813" t="s">
        <v>138</v>
      </c>
      <c r="C813" t="s">
        <v>762</v>
      </c>
      <c r="D813" t="s">
        <v>85</v>
      </c>
      <c r="E813">
        <v>7722.91</v>
      </c>
      <c r="F813" s="2">
        <v>45758.666684444448</v>
      </c>
      <c r="G813" t="s">
        <v>140</v>
      </c>
      <c r="H813" t="s">
        <v>76</v>
      </c>
      <c r="I813" t="s">
        <v>82</v>
      </c>
    </row>
    <row r="814" spans="1:9" x14ac:dyDescent="0.45">
      <c r="A814" t="s">
        <v>370</v>
      </c>
      <c r="B814" t="s">
        <v>104</v>
      </c>
      <c r="C814" t="s">
        <v>586</v>
      </c>
      <c r="D814" t="s">
        <v>106</v>
      </c>
      <c r="E814">
        <v>5234.93</v>
      </c>
      <c r="F814" s="2">
        <v>45679.666684444448</v>
      </c>
      <c r="G814" t="s">
        <v>247</v>
      </c>
      <c r="H814" t="s">
        <v>81</v>
      </c>
      <c r="I814" t="s">
        <v>112</v>
      </c>
    </row>
    <row r="815" spans="1:9" x14ac:dyDescent="0.45">
      <c r="A815" t="s">
        <v>1439</v>
      </c>
      <c r="B815" t="s">
        <v>109</v>
      </c>
      <c r="C815" t="s">
        <v>369</v>
      </c>
      <c r="D815" t="s">
        <v>155</v>
      </c>
      <c r="E815">
        <v>450.63</v>
      </c>
      <c r="F815" s="2">
        <v>45623.666684444448</v>
      </c>
      <c r="G815" t="s">
        <v>111</v>
      </c>
      <c r="I815" t="s">
        <v>112</v>
      </c>
    </row>
    <row r="816" spans="1:9" x14ac:dyDescent="0.45">
      <c r="A816" t="s">
        <v>1440</v>
      </c>
      <c r="B816" t="s">
        <v>95</v>
      </c>
      <c r="C816" t="s">
        <v>1080</v>
      </c>
      <c r="D816" t="s">
        <v>74</v>
      </c>
      <c r="E816">
        <v>3769.32</v>
      </c>
      <c r="F816" s="2">
        <v>45604.666684444448</v>
      </c>
      <c r="G816" t="s">
        <v>97</v>
      </c>
      <c r="H816" t="s">
        <v>136</v>
      </c>
      <c r="I816" t="s">
        <v>163</v>
      </c>
    </row>
    <row r="817" spans="1:9" x14ac:dyDescent="0.45">
      <c r="A817" t="s">
        <v>1441</v>
      </c>
      <c r="B817" t="s">
        <v>90</v>
      </c>
      <c r="C817" t="s">
        <v>1371</v>
      </c>
      <c r="D817" t="s">
        <v>74</v>
      </c>
      <c r="E817">
        <v>1269.5999999999999</v>
      </c>
      <c r="F817" s="2">
        <v>45574.666684444448</v>
      </c>
      <c r="G817" t="s">
        <v>93</v>
      </c>
      <c r="H817" t="s">
        <v>107</v>
      </c>
      <c r="I817" t="s">
        <v>82</v>
      </c>
    </row>
    <row r="818" spans="1:9" x14ac:dyDescent="0.45">
      <c r="A818" t="s">
        <v>1442</v>
      </c>
      <c r="B818" t="s">
        <v>95</v>
      </c>
      <c r="C818" t="s">
        <v>1443</v>
      </c>
      <c r="D818" t="s">
        <v>101</v>
      </c>
      <c r="E818">
        <v>1140.48</v>
      </c>
      <c r="F818" s="2">
        <v>45734.666684444448</v>
      </c>
      <c r="G818" t="s">
        <v>97</v>
      </c>
      <c r="H818" t="s">
        <v>128</v>
      </c>
      <c r="I818" t="s">
        <v>82</v>
      </c>
    </row>
    <row r="819" spans="1:9" x14ac:dyDescent="0.45">
      <c r="A819" t="s">
        <v>1444</v>
      </c>
      <c r="B819" t="s">
        <v>138</v>
      </c>
      <c r="C819" t="s">
        <v>110</v>
      </c>
      <c r="D819" t="s">
        <v>85</v>
      </c>
      <c r="E819">
        <v>0</v>
      </c>
      <c r="F819" s="2">
        <v>45402.666684444448</v>
      </c>
      <c r="G819" t="s">
        <v>140</v>
      </c>
      <c r="H819" t="s">
        <v>136</v>
      </c>
      <c r="I819" t="s">
        <v>163</v>
      </c>
    </row>
    <row r="820" spans="1:9" x14ac:dyDescent="0.45">
      <c r="A820" t="s">
        <v>1445</v>
      </c>
      <c r="B820" t="s">
        <v>104</v>
      </c>
      <c r="C820" t="s">
        <v>1446</v>
      </c>
      <c r="D820" t="s">
        <v>74</v>
      </c>
      <c r="E820">
        <v>3889.62</v>
      </c>
      <c r="F820" s="2">
        <v>45458.666684444448</v>
      </c>
      <c r="G820" t="s">
        <v>115</v>
      </c>
      <c r="H820" t="s">
        <v>116</v>
      </c>
      <c r="I820" t="s">
        <v>163</v>
      </c>
    </row>
    <row r="821" spans="1:9" x14ac:dyDescent="0.45">
      <c r="A821" t="s">
        <v>1447</v>
      </c>
      <c r="B821" t="s">
        <v>109</v>
      </c>
      <c r="C821" t="s">
        <v>80</v>
      </c>
      <c r="D821" t="s">
        <v>74</v>
      </c>
      <c r="E821">
        <v>448.24</v>
      </c>
      <c r="F821" s="2">
        <v>45379.666684444448</v>
      </c>
      <c r="H821" t="s">
        <v>136</v>
      </c>
      <c r="I821" t="s">
        <v>163</v>
      </c>
    </row>
    <row r="822" spans="1:9" x14ac:dyDescent="0.45">
      <c r="A822" t="s">
        <v>1448</v>
      </c>
      <c r="B822" t="s">
        <v>90</v>
      </c>
      <c r="C822" t="s">
        <v>875</v>
      </c>
      <c r="D822" t="s">
        <v>85</v>
      </c>
      <c r="E822">
        <v>1357.63</v>
      </c>
      <c r="F822" s="2">
        <v>45216.666684444448</v>
      </c>
      <c r="G822" t="s">
        <v>93</v>
      </c>
      <c r="H822" t="s">
        <v>128</v>
      </c>
      <c r="I822" t="s">
        <v>77</v>
      </c>
    </row>
    <row r="823" spans="1:9" x14ac:dyDescent="0.45">
      <c r="A823" t="s">
        <v>1449</v>
      </c>
      <c r="B823" t="s">
        <v>72</v>
      </c>
      <c r="C823" t="s">
        <v>1450</v>
      </c>
      <c r="D823" t="s">
        <v>74</v>
      </c>
      <c r="E823">
        <v>11978.67</v>
      </c>
      <c r="F823" s="2">
        <v>45413.666684444448</v>
      </c>
      <c r="G823" t="s">
        <v>75</v>
      </c>
      <c r="H823" t="s">
        <v>116</v>
      </c>
      <c r="I823" t="s">
        <v>163</v>
      </c>
    </row>
    <row r="824" spans="1:9" x14ac:dyDescent="0.45">
      <c r="A824" t="s">
        <v>1451</v>
      </c>
      <c r="B824" t="s">
        <v>109</v>
      </c>
      <c r="C824" t="s">
        <v>1452</v>
      </c>
      <c r="D824" t="s">
        <v>74</v>
      </c>
      <c r="E824">
        <v>579.89</v>
      </c>
      <c r="F824" s="2">
        <v>45589.666684444448</v>
      </c>
      <c r="G824" t="s">
        <v>307</v>
      </c>
      <c r="H824" t="s">
        <v>145</v>
      </c>
      <c r="I824" t="s">
        <v>88</v>
      </c>
    </row>
    <row r="825" spans="1:9" x14ac:dyDescent="0.45">
      <c r="A825" t="s">
        <v>1453</v>
      </c>
      <c r="B825" t="s">
        <v>109</v>
      </c>
      <c r="C825" t="s">
        <v>1454</v>
      </c>
      <c r="D825" t="s">
        <v>101</v>
      </c>
      <c r="E825">
        <v>7773.87</v>
      </c>
      <c r="F825" s="2">
        <v>45377.666684444448</v>
      </c>
      <c r="G825" t="s">
        <v>111</v>
      </c>
      <c r="I825" t="s">
        <v>77</v>
      </c>
    </row>
    <row r="826" spans="1:9" x14ac:dyDescent="0.45">
      <c r="A826" t="s">
        <v>1455</v>
      </c>
      <c r="B826" t="s">
        <v>138</v>
      </c>
      <c r="C826" t="s">
        <v>1198</v>
      </c>
      <c r="D826" t="s">
        <v>74</v>
      </c>
      <c r="E826">
        <v>1741.27</v>
      </c>
      <c r="F826" s="2">
        <v>45603.666684444448</v>
      </c>
      <c r="G826" t="s">
        <v>140</v>
      </c>
      <c r="H826" t="s">
        <v>128</v>
      </c>
      <c r="I826" t="s">
        <v>82</v>
      </c>
    </row>
    <row r="827" spans="1:9" x14ac:dyDescent="0.45">
      <c r="A827" t="s">
        <v>1456</v>
      </c>
      <c r="B827" t="s">
        <v>109</v>
      </c>
      <c r="C827" t="s">
        <v>944</v>
      </c>
      <c r="D827" t="s">
        <v>101</v>
      </c>
      <c r="E827">
        <v>11625.8</v>
      </c>
      <c r="F827" s="2">
        <v>45711.666684444448</v>
      </c>
      <c r="G827" t="s">
        <v>111</v>
      </c>
      <c r="I827" t="s">
        <v>112</v>
      </c>
    </row>
    <row r="828" spans="1:9" x14ac:dyDescent="0.45">
      <c r="A828" t="s">
        <v>1457</v>
      </c>
      <c r="B828" t="s">
        <v>104</v>
      </c>
      <c r="C828" t="s">
        <v>96</v>
      </c>
      <c r="D828" t="s">
        <v>85</v>
      </c>
      <c r="E828">
        <v>9477.14</v>
      </c>
      <c r="F828" s="2">
        <v>45752.666684444448</v>
      </c>
      <c r="G828" t="s">
        <v>115</v>
      </c>
      <c r="H828" t="s">
        <v>81</v>
      </c>
      <c r="I828" t="s">
        <v>77</v>
      </c>
    </row>
    <row r="829" spans="1:9" x14ac:dyDescent="0.45">
      <c r="A829" t="s">
        <v>1458</v>
      </c>
      <c r="B829" t="s">
        <v>79</v>
      </c>
      <c r="C829" t="s">
        <v>1157</v>
      </c>
      <c r="D829" t="s">
        <v>85</v>
      </c>
      <c r="E829">
        <v>4148.76</v>
      </c>
      <c r="F829" s="2">
        <v>45812.666684444448</v>
      </c>
      <c r="G829" t="s">
        <v>86</v>
      </c>
      <c r="I829" t="s">
        <v>112</v>
      </c>
    </row>
    <row r="830" spans="1:9" x14ac:dyDescent="0.45">
      <c r="A830" t="s">
        <v>1459</v>
      </c>
      <c r="B830" t="s">
        <v>104</v>
      </c>
      <c r="C830" t="s">
        <v>804</v>
      </c>
      <c r="D830" t="s">
        <v>148</v>
      </c>
      <c r="E830">
        <v>947.77</v>
      </c>
      <c r="F830" s="2">
        <v>45516.666684444448</v>
      </c>
      <c r="G830" t="s">
        <v>115</v>
      </c>
      <c r="H830" t="s">
        <v>128</v>
      </c>
      <c r="I830" t="s">
        <v>163</v>
      </c>
    </row>
    <row r="831" spans="1:9" x14ac:dyDescent="0.45">
      <c r="A831" t="s">
        <v>1460</v>
      </c>
      <c r="B831" t="s">
        <v>72</v>
      </c>
      <c r="D831" t="s">
        <v>85</v>
      </c>
      <c r="E831">
        <v>9416.68</v>
      </c>
      <c r="F831" s="2">
        <v>45472.666684444448</v>
      </c>
      <c r="G831" t="s">
        <v>75</v>
      </c>
      <c r="H831" t="s">
        <v>145</v>
      </c>
      <c r="I831" t="s">
        <v>163</v>
      </c>
    </row>
    <row r="832" spans="1:9" x14ac:dyDescent="0.45">
      <c r="A832" t="s">
        <v>1461</v>
      </c>
      <c r="B832" t="s">
        <v>79</v>
      </c>
      <c r="C832" t="s">
        <v>158</v>
      </c>
      <c r="D832" t="s">
        <v>85</v>
      </c>
      <c r="E832">
        <v>10965.18</v>
      </c>
      <c r="F832" s="2">
        <v>45157.666684444448</v>
      </c>
      <c r="H832" t="s">
        <v>133</v>
      </c>
      <c r="I832" t="s">
        <v>88</v>
      </c>
    </row>
    <row r="833" spans="1:9" x14ac:dyDescent="0.45">
      <c r="A833" t="s">
        <v>1462</v>
      </c>
      <c r="B833" t="s">
        <v>109</v>
      </c>
      <c r="C833" t="s">
        <v>853</v>
      </c>
      <c r="D833" t="s">
        <v>101</v>
      </c>
      <c r="E833">
        <v>11996.9</v>
      </c>
      <c r="F833" s="2">
        <v>45634.666684444448</v>
      </c>
      <c r="G833" t="s">
        <v>111</v>
      </c>
      <c r="H833" t="s">
        <v>128</v>
      </c>
      <c r="I833" t="s">
        <v>163</v>
      </c>
    </row>
    <row r="834" spans="1:9" x14ac:dyDescent="0.45">
      <c r="A834" t="s">
        <v>1463</v>
      </c>
      <c r="B834" t="s">
        <v>109</v>
      </c>
      <c r="C834" t="s">
        <v>1464</v>
      </c>
      <c r="E834">
        <v>9159.69</v>
      </c>
      <c r="F834" s="2">
        <v>45460.666684444448</v>
      </c>
      <c r="G834" t="s">
        <v>111</v>
      </c>
      <c r="H834" t="s">
        <v>81</v>
      </c>
      <c r="I834" t="s">
        <v>88</v>
      </c>
    </row>
    <row r="835" spans="1:9" x14ac:dyDescent="0.45">
      <c r="A835" t="s">
        <v>1465</v>
      </c>
      <c r="B835" t="s">
        <v>90</v>
      </c>
      <c r="C835" t="s">
        <v>168</v>
      </c>
      <c r="D835" t="s">
        <v>148</v>
      </c>
      <c r="E835">
        <v>3134.94</v>
      </c>
      <c r="F835" s="2">
        <v>45314.666684444448</v>
      </c>
      <c r="G835" t="s">
        <v>93</v>
      </c>
      <c r="H835" t="s">
        <v>116</v>
      </c>
      <c r="I835" t="s">
        <v>88</v>
      </c>
    </row>
    <row r="836" spans="1:9" x14ac:dyDescent="0.45">
      <c r="A836" t="s">
        <v>1466</v>
      </c>
      <c r="B836" t="s">
        <v>109</v>
      </c>
      <c r="C836" t="s">
        <v>275</v>
      </c>
      <c r="D836" t="s">
        <v>148</v>
      </c>
      <c r="E836">
        <v>10774.78</v>
      </c>
      <c r="F836" s="2">
        <v>45627.666684444448</v>
      </c>
      <c r="H836" t="s">
        <v>136</v>
      </c>
      <c r="I836" t="s">
        <v>163</v>
      </c>
    </row>
    <row r="837" spans="1:9" x14ac:dyDescent="0.45">
      <c r="A837" t="s">
        <v>1467</v>
      </c>
      <c r="B837" t="s">
        <v>172</v>
      </c>
      <c r="C837" t="s">
        <v>1468</v>
      </c>
      <c r="D837" t="s">
        <v>92</v>
      </c>
      <c r="E837">
        <v>313.89999999999998</v>
      </c>
      <c r="F837" s="2">
        <v>45345.666684444448</v>
      </c>
      <c r="G837" t="s">
        <v>174</v>
      </c>
      <c r="H837" t="s">
        <v>128</v>
      </c>
      <c r="I837" t="s">
        <v>88</v>
      </c>
    </row>
    <row r="838" spans="1:9" x14ac:dyDescent="0.45">
      <c r="A838" t="s">
        <v>1469</v>
      </c>
      <c r="B838" t="s">
        <v>72</v>
      </c>
      <c r="C838" t="s">
        <v>771</v>
      </c>
      <c r="D838" t="s">
        <v>74</v>
      </c>
      <c r="E838">
        <v>7249.57</v>
      </c>
      <c r="F838" s="2">
        <v>45491.666684444448</v>
      </c>
      <c r="G838" t="s">
        <v>75</v>
      </c>
      <c r="H838" t="s">
        <v>76</v>
      </c>
      <c r="I838" t="s">
        <v>88</v>
      </c>
    </row>
    <row r="839" spans="1:9" x14ac:dyDescent="0.45">
      <c r="A839" t="s">
        <v>1470</v>
      </c>
      <c r="B839" t="s">
        <v>99</v>
      </c>
      <c r="C839" t="s">
        <v>1471</v>
      </c>
      <c r="D839" t="s">
        <v>101</v>
      </c>
      <c r="E839">
        <v>2808.06</v>
      </c>
      <c r="F839" s="2">
        <v>45392.666684444448</v>
      </c>
      <c r="G839" t="s">
        <v>285</v>
      </c>
      <c r="H839" t="s">
        <v>81</v>
      </c>
      <c r="I839" t="s">
        <v>112</v>
      </c>
    </row>
    <row r="840" spans="1:9" x14ac:dyDescent="0.45">
      <c r="A840" t="s">
        <v>1472</v>
      </c>
      <c r="B840" t="s">
        <v>90</v>
      </c>
      <c r="C840" t="s">
        <v>1473</v>
      </c>
      <c r="D840" t="s">
        <v>74</v>
      </c>
      <c r="E840">
        <v>0</v>
      </c>
      <c r="F840" s="2">
        <v>45476.666684444448</v>
      </c>
      <c r="G840" t="s">
        <v>93</v>
      </c>
      <c r="H840" t="s">
        <v>107</v>
      </c>
      <c r="I840" t="s">
        <v>163</v>
      </c>
    </row>
    <row r="841" spans="1:9" x14ac:dyDescent="0.45">
      <c r="A841" t="s">
        <v>1474</v>
      </c>
      <c r="B841" t="s">
        <v>95</v>
      </c>
      <c r="C841" t="s">
        <v>1475</v>
      </c>
      <c r="D841" t="s">
        <v>155</v>
      </c>
      <c r="E841">
        <v>227.13</v>
      </c>
      <c r="F841" s="2">
        <v>45414.666684444448</v>
      </c>
      <c r="H841" t="s">
        <v>145</v>
      </c>
      <c r="I841" t="s">
        <v>119</v>
      </c>
    </row>
    <row r="842" spans="1:9" x14ac:dyDescent="0.45">
      <c r="A842" t="s">
        <v>1476</v>
      </c>
      <c r="B842" t="s">
        <v>79</v>
      </c>
      <c r="C842" t="s">
        <v>1477</v>
      </c>
      <c r="D842" t="s">
        <v>92</v>
      </c>
      <c r="E842">
        <v>0</v>
      </c>
      <c r="F842" s="2">
        <v>45738.666684444448</v>
      </c>
      <c r="G842" t="s">
        <v>86</v>
      </c>
      <c r="H842" t="s">
        <v>145</v>
      </c>
      <c r="I842" t="s">
        <v>88</v>
      </c>
    </row>
    <row r="843" spans="1:9" x14ac:dyDescent="0.45">
      <c r="A843" t="s">
        <v>1478</v>
      </c>
      <c r="B843" t="s">
        <v>99</v>
      </c>
      <c r="C843" t="s">
        <v>1479</v>
      </c>
      <c r="D843" t="s">
        <v>92</v>
      </c>
      <c r="E843">
        <v>4224.2</v>
      </c>
      <c r="F843" s="2">
        <v>45846.666684444448</v>
      </c>
      <c r="G843" t="s">
        <v>102</v>
      </c>
      <c r="I843" t="s">
        <v>77</v>
      </c>
    </row>
    <row r="844" spans="1:9" x14ac:dyDescent="0.45">
      <c r="A844" t="s">
        <v>1480</v>
      </c>
      <c r="B844" t="s">
        <v>109</v>
      </c>
      <c r="C844" t="s">
        <v>357</v>
      </c>
      <c r="D844" t="s">
        <v>101</v>
      </c>
      <c r="E844">
        <v>220.46</v>
      </c>
      <c r="F844" s="2">
        <v>45410.666684444448</v>
      </c>
      <c r="G844" t="s">
        <v>111</v>
      </c>
      <c r="H844" t="s">
        <v>133</v>
      </c>
      <c r="I844" t="s">
        <v>163</v>
      </c>
    </row>
    <row r="845" spans="1:9" x14ac:dyDescent="0.45">
      <c r="A845" t="s">
        <v>1481</v>
      </c>
      <c r="B845" t="s">
        <v>104</v>
      </c>
      <c r="C845" t="s">
        <v>1261</v>
      </c>
      <c r="E845">
        <v>9656.7099999999991</v>
      </c>
      <c r="F845" s="2">
        <v>45697.666684444448</v>
      </c>
      <c r="G845" t="s">
        <v>115</v>
      </c>
      <c r="H845" t="s">
        <v>116</v>
      </c>
      <c r="I845" t="s">
        <v>88</v>
      </c>
    </row>
    <row r="846" spans="1:9" x14ac:dyDescent="0.45">
      <c r="A846" t="s">
        <v>1482</v>
      </c>
      <c r="B846" t="s">
        <v>172</v>
      </c>
      <c r="C846" t="s">
        <v>1483</v>
      </c>
      <c r="D846" t="s">
        <v>101</v>
      </c>
      <c r="E846">
        <v>9045.3700000000008</v>
      </c>
      <c r="F846" s="2">
        <v>45138.666684444448</v>
      </c>
      <c r="G846" t="s">
        <v>174</v>
      </c>
      <c r="H846" t="s">
        <v>128</v>
      </c>
      <c r="I846" t="s">
        <v>88</v>
      </c>
    </row>
    <row r="847" spans="1:9" x14ac:dyDescent="0.45">
      <c r="A847" t="s">
        <v>1484</v>
      </c>
      <c r="B847" t="s">
        <v>79</v>
      </c>
      <c r="C847" t="s">
        <v>1100</v>
      </c>
      <c r="D847" t="s">
        <v>74</v>
      </c>
      <c r="E847">
        <v>3716.75</v>
      </c>
      <c r="F847" s="2">
        <v>45657.666684444448</v>
      </c>
      <c r="G847" t="s">
        <v>86</v>
      </c>
      <c r="I847" t="s">
        <v>77</v>
      </c>
    </row>
    <row r="848" spans="1:9" x14ac:dyDescent="0.45">
      <c r="A848" t="s">
        <v>1485</v>
      </c>
      <c r="B848" t="s">
        <v>79</v>
      </c>
      <c r="C848" t="s">
        <v>1486</v>
      </c>
      <c r="D848" t="s">
        <v>101</v>
      </c>
      <c r="E848">
        <v>3876.85</v>
      </c>
      <c r="F848" s="2">
        <v>45323.666684444448</v>
      </c>
      <c r="G848" t="s">
        <v>86</v>
      </c>
      <c r="H848" t="s">
        <v>118</v>
      </c>
      <c r="I848" t="s">
        <v>77</v>
      </c>
    </row>
    <row r="849" spans="1:9" x14ac:dyDescent="0.45">
      <c r="A849" t="s">
        <v>1487</v>
      </c>
      <c r="B849" t="s">
        <v>79</v>
      </c>
      <c r="C849" t="s">
        <v>1207</v>
      </c>
      <c r="D849" t="s">
        <v>85</v>
      </c>
      <c r="E849">
        <v>3572.08</v>
      </c>
      <c r="F849" s="2">
        <v>45215.666684444448</v>
      </c>
      <c r="G849" t="s">
        <v>86</v>
      </c>
      <c r="H849" t="s">
        <v>87</v>
      </c>
      <c r="I849" t="s">
        <v>112</v>
      </c>
    </row>
    <row r="850" spans="1:9" x14ac:dyDescent="0.45">
      <c r="A850" t="s">
        <v>1488</v>
      </c>
      <c r="B850" t="s">
        <v>72</v>
      </c>
      <c r="C850" t="s">
        <v>1489</v>
      </c>
      <c r="D850" t="s">
        <v>85</v>
      </c>
      <c r="E850">
        <v>1643.79</v>
      </c>
      <c r="F850" s="2">
        <v>45375.666684444448</v>
      </c>
      <c r="G850" t="s">
        <v>75</v>
      </c>
      <c r="I850" t="s">
        <v>77</v>
      </c>
    </row>
    <row r="851" spans="1:9" x14ac:dyDescent="0.45">
      <c r="A851" t="s">
        <v>1124</v>
      </c>
      <c r="B851" t="s">
        <v>79</v>
      </c>
      <c r="C851" t="s">
        <v>1413</v>
      </c>
      <c r="D851" t="s">
        <v>148</v>
      </c>
      <c r="E851">
        <v>10959.6</v>
      </c>
      <c r="F851" s="2">
        <v>45544.666684444448</v>
      </c>
      <c r="G851" t="s">
        <v>86</v>
      </c>
      <c r="H851" t="s">
        <v>81</v>
      </c>
      <c r="I851" t="s">
        <v>119</v>
      </c>
    </row>
    <row r="852" spans="1:9" x14ac:dyDescent="0.45">
      <c r="A852" t="s">
        <v>1490</v>
      </c>
      <c r="B852" t="s">
        <v>90</v>
      </c>
      <c r="C852" t="s">
        <v>708</v>
      </c>
      <c r="D852" t="s">
        <v>74</v>
      </c>
      <c r="E852">
        <v>6718.26</v>
      </c>
      <c r="F852" s="2">
        <v>45628.666684444448</v>
      </c>
      <c r="G852" t="s">
        <v>93</v>
      </c>
      <c r="H852" t="s">
        <v>133</v>
      </c>
      <c r="I852" t="s">
        <v>112</v>
      </c>
    </row>
    <row r="853" spans="1:9" x14ac:dyDescent="0.45">
      <c r="A853" t="s">
        <v>1491</v>
      </c>
      <c r="B853" t="s">
        <v>104</v>
      </c>
      <c r="C853" t="s">
        <v>910</v>
      </c>
      <c r="D853" t="s">
        <v>85</v>
      </c>
      <c r="E853">
        <v>7528.76</v>
      </c>
      <c r="F853" s="2">
        <v>45696.666684444448</v>
      </c>
      <c r="G853" t="s">
        <v>115</v>
      </c>
      <c r="H853" t="s">
        <v>81</v>
      </c>
      <c r="I853" t="s">
        <v>82</v>
      </c>
    </row>
    <row r="854" spans="1:9" x14ac:dyDescent="0.45">
      <c r="A854" t="s">
        <v>1492</v>
      </c>
      <c r="B854" t="s">
        <v>90</v>
      </c>
      <c r="C854" t="s">
        <v>1493</v>
      </c>
      <c r="D854" t="s">
        <v>85</v>
      </c>
      <c r="E854">
        <v>3508.69</v>
      </c>
      <c r="F854" s="2">
        <v>45374.666684444448</v>
      </c>
      <c r="G854" t="s">
        <v>93</v>
      </c>
      <c r="H854" t="s">
        <v>118</v>
      </c>
      <c r="I854" t="s">
        <v>119</v>
      </c>
    </row>
    <row r="855" spans="1:9" x14ac:dyDescent="0.45">
      <c r="A855" t="s">
        <v>1046</v>
      </c>
      <c r="B855" t="s">
        <v>90</v>
      </c>
      <c r="C855" t="s">
        <v>1159</v>
      </c>
      <c r="D855" t="s">
        <v>101</v>
      </c>
      <c r="E855">
        <v>8825.24</v>
      </c>
      <c r="F855" s="2">
        <v>45835.666684444448</v>
      </c>
      <c r="G855" t="s">
        <v>93</v>
      </c>
      <c r="H855" t="s">
        <v>87</v>
      </c>
      <c r="I855" t="s">
        <v>112</v>
      </c>
    </row>
    <row r="856" spans="1:9" x14ac:dyDescent="0.45">
      <c r="A856" t="s">
        <v>1494</v>
      </c>
      <c r="B856" t="s">
        <v>172</v>
      </c>
      <c r="C856" t="s">
        <v>685</v>
      </c>
      <c r="E856">
        <v>4144.13</v>
      </c>
      <c r="F856" s="2">
        <v>45615.666684444448</v>
      </c>
      <c r="G856" t="s">
        <v>174</v>
      </c>
      <c r="H856" t="s">
        <v>76</v>
      </c>
      <c r="I856" t="s">
        <v>119</v>
      </c>
    </row>
    <row r="857" spans="1:9" x14ac:dyDescent="0.45">
      <c r="A857" t="s">
        <v>1495</v>
      </c>
      <c r="B857" t="s">
        <v>104</v>
      </c>
      <c r="C857" t="s">
        <v>858</v>
      </c>
      <c r="D857" t="s">
        <v>92</v>
      </c>
      <c r="E857">
        <v>1223.43</v>
      </c>
      <c r="F857" s="2">
        <v>45789.666684444448</v>
      </c>
      <c r="G857" t="s">
        <v>115</v>
      </c>
      <c r="H857" t="s">
        <v>87</v>
      </c>
      <c r="I857" t="s">
        <v>82</v>
      </c>
    </row>
    <row r="858" spans="1:9" x14ac:dyDescent="0.45">
      <c r="A858" t="s">
        <v>1496</v>
      </c>
      <c r="B858" t="s">
        <v>172</v>
      </c>
      <c r="C858" t="s">
        <v>1473</v>
      </c>
      <c r="D858" t="s">
        <v>92</v>
      </c>
      <c r="E858">
        <v>749.37</v>
      </c>
      <c r="F858" s="2">
        <v>45856.666684444448</v>
      </c>
      <c r="G858" t="s">
        <v>174</v>
      </c>
      <c r="H858" t="s">
        <v>81</v>
      </c>
      <c r="I858" t="s">
        <v>88</v>
      </c>
    </row>
    <row r="859" spans="1:9" x14ac:dyDescent="0.45">
      <c r="A859" t="s">
        <v>1497</v>
      </c>
      <c r="B859" t="s">
        <v>79</v>
      </c>
      <c r="C859" t="s">
        <v>845</v>
      </c>
      <c r="D859" t="s">
        <v>148</v>
      </c>
      <c r="E859">
        <v>1108.1500000000001</v>
      </c>
      <c r="F859" s="2">
        <v>45630.666684444448</v>
      </c>
      <c r="G859" t="s">
        <v>278</v>
      </c>
      <c r="H859" t="s">
        <v>128</v>
      </c>
      <c r="I859" t="s">
        <v>163</v>
      </c>
    </row>
    <row r="860" spans="1:9" x14ac:dyDescent="0.45">
      <c r="A860" t="s">
        <v>1498</v>
      </c>
      <c r="B860" t="s">
        <v>79</v>
      </c>
      <c r="C860" t="s">
        <v>617</v>
      </c>
      <c r="D860" t="s">
        <v>92</v>
      </c>
      <c r="E860">
        <v>677.8</v>
      </c>
      <c r="F860" s="2">
        <v>45586.666684444448</v>
      </c>
      <c r="G860" t="s">
        <v>86</v>
      </c>
      <c r="H860" t="s">
        <v>118</v>
      </c>
      <c r="I860" t="s">
        <v>112</v>
      </c>
    </row>
    <row r="861" spans="1:9" x14ac:dyDescent="0.45">
      <c r="A861" t="s">
        <v>1499</v>
      </c>
      <c r="B861" t="s">
        <v>90</v>
      </c>
      <c r="C861" t="s">
        <v>1500</v>
      </c>
      <c r="D861" t="s">
        <v>74</v>
      </c>
      <c r="E861">
        <v>10116.44</v>
      </c>
      <c r="F861" s="2">
        <v>45145.666684444448</v>
      </c>
      <c r="G861" t="s">
        <v>296</v>
      </c>
      <c r="H861" t="s">
        <v>87</v>
      </c>
      <c r="I861" t="s">
        <v>119</v>
      </c>
    </row>
    <row r="862" spans="1:9" x14ac:dyDescent="0.45">
      <c r="A862" t="s">
        <v>1501</v>
      </c>
      <c r="B862" t="s">
        <v>90</v>
      </c>
      <c r="D862" t="s">
        <v>92</v>
      </c>
      <c r="E862">
        <v>6265.52</v>
      </c>
      <c r="F862" s="2">
        <v>45223.666684444448</v>
      </c>
      <c r="G862" t="s">
        <v>93</v>
      </c>
      <c r="H862" t="s">
        <v>107</v>
      </c>
      <c r="I862" t="s">
        <v>119</v>
      </c>
    </row>
    <row r="863" spans="1:9" x14ac:dyDescent="0.45">
      <c r="A863" t="s">
        <v>1502</v>
      </c>
      <c r="B863" t="s">
        <v>79</v>
      </c>
      <c r="C863" t="s">
        <v>1067</v>
      </c>
      <c r="D863" t="s">
        <v>101</v>
      </c>
      <c r="E863">
        <v>3605.87</v>
      </c>
      <c r="F863" s="2">
        <v>45429.666684444448</v>
      </c>
      <c r="G863" t="s">
        <v>278</v>
      </c>
      <c r="H863" t="s">
        <v>116</v>
      </c>
      <c r="I863" t="s">
        <v>82</v>
      </c>
    </row>
    <row r="864" spans="1:9" x14ac:dyDescent="0.45">
      <c r="A864" t="s">
        <v>1503</v>
      </c>
      <c r="B864" t="s">
        <v>138</v>
      </c>
      <c r="C864" t="s">
        <v>1504</v>
      </c>
      <c r="D864" t="s">
        <v>74</v>
      </c>
      <c r="E864">
        <v>3264.03</v>
      </c>
      <c r="F864" s="2">
        <v>45354.666684444448</v>
      </c>
      <c r="G864" t="s">
        <v>140</v>
      </c>
      <c r="H864" t="s">
        <v>116</v>
      </c>
      <c r="I864" t="s">
        <v>82</v>
      </c>
    </row>
    <row r="865" spans="1:9" x14ac:dyDescent="0.45">
      <c r="A865" t="s">
        <v>1505</v>
      </c>
      <c r="B865" t="s">
        <v>72</v>
      </c>
      <c r="C865" t="s">
        <v>1506</v>
      </c>
      <c r="D865" t="s">
        <v>74</v>
      </c>
      <c r="E865">
        <v>2474.36</v>
      </c>
      <c r="F865" s="2">
        <v>45542.666684444448</v>
      </c>
      <c r="G865" t="s">
        <v>75</v>
      </c>
      <c r="H865" t="s">
        <v>116</v>
      </c>
      <c r="I865" t="s">
        <v>112</v>
      </c>
    </row>
    <row r="866" spans="1:9" x14ac:dyDescent="0.45">
      <c r="A866" t="s">
        <v>1507</v>
      </c>
      <c r="B866" t="s">
        <v>99</v>
      </c>
      <c r="C866" t="s">
        <v>853</v>
      </c>
      <c r="D866" t="s">
        <v>92</v>
      </c>
      <c r="E866">
        <v>4037.53</v>
      </c>
      <c r="F866" s="2">
        <v>45836.666684444448</v>
      </c>
      <c r="G866" t="s">
        <v>102</v>
      </c>
      <c r="H866" t="s">
        <v>128</v>
      </c>
      <c r="I866" t="s">
        <v>82</v>
      </c>
    </row>
    <row r="867" spans="1:9" x14ac:dyDescent="0.45">
      <c r="A867" t="s">
        <v>1508</v>
      </c>
      <c r="B867" t="s">
        <v>109</v>
      </c>
      <c r="C867" t="s">
        <v>645</v>
      </c>
      <c r="D867" t="s">
        <v>92</v>
      </c>
      <c r="E867">
        <v>5453.07</v>
      </c>
      <c r="F867" s="2">
        <v>45377.666684444448</v>
      </c>
      <c r="G867" t="s">
        <v>111</v>
      </c>
      <c r="H867" t="s">
        <v>76</v>
      </c>
      <c r="I867" t="s">
        <v>163</v>
      </c>
    </row>
    <row r="868" spans="1:9" x14ac:dyDescent="0.45">
      <c r="A868" t="s">
        <v>1509</v>
      </c>
      <c r="B868" t="s">
        <v>95</v>
      </c>
      <c r="C868" t="s">
        <v>1510</v>
      </c>
      <c r="D868" t="s">
        <v>74</v>
      </c>
      <c r="E868">
        <v>2562.81</v>
      </c>
      <c r="F868" s="2">
        <v>45441.666684444448</v>
      </c>
      <c r="G868" t="s">
        <v>97</v>
      </c>
      <c r="H868" t="s">
        <v>107</v>
      </c>
      <c r="I868" t="s">
        <v>112</v>
      </c>
    </row>
    <row r="869" spans="1:9" x14ac:dyDescent="0.45">
      <c r="A869" t="s">
        <v>1511</v>
      </c>
      <c r="B869" t="s">
        <v>104</v>
      </c>
      <c r="C869" t="s">
        <v>1512</v>
      </c>
      <c r="D869" t="s">
        <v>92</v>
      </c>
      <c r="E869">
        <v>0</v>
      </c>
      <c r="F869" s="2">
        <v>45807.666684444448</v>
      </c>
      <c r="G869" t="s">
        <v>115</v>
      </c>
      <c r="H869" t="s">
        <v>76</v>
      </c>
      <c r="I869" t="s">
        <v>88</v>
      </c>
    </row>
    <row r="870" spans="1:9" x14ac:dyDescent="0.45">
      <c r="A870" t="s">
        <v>1513</v>
      </c>
      <c r="B870" t="s">
        <v>172</v>
      </c>
      <c r="C870" t="s">
        <v>1514</v>
      </c>
      <c r="D870" t="s">
        <v>155</v>
      </c>
      <c r="E870">
        <v>9859.7900000000009</v>
      </c>
      <c r="F870" s="2">
        <v>45723.666684444448</v>
      </c>
      <c r="G870" t="s">
        <v>174</v>
      </c>
      <c r="H870" t="s">
        <v>76</v>
      </c>
      <c r="I870" t="s">
        <v>163</v>
      </c>
    </row>
    <row r="871" spans="1:9" x14ac:dyDescent="0.45">
      <c r="A871" t="s">
        <v>1515</v>
      </c>
      <c r="B871" t="s">
        <v>104</v>
      </c>
      <c r="C871" t="s">
        <v>1516</v>
      </c>
      <c r="D871" t="s">
        <v>74</v>
      </c>
      <c r="E871">
        <v>0</v>
      </c>
      <c r="F871" s="2">
        <v>45505.666684444448</v>
      </c>
      <c r="G871" t="s">
        <v>115</v>
      </c>
      <c r="H871" t="s">
        <v>107</v>
      </c>
      <c r="I871" t="s">
        <v>112</v>
      </c>
    </row>
    <row r="872" spans="1:9" x14ac:dyDescent="0.45">
      <c r="A872" t="s">
        <v>1517</v>
      </c>
      <c r="B872" t="s">
        <v>79</v>
      </c>
      <c r="C872" t="s">
        <v>405</v>
      </c>
      <c r="D872" t="s">
        <v>74</v>
      </c>
      <c r="E872">
        <v>4538.4799999999996</v>
      </c>
      <c r="F872" s="2">
        <v>45612.666684444448</v>
      </c>
      <c r="G872" t="s">
        <v>86</v>
      </c>
      <c r="H872" t="s">
        <v>116</v>
      </c>
      <c r="I872" t="s">
        <v>112</v>
      </c>
    </row>
    <row r="873" spans="1:9" x14ac:dyDescent="0.45">
      <c r="A873" t="s">
        <v>1518</v>
      </c>
      <c r="B873" t="s">
        <v>99</v>
      </c>
      <c r="C873" t="s">
        <v>1519</v>
      </c>
      <c r="D873" t="s">
        <v>92</v>
      </c>
      <c r="E873">
        <v>10492.97</v>
      </c>
      <c r="F873" s="2">
        <v>45694.666684444448</v>
      </c>
      <c r="G873" t="s">
        <v>102</v>
      </c>
      <c r="H873" t="s">
        <v>76</v>
      </c>
      <c r="I873" t="s">
        <v>112</v>
      </c>
    </row>
    <row r="874" spans="1:9" x14ac:dyDescent="0.45">
      <c r="A874" t="s">
        <v>1520</v>
      </c>
      <c r="B874" t="s">
        <v>95</v>
      </c>
      <c r="C874" t="s">
        <v>1521</v>
      </c>
      <c r="D874" t="s">
        <v>101</v>
      </c>
      <c r="E874">
        <v>9326.4500000000007</v>
      </c>
      <c r="F874" s="2">
        <v>45671.666684444448</v>
      </c>
      <c r="G874" t="s">
        <v>97</v>
      </c>
      <c r="H874" t="s">
        <v>107</v>
      </c>
      <c r="I874" t="s">
        <v>119</v>
      </c>
    </row>
    <row r="875" spans="1:9" x14ac:dyDescent="0.45">
      <c r="A875" t="s">
        <v>1522</v>
      </c>
      <c r="B875" t="s">
        <v>90</v>
      </c>
      <c r="C875" t="s">
        <v>289</v>
      </c>
      <c r="D875" t="s">
        <v>85</v>
      </c>
      <c r="E875">
        <v>9742.68</v>
      </c>
      <c r="F875" s="2">
        <v>45480.666684444448</v>
      </c>
      <c r="G875" t="s">
        <v>93</v>
      </c>
      <c r="H875" t="s">
        <v>87</v>
      </c>
      <c r="I875" t="s">
        <v>77</v>
      </c>
    </row>
    <row r="876" spans="1:9" x14ac:dyDescent="0.45">
      <c r="A876" t="s">
        <v>1523</v>
      </c>
      <c r="B876" t="s">
        <v>90</v>
      </c>
      <c r="C876" t="s">
        <v>1524</v>
      </c>
      <c r="D876" t="s">
        <v>74</v>
      </c>
      <c r="E876">
        <v>633.08000000000004</v>
      </c>
      <c r="F876" s="2">
        <v>45563.666684444448</v>
      </c>
      <c r="G876" t="s">
        <v>93</v>
      </c>
      <c r="H876" t="s">
        <v>136</v>
      </c>
      <c r="I876" t="s">
        <v>112</v>
      </c>
    </row>
    <row r="877" spans="1:9" x14ac:dyDescent="0.45">
      <c r="A877" t="s">
        <v>1525</v>
      </c>
      <c r="B877" t="s">
        <v>172</v>
      </c>
      <c r="C877" t="s">
        <v>452</v>
      </c>
      <c r="D877" t="s">
        <v>85</v>
      </c>
      <c r="E877">
        <v>11305.9</v>
      </c>
      <c r="F877" s="2">
        <v>45691.666684444448</v>
      </c>
      <c r="G877" t="s">
        <v>236</v>
      </c>
      <c r="H877" t="s">
        <v>76</v>
      </c>
      <c r="I877" t="s">
        <v>119</v>
      </c>
    </row>
    <row r="878" spans="1:9" x14ac:dyDescent="0.45">
      <c r="A878" t="s">
        <v>1526</v>
      </c>
      <c r="B878" t="s">
        <v>109</v>
      </c>
      <c r="C878" t="s">
        <v>1373</v>
      </c>
      <c r="D878" t="s">
        <v>92</v>
      </c>
      <c r="E878">
        <v>1227.17</v>
      </c>
      <c r="F878" s="2">
        <v>45466.666684444448</v>
      </c>
      <c r="G878" t="s">
        <v>111</v>
      </c>
      <c r="H878" t="s">
        <v>81</v>
      </c>
      <c r="I878" t="s">
        <v>77</v>
      </c>
    </row>
    <row r="879" spans="1:9" x14ac:dyDescent="0.45">
      <c r="A879" t="s">
        <v>1527</v>
      </c>
      <c r="B879" t="s">
        <v>99</v>
      </c>
      <c r="C879" t="s">
        <v>1528</v>
      </c>
      <c r="D879" t="s">
        <v>92</v>
      </c>
      <c r="E879">
        <v>9669.51</v>
      </c>
      <c r="F879" s="2">
        <v>45488.666684444448</v>
      </c>
      <c r="G879" t="s">
        <v>102</v>
      </c>
      <c r="I879" t="s">
        <v>77</v>
      </c>
    </row>
    <row r="880" spans="1:9" x14ac:dyDescent="0.45">
      <c r="A880" t="s">
        <v>1529</v>
      </c>
      <c r="B880" t="s">
        <v>172</v>
      </c>
      <c r="C880" t="s">
        <v>1530</v>
      </c>
      <c r="E880">
        <v>5659.3</v>
      </c>
      <c r="F880" s="2">
        <v>45847.666684444448</v>
      </c>
      <c r="H880" t="s">
        <v>118</v>
      </c>
      <c r="I880" t="s">
        <v>112</v>
      </c>
    </row>
    <row r="881" spans="1:9" x14ac:dyDescent="0.45">
      <c r="A881" t="s">
        <v>1531</v>
      </c>
      <c r="B881" t="s">
        <v>95</v>
      </c>
      <c r="C881" t="s">
        <v>1532</v>
      </c>
      <c r="D881" t="s">
        <v>148</v>
      </c>
      <c r="E881">
        <v>5268.5</v>
      </c>
      <c r="F881" s="2">
        <v>45592.666684444448</v>
      </c>
      <c r="G881" t="s">
        <v>97</v>
      </c>
      <c r="H881" t="s">
        <v>76</v>
      </c>
      <c r="I881" t="s">
        <v>163</v>
      </c>
    </row>
    <row r="882" spans="1:9" x14ac:dyDescent="0.45">
      <c r="A882" t="s">
        <v>1533</v>
      </c>
      <c r="B882" t="s">
        <v>95</v>
      </c>
      <c r="C882" t="s">
        <v>227</v>
      </c>
      <c r="D882" t="s">
        <v>92</v>
      </c>
      <c r="E882">
        <v>8470.59</v>
      </c>
      <c r="F882" s="2">
        <v>45405.666684444448</v>
      </c>
      <c r="G882" t="s">
        <v>97</v>
      </c>
      <c r="H882" t="s">
        <v>81</v>
      </c>
      <c r="I882" t="s">
        <v>77</v>
      </c>
    </row>
    <row r="883" spans="1:9" x14ac:dyDescent="0.45">
      <c r="A883" t="s">
        <v>1534</v>
      </c>
      <c r="B883" t="s">
        <v>95</v>
      </c>
      <c r="C883" t="s">
        <v>1141</v>
      </c>
      <c r="D883" t="s">
        <v>92</v>
      </c>
      <c r="E883">
        <v>7829.82</v>
      </c>
      <c r="F883" s="2">
        <v>45441.666684444448</v>
      </c>
      <c r="G883" t="s">
        <v>336</v>
      </c>
      <c r="H883" t="s">
        <v>81</v>
      </c>
      <c r="I883" t="s">
        <v>119</v>
      </c>
    </row>
    <row r="884" spans="1:9" x14ac:dyDescent="0.45">
      <c r="A884" t="s">
        <v>1535</v>
      </c>
      <c r="B884" t="s">
        <v>90</v>
      </c>
      <c r="C884" t="s">
        <v>1536</v>
      </c>
      <c r="D884" t="s">
        <v>74</v>
      </c>
      <c r="E884">
        <v>4300.3500000000004</v>
      </c>
      <c r="F884" s="2">
        <v>45385.666684444448</v>
      </c>
      <c r="G884" t="s">
        <v>93</v>
      </c>
      <c r="H884" t="s">
        <v>107</v>
      </c>
      <c r="I884" t="s">
        <v>77</v>
      </c>
    </row>
    <row r="885" spans="1:9" x14ac:dyDescent="0.45">
      <c r="A885" t="s">
        <v>1537</v>
      </c>
      <c r="B885" t="s">
        <v>138</v>
      </c>
      <c r="C885" t="s">
        <v>1429</v>
      </c>
      <c r="D885" t="s">
        <v>85</v>
      </c>
      <c r="E885">
        <v>7713.28</v>
      </c>
      <c r="F885" s="2">
        <v>45364.666684444448</v>
      </c>
      <c r="G885" t="s">
        <v>140</v>
      </c>
      <c r="H885" t="s">
        <v>87</v>
      </c>
      <c r="I885" t="s">
        <v>163</v>
      </c>
    </row>
    <row r="886" spans="1:9" x14ac:dyDescent="0.45">
      <c r="A886" t="s">
        <v>1538</v>
      </c>
      <c r="B886" t="s">
        <v>99</v>
      </c>
      <c r="C886" t="s">
        <v>976</v>
      </c>
      <c r="D886" t="s">
        <v>74</v>
      </c>
      <c r="E886">
        <v>10320.879999999999</v>
      </c>
      <c r="F886" s="2">
        <v>45251.666684444448</v>
      </c>
      <c r="G886" t="s">
        <v>102</v>
      </c>
      <c r="H886" t="s">
        <v>116</v>
      </c>
      <c r="I886" t="s">
        <v>82</v>
      </c>
    </row>
    <row r="887" spans="1:9" x14ac:dyDescent="0.45">
      <c r="A887" t="s">
        <v>1539</v>
      </c>
      <c r="B887" t="s">
        <v>109</v>
      </c>
      <c r="C887" t="s">
        <v>1540</v>
      </c>
      <c r="E887">
        <v>5201.5600000000004</v>
      </c>
      <c r="F887" s="2">
        <v>45325.666684444448</v>
      </c>
      <c r="G887" t="s">
        <v>111</v>
      </c>
      <c r="H887" t="s">
        <v>118</v>
      </c>
      <c r="I887" t="s">
        <v>119</v>
      </c>
    </row>
    <row r="888" spans="1:9" x14ac:dyDescent="0.45">
      <c r="A888" t="s">
        <v>1541</v>
      </c>
      <c r="B888" t="s">
        <v>99</v>
      </c>
      <c r="C888" t="s">
        <v>1542</v>
      </c>
      <c r="D888" t="s">
        <v>101</v>
      </c>
      <c r="E888">
        <v>11256.65</v>
      </c>
      <c r="F888" s="2">
        <v>45451.666684444448</v>
      </c>
      <c r="H888" t="s">
        <v>76</v>
      </c>
      <c r="I888" t="s">
        <v>77</v>
      </c>
    </row>
    <row r="889" spans="1:9" x14ac:dyDescent="0.45">
      <c r="A889" t="s">
        <v>1543</v>
      </c>
      <c r="B889" t="s">
        <v>99</v>
      </c>
      <c r="C889" t="s">
        <v>1483</v>
      </c>
      <c r="D889" t="s">
        <v>85</v>
      </c>
      <c r="E889">
        <v>118.16</v>
      </c>
      <c r="F889" s="2">
        <v>45250.666684444448</v>
      </c>
      <c r="G889" t="s">
        <v>285</v>
      </c>
      <c r="H889" t="s">
        <v>87</v>
      </c>
      <c r="I889" t="s">
        <v>119</v>
      </c>
    </row>
    <row r="890" spans="1:9" x14ac:dyDescent="0.45">
      <c r="A890" t="s">
        <v>1544</v>
      </c>
      <c r="B890" t="s">
        <v>72</v>
      </c>
      <c r="C890" t="s">
        <v>1545</v>
      </c>
      <c r="D890" t="s">
        <v>101</v>
      </c>
      <c r="E890">
        <v>9843.32</v>
      </c>
      <c r="F890" s="2">
        <v>45676.666684444448</v>
      </c>
      <c r="G890" t="s">
        <v>75</v>
      </c>
      <c r="H890" t="s">
        <v>118</v>
      </c>
      <c r="I890" t="s">
        <v>77</v>
      </c>
    </row>
    <row r="891" spans="1:9" x14ac:dyDescent="0.45">
      <c r="A891" t="s">
        <v>1546</v>
      </c>
      <c r="B891" t="s">
        <v>99</v>
      </c>
      <c r="C891" t="s">
        <v>1547</v>
      </c>
      <c r="D891" t="s">
        <v>92</v>
      </c>
      <c r="E891">
        <v>2890.54</v>
      </c>
      <c r="F891" s="2">
        <v>45834.666684444448</v>
      </c>
      <c r="G891" t="s">
        <v>102</v>
      </c>
      <c r="H891" t="s">
        <v>107</v>
      </c>
      <c r="I891" t="s">
        <v>88</v>
      </c>
    </row>
    <row r="892" spans="1:9" x14ac:dyDescent="0.45">
      <c r="A892" t="s">
        <v>1548</v>
      </c>
      <c r="B892" t="s">
        <v>172</v>
      </c>
      <c r="C892" t="s">
        <v>1413</v>
      </c>
      <c r="D892" t="s">
        <v>148</v>
      </c>
      <c r="E892">
        <v>8585.23</v>
      </c>
      <c r="F892" s="2">
        <v>45317.666684444448</v>
      </c>
      <c r="H892" t="s">
        <v>87</v>
      </c>
      <c r="I892" t="s">
        <v>119</v>
      </c>
    </row>
    <row r="893" spans="1:9" x14ac:dyDescent="0.45">
      <c r="A893" t="s">
        <v>1549</v>
      </c>
      <c r="B893" t="s">
        <v>72</v>
      </c>
      <c r="C893" t="s">
        <v>1550</v>
      </c>
      <c r="D893" t="s">
        <v>101</v>
      </c>
      <c r="E893">
        <v>0</v>
      </c>
      <c r="F893" s="2">
        <v>45324.666684444448</v>
      </c>
      <c r="G893" t="s">
        <v>521</v>
      </c>
      <c r="H893" t="s">
        <v>116</v>
      </c>
      <c r="I893" t="s">
        <v>163</v>
      </c>
    </row>
    <row r="894" spans="1:9" x14ac:dyDescent="0.45">
      <c r="A894" t="s">
        <v>1551</v>
      </c>
      <c r="B894" t="s">
        <v>138</v>
      </c>
      <c r="C894" t="s">
        <v>1552</v>
      </c>
      <c r="D894" t="s">
        <v>148</v>
      </c>
      <c r="E894">
        <v>3389.98</v>
      </c>
      <c r="F894" s="2">
        <v>45349.666684444448</v>
      </c>
      <c r="G894" t="s">
        <v>140</v>
      </c>
      <c r="H894" t="s">
        <v>81</v>
      </c>
      <c r="I894" t="s">
        <v>88</v>
      </c>
    </row>
    <row r="895" spans="1:9" x14ac:dyDescent="0.45">
      <c r="A895" t="s">
        <v>1553</v>
      </c>
      <c r="B895" t="s">
        <v>172</v>
      </c>
      <c r="C895" t="s">
        <v>1554</v>
      </c>
      <c r="D895" t="s">
        <v>101</v>
      </c>
      <c r="E895">
        <v>8765</v>
      </c>
      <c r="F895" s="2">
        <v>45623.666684444448</v>
      </c>
      <c r="G895" t="s">
        <v>174</v>
      </c>
      <c r="H895" t="s">
        <v>145</v>
      </c>
      <c r="I895" t="s">
        <v>112</v>
      </c>
    </row>
    <row r="896" spans="1:9" x14ac:dyDescent="0.45">
      <c r="A896" t="s">
        <v>1555</v>
      </c>
      <c r="B896" t="s">
        <v>99</v>
      </c>
      <c r="C896" t="s">
        <v>922</v>
      </c>
      <c r="D896" t="s">
        <v>85</v>
      </c>
      <c r="E896">
        <v>11172.31</v>
      </c>
      <c r="F896" s="2">
        <v>45411.666684444448</v>
      </c>
      <c r="G896" t="s">
        <v>102</v>
      </c>
      <c r="H896" t="s">
        <v>145</v>
      </c>
      <c r="I896" t="s">
        <v>119</v>
      </c>
    </row>
    <row r="897" spans="1:9" x14ac:dyDescent="0.45">
      <c r="A897" t="s">
        <v>1556</v>
      </c>
      <c r="B897" t="s">
        <v>104</v>
      </c>
      <c r="C897" t="s">
        <v>1557</v>
      </c>
      <c r="D897" t="s">
        <v>148</v>
      </c>
      <c r="E897">
        <v>4337.58</v>
      </c>
      <c r="F897" s="2">
        <v>45731.666684444448</v>
      </c>
      <c r="G897" t="s">
        <v>247</v>
      </c>
      <c r="I897" t="s">
        <v>112</v>
      </c>
    </row>
    <row r="898" spans="1:9" x14ac:dyDescent="0.45">
      <c r="A898" t="s">
        <v>1558</v>
      </c>
      <c r="B898" t="s">
        <v>90</v>
      </c>
      <c r="C898" t="s">
        <v>693</v>
      </c>
      <c r="D898" t="s">
        <v>101</v>
      </c>
      <c r="E898">
        <v>8865.6200000000008</v>
      </c>
      <c r="F898" s="2">
        <v>45665.666684444448</v>
      </c>
      <c r="G898" t="s">
        <v>93</v>
      </c>
      <c r="I898" t="s">
        <v>82</v>
      </c>
    </row>
    <row r="899" spans="1:9" x14ac:dyDescent="0.45">
      <c r="A899" t="s">
        <v>1559</v>
      </c>
      <c r="B899" t="s">
        <v>79</v>
      </c>
      <c r="C899" t="s">
        <v>766</v>
      </c>
      <c r="D899" t="s">
        <v>106</v>
      </c>
      <c r="E899">
        <v>5375.32</v>
      </c>
      <c r="F899" s="2">
        <v>45739.666684444448</v>
      </c>
      <c r="G899" t="s">
        <v>86</v>
      </c>
      <c r="H899" t="s">
        <v>145</v>
      </c>
      <c r="I899" t="s">
        <v>112</v>
      </c>
    </row>
    <row r="900" spans="1:9" x14ac:dyDescent="0.45">
      <c r="A900" t="s">
        <v>1560</v>
      </c>
      <c r="B900" t="s">
        <v>109</v>
      </c>
      <c r="C900" t="s">
        <v>1561</v>
      </c>
      <c r="D900" t="s">
        <v>74</v>
      </c>
      <c r="E900">
        <v>4989.29</v>
      </c>
      <c r="F900" s="2">
        <v>45417.666684444448</v>
      </c>
      <c r="G900" t="s">
        <v>111</v>
      </c>
      <c r="H900" t="s">
        <v>133</v>
      </c>
      <c r="I900" t="s">
        <v>119</v>
      </c>
    </row>
    <row r="901" spans="1:9" x14ac:dyDescent="0.45">
      <c r="A901" t="s">
        <v>1562</v>
      </c>
      <c r="B901" t="s">
        <v>109</v>
      </c>
      <c r="C901" t="s">
        <v>179</v>
      </c>
      <c r="D901" t="s">
        <v>74</v>
      </c>
      <c r="E901">
        <v>2756.43</v>
      </c>
      <c r="F901" s="2">
        <v>45230.666684444448</v>
      </c>
      <c r="G901" t="s">
        <v>111</v>
      </c>
      <c r="H901" t="s">
        <v>128</v>
      </c>
      <c r="I901" t="s">
        <v>112</v>
      </c>
    </row>
    <row r="902" spans="1:9" x14ac:dyDescent="0.45">
      <c r="A902" t="s">
        <v>389</v>
      </c>
      <c r="B902" t="s">
        <v>172</v>
      </c>
      <c r="C902" t="s">
        <v>1563</v>
      </c>
      <c r="D902" t="s">
        <v>155</v>
      </c>
      <c r="E902">
        <v>4471.26</v>
      </c>
      <c r="F902" s="2">
        <v>45326.666684444448</v>
      </c>
      <c r="G902" t="s">
        <v>174</v>
      </c>
      <c r="H902" t="s">
        <v>128</v>
      </c>
      <c r="I902" t="s">
        <v>119</v>
      </c>
    </row>
    <row r="903" spans="1:9" x14ac:dyDescent="0.45">
      <c r="A903" t="s">
        <v>1564</v>
      </c>
      <c r="B903" t="s">
        <v>109</v>
      </c>
      <c r="C903" t="s">
        <v>1565</v>
      </c>
      <c r="D903" t="s">
        <v>74</v>
      </c>
      <c r="E903">
        <v>6732.08</v>
      </c>
      <c r="F903" s="2">
        <v>45431.666684444448</v>
      </c>
      <c r="G903" t="s">
        <v>111</v>
      </c>
      <c r="H903" t="s">
        <v>87</v>
      </c>
      <c r="I903" t="s">
        <v>119</v>
      </c>
    </row>
    <row r="904" spans="1:9" x14ac:dyDescent="0.45">
      <c r="A904" t="s">
        <v>1566</v>
      </c>
      <c r="B904" t="s">
        <v>72</v>
      </c>
      <c r="C904" t="s">
        <v>615</v>
      </c>
      <c r="D904" t="s">
        <v>106</v>
      </c>
      <c r="E904">
        <v>3842.23</v>
      </c>
      <c r="F904" s="2">
        <v>45360.666684444448</v>
      </c>
      <c r="H904" t="s">
        <v>116</v>
      </c>
      <c r="I904" t="s">
        <v>88</v>
      </c>
    </row>
    <row r="905" spans="1:9" x14ac:dyDescent="0.45">
      <c r="A905" t="s">
        <v>1567</v>
      </c>
      <c r="B905" t="s">
        <v>95</v>
      </c>
      <c r="C905" t="s">
        <v>1013</v>
      </c>
      <c r="D905" t="s">
        <v>106</v>
      </c>
      <c r="E905">
        <v>4910.71</v>
      </c>
      <c r="F905" s="2">
        <v>45497.666684444448</v>
      </c>
      <c r="G905" t="s">
        <v>97</v>
      </c>
      <c r="H905" t="s">
        <v>107</v>
      </c>
      <c r="I905" t="s">
        <v>163</v>
      </c>
    </row>
    <row r="906" spans="1:9" x14ac:dyDescent="0.45">
      <c r="A906" t="s">
        <v>1568</v>
      </c>
      <c r="B906" t="s">
        <v>104</v>
      </c>
      <c r="C906" t="s">
        <v>1092</v>
      </c>
      <c r="D906" t="s">
        <v>74</v>
      </c>
      <c r="E906">
        <v>1361.55</v>
      </c>
      <c r="F906" s="2">
        <v>45311.666684444448</v>
      </c>
      <c r="G906" t="s">
        <v>115</v>
      </c>
      <c r="H906" t="s">
        <v>81</v>
      </c>
      <c r="I906" t="s">
        <v>112</v>
      </c>
    </row>
    <row r="907" spans="1:9" x14ac:dyDescent="0.45">
      <c r="A907" t="s">
        <v>1569</v>
      </c>
      <c r="B907" t="s">
        <v>79</v>
      </c>
      <c r="C907" t="s">
        <v>399</v>
      </c>
      <c r="D907" t="s">
        <v>85</v>
      </c>
      <c r="E907">
        <v>9688.15</v>
      </c>
      <c r="F907" s="2">
        <v>45437.666684444448</v>
      </c>
      <c r="G907" t="s">
        <v>86</v>
      </c>
      <c r="H907" t="s">
        <v>118</v>
      </c>
      <c r="I907" t="s">
        <v>112</v>
      </c>
    </row>
    <row r="908" spans="1:9" x14ac:dyDescent="0.45">
      <c r="A908" t="s">
        <v>1570</v>
      </c>
      <c r="B908" t="s">
        <v>109</v>
      </c>
      <c r="D908" t="s">
        <v>74</v>
      </c>
      <c r="E908">
        <v>4633.87</v>
      </c>
      <c r="F908" s="2">
        <v>45142.666684444448</v>
      </c>
      <c r="G908" t="s">
        <v>111</v>
      </c>
      <c r="H908" t="s">
        <v>133</v>
      </c>
      <c r="I908" t="s">
        <v>163</v>
      </c>
    </row>
    <row r="909" spans="1:9" x14ac:dyDescent="0.45">
      <c r="A909" t="s">
        <v>1571</v>
      </c>
      <c r="B909" t="s">
        <v>109</v>
      </c>
      <c r="C909" t="s">
        <v>1572</v>
      </c>
      <c r="D909" t="s">
        <v>101</v>
      </c>
      <c r="E909">
        <v>10927.72</v>
      </c>
      <c r="F909" s="2">
        <v>45853.666684444448</v>
      </c>
      <c r="G909" t="s">
        <v>307</v>
      </c>
      <c r="H909" t="s">
        <v>128</v>
      </c>
      <c r="I909" t="s">
        <v>77</v>
      </c>
    </row>
    <row r="910" spans="1:9" x14ac:dyDescent="0.45">
      <c r="A910" t="s">
        <v>1573</v>
      </c>
      <c r="B910" t="s">
        <v>172</v>
      </c>
      <c r="C910" t="s">
        <v>293</v>
      </c>
      <c r="D910" t="s">
        <v>74</v>
      </c>
      <c r="E910">
        <v>5134.9799999999996</v>
      </c>
      <c r="F910" s="2">
        <v>45674.666684444448</v>
      </c>
      <c r="G910" t="s">
        <v>174</v>
      </c>
      <c r="H910" t="s">
        <v>87</v>
      </c>
      <c r="I910" t="s">
        <v>112</v>
      </c>
    </row>
    <row r="911" spans="1:9" x14ac:dyDescent="0.45">
      <c r="A911" t="s">
        <v>1574</v>
      </c>
      <c r="B911" t="s">
        <v>99</v>
      </c>
      <c r="C911" t="s">
        <v>1575</v>
      </c>
      <c r="D911" t="s">
        <v>74</v>
      </c>
      <c r="E911">
        <v>7519.9</v>
      </c>
      <c r="F911" s="2">
        <v>45257.666684444448</v>
      </c>
      <c r="G911" t="s">
        <v>102</v>
      </c>
      <c r="H911" t="s">
        <v>116</v>
      </c>
      <c r="I911" t="s">
        <v>77</v>
      </c>
    </row>
    <row r="912" spans="1:9" x14ac:dyDescent="0.45">
      <c r="A912" t="s">
        <v>1576</v>
      </c>
      <c r="B912" t="s">
        <v>90</v>
      </c>
      <c r="C912" t="s">
        <v>1577</v>
      </c>
      <c r="D912" t="s">
        <v>101</v>
      </c>
      <c r="E912">
        <v>1505.3</v>
      </c>
      <c r="F912" s="2">
        <v>45408.666684444448</v>
      </c>
      <c r="G912" t="s">
        <v>93</v>
      </c>
      <c r="H912" t="s">
        <v>133</v>
      </c>
      <c r="I912" t="s">
        <v>88</v>
      </c>
    </row>
    <row r="913" spans="1:9" x14ac:dyDescent="0.45">
      <c r="A913" t="s">
        <v>1578</v>
      </c>
      <c r="B913" t="s">
        <v>138</v>
      </c>
      <c r="C913" t="s">
        <v>1579</v>
      </c>
      <c r="D913" t="s">
        <v>101</v>
      </c>
      <c r="E913">
        <v>216.72</v>
      </c>
      <c r="F913" s="2">
        <v>45174.666684444448</v>
      </c>
      <c r="G913" t="s">
        <v>194</v>
      </c>
      <c r="H913" t="s">
        <v>81</v>
      </c>
      <c r="I913" t="s">
        <v>77</v>
      </c>
    </row>
    <row r="914" spans="1:9" x14ac:dyDescent="0.45">
      <c r="A914" t="s">
        <v>1580</v>
      </c>
      <c r="B914" t="s">
        <v>79</v>
      </c>
      <c r="C914" t="s">
        <v>1055</v>
      </c>
      <c r="D914" t="s">
        <v>106</v>
      </c>
      <c r="E914">
        <v>3972.2</v>
      </c>
      <c r="F914" s="2">
        <v>45183.666684444448</v>
      </c>
      <c r="G914" t="s">
        <v>86</v>
      </c>
      <c r="H914" t="s">
        <v>87</v>
      </c>
      <c r="I914" t="s">
        <v>82</v>
      </c>
    </row>
    <row r="915" spans="1:9" x14ac:dyDescent="0.45">
      <c r="A915" t="s">
        <v>1581</v>
      </c>
      <c r="B915" t="s">
        <v>99</v>
      </c>
      <c r="C915" t="s">
        <v>127</v>
      </c>
      <c r="E915">
        <v>3753.13</v>
      </c>
      <c r="F915" s="2">
        <v>45694.666684444448</v>
      </c>
      <c r="G915" t="s">
        <v>102</v>
      </c>
      <c r="H915" t="s">
        <v>136</v>
      </c>
      <c r="I915" t="s">
        <v>163</v>
      </c>
    </row>
    <row r="916" spans="1:9" x14ac:dyDescent="0.45">
      <c r="A916" t="s">
        <v>1582</v>
      </c>
      <c r="B916" t="s">
        <v>90</v>
      </c>
      <c r="C916" t="s">
        <v>723</v>
      </c>
      <c r="D916" t="s">
        <v>92</v>
      </c>
      <c r="E916">
        <v>7139.44</v>
      </c>
      <c r="F916" s="2">
        <v>45427.666684444448</v>
      </c>
      <c r="G916" t="s">
        <v>93</v>
      </c>
      <c r="H916" t="s">
        <v>145</v>
      </c>
      <c r="I916" t="s">
        <v>163</v>
      </c>
    </row>
    <row r="917" spans="1:9" x14ac:dyDescent="0.45">
      <c r="A917" t="s">
        <v>1583</v>
      </c>
      <c r="B917" t="s">
        <v>90</v>
      </c>
      <c r="D917" t="s">
        <v>85</v>
      </c>
      <c r="E917">
        <v>11872.09</v>
      </c>
      <c r="F917" s="2">
        <v>45842.666684444448</v>
      </c>
      <c r="G917" t="s">
        <v>93</v>
      </c>
      <c r="H917" t="s">
        <v>81</v>
      </c>
      <c r="I917" t="s">
        <v>77</v>
      </c>
    </row>
    <row r="918" spans="1:9" x14ac:dyDescent="0.45">
      <c r="A918" t="s">
        <v>1584</v>
      </c>
      <c r="B918" t="s">
        <v>172</v>
      </c>
      <c r="C918" t="s">
        <v>1585</v>
      </c>
      <c r="E918">
        <v>11819.4</v>
      </c>
      <c r="F918" s="2">
        <v>45257.666684444448</v>
      </c>
      <c r="G918" t="s">
        <v>174</v>
      </c>
      <c r="H918" t="s">
        <v>107</v>
      </c>
      <c r="I918" t="s">
        <v>82</v>
      </c>
    </row>
    <row r="919" spans="1:9" x14ac:dyDescent="0.45">
      <c r="A919" t="s">
        <v>1586</v>
      </c>
      <c r="B919" t="s">
        <v>104</v>
      </c>
      <c r="C919" t="s">
        <v>1506</v>
      </c>
      <c r="D919" t="s">
        <v>101</v>
      </c>
      <c r="E919">
        <v>0</v>
      </c>
      <c r="F919" s="2">
        <v>45781.666684444448</v>
      </c>
      <c r="G919" t="s">
        <v>115</v>
      </c>
      <c r="H919" t="s">
        <v>128</v>
      </c>
      <c r="I919" t="s">
        <v>163</v>
      </c>
    </row>
    <row r="920" spans="1:9" x14ac:dyDescent="0.45">
      <c r="A920" t="s">
        <v>1587</v>
      </c>
      <c r="B920" t="s">
        <v>109</v>
      </c>
      <c r="C920" t="s">
        <v>547</v>
      </c>
      <c r="D920" t="s">
        <v>92</v>
      </c>
      <c r="E920">
        <v>1294.24</v>
      </c>
      <c r="F920" s="2">
        <v>45630.666684444448</v>
      </c>
      <c r="I920" t="s">
        <v>77</v>
      </c>
    </row>
    <row r="921" spans="1:9" x14ac:dyDescent="0.45">
      <c r="A921" t="s">
        <v>1588</v>
      </c>
      <c r="B921" t="s">
        <v>109</v>
      </c>
      <c r="D921" t="s">
        <v>106</v>
      </c>
      <c r="E921">
        <v>10066.65</v>
      </c>
      <c r="F921" s="2">
        <v>45233.666684444448</v>
      </c>
      <c r="G921" t="s">
        <v>111</v>
      </c>
      <c r="H921" t="s">
        <v>136</v>
      </c>
      <c r="I921" t="s">
        <v>77</v>
      </c>
    </row>
    <row r="922" spans="1:9" x14ac:dyDescent="0.45">
      <c r="A922" t="s">
        <v>1589</v>
      </c>
      <c r="B922" t="s">
        <v>99</v>
      </c>
      <c r="C922" t="s">
        <v>612</v>
      </c>
      <c r="D922" t="s">
        <v>101</v>
      </c>
      <c r="E922">
        <v>0</v>
      </c>
      <c r="F922" s="2">
        <v>45140.666684444448</v>
      </c>
      <c r="G922" t="s">
        <v>102</v>
      </c>
      <c r="H922" t="s">
        <v>116</v>
      </c>
      <c r="I922" t="s">
        <v>119</v>
      </c>
    </row>
    <row r="923" spans="1:9" x14ac:dyDescent="0.45">
      <c r="A923" t="s">
        <v>1590</v>
      </c>
      <c r="B923" t="s">
        <v>138</v>
      </c>
      <c r="C923" t="s">
        <v>1579</v>
      </c>
      <c r="D923" t="s">
        <v>92</v>
      </c>
      <c r="E923">
        <v>6805.54</v>
      </c>
      <c r="F923" s="2">
        <v>45715.666684444448</v>
      </c>
      <c r="G923" t="s">
        <v>140</v>
      </c>
      <c r="H923" t="s">
        <v>145</v>
      </c>
      <c r="I923" t="s">
        <v>82</v>
      </c>
    </row>
    <row r="924" spans="1:9" x14ac:dyDescent="0.45">
      <c r="A924" t="s">
        <v>1591</v>
      </c>
      <c r="B924" t="s">
        <v>72</v>
      </c>
      <c r="E924">
        <v>5703.56</v>
      </c>
      <c r="F924" s="2">
        <v>45419.666684444448</v>
      </c>
      <c r="G924" t="s">
        <v>75</v>
      </c>
      <c r="H924" t="s">
        <v>128</v>
      </c>
      <c r="I924" t="s">
        <v>119</v>
      </c>
    </row>
    <row r="925" spans="1:9" x14ac:dyDescent="0.45">
      <c r="A925" t="s">
        <v>835</v>
      </c>
      <c r="B925" t="s">
        <v>95</v>
      </c>
      <c r="C925" t="s">
        <v>774</v>
      </c>
      <c r="D925" t="s">
        <v>155</v>
      </c>
      <c r="E925">
        <v>1602.52</v>
      </c>
      <c r="F925" s="2">
        <v>45608.666684444448</v>
      </c>
      <c r="H925" t="s">
        <v>136</v>
      </c>
      <c r="I925" t="s">
        <v>112</v>
      </c>
    </row>
    <row r="926" spans="1:9" x14ac:dyDescent="0.45">
      <c r="A926" t="s">
        <v>1592</v>
      </c>
      <c r="B926" t="s">
        <v>99</v>
      </c>
      <c r="C926" t="s">
        <v>440</v>
      </c>
      <c r="D926" t="s">
        <v>92</v>
      </c>
      <c r="E926">
        <v>7388.71</v>
      </c>
      <c r="F926" s="2">
        <v>45618.666684444448</v>
      </c>
      <c r="G926" t="s">
        <v>102</v>
      </c>
      <c r="H926" t="s">
        <v>76</v>
      </c>
      <c r="I926" t="s">
        <v>119</v>
      </c>
    </row>
    <row r="927" spans="1:9" x14ac:dyDescent="0.45">
      <c r="A927" t="s">
        <v>1593</v>
      </c>
      <c r="B927" t="s">
        <v>72</v>
      </c>
      <c r="C927" t="s">
        <v>1450</v>
      </c>
      <c r="D927" t="s">
        <v>101</v>
      </c>
      <c r="E927">
        <v>4849.78</v>
      </c>
      <c r="F927" s="2">
        <v>45579.666684444448</v>
      </c>
      <c r="G927" t="s">
        <v>75</v>
      </c>
      <c r="H927" t="s">
        <v>107</v>
      </c>
      <c r="I927" t="s">
        <v>77</v>
      </c>
    </row>
    <row r="928" spans="1:9" x14ac:dyDescent="0.45">
      <c r="A928" t="s">
        <v>1497</v>
      </c>
      <c r="B928" t="s">
        <v>95</v>
      </c>
      <c r="C928" t="s">
        <v>1594</v>
      </c>
      <c r="D928" t="s">
        <v>101</v>
      </c>
      <c r="E928">
        <v>4985.92</v>
      </c>
      <c r="F928" s="2">
        <v>45476.666684444448</v>
      </c>
      <c r="G928" t="s">
        <v>336</v>
      </c>
      <c r="I928" t="s">
        <v>119</v>
      </c>
    </row>
    <row r="929" spans="1:9" x14ac:dyDescent="0.45">
      <c r="A929" t="s">
        <v>1595</v>
      </c>
      <c r="B929" t="s">
        <v>90</v>
      </c>
      <c r="C929" t="s">
        <v>1596</v>
      </c>
      <c r="D929" t="s">
        <v>74</v>
      </c>
      <c r="E929">
        <v>434.49</v>
      </c>
      <c r="F929" s="2">
        <v>45316.666684444448</v>
      </c>
      <c r="G929" t="s">
        <v>93</v>
      </c>
      <c r="H929" t="s">
        <v>87</v>
      </c>
      <c r="I929" t="s">
        <v>88</v>
      </c>
    </row>
    <row r="930" spans="1:9" x14ac:dyDescent="0.45">
      <c r="A930" t="s">
        <v>1597</v>
      </c>
      <c r="B930" t="s">
        <v>138</v>
      </c>
      <c r="D930" t="s">
        <v>92</v>
      </c>
      <c r="E930">
        <v>8504.17</v>
      </c>
      <c r="F930" s="2">
        <v>45180.666684444448</v>
      </c>
      <c r="G930" t="s">
        <v>194</v>
      </c>
      <c r="H930" t="s">
        <v>133</v>
      </c>
      <c r="I930" t="s">
        <v>112</v>
      </c>
    </row>
    <row r="931" spans="1:9" x14ac:dyDescent="0.45">
      <c r="A931" t="s">
        <v>1598</v>
      </c>
      <c r="B931" t="s">
        <v>99</v>
      </c>
      <c r="C931" t="s">
        <v>1599</v>
      </c>
      <c r="D931" t="s">
        <v>74</v>
      </c>
      <c r="E931">
        <v>3665.19</v>
      </c>
      <c r="F931" s="2">
        <v>45386.666684444448</v>
      </c>
      <c r="G931" t="s">
        <v>102</v>
      </c>
      <c r="H931" t="s">
        <v>116</v>
      </c>
      <c r="I931" t="s">
        <v>88</v>
      </c>
    </row>
    <row r="932" spans="1:9" x14ac:dyDescent="0.45">
      <c r="A932" t="s">
        <v>1600</v>
      </c>
      <c r="B932" t="s">
        <v>90</v>
      </c>
      <c r="C932" t="s">
        <v>414</v>
      </c>
      <c r="D932" t="s">
        <v>148</v>
      </c>
      <c r="E932">
        <v>4391.03</v>
      </c>
      <c r="F932" s="2">
        <v>45617.666684444448</v>
      </c>
      <c r="G932" t="s">
        <v>93</v>
      </c>
      <c r="H932" t="s">
        <v>136</v>
      </c>
      <c r="I932" t="s">
        <v>112</v>
      </c>
    </row>
    <row r="933" spans="1:9" x14ac:dyDescent="0.45">
      <c r="A933" t="s">
        <v>1601</v>
      </c>
      <c r="B933" t="s">
        <v>72</v>
      </c>
      <c r="C933" t="s">
        <v>523</v>
      </c>
      <c r="D933" t="s">
        <v>74</v>
      </c>
      <c r="E933">
        <v>8066.41</v>
      </c>
      <c r="F933" s="2">
        <v>45244.666684444448</v>
      </c>
      <c r="G933" t="s">
        <v>75</v>
      </c>
      <c r="H933" t="s">
        <v>128</v>
      </c>
      <c r="I933" t="s">
        <v>119</v>
      </c>
    </row>
    <row r="934" spans="1:9" x14ac:dyDescent="0.45">
      <c r="A934" t="s">
        <v>1602</v>
      </c>
      <c r="B934" t="s">
        <v>99</v>
      </c>
      <c r="C934" t="s">
        <v>162</v>
      </c>
      <c r="D934" t="s">
        <v>74</v>
      </c>
      <c r="E934">
        <v>10747.84</v>
      </c>
      <c r="F934" s="2">
        <v>45194.666684444448</v>
      </c>
      <c r="G934" t="s">
        <v>102</v>
      </c>
      <c r="H934" t="s">
        <v>145</v>
      </c>
      <c r="I934" t="s">
        <v>163</v>
      </c>
    </row>
    <row r="935" spans="1:9" x14ac:dyDescent="0.45">
      <c r="A935" t="s">
        <v>1476</v>
      </c>
      <c r="B935" t="s">
        <v>99</v>
      </c>
      <c r="C935" t="s">
        <v>1603</v>
      </c>
      <c r="D935" t="s">
        <v>85</v>
      </c>
      <c r="E935">
        <v>8478.6</v>
      </c>
      <c r="F935" s="2">
        <v>45538.666684444448</v>
      </c>
      <c r="G935" t="s">
        <v>102</v>
      </c>
      <c r="H935" t="s">
        <v>76</v>
      </c>
      <c r="I935" t="s">
        <v>163</v>
      </c>
    </row>
    <row r="936" spans="1:9" x14ac:dyDescent="0.45">
      <c r="A936" t="s">
        <v>1604</v>
      </c>
      <c r="B936" t="s">
        <v>172</v>
      </c>
      <c r="C936" t="s">
        <v>1221</v>
      </c>
      <c r="D936" t="s">
        <v>92</v>
      </c>
      <c r="E936">
        <v>10439.15</v>
      </c>
      <c r="F936" s="2">
        <v>45631.666684444448</v>
      </c>
      <c r="G936" t="s">
        <v>174</v>
      </c>
      <c r="H936" t="s">
        <v>118</v>
      </c>
      <c r="I936" t="s">
        <v>77</v>
      </c>
    </row>
    <row r="937" spans="1:9" x14ac:dyDescent="0.45">
      <c r="A937" t="s">
        <v>1605</v>
      </c>
      <c r="B937" t="s">
        <v>79</v>
      </c>
      <c r="C937" t="s">
        <v>1606</v>
      </c>
      <c r="D937" t="s">
        <v>74</v>
      </c>
      <c r="E937">
        <v>8134.74</v>
      </c>
      <c r="F937" s="2">
        <v>45203.666684444448</v>
      </c>
      <c r="G937" t="s">
        <v>86</v>
      </c>
      <c r="H937" t="s">
        <v>128</v>
      </c>
      <c r="I937" t="s">
        <v>163</v>
      </c>
    </row>
    <row r="938" spans="1:9" x14ac:dyDescent="0.45">
      <c r="A938" t="s">
        <v>1607</v>
      </c>
      <c r="B938" t="s">
        <v>90</v>
      </c>
      <c r="C938" t="s">
        <v>229</v>
      </c>
      <c r="D938" t="s">
        <v>101</v>
      </c>
      <c r="E938">
        <v>5761.08</v>
      </c>
      <c r="F938" s="2">
        <v>45718.666684444448</v>
      </c>
      <c r="G938" t="s">
        <v>296</v>
      </c>
      <c r="H938" t="s">
        <v>76</v>
      </c>
      <c r="I938" t="s">
        <v>88</v>
      </c>
    </row>
    <row r="939" spans="1:9" x14ac:dyDescent="0.45">
      <c r="A939" t="s">
        <v>1608</v>
      </c>
      <c r="B939" t="s">
        <v>99</v>
      </c>
      <c r="C939" t="s">
        <v>1609</v>
      </c>
      <c r="D939" t="s">
        <v>85</v>
      </c>
      <c r="E939">
        <v>8663.7199999999993</v>
      </c>
      <c r="F939" s="2">
        <v>45772.666684444448</v>
      </c>
      <c r="H939" t="s">
        <v>145</v>
      </c>
      <c r="I939" t="s">
        <v>77</v>
      </c>
    </row>
    <row r="940" spans="1:9" x14ac:dyDescent="0.45">
      <c r="A940" t="s">
        <v>1610</v>
      </c>
      <c r="B940" t="s">
        <v>109</v>
      </c>
      <c r="C940" t="s">
        <v>962</v>
      </c>
      <c r="D940" t="s">
        <v>74</v>
      </c>
      <c r="E940">
        <v>1095.02</v>
      </c>
      <c r="F940" s="2">
        <v>45830.666684444448</v>
      </c>
      <c r="G940" t="s">
        <v>111</v>
      </c>
      <c r="H940" t="s">
        <v>128</v>
      </c>
      <c r="I940" t="s">
        <v>82</v>
      </c>
    </row>
    <row r="941" spans="1:9" x14ac:dyDescent="0.45">
      <c r="A941" t="s">
        <v>1611</v>
      </c>
      <c r="B941" t="s">
        <v>109</v>
      </c>
      <c r="C941" t="s">
        <v>766</v>
      </c>
      <c r="D941" t="s">
        <v>74</v>
      </c>
      <c r="E941">
        <v>0</v>
      </c>
      <c r="F941" s="2">
        <v>45182.666684444448</v>
      </c>
      <c r="G941" t="s">
        <v>111</v>
      </c>
      <c r="H941" t="s">
        <v>87</v>
      </c>
      <c r="I941" t="s">
        <v>88</v>
      </c>
    </row>
    <row r="942" spans="1:9" x14ac:dyDescent="0.45">
      <c r="A942" t="s">
        <v>1612</v>
      </c>
      <c r="B942" t="s">
        <v>79</v>
      </c>
      <c r="C942" t="s">
        <v>1157</v>
      </c>
      <c r="E942">
        <v>1298.03</v>
      </c>
      <c r="F942" s="2">
        <v>45283.666684444448</v>
      </c>
      <c r="G942" t="s">
        <v>86</v>
      </c>
      <c r="H942" t="s">
        <v>128</v>
      </c>
      <c r="I942" t="s">
        <v>88</v>
      </c>
    </row>
    <row r="943" spans="1:9" x14ac:dyDescent="0.45">
      <c r="A943" t="s">
        <v>1613</v>
      </c>
      <c r="B943" t="s">
        <v>99</v>
      </c>
      <c r="C943" t="s">
        <v>1614</v>
      </c>
      <c r="D943" t="s">
        <v>85</v>
      </c>
      <c r="E943">
        <v>7432.18</v>
      </c>
      <c r="F943" s="2">
        <v>45280.666684444448</v>
      </c>
      <c r="G943" t="s">
        <v>102</v>
      </c>
      <c r="H943" t="s">
        <v>133</v>
      </c>
      <c r="I943" t="s">
        <v>82</v>
      </c>
    </row>
    <row r="944" spans="1:9" x14ac:dyDescent="0.45">
      <c r="A944" t="s">
        <v>1615</v>
      </c>
      <c r="B944" t="s">
        <v>79</v>
      </c>
      <c r="C944" t="s">
        <v>717</v>
      </c>
      <c r="D944" t="s">
        <v>74</v>
      </c>
      <c r="E944">
        <v>2386.6999999999998</v>
      </c>
      <c r="F944" s="2">
        <v>45704.666684444448</v>
      </c>
      <c r="H944" t="s">
        <v>81</v>
      </c>
      <c r="I944" t="s">
        <v>77</v>
      </c>
    </row>
    <row r="945" spans="1:9" x14ac:dyDescent="0.45">
      <c r="A945" t="s">
        <v>1616</v>
      </c>
      <c r="B945" t="s">
        <v>79</v>
      </c>
      <c r="C945" t="s">
        <v>1617</v>
      </c>
      <c r="E945">
        <v>7912.2</v>
      </c>
      <c r="F945" s="2">
        <v>45439.666684444448</v>
      </c>
      <c r="G945" t="s">
        <v>86</v>
      </c>
      <c r="H945" t="s">
        <v>81</v>
      </c>
      <c r="I945" t="s">
        <v>112</v>
      </c>
    </row>
    <row r="946" spans="1:9" x14ac:dyDescent="0.45">
      <c r="A946" t="s">
        <v>1618</v>
      </c>
      <c r="B946" t="s">
        <v>72</v>
      </c>
      <c r="C946" t="s">
        <v>472</v>
      </c>
      <c r="D946" t="s">
        <v>106</v>
      </c>
      <c r="E946">
        <v>11788.69</v>
      </c>
      <c r="F946" s="2">
        <v>45215.666684444448</v>
      </c>
      <c r="G946" t="s">
        <v>75</v>
      </c>
      <c r="H946" t="s">
        <v>133</v>
      </c>
      <c r="I946" t="s">
        <v>163</v>
      </c>
    </row>
    <row r="947" spans="1:9" x14ac:dyDescent="0.45">
      <c r="A947" t="s">
        <v>1619</v>
      </c>
      <c r="B947" t="s">
        <v>72</v>
      </c>
      <c r="C947" t="s">
        <v>1620</v>
      </c>
      <c r="D947" t="s">
        <v>85</v>
      </c>
      <c r="E947">
        <v>1609.44</v>
      </c>
      <c r="F947" s="2">
        <v>45382.666684444448</v>
      </c>
      <c r="G947" t="s">
        <v>75</v>
      </c>
      <c r="I947" t="s">
        <v>112</v>
      </c>
    </row>
    <row r="948" spans="1:9" x14ac:dyDescent="0.45">
      <c r="A948" t="s">
        <v>1621</v>
      </c>
      <c r="B948" t="s">
        <v>104</v>
      </c>
      <c r="C948" t="s">
        <v>515</v>
      </c>
      <c r="D948" t="s">
        <v>85</v>
      </c>
      <c r="E948">
        <v>0</v>
      </c>
      <c r="F948" s="2">
        <v>45249.666684444448</v>
      </c>
      <c r="G948" t="s">
        <v>115</v>
      </c>
      <c r="H948" t="s">
        <v>107</v>
      </c>
      <c r="I948" t="s">
        <v>82</v>
      </c>
    </row>
    <row r="949" spans="1:9" x14ac:dyDescent="0.45">
      <c r="A949" t="s">
        <v>1622</v>
      </c>
      <c r="B949" t="s">
        <v>90</v>
      </c>
      <c r="C949" t="s">
        <v>505</v>
      </c>
      <c r="D949" t="s">
        <v>148</v>
      </c>
      <c r="E949">
        <v>3536.58</v>
      </c>
      <c r="F949" s="2">
        <v>45699.666684444448</v>
      </c>
      <c r="G949" t="s">
        <v>93</v>
      </c>
      <c r="H949" t="s">
        <v>136</v>
      </c>
      <c r="I949" t="s">
        <v>119</v>
      </c>
    </row>
    <row r="950" spans="1:9" x14ac:dyDescent="0.45">
      <c r="A950" t="s">
        <v>1623</v>
      </c>
      <c r="B950" t="s">
        <v>95</v>
      </c>
      <c r="D950" t="s">
        <v>106</v>
      </c>
      <c r="E950">
        <v>0</v>
      </c>
      <c r="F950" s="2">
        <v>45554.666684444448</v>
      </c>
      <c r="G950" t="s">
        <v>97</v>
      </c>
      <c r="H950" t="s">
        <v>76</v>
      </c>
      <c r="I950" t="s">
        <v>88</v>
      </c>
    </row>
    <row r="951" spans="1:9" x14ac:dyDescent="0.45">
      <c r="A951" t="s">
        <v>1624</v>
      </c>
      <c r="B951" t="s">
        <v>79</v>
      </c>
      <c r="C951" t="s">
        <v>1344</v>
      </c>
      <c r="D951" t="s">
        <v>92</v>
      </c>
      <c r="E951">
        <v>4085.29</v>
      </c>
      <c r="F951" s="2">
        <v>45748.666684444448</v>
      </c>
      <c r="G951" t="s">
        <v>86</v>
      </c>
      <c r="H951" t="s">
        <v>81</v>
      </c>
      <c r="I951" t="s">
        <v>163</v>
      </c>
    </row>
    <row r="952" spans="1:9" x14ac:dyDescent="0.45">
      <c r="A952" t="s">
        <v>1625</v>
      </c>
      <c r="B952" t="s">
        <v>72</v>
      </c>
      <c r="C952" t="s">
        <v>1626</v>
      </c>
      <c r="D952" t="s">
        <v>101</v>
      </c>
      <c r="E952">
        <v>6282.5</v>
      </c>
      <c r="F952" s="2">
        <v>45738.666684444448</v>
      </c>
      <c r="G952" t="s">
        <v>75</v>
      </c>
      <c r="H952" t="s">
        <v>81</v>
      </c>
      <c r="I952" t="s">
        <v>112</v>
      </c>
    </row>
    <row r="953" spans="1:9" x14ac:dyDescent="0.45">
      <c r="A953" t="s">
        <v>1627</v>
      </c>
      <c r="B953" t="s">
        <v>138</v>
      </c>
      <c r="C953" t="s">
        <v>1468</v>
      </c>
      <c r="D953" t="s">
        <v>85</v>
      </c>
      <c r="E953">
        <v>4017.82</v>
      </c>
      <c r="F953" s="2">
        <v>45761.666684444448</v>
      </c>
      <c r="H953" t="s">
        <v>133</v>
      </c>
      <c r="I953" t="s">
        <v>77</v>
      </c>
    </row>
    <row r="954" spans="1:9" x14ac:dyDescent="0.45">
      <c r="A954" t="s">
        <v>1628</v>
      </c>
      <c r="B954" t="s">
        <v>104</v>
      </c>
      <c r="C954" t="s">
        <v>1269</v>
      </c>
      <c r="D954" t="s">
        <v>92</v>
      </c>
      <c r="E954">
        <v>236.71</v>
      </c>
      <c r="F954" s="2">
        <v>45359.666684444448</v>
      </c>
      <c r="G954" t="s">
        <v>115</v>
      </c>
      <c r="H954" t="s">
        <v>107</v>
      </c>
      <c r="I954" t="s">
        <v>112</v>
      </c>
    </row>
    <row r="955" spans="1:9" x14ac:dyDescent="0.45">
      <c r="A955" t="s">
        <v>1629</v>
      </c>
      <c r="B955" t="s">
        <v>99</v>
      </c>
      <c r="C955" t="s">
        <v>1198</v>
      </c>
      <c r="D955" t="s">
        <v>74</v>
      </c>
      <c r="E955">
        <v>8342.36</v>
      </c>
      <c r="F955" s="2">
        <v>45663.666684444448</v>
      </c>
      <c r="G955" t="s">
        <v>102</v>
      </c>
      <c r="I955" t="s">
        <v>163</v>
      </c>
    </row>
    <row r="956" spans="1:9" x14ac:dyDescent="0.45">
      <c r="A956" t="s">
        <v>1630</v>
      </c>
      <c r="B956" t="s">
        <v>90</v>
      </c>
      <c r="C956" t="s">
        <v>1631</v>
      </c>
      <c r="D956" t="s">
        <v>101</v>
      </c>
      <c r="E956">
        <v>2768.81</v>
      </c>
      <c r="F956" s="2">
        <v>45517.666684444448</v>
      </c>
      <c r="G956" t="s">
        <v>93</v>
      </c>
      <c r="H956" t="s">
        <v>107</v>
      </c>
      <c r="I956" t="s">
        <v>88</v>
      </c>
    </row>
    <row r="957" spans="1:9" x14ac:dyDescent="0.45">
      <c r="A957" t="s">
        <v>1632</v>
      </c>
      <c r="B957" t="s">
        <v>99</v>
      </c>
      <c r="C957" t="s">
        <v>1188</v>
      </c>
      <c r="E957">
        <v>9092.82</v>
      </c>
      <c r="F957" s="2">
        <v>45589.666684444448</v>
      </c>
      <c r="G957" t="s">
        <v>102</v>
      </c>
      <c r="H957" t="s">
        <v>136</v>
      </c>
      <c r="I957" t="s">
        <v>119</v>
      </c>
    </row>
    <row r="958" spans="1:9" x14ac:dyDescent="0.45">
      <c r="A958" t="s">
        <v>1633</v>
      </c>
      <c r="B958" t="s">
        <v>104</v>
      </c>
      <c r="C958" t="s">
        <v>1634</v>
      </c>
      <c r="D958" t="s">
        <v>92</v>
      </c>
      <c r="E958">
        <v>8268</v>
      </c>
      <c r="F958" s="2">
        <v>45581.666684444448</v>
      </c>
      <c r="G958" t="s">
        <v>115</v>
      </c>
      <c r="H958" t="s">
        <v>87</v>
      </c>
      <c r="I958" t="s">
        <v>112</v>
      </c>
    </row>
    <row r="959" spans="1:9" x14ac:dyDescent="0.45">
      <c r="A959" t="s">
        <v>1635</v>
      </c>
      <c r="B959" t="s">
        <v>172</v>
      </c>
      <c r="C959" t="s">
        <v>1636</v>
      </c>
      <c r="D959" t="s">
        <v>101</v>
      </c>
      <c r="E959">
        <v>8203.11</v>
      </c>
      <c r="F959" s="2">
        <v>45432.666684444448</v>
      </c>
      <c r="G959" t="s">
        <v>174</v>
      </c>
      <c r="H959" t="s">
        <v>118</v>
      </c>
      <c r="I959" t="s">
        <v>163</v>
      </c>
    </row>
    <row r="960" spans="1:9" x14ac:dyDescent="0.45">
      <c r="A960" t="s">
        <v>1637</v>
      </c>
      <c r="B960" t="s">
        <v>109</v>
      </c>
      <c r="C960" t="s">
        <v>173</v>
      </c>
      <c r="D960" t="s">
        <v>92</v>
      </c>
      <c r="E960">
        <v>0</v>
      </c>
      <c r="F960" s="2">
        <v>45730.666684444448</v>
      </c>
      <c r="G960" t="s">
        <v>111</v>
      </c>
      <c r="H960" t="s">
        <v>136</v>
      </c>
      <c r="I960" t="s">
        <v>112</v>
      </c>
    </row>
    <row r="961" spans="1:9" x14ac:dyDescent="0.45">
      <c r="A961" t="s">
        <v>1638</v>
      </c>
      <c r="B961" t="s">
        <v>90</v>
      </c>
      <c r="C961" t="s">
        <v>1514</v>
      </c>
      <c r="D961" t="s">
        <v>74</v>
      </c>
      <c r="E961">
        <v>1331.04</v>
      </c>
      <c r="F961" s="2">
        <v>45567.666684444448</v>
      </c>
      <c r="G961" t="s">
        <v>93</v>
      </c>
      <c r="H961" t="s">
        <v>145</v>
      </c>
      <c r="I961" t="s">
        <v>77</v>
      </c>
    </row>
    <row r="962" spans="1:9" x14ac:dyDescent="0.45">
      <c r="A962" t="s">
        <v>754</v>
      </c>
      <c r="B962" t="s">
        <v>109</v>
      </c>
      <c r="C962" t="s">
        <v>509</v>
      </c>
      <c r="D962" t="s">
        <v>101</v>
      </c>
      <c r="E962">
        <v>9252.4599999999991</v>
      </c>
      <c r="F962" s="2">
        <v>45440.666684444448</v>
      </c>
      <c r="G962" t="s">
        <v>111</v>
      </c>
      <c r="I962" t="s">
        <v>88</v>
      </c>
    </row>
    <row r="963" spans="1:9" x14ac:dyDescent="0.45">
      <c r="A963" t="s">
        <v>1639</v>
      </c>
      <c r="B963" t="s">
        <v>138</v>
      </c>
      <c r="C963" t="s">
        <v>680</v>
      </c>
      <c r="D963" t="s">
        <v>92</v>
      </c>
      <c r="E963">
        <v>11362.11</v>
      </c>
      <c r="F963" s="2">
        <v>45710.666684444448</v>
      </c>
      <c r="G963" t="s">
        <v>140</v>
      </c>
      <c r="H963" t="s">
        <v>128</v>
      </c>
      <c r="I963" t="s">
        <v>88</v>
      </c>
    </row>
    <row r="964" spans="1:9" x14ac:dyDescent="0.45">
      <c r="A964" t="s">
        <v>1640</v>
      </c>
      <c r="B964" t="s">
        <v>99</v>
      </c>
      <c r="C964" t="s">
        <v>1545</v>
      </c>
      <c r="D964" t="s">
        <v>74</v>
      </c>
      <c r="E964">
        <v>10499.27</v>
      </c>
      <c r="F964" s="2">
        <v>45763.666684444448</v>
      </c>
      <c r="G964" t="s">
        <v>102</v>
      </c>
      <c r="H964" t="s">
        <v>107</v>
      </c>
      <c r="I964" t="s">
        <v>119</v>
      </c>
    </row>
    <row r="965" spans="1:9" x14ac:dyDescent="0.45">
      <c r="A965" t="s">
        <v>1641</v>
      </c>
      <c r="B965" t="s">
        <v>172</v>
      </c>
      <c r="C965" t="s">
        <v>550</v>
      </c>
      <c r="D965" t="s">
        <v>74</v>
      </c>
      <c r="E965">
        <v>11771.84</v>
      </c>
      <c r="F965" s="2">
        <v>45189.666684444448</v>
      </c>
      <c r="G965" t="s">
        <v>174</v>
      </c>
      <c r="H965" t="s">
        <v>81</v>
      </c>
      <c r="I965" t="s">
        <v>77</v>
      </c>
    </row>
    <row r="966" spans="1:9" x14ac:dyDescent="0.45">
      <c r="A966" t="s">
        <v>1642</v>
      </c>
      <c r="B966" t="s">
        <v>138</v>
      </c>
      <c r="C966" t="s">
        <v>293</v>
      </c>
      <c r="D966" t="s">
        <v>106</v>
      </c>
      <c r="E966">
        <v>10777.49</v>
      </c>
      <c r="F966" s="2">
        <v>45752.666684444448</v>
      </c>
      <c r="H966" t="s">
        <v>76</v>
      </c>
      <c r="I966" t="s">
        <v>163</v>
      </c>
    </row>
    <row r="967" spans="1:9" x14ac:dyDescent="0.45">
      <c r="A967" t="s">
        <v>1643</v>
      </c>
      <c r="B967" t="s">
        <v>95</v>
      </c>
      <c r="C967" t="s">
        <v>1198</v>
      </c>
      <c r="D967" t="s">
        <v>74</v>
      </c>
      <c r="E967">
        <v>4403.9799999999996</v>
      </c>
      <c r="F967" s="2">
        <v>45229.666684444448</v>
      </c>
      <c r="G967" t="s">
        <v>97</v>
      </c>
      <c r="H967" t="s">
        <v>128</v>
      </c>
      <c r="I967" t="s">
        <v>163</v>
      </c>
    </row>
    <row r="968" spans="1:9" x14ac:dyDescent="0.45">
      <c r="A968" t="s">
        <v>1644</v>
      </c>
      <c r="B968" t="s">
        <v>99</v>
      </c>
      <c r="C968" t="s">
        <v>478</v>
      </c>
      <c r="D968" t="s">
        <v>101</v>
      </c>
      <c r="E968">
        <v>8263.74</v>
      </c>
      <c r="F968" s="2">
        <v>45340.666684444448</v>
      </c>
      <c r="G968" t="s">
        <v>102</v>
      </c>
      <c r="I968" t="s">
        <v>82</v>
      </c>
    </row>
    <row r="969" spans="1:9" x14ac:dyDescent="0.45">
      <c r="A969" t="s">
        <v>1645</v>
      </c>
      <c r="B969" t="s">
        <v>104</v>
      </c>
      <c r="C969" t="s">
        <v>1646</v>
      </c>
      <c r="D969" t="s">
        <v>106</v>
      </c>
      <c r="E969">
        <v>8719.25</v>
      </c>
      <c r="F969" s="2">
        <v>45768.666684444448</v>
      </c>
      <c r="G969" t="s">
        <v>115</v>
      </c>
      <c r="H969" t="s">
        <v>116</v>
      </c>
      <c r="I969" t="s">
        <v>77</v>
      </c>
    </row>
    <row r="970" spans="1:9" x14ac:dyDescent="0.45">
      <c r="A970" t="s">
        <v>1647</v>
      </c>
      <c r="B970" t="s">
        <v>172</v>
      </c>
      <c r="C970" t="s">
        <v>154</v>
      </c>
      <c r="D970" t="s">
        <v>92</v>
      </c>
      <c r="E970">
        <v>9651.66</v>
      </c>
      <c r="F970" s="2">
        <v>45344.666684444448</v>
      </c>
      <c r="G970" t="s">
        <v>174</v>
      </c>
      <c r="H970" t="s">
        <v>107</v>
      </c>
      <c r="I970" t="s">
        <v>77</v>
      </c>
    </row>
    <row r="971" spans="1:9" x14ac:dyDescent="0.45">
      <c r="A971" t="s">
        <v>337</v>
      </c>
      <c r="B971" t="s">
        <v>90</v>
      </c>
      <c r="C971" t="s">
        <v>1172</v>
      </c>
      <c r="D971" t="s">
        <v>92</v>
      </c>
      <c r="E971">
        <v>2990.45</v>
      </c>
      <c r="F971" s="2">
        <v>45398.666684444448</v>
      </c>
      <c r="G971" t="s">
        <v>93</v>
      </c>
      <c r="H971" t="s">
        <v>116</v>
      </c>
      <c r="I971" t="s">
        <v>163</v>
      </c>
    </row>
    <row r="972" spans="1:9" x14ac:dyDescent="0.45">
      <c r="A972" t="s">
        <v>1648</v>
      </c>
      <c r="B972" t="s">
        <v>172</v>
      </c>
      <c r="C972" t="s">
        <v>712</v>
      </c>
      <c r="D972" t="s">
        <v>148</v>
      </c>
      <c r="E972">
        <v>2019.13</v>
      </c>
      <c r="F972" s="2">
        <v>45804.666684444448</v>
      </c>
      <c r="G972" t="s">
        <v>174</v>
      </c>
      <c r="H972" t="s">
        <v>87</v>
      </c>
      <c r="I972" t="s">
        <v>163</v>
      </c>
    </row>
    <row r="973" spans="1:9" x14ac:dyDescent="0.45">
      <c r="A973" t="s">
        <v>806</v>
      </c>
      <c r="B973" t="s">
        <v>99</v>
      </c>
      <c r="C973" t="s">
        <v>1649</v>
      </c>
      <c r="D973" t="s">
        <v>74</v>
      </c>
      <c r="E973">
        <v>11705.41</v>
      </c>
      <c r="F973" s="2">
        <v>45211.666684444448</v>
      </c>
      <c r="G973" t="s">
        <v>102</v>
      </c>
      <c r="H973" t="s">
        <v>116</v>
      </c>
      <c r="I973" t="s">
        <v>112</v>
      </c>
    </row>
    <row r="974" spans="1:9" x14ac:dyDescent="0.45">
      <c r="A974" t="s">
        <v>470</v>
      </c>
      <c r="B974" t="s">
        <v>72</v>
      </c>
      <c r="C974" t="s">
        <v>1650</v>
      </c>
      <c r="D974" t="s">
        <v>92</v>
      </c>
      <c r="E974">
        <v>5080.6400000000003</v>
      </c>
      <c r="F974" s="2">
        <v>45288.666684444448</v>
      </c>
      <c r="G974" t="s">
        <v>75</v>
      </c>
      <c r="H974" t="s">
        <v>76</v>
      </c>
      <c r="I974" t="s">
        <v>119</v>
      </c>
    </row>
    <row r="975" spans="1:9" x14ac:dyDescent="0.45">
      <c r="A975" t="s">
        <v>1651</v>
      </c>
      <c r="B975" t="s">
        <v>138</v>
      </c>
      <c r="C975" t="s">
        <v>1652</v>
      </c>
      <c r="D975" t="s">
        <v>85</v>
      </c>
      <c r="E975">
        <v>0</v>
      </c>
      <c r="F975" s="2">
        <v>45373.666684444448</v>
      </c>
      <c r="G975" t="s">
        <v>140</v>
      </c>
      <c r="H975" t="s">
        <v>128</v>
      </c>
      <c r="I975" t="s">
        <v>82</v>
      </c>
    </row>
    <row r="976" spans="1:9" x14ac:dyDescent="0.45">
      <c r="A976" t="s">
        <v>1653</v>
      </c>
      <c r="B976" t="s">
        <v>172</v>
      </c>
      <c r="C976" t="s">
        <v>908</v>
      </c>
      <c r="E976">
        <v>6321.11</v>
      </c>
      <c r="F976" s="2">
        <v>45305.666684444448</v>
      </c>
      <c r="G976" t="s">
        <v>174</v>
      </c>
      <c r="H976" t="s">
        <v>107</v>
      </c>
      <c r="I976" t="s">
        <v>77</v>
      </c>
    </row>
    <row r="977" spans="1:9" x14ac:dyDescent="0.45">
      <c r="A977" t="s">
        <v>1654</v>
      </c>
      <c r="B977" t="s">
        <v>109</v>
      </c>
      <c r="C977" t="s">
        <v>552</v>
      </c>
      <c r="D977" t="s">
        <v>85</v>
      </c>
      <c r="E977">
        <v>1332.42</v>
      </c>
      <c r="F977" s="2">
        <v>45693.666684444448</v>
      </c>
      <c r="G977" t="s">
        <v>111</v>
      </c>
      <c r="H977" t="s">
        <v>87</v>
      </c>
      <c r="I977" t="s">
        <v>163</v>
      </c>
    </row>
    <row r="978" spans="1:9" x14ac:dyDescent="0.45">
      <c r="A978" t="s">
        <v>1655</v>
      </c>
      <c r="B978" t="s">
        <v>138</v>
      </c>
      <c r="C978" t="s">
        <v>1656</v>
      </c>
      <c r="D978" t="s">
        <v>85</v>
      </c>
      <c r="E978">
        <v>3039.03</v>
      </c>
      <c r="F978" s="2">
        <v>45204.666684444448</v>
      </c>
      <c r="G978" t="s">
        <v>140</v>
      </c>
      <c r="H978" t="s">
        <v>145</v>
      </c>
      <c r="I978" t="s">
        <v>112</v>
      </c>
    </row>
    <row r="979" spans="1:9" x14ac:dyDescent="0.45">
      <c r="A979" t="s">
        <v>1657</v>
      </c>
      <c r="B979" t="s">
        <v>109</v>
      </c>
      <c r="C979" t="s">
        <v>1658</v>
      </c>
      <c r="D979" t="s">
        <v>85</v>
      </c>
      <c r="E979">
        <v>1221.05</v>
      </c>
      <c r="F979" s="2">
        <v>45288.666684444448</v>
      </c>
      <c r="G979" t="s">
        <v>111</v>
      </c>
      <c r="I979" t="s">
        <v>82</v>
      </c>
    </row>
    <row r="980" spans="1:9" x14ac:dyDescent="0.45">
      <c r="A980" t="s">
        <v>1659</v>
      </c>
      <c r="B980" t="s">
        <v>172</v>
      </c>
      <c r="C980" t="s">
        <v>147</v>
      </c>
      <c r="D980" t="s">
        <v>85</v>
      </c>
      <c r="E980">
        <v>0</v>
      </c>
      <c r="F980" s="2">
        <v>45130.666684444448</v>
      </c>
      <c r="G980" t="s">
        <v>174</v>
      </c>
      <c r="H980" t="s">
        <v>128</v>
      </c>
      <c r="I980" t="s">
        <v>119</v>
      </c>
    </row>
    <row r="981" spans="1:9" x14ac:dyDescent="0.45">
      <c r="A981" t="s">
        <v>1660</v>
      </c>
      <c r="B981" t="s">
        <v>72</v>
      </c>
      <c r="C981" t="s">
        <v>1599</v>
      </c>
      <c r="D981" t="s">
        <v>92</v>
      </c>
      <c r="E981">
        <v>0</v>
      </c>
      <c r="F981" s="2">
        <v>45546.666684444448</v>
      </c>
      <c r="G981" t="s">
        <v>75</v>
      </c>
      <c r="H981" t="s">
        <v>118</v>
      </c>
      <c r="I981" t="s">
        <v>119</v>
      </c>
    </row>
    <row r="982" spans="1:9" x14ac:dyDescent="0.45">
      <c r="A982" t="s">
        <v>1661</v>
      </c>
      <c r="B982" t="s">
        <v>138</v>
      </c>
      <c r="C982" t="s">
        <v>1325</v>
      </c>
      <c r="D982" t="s">
        <v>85</v>
      </c>
      <c r="E982">
        <v>7924.64</v>
      </c>
      <c r="F982" s="2">
        <v>45589.666684444448</v>
      </c>
      <c r="G982" t="s">
        <v>140</v>
      </c>
      <c r="H982" t="s">
        <v>136</v>
      </c>
      <c r="I982" t="s">
        <v>119</v>
      </c>
    </row>
    <row r="983" spans="1:9" x14ac:dyDescent="0.45">
      <c r="A983" t="s">
        <v>1662</v>
      </c>
      <c r="B983" t="s">
        <v>104</v>
      </c>
      <c r="C983" t="s">
        <v>1663</v>
      </c>
      <c r="D983" t="s">
        <v>85</v>
      </c>
      <c r="E983">
        <v>5439.14</v>
      </c>
      <c r="F983" s="2">
        <v>45833.666684444448</v>
      </c>
      <c r="G983" t="s">
        <v>115</v>
      </c>
      <c r="H983" t="s">
        <v>118</v>
      </c>
      <c r="I983" t="s">
        <v>82</v>
      </c>
    </row>
    <row r="984" spans="1:9" x14ac:dyDescent="0.45">
      <c r="A984" t="s">
        <v>1664</v>
      </c>
      <c r="B984" t="s">
        <v>138</v>
      </c>
      <c r="C984" t="s">
        <v>132</v>
      </c>
      <c r="D984" t="s">
        <v>85</v>
      </c>
      <c r="E984">
        <v>4318.97</v>
      </c>
      <c r="F984" s="2">
        <v>45736.666684444448</v>
      </c>
      <c r="G984" t="s">
        <v>140</v>
      </c>
      <c r="H984" t="s">
        <v>136</v>
      </c>
      <c r="I984" t="s">
        <v>88</v>
      </c>
    </row>
    <row r="985" spans="1:9" x14ac:dyDescent="0.45">
      <c r="A985" t="s">
        <v>1665</v>
      </c>
      <c r="B985" t="s">
        <v>90</v>
      </c>
      <c r="C985" t="s">
        <v>1064</v>
      </c>
      <c r="D985" t="s">
        <v>85</v>
      </c>
      <c r="E985">
        <v>487.15</v>
      </c>
      <c r="F985" s="2">
        <v>45609.666684444448</v>
      </c>
      <c r="G985" t="s">
        <v>93</v>
      </c>
      <c r="H985" t="s">
        <v>107</v>
      </c>
      <c r="I985" t="s">
        <v>82</v>
      </c>
    </row>
    <row r="986" spans="1:9" x14ac:dyDescent="0.45">
      <c r="A986" t="s">
        <v>1666</v>
      </c>
      <c r="B986" t="s">
        <v>172</v>
      </c>
      <c r="C986" t="s">
        <v>1667</v>
      </c>
      <c r="D986" t="s">
        <v>92</v>
      </c>
      <c r="E986">
        <v>9490.2000000000007</v>
      </c>
      <c r="F986" s="2">
        <v>45426.666684444448</v>
      </c>
      <c r="G986" t="s">
        <v>174</v>
      </c>
      <c r="H986" t="s">
        <v>133</v>
      </c>
      <c r="I986" t="s">
        <v>119</v>
      </c>
    </row>
    <row r="987" spans="1:9" x14ac:dyDescent="0.45">
      <c r="A987" t="s">
        <v>1668</v>
      </c>
      <c r="B987" t="s">
        <v>95</v>
      </c>
      <c r="C987" t="s">
        <v>412</v>
      </c>
      <c r="E987">
        <v>8593.7900000000009</v>
      </c>
      <c r="F987" s="2">
        <v>45161.666684444448</v>
      </c>
      <c r="G987" t="s">
        <v>97</v>
      </c>
      <c r="H987" t="s">
        <v>107</v>
      </c>
      <c r="I987" t="s">
        <v>112</v>
      </c>
    </row>
    <row r="988" spans="1:9" x14ac:dyDescent="0.45">
      <c r="A988" t="s">
        <v>1669</v>
      </c>
      <c r="B988" t="s">
        <v>99</v>
      </c>
      <c r="C988" t="s">
        <v>1670</v>
      </c>
      <c r="D988" t="s">
        <v>92</v>
      </c>
      <c r="E988">
        <v>2966.46</v>
      </c>
      <c r="F988" s="2">
        <v>45365.666684444448</v>
      </c>
      <c r="G988" t="s">
        <v>102</v>
      </c>
      <c r="H988" t="s">
        <v>145</v>
      </c>
      <c r="I988" t="s">
        <v>82</v>
      </c>
    </row>
    <row r="989" spans="1:9" x14ac:dyDescent="0.45">
      <c r="A989" t="s">
        <v>1671</v>
      </c>
      <c r="B989" t="s">
        <v>79</v>
      </c>
      <c r="C989" t="s">
        <v>1672</v>
      </c>
      <c r="D989" t="s">
        <v>155</v>
      </c>
      <c r="E989">
        <v>1240.54</v>
      </c>
      <c r="F989" s="2">
        <v>45423.666684444448</v>
      </c>
      <c r="G989" t="s">
        <v>86</v>
      </c>
      <c r="H989" t="s">
        <v>136</v>
      </c>
      <c r="I989" t="s">
        <v>112</v>
      </c>
    </row>
    <row r="990" spans="1:9" x14ac:dyDescent="0.45">
      <c r="A990" t="s">
        <v>1673</v>
      </c>
      <c r="B990" t="s">
        <v>95</v>
      </c>
      <c r="C990" t="s">
        <v>348</v>
      </c>
      <c r="E990">
        <v>1560.32</v>
      </c>
      <c r="F990" s="2">
        <v>45851.666684444448</v>
      </c>
      <c r="G990" t="s">
        <v>97</v>
      </c>
      <c r="H990" t="s">
        <v>118</v>
      </c>
      <c r="I990" t="s">
        <v>88</v>
      </c>
    </row>
    <row r="991" spans="1:9" x14ac:dyDescent="0.45">
      <c r="A991" t="s">
        <v>1674</v>
      </c>
      <c r="B991" t="s">
        <v>109</v>
      </c>
      <c r="C991" t="s">
        <v>484</v>
      </c>
      <c r="D991" t="s">
        <v>85</v>
      </c>
      <c r="E991">
        <v>2522.11</v>
      </c>
      <c r="F991" s="2">
        <v>45417.666684444448</v>
      </c>
      <c r="G991" t="s">
        <v>111</v>
      </c>
      <c r="H991" t="s">
        <v>118</v>
      </c>
      <c r="I991" t="s">
        <v>119</v>
      </c>
    </row>
    <row r="992" spans="1:9" x14ac:dyDescent="0.45">
      <c r="A992" t="s">
        <v>1675</v>
      </c>
      <c r="B992" t="s">
        <v>104</v>
      </c>
      <c r="C992" t="s">
        <v>1468</v>
      </c>
      <c r="D992" t="s">
        <v>92</v>
      </c>
      <c r="E992">
        <v>5712.25</v>
      </c>
      <c r="F992" s="2">
        <v>45847.666684444448</v>
      </c>
      <c r="G992" t="s">
        <v>115</v>
      </c>
      <c r="H992" t="s">
        <v>145</v>
      </c>
      <c r="I992" t="s">
        <v>119</v>
      </c>
    </row>
    <row r="993" spans="1:9" x14ac:dyDescent="0.45">
      <c r="A993" t="s">
        <v>1676</v>
      </c>
      <c r="B993" t="s">
        <v>104</v>
      </c>
      <c r="C993" t="s">
        <v>1614</v>
      </c>
      <c r="D993" t="s">
        <v>155</v>
      </c>
      <c r="E993">
        <v>416.88</v>
      </c>
      <c r="F993" s="2">
        <v>45592.666684444448</v>
      </c>
      <c r="G993" t="s">
        <v>115</v>
      </c>
      <c r="H993" t="s">
        <v>133</v>
      </c>
      <c r="I993" t="s">
        <v>112</v>
      </c>
    </row>
    <row r="994" spans="1:9" x14ac:dyDescent="0.45">
      <c r="A994" t="s">
        <v>1677</v>
      </c>
      <c r="B994" t="s">
        <v>72</v>
      </c>
      <c r="C994" t="s">
        <v>1678</v>
      </c>
      <c r="D994" t="s">
        <v>85</v>
      </c>
      <c r="E994">
        <v>7159.89</v>
      </c>
      <c r="F994" s="2">
        <v>45200.666684444448</v>
      </c>
      <c r="I994" t="s">
        <v>88</v>
      </c>
    </row>
    <row r="995" spans="1:9" x14ac:dyDescent="0.45">
      <c r="A995" t="s">
        <v>1679</v>
      </c>
      <c r="B995" t="s">
        <v>90</v>
      </c>
      <c r="C995" t="s">
        <v>1369</v>
      </c>
      <c r="E995">
        <v>5761.51</v>
      </c>
      <c r="F995" s="2">
        <v>45831.666684444448</v>
      </c>
      <c r="G995" t="s">
        <v>93</v>
      </c>
      <c r="H995" t="s">
        <v>118</v>
      </c>
      <c r="I995" t="s">
        <v>119</v>
      </c>
    </row>
    <row r="996" spans="1:9" x14ac:dyDescent="0.45">
      <c r="A996" t="s">
        <v>1680</v>
      </c>
      <c r="B996" t="s">
        <v>99</v>
      </c>
      <c r="C996" t="s">
        <v>989</v>
      </c>
      <c r="D996" t="s">
        <v>92</v>
      </c>
      <c r="E996">
        <v>752.67</v>
      </c>
      <c r="F996" s="2">
        <v>45367.666684444448</v>
      </c>
      <c r="G996" t="s">
        <v>102</v>
      </c>
      <c r="H996" t="s">
        <v>81</v>
      </c>
      <c r="I996" t="s">
        <v>82</v>
      </c>
    </row>
    <row r="997" spans="1:9" x14ac:dyDescent="0.45">
      <c r="A997" t="s">
        <v>1681</v>
      </c>
      <c r="B997" t="s">
        <v>95</v>
      </c>
      <c r="C997" t="s">
        <v>1180</v>
      </c>
      <c r="D997" t="s">
        <v>85</v>
      </c>
      <c r="E997">
        <v>5937.05</v>
      </c>
      <c r="F997" s="2">
        <v>45398.666684444448</v>
      </c>
      <c r="G997" t="s">
        <v>97</v>
      </c>
      <c r="H997" t="s">
        <v>76</v>
      </c>
      <c r="I997" t="s">
        <v>112</v>
      </c>
    </row>
    <row r="998" spans="1:9" x14ac:dyDescent="0.45">
      <c r="A998" t="s">
        <v>1682</v>
      </c>
      <c r="B998" t="s">
        <v>79</v>
      </c>
      <c r="C998" t="s">
        <v>645</v>
      </c>
      <c r="D998" t="s">
        <v>74</v>
      </c>
      <c r="E998">
        <v>10628.42</v>
      </c>
      <c r="F998" s="2">
        <v>45768.666684444448</v>
      </c>
      <c r="G998" t="s">
        <v>86</v>
      </c>
      <c r="H998" t="s">
        <v>136</v>
      </c>
      <c r="I998" t="s">
        <v>88</v>
      </c>
    </row>
    <row r="999" spans="1:9" x14ac:dyDescent="0.45">
      <c r="A999" t="s">
        <v>1683</v>
      </c>
      <c r="B999" t="s">
        <v>138</v>
      </c>
      <c r="C999" t="s">
        <v>1684</v>
      </c>
      <c r="D999" t="s">
        <v>101</v>
      </c>
      <c r="E999">
        <v>1962.55</v>
      </c>
      <c r="F999" s="2">
        <v>45731.666684444448</v>
      </c>
      <c r="G999" t="s">
        <v>140</v>
      </c>
      <c r="H999" t="s">
        <v>81</v>
      </c>
      <c r="I999" t="s">
        <v>112</v>
      </c>
    </row>
    <row r="1000" spans="1:9" x14ac:dyDescent="0.45">
      <c r="A1000" t="s">
        <v>1685</v>
      </c>
      <c r="B1000" t="s">
        <v>72</v>
      </c>
      <c r="C1000" t="s">
        <v>671</v>
      </c>
      <c r="D1000" t="s">
        <v>106</v>
      </c>
      <c r="E1000">
        <v>0</v>
      </c>
      <c r="F1000" s="2">
        <v>45805.666684444448</v>
      </c>
      <c r="G1000" t="s">
        <v>521</v>
      </c>
      <c r="I1000" t="s">
        <v>77</v>
      </c>
    </row>
    <row r="1001" spans="1:9" x14ac:dyDescent="0.45">
      <c r="A1001" t="s">
        <v>1686</v>
      </c>
      <c r="B1001" t="s">
        <v>104</v>
      </c>
      <c r="C1001" t="s">
        <v>306</v>
      </c>
      <c r="D1001" t="s">
        <v>92</v>
      </c>
      <c r="E1001">
        <v>7305.58</v>
      </c>
      <c r="F1001" s="2">
        <v>45330.666684444448</v>
      </c>
      <c r="G1001" t="s">
        <v>115</v>
      </c>
      <c r="H1001" t="s">
        <v>133</v>
      </c>
      <c r="I1001" t="s">
        <v>119</v>
      </c>
    </row>
    <row r="1002" spans="1:9" x14ac:dyDescent="0.45">
      <c r="A1002" t="s">
        <v>1687</v>
      </c>
      <c r="B1002" t="s">
        <v>79</v>
      </c>
      <c r="C1002" t="s">
        <v>997</v>
      </c>
      <c r="D1002" t="s">
        <v>85</v>
      </c>
      <c r="E1002">
        <v>2709.16</v>
      </c>
      <c r="F1002" s="2">
        <v>45563.666684444448</v>
      </c>
      <c r="G1002" t="s">
        <v>86</v>
      </c>
      <c r="H1002" t="s">
        <v>81</v>
      </c>
      <c r="I1002" t="s">
        <v>112</v>
      </c>
    </row>
    <row r="1003" spans="1:9" x14ac:dyDescent="0.45">
      <c r="A1003" t="s">
        <v>1688</v>
      </c>
      <c r="B1003" t="s">
        <v>104</v>
      </c>
      <c r="C1003" t="s">
        <v>606</v>
      </c>
      <c r="D1003" t="s">
        <v>155</v>
      </c>
      <c r="E1003">
        <v>0</v>
      </c>
      <c r="F1003" s="2">
        <v>45245.666684444448</v>
      </c>
      <c r="G1003" t="s">
        <v>115</v>
      </c>
      <c r="H1003" t="s">
        <v>81</v>
      </c>
      <c r="I1003" t="s">
        <v>82</v>
      </c>
    </row>
    <row r="1004" spans="1:9" x14ac:dyDescent="0.45">
      <c r="A1004" t="s">
        <v>1689</v>
      </c>
      <c r="B1004" t="s">
        <v>172</v>
      </c>
      <c r="D1004" t="s">
        <v>85</v>
      </c>
      <c r="E1004">
        <v>9724.3700000000008</v>
      </c>
      <c r="F1004" s="2">
        <v>45685.666684444448</v>
      </c>
      <c r="G1004" t="s">
        <v>174</v>
      </c>
      <c r="H1004" t="s">
        <v>136</v>
      </c>
      <c r="I1004" t="s">
        <v>119</v>
      </c>
    </row>
    <row r="1005" spans="1:9" x14ac:dyDescent="0.45">
      <c r="A1005" t="s">
        <v>1690</v>
      </c>
      <c r="B1005" t="s">
        <v>72</v>
      </c>
      <c r="C1005" t="s">
        <v>397</v>
      </c>
      <c r="D1005" t="s">
        <v>85</v>
      </c>
      <c r="E1005">
        <v>1530.82</v>
      </c>
      <c r="F1005" s="2">
        <v>45358.666684444448</v>
      </c>
      <c r="G1005" t="s">
        <v>75</v>
      </c>
      <c r="H1005" t="s">
        <v>76</v>
      </c>
      <c r="I1005" t="s">
        <v>88</v>
      </c>
    </row>
    <row r="1006" spans="1:9" x14ac:dyDescent="0.45">
      <c r="A1006" t="s">
        <v>1691</v>
      </c>
      <c r="B1006" t="s">
        <v>138</v>
      </c>
      <c r="C1006" t="s">
        <v>906</v>
      </c>
      <c r="D1006" t="s">
        <v>92</v>
      </c>
      <c r="E1006">
        <v>8067.35</v>
      </c>
      <c r="F1006" s="2">
        <v>45791.666684444448</v>
      </c>
      <c r="G1006" t="s">
        <v>140</v>
      </c>
      <c r="H1006" t="s">
        <v>87</v>
      </c>
      <c r="I1006" t="s">
        <v>88</v>
      </c>
    </row>
    <row r="1007" spans="1:9" x14ac:dyDescent="0.45">
      <c r="A1007" t="s">
        <v>1692</v>
      </c>
      <c r="B1007" t="s">
        <v>109</v>
      </c>
      <c r="C1007" t="s">
        <v>1561</v>
      </c>
      <c r="D1007" t="s">
        <v>92</v>
      </c>
      <c r="E1007">
        <v>5365.93</v>
      </c>
      <c r="F1007" s="2">
        <v>45280.666684444448</v>
      </c>
      <c r="G1007" t="s">
        <v>111</v>
      </c>
      <c r="H1007" t="s">
        <v>128</v>
      </c>
      <c r="I1007" t="s">
        <v>119</v>
      </c>
    </row>
    <row r="1008" spans="1:9" x14ac:dyDescent="0.45">
      <c r="A1008" t="s">
        <v>1693</v>
      </c>
      <c r="B1008" t="s">
        <v>72</v>
      </c>
      <c r="C1008" t="s">
        <v>273</v>
      </c>
      <c r="D1008" t="s">
        <v>74</v>
      </c>
      <c r="E1008">
        <v>9414.44</v>
      </c>
      <c r="F1008" s="2">
        <v>45400.666684444448</v>
      </c>
      <c r="G1008" t="s">
        <v>75</v>
      </c>
      <c r="H1008" t="s">
        <v>133</v>
      </c>
      <c r="I1008" t="s">
        <v>88</v>
      </c>
    </row>
    <row r="1009" spans="1:9" x14ac:dyDescent="0.45">
      <c r="A1009" t="s">
        <v>1694</v>
      </c>
      <c r="B1009" t="s">
        <v>99</v>
      </c>
      <c r="C1009" t="s">
        <v>1425</v>
      </c>
      <c r="D1009" t="s">
        <v>85</v>
      </c>
      <c r="E1009">
        <v>0</v>
      </c>
      <c r="F1009" s="2">
        <v>45273.666684444448</v>
      </c>
      <c r="G1009" t="s">
        <v>102</v>
      </c>
      <c r="H1009" t="s">
        <v>87</v>
      </c>
      <c r="I1009" t="s">
        <v>163</v>
      </c>
    </row>
    <row r="1010" spans="1:9" x14ac:dyDescent="0.45">
      <c r="A1010" t="s">
        <v>1695</v>
      </c>
      <c r="B1010" t="s">
        <v>138</v>
      </c>
      <c r="C1010" t="s">
        <v>1696</v>
      </c>
      <c r="D1010" t="s">
        <v>85</v>
      </c>
      <c r="E1010">
        <v>10036.61</v>
      </c>
      <c r="F1010" s="2">
        <v>45201.666684444448</v>
      </c>
      <c r="H1010" t="s">
        <v>128</v>
      </c>
      <c r="I1010" t="s">
        <v>119</v>
      </c>
    </row>
    <row r="1011" spans="1:9" x14ac:dyDescent="0.45">
      <c r="A1011" t="s">
        <v>765</v>
      </c>
      <c r="B1011" t="s">
        <v>95</v>
      </c>
      <c r="C1011" t="s">
        <v>1271</v>
      </c>
      <c r="D1011" t="s">
        <v>101</v>
      </c>
      <c r="E1011">
        <v>11473.59</v>
      </c>
      <c r="F1011" s="2">
        <v>45189.666684444448</v>
      </c>
      <c r="G1011" t="s">
        <v>97</v>
      </c>
      <c r="H1011" t="s">
        <v>116</v>
      </c>
      <c r="I1011" t="s">
        <v>119</v>
      </c>
    </row>
    <row r="1012" spans="1:9" x14ac:dyDescent="0.45">
      <c r="A1012" t="s">
        <v>1697</v>
      </c>
      <c r="B1012" t="s">
        <v>72</v>
      </c>
      <c r="C1012" t="s">
        <v>1698</v>
      </c>
      <c r="D1012" t="s">
        <v>85</v>
      </c>
      <c r="E1012">
        <v>2493.25</v>
      </c>
      <c r="F1012" s="2">
        <v>45297.666684444448</v>
      </c>
      <c r="G1012" t="s">
        <v>75</v>
      </c>
      <c r="H1012" t="s">
        <v>136</v>
      </c>
      <c r="I1012" t="s">
        <v>82</v>
      </c>
    </row>
    <row r="1013" spans="1:9" x14ac:dyDescent="0.45">
      <c r="A1013" t="s">
        <v>1699</v>
      </c>
      <c r="B1013" t="s">
        <v>138</v>
      </c>
      <c r="C1013" t="s">
        <v>1700</v>
      </c>
      <c r="D1013" t="s">
        <v>101</v>
      </c>
      <c r="E1013">
        <v>0</v>
      </c>
      <c r="F1013" s="2">
        <v>45442.666684444448</v>
      </c>
      <c r="G1013" t="s">
        <v>140</v>
      </c>
      <c r="H1013" t="s">
        <v>136</v>
      </c>
      <c r="I1013" t="s">
        <v>119</v>
      </c>
    </row>
    <row r="1014" spans="1:9" x14ac:dyDescent="0.45">
      <c r="A1014" t="s">
        <v>1701</v>
      </c>
      <c r="B1014" t="s">
        <v>95</v>
      </c>
      <c r="C1014" t="s">
        <v>1552</v>
      </c>
      <c r="D1014" t="s">
        <v>74</v>
      </c>
      <c r="E1014">
        <v>6164.45</v>
      </c>
      <c r="F1014" s="2">
        <v>45737.666684444448</v>
      </c>
      <c r="G1014" t="s">
        <v>97</v>
      </c>
      <c r="H1014" t="s">
        <v>116</v>
      </c>
      <c r="I1014" t="s">
        <v>82</v>
      </c>
    </row>
    <row r="1015" spans="1:9" x14ac:dyDescent="0.45">
      <c r="A1015" t="s">
        <v>1702</v>
      </c>
      <c r="B1015" t="s">
        <v>72</v>
      </c>
      <c r="C1015" t="s">
        <v>693</v>
      </c>
      <c r="D1015" t="s">
        <v>101</v>
      </c>
      <c r="E1015">
        <v>1496.37</v>
      </c>
      <c r="F1015" s="2">
        <v>45710.666684444448</v>
      </c>
      <c r="G1015" t="s">
        <v>75</v>
      </c>
      <c r="H1015" t="s">
        <v>128</v>
      </c>
      <c r="I1015" t="s">
        <v>119</v>
      </c>
    </row>
    <row r="1016" spans="1:9" x14ac:dyDescent="0.45">
      <c r="A1016" t="s">
        <v>1703</v>
      </c>
      <c r="B1016" t="s">
        <v>79</v>
      </c>
      <c r="C1016" t="s">
        <v>315</v>
      </c>
      <c r="D1016" t="s">
        <v>74</v>
      </c>
      <c r="E1016">
        <v>9171.07</v>
      </c>
      <c r="F1016" s="2">
        <v>45423.666684444448</v>
      </c>
      <c r="G1016" t="s">
        <v>86</v>
      </c>
      <c r="H1016" t="s">
        <v>81</v>
      </c>
      <c r="I1016" t="s">
        <v>82</v>
      </c>
    </row>
    <row r="1017" spans="1:9" x14ac:dyDescent="0.45">
      <c r="A1017" t="s">
        <v>1704</v>
      </c>
      <c r="B1017" t="s">
        <v>109</v>
      </c>
      <c r="C1017" t="s">
        <v>135</v>
      </c>
      <c r="D1017" t="s">
        <v>85</v>
      </c>
      <c r="E1017">
        <v>9099.6299999999992</v>
      </c>
      <c r="F1017" s="2">
        <v>45577.666684444448</v>
      </c>
      <c r="G1017" t="s">
        <v>111</v>
      </c>
      <c r="H1017" t="s">
        <v>136</v>
      </c>
      <c r="I1017" t="s">
        <v>82</v>
      </c>
    </row>
    <row r="1018" spans="1:9" x14ac:dyDescent="0.45">
      <c r="A1018" t="s">
        <v>1705</v>
      </c>
      <c r="B1018" t="s">
        <v>79</v>
      </c>
      <c r="C1018" t="s">
        <v>1247</v>
      </c>
      <c r="D1018" t="s">
        <v>148</v>
      </c>
      <c r="E1018">
        <v>7397.53</v>
      </c>
      <c r="F1018" s="2">
        <v>45255.666684444448</v>
      </c>
      <c r="G1018" t="s">
        <v>86</v>
      </c>
      <c r="H1018" t="s">
        <v>133</v>
      </c>
      <c r="I1018" t="s">
        <v>163</v>
      </c>
    </row>
    <row r="1019" spans="1:9" x14ac:dyDescent="0.45">
      <c r="A1019" t="s">
        <v>1706</v>
      </c>
      <c r="B1019" t="s">
        <v>99</v>
      </c>
      <c r="C1019" t="s">
        <v>851</v>
      </c>
      <c r="D1019" t="s">
        <v>92</v>
      </c>
      <c r="E1019">
        <v>7679.48</v>
      </c>
      <c r="F1019" s="2">
        <v>45607.666684444448</v>
      </c>
      <c r="G1019" t="s">
        <v>102</v>
      </c>
      <c r="H1019" t="s">
        <v>136</v>
      </c>
      <c r="I1019" t="s">
        <v>88</v>
      </c>
    </row>
    <row r="1020" spans="1:9" x14ac:dyDescent="0.45">
      <c r="A1020" t="s">
        <v>1707</v>
      </c>
      <c r="B1020" t="s">
        <v>138</v>
      </c>
      <c r="C1020" t="s">
        <v>105</v>
      </c>
      <c r="D1020" t="s">
        <v>101</v>
      </c>
      <c r="E1020">
        <v>11349.42</v>
      </c>
      <c r="F1020" s="2">
        <v>45833.666684444448</v>
      </c>
      <c r="G1020" t="s">
        <v>140</v>
      </c>
      <c r="H1020" t="s">
        <v>116</v>
      </c>
      <c r="I1020" t="s">
        <v>112</v>
      </c>
    </row>
    <row r="1021" spans="1:9" x14ac:dyDescent="0.45">
      <c r="A1021" t="s">
        <v>1708</v>
      </c>
      <c r="B1021" t="s">
        <v>95</v>
      </c>
      <c r="D1021" t="s">
        <v>74</v>
      </c>
      <c r="E1021">
        <v>4576.9799999999996</v>
      </c>
      <c r="F1021" s="2">
        <v>45439.666684444448</v>
      </c>
      <c r="G1021" t="s">
        <v>97</v>
      </c>
      <c r="H1021" t="s">
        <v>118</v>
      </c>
      <c r="I1021" t="s">
        <v>82</v>
      </c>
    </row>
    <row r="1022" spans="1:9" x14ac:dyDescent="0.45">
      <c r="A1022" t="s">
        <v>1709</v>
      </c>
      <c r="B1022" t="s">
        <v>172</v>
      </c>
      <c r="C1022" t="s">
        <v>160</v>
      </c>
      <c r="D1022" t="s">
        <v>74</v>
      </c>
      <c r="E1022">
        <v>0</v>
      </c>
      <c r="F1022" s="2">
        <v>45844.666684444448</v>
      </c>
      <c r="G1022" t="s">
        <v>174</v>
      </c>
      <c r="H1022" t="s">
        <v>87</v>
      </c>
      <c r="I1022" t="s">
        <v>163</v>
      </c>
    </row>
    <row r="1023" spans="1:9" x14ac:dyDescent="0.45">
      <c r="A1023" t="s">
        <v>1710</v>
      </c>
      <c r="B1023" t="s">
        <v>72</v>
      </c>
      <c r="C1023" t="s">
        <v>1711</v>
      </c>
      <c r="D1023" t="s">
        <v>85</v>
      </c>
      <c r="E1023">
        <v>710.68</v>
      </c>
      <c r="F1023" s="2">
        <v>45540.666684444448</v>
      </c>
      <c r="G1023" t="s">
        <v>75</v>
      </c>
      <c r="I1023" t="s">
        <v>77</v>
      </c>
    </row>
    <row r="1024" spans="1:9" x14ac:dyDescent="0.45">
      <c r="A1024" t="s">
        <v>1712</v>
      </c>
      <c r="B1024" t="s">
        <v>172</v>
      </c>
      <c r="C1024" t="s">
        <v>1713</v>
      </c>
      <c r="D1024" t="s">
        <v>74</v>
      </c>
      <c r="E1024">
        <v>2215.81</v>
      </c>
      <c r="F1024" s="2">
        <v>45406.666684444448</v>
      </c>
      <c r="G1024" t="s">
        <v>174</v>
      </c>
      <c r="H1024" t="s">
        <v>118</v>
      </c>
      <c r="I1024" t="s">
        <v>82</v>
      </c>
    </row>
    <row r="1025" spans="1:9" x14ac:dyDescent="0.45">
      <c r="A1025" t="s">
        <v>1714</v>
      </c>
      <c r="B1025" t="s">
        <v>72</v>
      </c>
      <c r="C1025" t="s">
        <v>982</v>
      </c>
      <c r="D1025" t="s">
        <v>85</v>
      </c>
      <c r="E1025">
        <v>6522.48</v>
      </c>
      <c r="F1025" s="2">
        <v>45640.666684444448</v>
      </c>
      <c r="G1025" t="s">
        <v>75</v>
      </c>
      <c r="H1025" t="s">
        <v>87</v>
      </c>
      <c r="I1025" t="s">
        <v>112</v>
      </c>
    </row>
    <row r="1026" spans="1:9" x14ac:dyDescent="0.45">
      <c r="A1026" t="s">
        <v>1715</v>
      </c>
      <c r="B1026" t="s">
        <v>99</v>
      </c>
      <c r="C1026" t="s">
        <v>875</v>
      </c>
      <c r="D1026" t="s">
        <v>74</v>
      </c>
      <c r="E1026">
        <v>2531.13</v>
      </c>
      <c r="F1026" s="2">
        <v>45680.666684444448</v>
      </c>
      <c r="H1026" t="s">
        <v>76</v>
      </c>
      <c r="I1026" t="s">
        <v>77</v>
      </c>
    </row>
    <row r="1027" spans="1:9" x14ac:dyDescent="0.45">
      <c r="A1027" t="s">
        <v>1716</v>
      </c>
      <c r="B1027" t="s">
        <v>172</v>
      </c>
      <c r="C1027" t="s">
        <v>1717</v>
      </c>
      <c r="E1027">
        <v>8451.11</v>
      </c>
      <c r="F1027" s="2">
        <v>45633.666684444448</v>
      </c>
      <c r="G1027" t="s">
        <v>174</v>
      </c>
      <c r="H1027" t="s">
        <v>81</v>
      </c>
      <c r="I1027" t="s">
        <v>77</v>
      </c>
    </row>
    <row r="1028" spans="1:9" x14ac:dyDescent="0.45">
      <c r="A1028" t="s">
        <v>1718</v>
      </c>
      <c r="B1028" t="s">
        <v>95</v>
      </c>
      <c r="C1028" t="s">
        <v>872</v>
      </c>
      <c r="D1028" t="s">
        <v>101</v>
      </c>
      <c r="E1028">
        <v>10843.41</v>
      </c>
      <c r="F1028" s="2">
        <v>45576.666684444448</v>
      </c>
      <c r="G1028" t="s">
        <v>97</v>
      </c>
      <c r="H1028" t="s">
        <v>116</v>
      </c>
      <c r="I1028" t="s">
        <v>119</v>
      </c>
    </row>
    <row r="1029" spans="1:9" x14ac:dyDescent="0.45">
      <c r="A1029" t="s">
        <v>1719</v>
      </c>
      <c r="B1029" t="s">
        <v>90</v>
      </c>
      <c r="C1029" t="s">
        <v>647</v>
      </c>
      <c r="D1029" t="s">
        <v>74</v>
      </c>
      <c r="E1029">
        <v>2125.46</v>
      </c>
      <c r="F1029" s="2">
        <v>45210.666684444448</v>
      </c>
      <c r="G1029" t="s">
        <v>93</v>
      </c>
      <c r="H1029" t="s">
        <v>133</v>
      </c>
      <c r="I1029" t="s">
        <v>82</v>
      </c>
    </row>
    <row r="1030" spans="1:9" x14ac:dyDescent="0.45">
      <c r="A1030" t="s">
        <v>108</v>
      </c>
      <c r="B1030" t="s">
        <v>79</v>
      </c>
      <c r="C1030" t="s">
        <v>1395</v>
      </c>
      <c r="E1030">
        <v>1520.55</v>
      </c>
      <c r="F1030" s="2">
        <v>45740.666684444448</v>
      </c>
      <c r="G1030" t="s">
        <v>86</v>
      </c>
      <c r="H1030" t="s">
        <v>118</v>
      </c>
      <c r="I1030" t="s">
        <v>163</v>
      </c>
    </row>
    <row r="1031" spans="1:9" x14ac:dyDescent="0.45">
      <c r="A1031" t="s">
        <v>1123</v>
      </c>
      <c r="B1031" t="s">
        <v>95</v>
      </c>
      <c r="C1031" t="s">
        <v>1720</v>
      </c>
      <c r="D1031" t="s">
        <v>101</v>
      </c>
      <c r="E1031">
        <v>4780.8100000000004</v>
      </c>
      <c r="F1031" s="2">
        <v>45168.666684444448</v>
      </c>
      <c r="G1031" t="s">
        <v>97</v>
      </c>
      <c r="H1031" t="s">
        <v>145</v>
      </c>
      <c r="I1031" t="s">
        <v>77</v>
      </c>
    </row>
    <row r="1032" spans="1:9" x14ac:dyDescent="0.45">
      <c r="A1032" t="s">
        <v>1721</v>
      </c>
      <c r="B1032" t="s">
        <v>104</v>
      </c>
      <c r="C1032" t="s">
        <v>1722</v>
      </c>
      <c r="D1032" t="s">
        <v>74</v>
      </c>
      <c r="E1032">
        <v>2039.88</v>
      </c>
      <c r="F1032" s="2">
        <v>45570.666684444448</v>
      </c>
      <c r="H1032" t="s">
        <v>133</v>
      </c>
      <c r="I1032" t="s">
        <v>88</v>
      </c>
    </row>
    <row r="1033" spans="1:9" x14ac:dyDescent="0.45">
      <c r="A1033" t="s">
        <v>1723</v>
      </c>
      <c r="B1033" t="s">
        <v>99</v>
      </c>
      <c r="C1033" t="s">
        <v>872</v>
      </c>
      <c r="D1033" t="s">
        <v>85</v>
      </c>
      <c r="E1033">
        <v>7295.51</v>
      </c>
      <c r="F1033" s="2">
        <v>45458.666684444448</v>
      </c>
      <c r="G1033" t="s">
        <v>102</v>
      </c>
      <c r="H1033" t="s">
        <v>81</v>
      </c>
      <c r="I1033" t="s">
        <v>119</v>
      </c>
    </row>
    <row r="1034" spans="1:9" x14ac:dyDescent="0.45">
      <c r="A1034" t="s">
        <v>1724</v>
      </c>
      <c r="B1034" t="s">
        <v>109</v>
      </c>
      <c r="C1034" t="s">
        <v>1725</v>
      </c>
      <c r="D1034" t="s">
        <v>85</v>
      </c>
      <c r="E1034">
        <v>1963.49</v>
      </c>
      <c r="F1034" s="2">
        <v>45746.666684444448</v>
      </c>
      <c r="G1034" t="s">
        <v>307</v>
      </c>
      <c r="H1034" t="s">
        <v>145</v>
      </c>
      <c r="I1034" t="s">
        <v>88</v>
      </c>
    </row>
    <row r="1035" spans="1:9" x14ac:dyDescent="0.45">
      <c r="A1035" t="s">
        <v>1726</v>
      </c>
      <c r="B1035" t="s">
        <v>72</v>
      </c>
      <c r="C1035" t="s">
        <v>1727</v>
      </c>
      <c r="D1035" t="s">
        <v>92</v>
      </c>
      <c r="E1035">
        <v>320.12</v>
      </c>
      <c r="F1035" s="2">
        <v>45384.666684444448</v>
      </c>
      <c r="G1035" t="s">
        <v>75</v>
      </c>
      <c r="H1035" t="s">
        <v>81</v>
      </c>
      <c r="I1035" t="s">
        <v>112</v>
      </c>
    </row>
    <row r="1036" spans="1:9" x14ac:dyDescent="0.45">
      <c r="A1036" t="s">
        <v>1728</v>
      </c>
      <c r="B1036" t="s">
        <v>95</v>
      </c>
      <c r="C1036" t="s">
        <v>693</v>
      </c>
      <c r="D1036" t="s">
        <v>74</v>
      </c>
      <c r="E1036">
        <v>0</v>
      </c>
      <c r="F1036" s="2">
        <v>45154.666684444448</v>
      </c>
      <c r="G1036" t="s">
        <v>97</v>
      </c>
      <c r="H1036" t="s">
        <v>107</v>
      </c>
      <c r="I1036" t="s">
        <v>119</v>
      </c>
    </row>
    <row r="1037" spans="1:9" x14ac:dyDescent="0.45">
      <c r="A1037" t="s">
        <v>1729</v>
      </c>
      <c r="B1037" t="s">
        <v>172</v>
      </c>
      <c r="C1037" t="s">
        <v>994</v>
      </c>
      <c r="D1037" t="s">
        <v>101</v>
      </c>
      <c r="E1037">
        <v>541.07000000000005</v>
      </c>
      <c r="F1037" s="2">
        <v>45221.666684444448</v>
      </c>
      <c r="G1037" t="s">
        <v>174</v>
      </c>
      <c r="H1037" t="s">
        <v>136</v>
      </c>
      <c r="I1037" t="s">
        <v>88</v>
      </c>
    </row>
    <row r="1038" spans="1:9" x14ac:dyDescent="0.45">
      <c r="A1038" t="s">
        <v>1730</v>
      </c>
      <c r="B1038" t="s">
        <v>90</v>
      </c>
      <c r="C1038" t="s">
        <v>1731</v>
      </c>
      <c r="D1038" t="s">
        <v>101</v>
      </c>
      <c r="E1038">
        <v>10463.82</v>
      </c>
      <c r="F1038" s="2">
        <v>45362.666684444448</v>
      </c>
      <c r="G1038" t="s">
        <v>93</v>
      </c>
      <c r="H1038" t="s">
        <v>118</v>
      </c>
      <c r="I1038" t="s">
        <v>163</v>
      </c>
    </row>
    <row r="1039" spans="1:9" x14ac:dyDescent="0.45">
      <c r="A1039" t="s">
        <v>1732</v>
      </c>
      <c r="B1039" t="s">
        <v>104</v>
      </c>
      <c r="C1039" t="s">
        <v>1733</v>
      </c>
      <c r="D1039" t="s">
        <v>74</v>
      </c>
      <c r="E1039">
        <v>0</v>
      </c>
      <c r="F1039" s="2">
        <v>45818.666684444448</v>
      </c>
      <c r="G1039" t="s">
        <v>115</v>
      </c>
      <c r="H1039" t="s">
        <v>145</v>
      </c>
      <c r="I1039" t="s">
        <v>163</v>
      </c>
    </row>
    <row r="1040" spans="1:9" x14ac:dyDescent="0.45">
      <c r="A1040" t="s">
        <v>1734</v>
      </c>
      <c r="B1040" t="s">
        <v>172</v>
      </c>
      <c r="C1040" t="s">
        <v>1545</v>
      </c>
      <c r="D1040" t="s">
        <v>148</v>
      </c>
      <c r="E1040">
        <v>11547.64</v>
      </c>
      <c r="F1040" s="2">
        <v>45717.666684444448</v>
      </c>
      <c r="H1040" t="s">
        <v>116</v>
      </c>
      <c r="I1040" t="s">
        <v>88</v>
      </c>
    </row>
    <row r="1041" spans="1:9" x14ac:dyDescent="0.45">
      <c r="A1041" t="s">
        <v>1735</v>
      </c>
      <c r="B1041" t="s">
        <v>79</v>
      </c>
      <c r="C1041" t="s">
        <v>1736</v>
      </c>
      <c r="D1041" t="s">
        <v>92</v>
      </c>
      <c r="E1041">
        <v>5876.45</v>
      </c>
      <c r="F1041" s="2">
        <v>45729.666684444448</v>
      </c>
      <c r="G1041" t="s">
        <v>86</v>
      </c>
      <c r="I1041" t="s">
        <v>119</v>
      </c>
    </row>
    <row r="1042" spans="1:9" x14ac:dyDescent="0.45">
      <c r="A1042" t="s">
        <v>988</v>
      </c>
      <c r="B1042" t="s">
        <v>90</v>
      </c>
      <c r="C1042" t="s">
        <v>251</v>
      </c>
      <c r="D1042" t="s">
        <v>101</v>
      </c>
      <c r="E1042">
        <v>10000.530000000001</v>
      </c>
      <c r="F1042" s="2">
        <v>45149.666684444448</v>
      </c>
      <c r="G1042" t="s">
        <v>93</v>
      </c>
      <c r="H1042" t="s">
        <v>136</v>
      </c>
      <c r="I1042" t="s">
        <v>82</v>
      </c>
    </row>
    <row r="1043" spans="1:9" x14ac:dyDescent="0.45">
      <c r="A1043" t="s">
        <v>1737</v>
      </c>
      <c r="B1043" t="s">
        <v>138</v>
      </c>
      <c r="C1043" t="s">
        <v>624</v>
      </c>
      <c r="D1043" t="s">
        <v>85</v>
      </c>
      <c r="E1043">
        <v>10705.84</v>
      </c>
      <c r="F1043" s="2">
        <v>45816.666684444448</v>
      </c>
      <c r="G1043" t="s">
        <v>140</v>
      </c>
      <c r="H1043" t="s">
        <v>107</v>
      </c>
      <c r="I1043" t="s">
        <v>112</v>
      </c>
    </row>
    <row r="1044" spans="1:9" x14ac:dyDescent="0.45">
      <c r="A1044" t="s">
        <v>1738</v>
      </c>
      <c r="B1044" t="s">
        <v>138</v>
      </c>
      <c r="C1044" t="s">
        <v>1739</v>
      </c>
      <c r="D1044" t="s">
        <v>74</v>
      </c>
      <c r="E1044">
        <v>6333.69</v>
      </c>
      <c r="F1044" s="2">
        <v>45403.666684444448</v>
      </c>
      <c r="G1044" t="s">
        <v>140</v>
      </c>
      <c r="H1044" t="s">
        <v>145</v>
      </c>
      <c r="I1044" t="s">
        <v>112</v>
      </c>
    </row>
    <row r="1045" spans="1:9" x14ac:dyDescent="0.45">
      <c r="A1045" t="s">
        <v>1740</v>
      </c>
      <c r="B1045" t="s">
        <v>138</v>
      </c>
      <c r="C1045" t="s">
        <v>1741</v>
      </c>
      <c r="D1045" t="s">
        <v>148</v>
      </c>
      <c r="E1045">
        <v>10119.64</v>
      </c>
      <c r="F1045" s="2">
        <v>45718.666684444448</v>
      </c>
      <c r="G1045" t="s">
        <v>140</v>
      </c>
      <c r="H1045" t="s">
        <v>145</v>
      </c>
      <c r="I1045" t="s">
        <v>77</v>
      </c>
    </row>
    <row r="1046" spans="1:9" x14ac:dyDescent="0.45">
      <c r="A1046" t="s">
        <v>1742</v>
      </c>
      <c r="B1046" t="s">
        <v>99</v>
      </c>
      <c r="C1046" t="s">
        <v>590</v>
      </c>
      <c r="D1046" t="s">
        <v>74</v>
      </c>
      <c r="E1046">
        <v>124.15</v>
      </c>
      <c r="F1046" s="2">
        <v>45169.666684444448</v>
      </c>
      <c r="G1046" t="s">
        <v>102</v>
      </c>
      <c r="H1046" t="s">
        <v>133</v>
      </c>
      <c r="I1046" t="s">
        <v>163</v>
      </c>
    </row>
    <row r="1047" spans="1:9" x14ac:dyDescent="0.45">
      <c r="A1047" t="s">
        <v>1743</v>
      </c>
      <c r="B1047" t="s">
        <v>95</v>
      </c>
      <c r="C1047" t="s">
        <v>183</v>
      </c>
      <c r="D1047" t="s">
        <v>74</v>
      </c>
      <c r="E1047">
        <v>8446.9599999999991</v>
      </c>
      <c r="F1047" s="2">
        <v>45307.666684444448</v>
      </c>
      <c r="G1047" t="s">
        <v>97</v>
      </c>
      <c r="H1047" t="s">
        <v>118</v>
      </c>
      <c r="I1047" t="s">
        <v>119</v>
      </c>
    </row>
    <row r="1048" spans="1:9" x14ac:dyDescent="0.45">
      <c r="A1048" t="s">
        <v>1744</v>
      </c>
      <c r="B1048" t="s">
        <v>72</v>
      </c>
      <c r="C1048" t="s">
        <v>1631</v>
      </c>
      <c r="D1048" t="s">
        <v>85</v>
      </c>
      <c r="E1048">
        <v>11614.35</v>
      </c>
      <c r="F1048" s="2">
        <v>45609.666684444448</v>
      </c>
      <c r="G1048" t="s">
        <v>75</v>
      </c>
      <c r="H1048" t="s">
        <v>81</v>
      </c>
      <c r="I1048" t="s">
        <v>77</v>
      </c>
    </row>
    <row r="1049" spans="1:9" x14ac:dyDescent="0.45">
      <c r="A1049" t="s">
        <v>1745</v>
      </c>
      <c r="B1049" t="s">
        <v>95</v>
      </c>
      <c r="C1049" t="s">
        <v>1746</v>
      </c>
      <c r="D1049" t="s">
        <v>85</v>
      </c>
      <c r="E1049">
        <v>5385.98</v>
      </c>
      <c r="F1049" s="2">
        <v>45659.666684444448</v>
      </c>
      <c r="G1049" t="s">
        <v>97</v>
      </c>
      <c r="H1049" t="s">
        <v>107</v>
      </c>
      <c r="I1049" t="s">
        <v>119</v>
      </c>
    </row>
    <row r="1050" spans="1:9" x14ac:dyDescent="0.45">
      <c r="A1050" t="s">
        <v>1747</v>
      </c>
      <c r="B1050" t="s">
        <v>104</v>
      </c>
      <c r="C1050" t="s">
        <v>420</v>
      </c>
      <c r="D1050" t="s">
        <v>85</v>
      </c>
      <c r="E1050">
        <v>0</v>
      </c>
      <c r="F1050" s="2">
        <v>45795.666684444448</v>
      </c>
      <c r="H1050" t="s">
        <v>133</v>
      </c>
      <c r="I1050" t="s">
        <v>77</v>
      </c>
    </row>
    <row r="1051" spans="1:9" x14ac:dyDescent="0.45">
      <c r="A1051" t="s">
        <v>1748</v>
      </c>
      <c r="B1051" t="s">
        <v>95</v>
      </c>
      <c r="C1051" t="s">
        <v>1749</v>
      </c>
      <c r="D1051" t="s">
        <v>74</v>
      </c>
      <c r="E1051">
        <v>8270.93</v>
      </c>
      <c r="F1051" s="2">
        <v>45580.666684444448</v>
      </c>
      <c r="G1051" t="s">
        <v>97</v>
      </c>
      <c r="I1051" t="s">
        <v>112</v>
      </c>
    </row>
    <row r="1052" spans="1:9" x14ac:dyDescent="0.45">
      <c r="A1052" t="s">
        <v>1750</v>
      </c>
      <c r="B1052" t="s">
        <v>95</v>
      </c>
      <c r="C1052" t="s">
        <v>519</v>
      </c>
      <c r="D1052" t="s">
        <v>101</v>
      </c>
      <c r="E1052">
        <v>6457.64</v>
      </c>
      <c r="F1052" s="2">
        <v>45412.666684444448</v>
      </c>
      <c r="G1052" t="s">
        <v>97</v>
      </c>
      <c r="H1052" t="s">
        <v>145</v>
      </c>
      <c r="I1052" t="s">
        <v>112</v>
      </c>
    </row>
    <row r="1053" spans="1:9" x14ac:dyDescent="0.45">
      <c r="A1053" t="s">
        <v>1751</v>
      </c>
      <c r="B1053" t="s">
        <v>79</v>
      </c>
      <c r="C1053" t="s">
        <v>1617</v>
      </c>
      <c r="D1053" t="s">
        <v>85</v>
      </c>
      <c r="E1053">
        <v>3525.14</v>
      </c>
      <c r="F1053" s="2">
        <v>45313.666684444448</v>
      </c>
      <c r="G1053" t="s">
        <v>86</v>
      </c>
      <c r="H1053" t="s">
        <v>81</v>
      </c>
      <c r="I1053" t="s">
        <v>77</v>
      </c>
    </row>
    <row r="1054" spans="1:9" x14ac:dyDescent="0.45">
      <c r="A1054" t="s">
        <v>1752</v>
      </c>
      <c r="B1054" t="s">
        <v>72</v>
      </c>
      <c r="C1054" t="s">
        <v>1249</v>
      </c>
      <c r="D1054" t="s">
        <v>74</v>
      </c>
      <c r="E1054">
        <v>6002.78</v>
      </c>
      <c r="F1054" s="2">
        <v>45727.666684444448</v>
      </c>
      <c r="G1054" t="s">
        <v>521</v>
      </c>
      <c r="H1054" t="s">
        <v>145</v>
      </c>
      <c r="I1054" t="s">
        <v>77</v>
      </c>
    </row>
    <row r="1055" spans="1:9" x14ac:dyDescent="0.45">
      <c r="A1055" t="s">
        <v>1753</v>
      </c>
      <c r="B1055" t="s">
        <v>95</v>
      </c>
      <c r="C1055" t="s">
        <v>1754</v>
      </c>
      <c r="D1055" t="s">
        <v>148</v>
      </c>
      <c r="E1055">
        <v>4088.23</v>
      </c>
      <c r="F1055" s="2">
        <v>45574.666684444448</v>
      </c>
      <c r="H1055" t="s">
        <v>136</v>
      </c>
      <c r="I1055" t="s">
        <v>112</v>
      </c>
    </row>
    <row r="1056" spans="1:9" x14ac:dyDescent="0.45">
      <c r="A1056" t="s">
        <v>1755</v>
      </c>
      <c r="B1056" t="s">
        <v>72</v>
      </c>
      <c r="C1056" t="s">
        <v>1083</v>
      </c>
      <c r="D1056" t="s">
        <v>74</v>
      </c>
      <c r="E1056">
        <v>7045.59</v>
      </c>
      <c r="F1056" s="2">
        <v>45778.666684444448</v>
      </c>
      <c r="G1056" t="s">
        <v>75</v>
      </c>
      <c r="H1056" t="s">
        <v>87</v>
      </c>
      <c r="I1056" t="s">
        <v>77</v>
      </c>
    </row>
    <row r="1057" spans="1:9" x14ac:dyDescent="0.45">
      <c r="A1057" t="s">
        <v>1756</v>
      </c>
      <c r="B1057" t="s">
        <v>109</v>
      </c>
      <c r="C1057" t="s">
        <v>1427</v>
      </c>
      <c r="D1057" t="s">
        <v>85</v>
      </c>
      <c r="E1057">
        <v>0</v>
      </c>
      <c r="F1057" s="2">
        <v>45631.666684444448</v>
      </c>
      <c r="G1057" t="s">
        <v>111</v>
      </c>
      <c r="H1057" t="s">
        <v>116</v>
      </c>
      <c r="I1057" t="s">
        <v>112</v>
      </c>
    </row>
    <row r="1058" spans="1:9" x14ac:dyDescent="0.45">
      <c r="A1058" t="s">
        <v>1757</v>
      </c>
      <c r="B1058" t="s">
        <v>138</v>
      </c>
      <c r="C1058" t="s">
        <v>994</v>
      </c>
      <c r="D1058" t="s">
        <v>92</v>
      </c>
      <c r="E1058">
        <v>6748.54</v>
      </c>
      <c r="F1058" s="2">
        <v>45221.666684444448</v>
      </c>
      <c r="G1058" t="s">
        <v>140</v>
      </c>
      <c r="H1058" t="s">
        <v>107</v>
      </c>
      <c r="I1058" t="s">
        <v>88</v>
      </c>
    </row>
    <row r="1059" spans="1:9" x14ac:dyDescent="0.45">
      <c r="A1059" t="s">
        <v>1758</v>
      </c>
      <c r="B1059" t="s">
        <v>172</v>
      </c>
      <c r="C1059" t="s">
        <v>1759</v>
      </c>
      <c r="D1059" t="s">
        <v>101</v>
      </c>
      <c r="E1059">
        <v>8437.1299999999992</v>
      </c>
      <c r="F1059" s="2">
        <v>45609.666684444448</v>
      </c>
      <c r="G1059" t="s">
        <v>174</v>
      </c>
      <c r="I1059" t="s">
        <v>88</v>
      </c>
    </row>
    <row r="1060" spans="1:9" x14ac:dyDescent="0.45">
      <c r="A1060" t="s">
        <v>1760</v>
      </c>
      <c r="B1060" t="s">
        <v>79</v>
      </c>
      <c r="C1060" t="s">
        <v>1634</v>
      </c>
      <c r="D1060" t="s">
        <v>85</v>
      </c>
      <c r="E1060">
        <v>5644.46</v>
      </c>
      <c r="F1060" s="2">
        <v>45484.666684444448</v>
      </c>
      <c r="G1060" t="s">
        <v>86</v>
      </c>
      <c r="H1060" t="s">
        <v>128</v>
      </c>
      <c r="I1060" t="s">
        <v>77</v>
      </c>
    </row>
    <row r="1061" spans="1:9" x14ac:dyDescent="0.45">
      <c r="A1061" t="s">
        <v>1761</v>
      </c>
      <c r="B1061" t="s">
        <v>138</v>
      </c>
      <c r="C1061" t="s">
        <v>436</v>
      </c>
      <c r="E1061">
        <v>9200.4599999999991</v>
      </c>
      <c r="F1061" s="2">
        <v>45546.666684444448</v>
      </c>
      <c r="G1061" t="s">
        <v>140</v>
      </c>
      <c r="H1061" t="s">
        <v>133</v>
      </c>
      <c r="I1061" t="s">
        <v>88</v>
      </c>
    </row>
    <row r="1062" spans="1:9" x14ac:dyDescent="0.45">
      <c r="A1062" t="s">
        <v>1762</v>
      </c>
      <c r="B1062" t="s">
        <v>72</v>
      </c>
      <c r="D1062" t="s">
        <v>74</v>
      </c>
      <c r="E1062">
        <v>8955.0499999999993</v>
      </c>
      <c r="F1062" s="2">
        <v>45469.666684444448</v>
      </c>
      <c r="G1062" t="s">
        <v>75</v>
      </c>
      <c r="H1062" t="s">
        <v>76</v>
      </c>
      <c r="I1062" t="s">
        <v>77</v>
      </c>
    </row>
    <row r="1063" spans="1:9" x14ac:dyDescent="0.45">
      <c r="A1063" t="s">
        <v>1763</v>
      </c>
      <c r="B1063" t="s">
        <v>138</v>
      </c>
      <c r="C1063" t="s">
        <v>1764</v>
      </c>
      <c r="D1063" t="s">
        <v>155</v>
      </c>
      <c r="E1063">
        <v>774.43</v>
      </c>
      <c r="F1063" s="2">
        <v>45456.666684444448</v>
      </c>
      <c r="G1063" t="s">
        <v>194</v>
      </c>
      <c r="H1063" t="s">
        <v>128</v>
      </c>
      <c r="I1063" t="s">
        <v>88</v>
      </c>
    </row>
    <row r="1064" spans="1:9" x14ac:dyDescent="0.45">
      <c r="A1064" t="s">
        <v>1765</v>
      </c>
      <c r="B1064" t="s">
        <v>95</v>
      </c>
      <c r="C1064" t="s">
        <v>273</v>
      </c>
      <c r="D1064" t="s">
        <v>85</v>
      </c>
      <c r="E1064">
        <v>4293.76</v>
      </c>
      <c r="F1064" s="2">
        <v>45814.666684444448</v>
      </c>
      <c r="H1064" t="s">
        <v>145</v>
      </c>
      <c r="I1064" t="s">
        <v>82</v>
      </c>
    </row>
    <row r="1065" spans="1:9" x14ac:dyDescent="0.45">
      <c r="A1065" t="s">
        <v>1766</v>
      </c>
      <c r="B1065" t="s">
        <v>172</v>
      </c>
      <c r="C1065" t="s">
        <v>1413</v>
      </c>
      <c r="D1065" t="s">
        <v>101</v>
      </c>
      <c r="E1065">
        <v>9686.5300000000007</v>
      </c>
      <c r="F1065" s="2">
        <v>45235.666684444448</v>
      </c>
      <c r="G1065" t="s">
        <v>174</v>
      </c>
      <c r="H1065" t="s">
        <v>136</v>
      </c>
      <c r="I1065" t="s">
        <v>163</v>
      </c>
    </row>
    <row r="1066" spans="1:9" x14ac:dyDescent="0.45">
      <c r="A1066" t="s">
        <v>1485</v>
      </c>
      <c r="B1066" t="s">
        <v>95</v>
      </c>
      <c r="C1066" t="s">
        <v>1767</v>
      </c>
      <c r="D1066" t="s">
        <v>101</v>
      </c>
      <c r="E1066">
        <v>3804.01</v>
      </c>
      <c r="F1066" s="2">
        <v>45292.666684444448</v>
      </c>
      <c r="G1066" t="s">
        <v>97</v>
      </c>
      <c r="I1066" t="s">
        <v>112</v>
      </c>
    </row>
    <row r="1067" spans="1:9" x14ac:dyDescent="0.45">
      <c r="A1067" t="s">
        <v>1768</v>
      </c>
      <c r="B1067" t="s">
        <v>104</v>
      </c>
      <c r="C1067" t="s">
        <v>121</v>
      </c>
      <c r="D1067" t="s">
        <v>101</v>
      </c>
      <c r="E1067">
        <v>10155.450000000001</v>
      </c>
      <c r="F1067" s="2">
        <v>45465.666684444448</v>
      </c>
      <c r="G1067" t="s">
        <v>115</v>
      </c>
      <c r="H1067" t="s">
        <v>136</v>
      </c>
      <c r="I1067" t="s">
        <v>82</v>
      </c>
    </row>
    <row r="1068" spans="1:9" x14ac:dyDescent="0.45">
      <c r="A1068" t="s">
        <v>1769</v>
      </c>
      <c r="B1068" t="s">
        <v>95</v>
      </c>
      <c r="C1068" t="s">
        <v>1389</v>
      </c>
      <c r="D1068" t="s">
        <v>92</v>
      </c>
      <c r="E1068">
        <v>9989.98</v>
      </c>
      <c r="F1068" s="2">
        <v>45549.666684444448</v>
      </c>
      <c r="G1068" t="s">
        <v>97</v>
      </c>
      <c r="H1068" t="s">
        <v>136</v>
      </c>
      <c r="I1068" t="s">
        <v>82</v>
      </c>
    </row>
    <row r="1069" spans="1:9" x14ac:dyDescent="0.45">
      <c r="A1069" t="s">
        <v>1770</v>
      </c>
      <c r="B1069" t="s">
        <v>172</v>
      </c>
      <c r="C1069" t="s">
        <v>1399</v>
      </c>
      <c r="D1069" t="s">
        <v>92</v>
      </c>
      <c r="E1069">
        <v>5087.17</v>
      </c>
      <c r="F1069" s="2">
        <v>45838.666684444448</v>
      </c>
      <c r="I1069" t="s">
        <v>82</v>
      </c>
    </row>
    <row r="1070" spans="1:9" x14ac:dyDescent="0.45">
      <c r="A1070" t="s">
        <v>1771</v>
      </c>
      <c r="B1070" t="s">
        <v>90</v>
      </c>
      <c r="C1070" t="s">
        <v>1663</v>
      </c>
      <c r="E1070">
        <v>0</v>
      </c>
      <c r="F1070" s="2">
        <v>45635.666684444448</v>
      </c>
      <c r="G1070" t="s">
        <v>93</v>
      </c>
      <c r="I1070" t="s">
        <v>88</v>
      </c>
    </row>
    <row r="1071" spans="1:9" x14ac:dyDescent="0.45">
      <c r="A1071" t="s">
        <v>1772</v>
      </c>
      <c r="B1071" t="s">
        <v>109</v>
      </c>
      <c r="C1071" t="s">
        <v>1773</v>
      </c>
      <c r="D1071" t="s">
        <v>106</v>
      </c>
      <c r="E1071">
        <v>0</v>
      </c>
      <c r="F1071" s="2">
        <v>45423.666684444448</v>
      </c>
      <c r="G1071" t="s">
        <v>111</v>
      </c>
      <c r="H1071" t="s">
        <v>76</v>
      </c>
      <c r="I1071" t="s">
        <v>163</v>
      </c>
    </row>
    <row r="1072" spans="1:9" x14ac:dyDescent="0.45">
      <c r="A1072" t="s">
        <v>1774</v>
      </c>
      <c r="B1072" t="s">
        <v>72</v>
      </c>
      <c r="C1072" t="s">
        <v>1620</v>
      </c>
      <c r="D1072" t="s">
        <v>92</v>
      </c>
      <c r="E1072">
        <v>4128.91</v>
      </c>
      <c r="F1072" s="2">
        <v>45806.666684444448</v>
      </c>
      <c r="G1072" t="s">
        <v>75</v>
      </c>
      <c r="H1072" t="s">
        <v>116</v>
      </c>
      <c r="I1072" t="s">
        <v>119</v>
      </c>
    </row>
    <row r="1073" spans="1:9" x14ac:dyDescent="0.45">
      <c r="A1073" t="s">
        <v>1775</v>
      </c>
      <c r="B1073" t="s">
        <v>109</v>
      </c>
      <c r="C1073" t="s">
        <v>573</v>
      </c>
      <c r="D1073" t="s">
        <v>85</v>
      </c>
      <c r="E1073">
        <v>9268.93</v>
      </c>
      <c r="F1073" s="2">
        <v>45538.666684444448</v>
      </c>
      <c r="G1073" t="s">
        <v>307</v>
      </c>
      <c r="I1073" t="s">
        <v>77</v>
      </c>
    </row>
    <row r="1074" spans="1:9" x14ac:dyDescent="0.45">
      <c r="A1074" t="s">
        <v>1776</v>
      </c>
      <c r="B1074" t="s">
        <v>104</v>
      </c>
      <c r="C1074" t="s">
        <v>884</v>
      </c>
      <c r="D1074" t="s">
        <v>101</v>
      </c>
      <c r="E1074">
        <v>11462.91</v>
      </c>
      <c r="F1074" s="2">
        <v>45691.666684444448</v>
      </c>
      <c r="G1074" t="s">
        <v>115</v>
      </c>
      <c r="H1074" t="s">
        <v>76</v>
      </c>
      <c r="I1074" t="s">
        <v>77</v>
      </c>
    </row>
    <row r="1075" spans="1:9" x14ac:dyDescent="0.45">
      <c r="A1075" t="s">
        <v>1777</v>
      </c>
      <c r="B1075" t="s">
        <v>109</v>
      </c>
      <c r="C1075" t="s">
        <v>185</v>
      </c>
      <c r="D1075" t="s">
        <v>85</v>
      </c>
      <c r="E1075">
        <v>3818.25</v>
      </c>
      <c r="F1075" s="2">
        <v>45165.666684444448</v>
      </c>
      <c r="G1075" t="s">
        <v>111</v>
      </c>
      <c r="H1075" t="s">
        <v>116</v>
      </c>
      <c r="I1075" t="s">
        <v>163</v>
      </c>
    </row>
    <row r="1076" spans="1:9" x14ac:dyDescent="0.45">
      <c r="A1076" t="s">
        <v>1778</v>
      </c>
      <c r="B1076" t="s">
        <v>138</v>
      </c>
      <c r="C1076" t="s">
        <v>475</v>
      </c>
      <c r="D1076" t="s">
        <v>74</v>
      </c>
      <c r="E1076">
        <v>8950.7099999999991</v>
      </c>
      <c r="F1076" s="2">
        <v>45593.666684444448</v>
      </c>
      <c r="H1076" t="s">
        <v>76</v>
      </c>
      <c r="I1076" t="s">
        <v>112</v>
      </c>
    </row>
    <row r="1077" spans="1:9" x14ac:dyDescent="0.45">
      <c r="A1077" t="s">
        <v>1779</v>
      </c>
      <c r="B1077" t="s">
        <v>79</v>
      </c>
      <c r="C1077" t="s">
        <v>1780</v>
      </c>
      <c r="D1077" t="s">
        <v>92</v>
      </c>
      <c r="E1077">
        <v>5678.07</v>
      </c>
      <c r="F1077" s="2">
        <v>45218.666684444448</v>
      </c>
      <c r="G1077" t="s">
        <v>86</v>
      </c>
      <c r="H1077" t="s">
        <v>107</v>
      </c>
      <c r="I1077" t="s">
        <v>112</v>
      </c>
    </row>
    <row r="1078" spans="1:9" x14ac:dyDescent="0.45">
      <c r="A1078" t="s">
        <v>1781</v>
      </c>
      <c r="B1078" t="s">
        <v>172</v>
      </c>
      <c r="C1078" t="s">
        <v>680</v>
      </c>
      <c r="D1078" t="s">
        <v>101</v>
      </c>
      <c r="E1078">
        <v>10894.47</v>
      </c>
      <c r="F1078" s="2">
        <v>45450.666684444448</v>
      </c>
      <c r="G1078" t="s">
        <v>174</v>
      </c>
      <c r="I1078" t="s">
        <v>88</v>
      </c>
    </row>
    <row r="1079" spans="1:9" x14ac:dyDescent="0.45">
      <c r="A1079" t="s">
        <v>1782</v>
      </c>
      <c r="B1079" t="s">
        <v>79</v>
      </c>
      <c r="C1079" t="s">
        <v>1783</v>
      </c>
      <c r="D1079" t="s">
        <v>74</v>
      </c>
      <c r="E1079">
        <v>9399.7999999999993</v>
      </c>
      <c r="F1079" s="2">
        <v>45386.666684444448</v>
      </c>
      <c r="G1079" t="s">
        <v>86</v>
      </c>
      <c r="H1079" t="s">
        <v>145</v>
      </c>
      <c r="I1079" t="s">
        <v>88</v>
      </c>
    </row>
    <row r="1080" spans="1:9" x14ac:dyDescent="0.45">
      <c r="A1080" t="s">
        <v>1784</v>
      </c>
      <c r="B1080" t="s">
        <v>172</v>
      </c>
      <c r="C1080" t="s">
        <v>685</v>
      </c>
      <c r="D1080" t="s">
        <v>74</v>
      </c>
      <c r="E1080">
        <v>8375.66</v>
      </c>
      <c r="F1080" s="2">
        <v>45459.666684444448</v>
      </c>
      <c r="G1080" t="s">
        <v>174</v>
      </c>
      <c r="H1080" t="s">
        <v>128</v>
      </c>
      <c r="I1080" t="s">
        <v>119</v>
      </c>
    </row>
    <row r="1081" spans="1:9" x14ac:dyDescent="0.45">
      <c r="A1081" t="s">
        <v>1785</v>
      </c>
      <c r="B1081" t="s">
        <v>72</v>
      </c>
      <c r="C1081" t="s">
        <v>953</v>
      </c>
      <c r="D1081" t="s">
        <v>101</v>
      </c>
      <c r="E1081">
        <v>0</v>
      </c>
      <c r="F1081" s="2">
        <v>45246.666684444448</v>
      </c>
      <c r="G1081" t="s">
        <v>75</v>
      </c>
      <c r="H1081" t="s">
        <v>107</v>
      </c>
      <c r="I1081" t="s">
        <v>112</v>
      </c>
    </row>
    <row r="1082" spans="1:9" x14ac:dyDescent="0.45">
      <c r="A1082" t="s">
        <v>1786</v>
      </c>
      <c r="B1082" t="s">
        <v>109</v>
      </c>
      <c r="C1082" t="s">
        <v>1069</v>
      </c>
      <c r="D1082" t="s">
        <v>85</v>
      </c>
      <c r="E1082">
        <v>364.55</v>
      </c>
      <c r="F1082" s="2">
        <v>45541.666684444448</v>
      </c>
      <c r="G1082" t="s">
        <v>111</v>
      </c>
      <c r="H1082" t="s">
        <v>145</v>
      </c>
      <c r="I1082" t="s">
        <v>88</v>
      </c>
    </row>
    <row r="1083" spans="1:9" x14ac:dyDescent="0.45">
      <c r="A1083" t="s">
        <v>1787</v>
      </c>
      <c r="B1083" t="s">
        <v>72</v>
      </c>
      <c r="C1083" t="s">
        <v>838</v>
      </c>
      <c r="D1083" t="s">
        <v>85</v>
      </c>
      <c r="E1083">
        <v>555.1</v>
      </c>
      <c r="F1083" s="2">
        <v>45654.666684444448</v>
      </c>
      <c r="G1083" t="s">
        <v>75</v>
      </c>
      <c r="H1083" t="s">
        <v>136</v>
      </c>
      <c r="I1083" t="s">
        <v>77</v>
      </c>
    </row>
    <row r="1084" spans="1:9" x14ac:dyDescent="0.45">
      <c r="A1084" t="s">
        <v>1788</v>
      </c>
      <c r="B1084" t="s">
        <v>95</v>
      </c>
      <c r="C1084" t="s">
        <v>1789</v>
      </c>
      <c r="D1084" t="s">
        <v>85</v>
      </c>
      <c r="E1084">
        <v>5966.43</v>
      </c>
      <c r="F1084" s="2">
        <v>45129.666684444448</v>
      </c>
      <c r="G1084" t="s">
        <v>97</v>
      </c>
      <c r="H1084" t="s">
        <v>81</v>
      </c>
      <c r="I1084" t="s">
        <v>163</v>
      </c>
    </row>
    <row r="1085" spans="1:9" x14ac:dyDescent="0.45">
      <c r="A1085" t="s">
        <v>1790</v>
      </c>
      <c r="B1085" t="s">
        <v>95</v>
      </c>
      <c r="C1085" t="s">
        <v>1791</v>
      </c>
      <c r="D1085" t="s">
        <v>85</v>
      </c>
      <c r="E1085">
        <v>2302.0300000000002</v>
      </c>
      <c r="F1085" s="2">
        <v>45801.666684444448</v>
      </c>
      <c r="G1085" t="s">
        <v>97</v>
      </c>
      <c r="H1085" t="s">
        <v>136</v>
      </c>
      <c r="I1085" t="s">
        <v>119</v>
      </c>
    </row>
    <row r="1086" spans="1:9" x14ac:dyDescent="0.45">
      <c r="A1086" t="s">
        <v>1792</v>
      </c>
      <c r="B1086" t="s">
        <v>79</v>
      </c>
      <c r="C1086" t="s">
        <v>1540</v>
      </c>
      <c r="D1086" t="s">
        <v>92</v>
      </c>
      <c r="E1086">
        <v>8732.48</v>
      </c>
      <c r="F1086" s="2">
        <v>45683.666684444448</v>
      </c>
      <c r="G1086" t="s">
        <v>86</v>
      </c>
      <c r="H1086" t="s">
        <v>128</v>
      </c>
      <c r="I1086" t="s">
        <v>119</v>
      </c>
    </row>
    <row r="1087" spans="1:9" x14ac:dyDescent="0.45">
      <c r="A1087" t="s">
        <v>1793</v>
      </c>
      <c r="B1087" t="s">
        <v>99</v>
      </c>
      <c r="C1087" t="s">
        <v>731</v>
      </c>
      <c r="D1087" t="s">
        <v>74</v>
      </c>
      <c r="E1087">
        <v>861.78</v>
      </c>
      <c r="F1087" s="2">
        <v>45601.666684444448</v>
      </c>
      <c r="G1087" t="s">
        <v>285</v>
      </c>
      <c r="I1087" t="s">
        <v>112</v>
      </c>
    </row>
    <row r="1088" spans="1:9" x14ac:dyDescent="0.45">
      <c r="A1088" t="s">
        <v>1794</v>
      </c>
      <c r="B1088" t="s">
        <v>99</v>
      </c>
      <c r="D1088" t="s">
        <v>74</v>
      </c>
      <c r="E1088">
        <v>636.54999999999995</v>
      </c>
      <c r="F1088" s="2">
        <v>45551.666684444448</v>
      </c>
      <c r="G1088" t="s">
        <v>102</v>
      </c>
      <c r="H1088" t="s">
        <v>107</v>
      </c>
      <c r="I1088" t="s">
        <v>82</v>
      </c>
    </row>
    <row r="1089" spans="1:9" x14ac:dyDescent="0.45">
      <c r="A1089" t="s">
        <v>1795</v>
      </c>
      <c r="B1089" t="s">
        <v>99</v>
      </c>
      <c r="C1089" t="s">
        <v>1213</v>
      </c>
      <c r="D1089" t="s">
        <v>85</v>
      </c>
      <c r="E1089">
        <v>3120.75</v>
      </c>
      <c r="F1089" s="2">
        <v>45183.666684444448</v>
      </c>
      <c r="G1089" t="s">
        <v>102</v>
      </c>
      <c r="H1089" t="s">
        <v>136</v>
      </c>
      <c r="I1089" t="s">
        <v>88</v>
      </c>
    </row>
    <row r="1090" spans="1:9" x14ac:dyDescent="0.45">
      <c r="A1090" t="s">
        <v>1796</v>
      </c>
      <c r="B1090" t="s">
        <v>104</v>
      </c>
      <c r="C1090" t="s">
        <v>1797</v>
      </c>
      <c r="D1090" t="s">
        <v>85</v>
      </c>
      <c r="E1090">
        <v>3135.94</v>
      </c>
      <c r="F1090" s="2">
        <v>45320.666684444448</v>
      </c>
      <c r="G1090" t="s">
        <v>115</v>
      </c>
      <c r="H1090" t="s">
        <v>128</v>
      </c>
      <c r="I1090" t="s">
        <v>119</v>
      </c>
    </row>
    <row r="1091" spans="1:9" x14ac:dyDescent="0.45">
      <c r="A1091" t="s">
        <v>1798</v>
      </c>
      <c r="B1091" t="s">
        <v>138</v>
      </c>
      <c r="C1091" t="s">
        <v>1799</v>
      </c>
      <c r="D1091" t="s">
        <v>74</v>
      </c>
      <c r="E1091">
        <v>3716.74</v>
      </c>
      <c r="F1091" s="2">
        <v>45658.666684444448</v>
      </c>
      <c r="G1091" t="s">
        <v>140</v>
      </c>
      <c r="H1091" t="s">
        <v>133</v>
      </c>
      <c r="I1091" t="s">
        <v>163</v>
      </c>
    </row>
    <row r="1092" spans="1:9" x14ac:dyDescent="0.45">
      <c r="A1092" t="s">
        <v>1800</v>
      </c>
      <c r="B1092" t="s">
        <v>138</v>
      </c>
      <c r="C1092" t="s">
        <v>208</v>
      </c>
      <c r="D1092" t="s">
        <v>101</v>
      </c>
      <c r="E1092">
        <v>3341.58</v>
      </c>
      <c r="F1092" s="2">
        <v>45498.666684444448</v>
      </c>
      <c r="G1092" t="s">
        <v>140</v>
      </c>
      <c r="H1092" t="s">
        <v>81</v>
      </c>
      <c r="I1092" t="s">
        <v>119</v>
      </c>
    </row>
    <row r="1093" spans="1:9" x14ac:dyDescent="0.45">
      <c r="A1093" t="s">
        <v>1801</v>
      </c>
      <c r="B1093" t="s">
        <v>95</v>
      </c>
      <c r="C1093" t="s">
        <v>1223</v>
      </c>
      <c r="D1093" t="s">
        <v>74</v>
      </c>
      <c r="E1093">
        <v>7634.63</v>
      </c>
      <c r="F1093" s="2">
        <v>45765.666684444448</v>
      </c>
      <c r="G1093" t="s">
        <v>97</v>
      </c>
      <c r="H1093" t="s">
        <v>87</v>
      </c>
      <c r="I1093" t="s">
        <v>163</v>
      </c>
    </row>
    <row r="1094" spans="1:9" x14ac:dyDescent="0.45">
      <c r="A1094" t="s">
        <v>1802</v>
      </c>
      <c r="B1094" t="s">
        <v>99</v>
      </c>
      <c r="C1094" t="s">
        <v>1599</v>
      </c>
      <c r="D1094" t="s">
        <v>85</v>
      </c>
      <c r="E1094">
        <v>11016.13</v>
      </c>
      <c r="F1094" s="2">
        <v>45638.666684444448</v>
      </c>
      <c r="G1094" t="s">
        <v>102</v>
      </c>
      <c r="H1094" t="s">
        <v>136</v>
      </c>
      <c r="I1094" t="s">
        <v>82</v>
      </c>
    </row>
    <row r="1095" spans="1:9" x14ac:dyDescent="0.45">
      <c r="A1095" t="s">
        <v>1803</v>
      </c>
      <c r="B1095" t="s">
        <v>172</v>
      </c>
      <c r="C1095" t="s">
        <v>1741</v>
      </c>
      <c r="D1095" t="s">
        <v>101</v>
      </c>
      <c r="E1095">
        <v>8867.35</v>
      </c>
      <c r="F1095" s="2">
        <v>45768.666684444448</v>
      </c>
      <c r="G1095" t="s">
        <v>174</v>
      </c>
      <c r="H1095" t="s">
        <v>136</v>
      </c>
      <c r="I1095" t="s">
        <v>112</v>
      </c>
    </row>
    <row r="1096" spans="1:9" x14ac:dyDescent="0.45">
      <c r="A1096" t="s">
        <v>1541</v>
      </c>
      <c r="B1096" t="s">
        <v>95</v>
      </c>
      <c r="C1096" t="s">
        <v>1804</v>
      </c>
      <c r="D1096" t="s">
        <v>85</v>
      </c>
      <c r="E1096">
        <v>10120.48</v>
      </c>
      <c r="F1096" s="2">
        <v>45580.666684444448</v>
      </c>
      <c r="G1096" t="s">
        <v>97</v>
      </c>
      <c r="H1096" t="s">
        <v>136</v>
      </c>
      <c r="I1096" t="s">
        <v>82</v>
      </c>
    </row>
    <row r="1097" spans="1:9" x14ac:dyDescent="0.45">
      <c r="A1097" t="s">
        <v>1805</v>
      </c>
      <c r="B1097" t="s">
        <v>72</v>
      </c>
      <c r="C1097" t="s">
        <v>1806</v>
      </c>
      <c r="E1097">
        <v>8914.7900000000009</v>
      </c>
      <c r="F1097" s="2">
        <v>45180.666684444448</v>
      </c>
      <c r="G1097" t="s">
        <v>75</v>
      </c>
      <c r="H1097" t="s">
        <v>81</v>
      </c>
      <c r="I1097" t="s">
        <v>112</v>
      </c>
    </row>
    <row r="1098" spans="1:9" x14ac:dyDescent="0.45">
      <c r="A1098" t="s">
        <v>1807</v>
      </c>
      <c r="B1098" t="s">
        <v>99</v>
      </c>
      <c r="C1098" t="s">
        <v>1188</v>
      </c>
      <c r="D1098" t="s">
        <v>101</v>
      </c>
      <c r="E1098">
        <v>9106.67</v>
      </c>
      <c r="F1098" s="2">
        <v>45336.666684444448</v>
      </c>
      <c r="G1098" t="s">
        <v>102</v>
      </c>
      <c r="H1098" t="s">
        <v>118</v>
      </c>
      <c r="I1098" t="s">
        <v>119</v>
      </c>
    </row>
    <row r="1099" spans="1:9" x14ac:dyDescent="0.45">
      <c r="A1099" t="s">
        <v>1808</v>
      </c>
      <c r="B1099" t="s">
        <v>95</v>
      </c>
      <c r="C1099" t="s">
        <v>858</v>
      </c>
      <c r="D1099" t="s">
        <v>106</v>
      </c>
      <c r="E1099">
        <v>7664.71</v>
      </c>
      <c r="F1099" s="2">
        <v>45401.666684444448</v>
      </c>
      <c r="G1099" t="s">
        <v>336</v>
      </c>
      <c r="H1099" t="s">
        <v>87</v>
      </c>
      <c r="I1099" t="s">
        <v>82</v>
      </c>
    </row>
    <row r="1100" spans="1:9" x14ac:dyDescent="0.45">
      <c r="A1100" t="s">
        <v>1809</v>
      </c>
      <c r="B1100" t="s">
        <v>99</v>
      </c>
      <c r="C1100" t="s">
        <v>668</v>
      </c>
      <c r="D1100" t="s">
        <v>85</v>
      </c>
      <c r="E1100">
        <v>1213.06</v>
      </c>
      <c r="F1100" s="2">
        <v>45690.666684444448</v>
      </c>
      <c r="H1100" t="s">
        <v>87</v>
      </c>
      <c r="I1100" t="s">
        <v>88</v>
      </c>
    </row>
    <row r="1101" spans="1:9" x14ac:dyDescent="0.45">
      <c r="A1101" t="s">
        <v>1810</v>
      </c>
      <c r="B1101" t="s">
        <v>104</v>
      </c>
      <c r="C1101" t="s">
        <v>459</v>
      </c>
      <c r="D1101" t="s">
        <v>85</v>
      </c>
      <c r="E1101">
        <v>7336.28</v>
      </c>
      <c r="F1101" s="2">
        <v>45262.666684444448</v>
      </c>
      <c r="G1101" t="s">
        <v>115</v>
      </c>
      <c r="H1101" t="s">
        <v>107</v>
      </c>
      <c r="I1101" t="s">
        <v>82</v>
      </c>
    </row>
    <row r="1102" spans="1:9" x14ac:dyDescent="0.45">
      <c r="A1102" t="s">
        <v>1811</v>
      </c>
      <c r="B1102" t="s">
        <v>79</v>
      </c>
      <c r="C1102" t="s">
        <v>158</v>
      </c>
      <c r="D1102" t="s">
        <v>92</v>
      </c>
      <c r="E1102">
        <v>1146.8900000000001</v>
      </c>
      <c r="F1102" s="2">
        <v>45422.666684444448</v>
      </c>
      <c r="G1102" t="s">
        <v>86</v>
      </c>
      <c r="H1102" t="s">
        <v>116</v>
      </c>
      <c r="I1102" t="s">
        <v>82</v>
      </c>
    </row>
    <row r="1103" spans="1:9" x14ac:dyDescent="0.45">
      <c r="A1103" t="s">
        <v>1812</v>
      </c>
      <c r="B1103" t="s">
        <v>90</v>
      </c>
      <c r="C1103" t="s">
        <v>1813</v>
      </c>
      <c r="D1103" t="s">
        <v>92</v>
      </c>
      <c r="E1103">
        <v>0</v>
      </c>
      <c r="F1103" s="2">
        <v>45576.666684444448</v>
      </c>
      <c r="G1103" t="s">
        <v>93</v>
      </c>
      <c r="H1103" t="s">
        <v>136</v>
      </c>
      <c r="I1103" t="s">
        <v>119</v>
      </c>
    </row>
    <row r="1104" spans="1:9" x14ac:dyDescent="0.45">
      <c r="A1104" t="s">
        <v>1814</v>
      </c>
      <c r="B1104" t="s">
        <v>99</v>
      </c>
      <c r="C1104" t="s">
        <v>1545</v>
      </c>
      <c r="D1104" t="s">
        <v>85</v>
      </c>
      <c r="E1104">
        <v>0</v>
      </c>
      <c r="F1104" s="2">
        <v>45843.666684444448</v>
      </c>
      <c r="G1104" t="s">
        <v>102</v>
      </c>
      <c r="H1104" t="s">
        <v>128</v>
      </c>
      <c r="I1104" t="s">
        <v>119</v>
      </c>
    </row>
    <row r="1105" spans="1:9" x14ac:dyDescent="0.45">
      <c r="A1105" t="s">
        <v>1815</v>
      </c>
      <c r="B1105" t="s">
        <v>72</v>
      </c>
      <c r="C1105" t="s">
        <v>804</v>
      </c>
      <c r="D1105" t="s">
        <v>101</v>
      </c>
      <c r="E1105">
        <v>0</v>
      </c>
      <c r="F1105" s="2">
        <v>45624.666684444448</v>
      </c>
      <c r="G1105" t="s">
        <v>75</v>
      </c>
      <c r="H1105" t="s">
        <v>133</v>
      </c>
      <c r="I1105" t="s">
        <v>112</v>
      </c>
    </row>
    <row r="1106" spans="1:9" x14ac:dyDescent="0.45">
      <c r="A1106" t="s">
        <v>1816</v>
      </c>
      <c r="B1106" t="s">
        <v>72</v>
      </c>
      <c r="C1106" t="s">
        <v>982</v>
      </c>
      <c r="D1106" t="s">
        <v>74</v>
      </c>
      <c r="E1106">
        <v>8655.09</v>
      </c>
      <c r="F1106" s="2">
        <v>45252.666684444448</v>
      </c>
      <c r="G1106" t="s">
        <v>75</v>
      </c>
      <c r="H1106" t="s">
        <v>133</v>
      </c>
      <c r="I1106" t="s">
        <v>77</v>
      </c>
    </row>
    <row r="1107" spans="1:9" x14ac:dyDescent="0.45">
      <c r="A1107" t="s">
        <v>1817</v>
      </c>
      <c r="B1107" t="s">
        <v>79</v>
      </c>
      <c r="C1107" t="s">
        <v>1818</v>
      </c>
      <c r="D1107" t="s">
        <v>74</v>
      </c>
      <c r="E1107">
        <v>6270.87</v>
      </c>
      <c r="F1107" s="2">
        <v>45157.666684444448</v>
      </c>
      <c r="G1107" t="s">
        <v>86</v>
      </c>
      <c r="H1107" t="s">
        <v>118</v>
      </c>
      <c r="I1107" t="s">
        <v>163</v>
      </c>
    </row>
    <row r="1108" spans="1:9" x14ac:dyDescent="0.45">
      <c r="A1108" t="s">
        <v>1819</v>
      </c>
      <c r="B1108" t="s">
        <v>109</v>
      </c>
      <c r="C1108" t="s">
        <v>1736</v>
      </c>
      <c r="D1108" t="s">
        <v>101</v>
      </c>
      <c r="E1108">
        <v>1867.78</v>
      </c>
      <c r="F1108" s="2">
        <v>45773.666684444448</v>
      </c>
      <c r="G1108" t="s">
        <v>111</v>
      </c>
      <c r="H1108" t="s">
        <v>128</v>
      </c>
      <c r="I1108" t="s">
        <v>82</v>
      </c>
    </row>
    <row r="1109" spans="1:9" x14ac:dyDescent="0.45">
      <c r="A1109" t="s">
        <v>1820</v>
      </c>
      <c r="B1109" t="s">
        <v>72</v>
      </c>
      <c r="C1109" t="s">
        <v>1821</v>
      </c>
      <c r="D1109" t="s">
        <v>101</v>
      </c>
      <c r="E1109">
        <v>5880.05</v>
      </c>
      <c r="F1109" s="2">
        <v>45751.666684444448</v>
      </c>
      <c r="G1109" t="s">
        <v>521</v>
      </c>
      <c r="H1109" t="s">
        <v>81</v>
      </c>
      <c r="I1109" t="s">
        <v>163</v>
      </c>
    </row>
    <row r="1110" spans="1:9" x14ac:dyDescent="0.45">
      <c r="A1110" t="s">
        <v>1822</v>
      </c>
      <c r="B1110" t="s">
        <v>95</v>
      </c>
      <c r="C1110" t="s">
        <v>1519</v>
      </c>
      <c r="D1110" t="s">
        <v>101</v>
      </c>
      <c r="E1110">
        <v>5034.16</v>
      </c>
      <c r="F1110" s="2">
        <v>45373.666684444448</v>
      </c>
      <c r="G1110" t="s">
        <v>97</v>
      </c>
      <c r="H1110" t="s">
        <v>145</v>
      </c>
      <c r="I1110" t="s">
        <v>82</v>
      </c>
    </row>
    <row r="1111" spans="1:9" x14ac:dyDescent="0.45">
      <c r="A1111" t="s">
        <v>1823</v>
      </c>
      <c r="B1111" t="s">
        <v>72</v>
      </c>
      <c r="C1111" t="s">
        <v>831</v>
      </c>
      <c r="D1111" t="s">
        <v>74</v>
      </c>
      <c r="E1111">
        <v>426.99</v>
      </c>
      <c r="F1111" s="2">
        <v>45854.666684444448</v>
      </c>
      <c r="G1111" t="s">
        <v>75</v>
      </c>
      <c r="H1111" t="s">
        <v>81</v>
      </c>
      <c r="I1111" t="s">
        <v>163</v>
      </c>
    </row>
    <row r="1112" spans="1:9" x14ac:dyDescent="0.45">
      <c r="A1112" t="s">
        <v>1735</v>
      </c>
      <c r="B1112" t="s">
        <v>90</v>
      </c>
      <c r="C1112" t="s">
        <v>1824</v>
      </c>
      <c r="D1112" t="s">
        <v>92</v>
      </c>
      <c r="E1112">
        <v>9168.44</v>
      </c>
      <c r="F1112" s="2">
        <v>45290.666684444448</v>
      </c>
      <c r="G1112" t="s">
        <v>93</v>
      </c>
      <c r="H1112" t="s">
        <v>107</v>
      </c>
      <c r="I1112" t="s">
        <v>77</v>
      </c>
    </row>
    <row r="1113" spans="1:9" x14ac:dyDescent="0.45">
      <c r="A1113" t="s">
        <v>1825</v>
      </c>
      <c r="B1113" t="s">
        <v>79</v>
      </c>
      <c r="C1113" t="s">
        <v>743</v>
      </c>
      <c r="D1113" t="s">
        <v>148</v>
      </c>
      <c r="E1113">
        <v>0</v>
      </c>
      <c r="F1113" s="2">
        <v>45446.666684444448</v>
      </c>
      <c r="G1113" t="s">
        <v>86</v>
      </c>
      <c r="H1113" t="s">
        <v>87</v>
      </c>
      <c r="I1113" t="s">
        <v>112</v>
      </c>
    </row>
    <row r="1114" spans="1:9" x14ac:dyDescent="0.45">
      <c r="A1114" t="s">
        <v>1826</v>
      </c>
      <c r="B1114" t="s">
        <v>95</v>
      </c>
      <c r="C1114" t="s">
        <v>1827</v>
      </c>
      <c r="D1114" t="s">
        <v>155</v>
      </c>
      <c r="E1114">
        <v>1037.0999999999999</v>
      </c>
      <c r="F1114" s="2">
        <v>45692.666684444448</v>
      </c>
      <c r="G1114" t="s">
        <v>97</v>
      </c>
      <c r="H1114" t="s">
        <v>128</v>
      </c>
      <c r="I1114" t="s">
        <v>119</v>
      </c>
    </row>
    <row r="1115" spans="1:9" x14ac:dyDescent="0.45">
      <c r="A1115" t="s">
        <v>1828</v>
      </c>
      <c r="B1115" t="s">
        <v>99</v>
      </c>
      <c r="C1115" t="s">
        <v>269</v>
      </c>
      <c r="D1115" t="s">
        <v>85</v>
      </c>
      <c r="E1115">
        <v>10783.4</v>
      </c>
      <c r="F1115" s="2">
        <v>45142.666684444448</v>
      </c>
      <c r="G1115" t="s">
        <v>102</v>
      </c>
      <c r="H1115" t="s">
        <v>133</v>
      </c>
      <c r="I1115" t="s">
        <v>88</v>
      </c>
    </row>
    <row r="1116" spans="1:9" x14ac:dyDescent="0.45">
      <c r="A1116" t="s">
        <v>1829</v>
      </c>
      <c r="B1116" t="s">
        <v>79</v>
      </c>
      <c r="C1116" t="s">
        <v>1678</v>
      </c>
      <c r="D1116" t="s">
        <v>92</v>
      </c>
      <c r="E1116">
        <v>10409.719999999999</v>
      </c>
      <c r="F1116" s="2">
        <v>45693.666684444448</v>
      </c>
      <c r="G1116" t="s">
        <v>86</v>
      </c>
      <c r="H1116" t="s">
        <v>118</v>
      </c>
      <c r="I1116" t="s">
        <v>163</v>
      </c>
    </row>
    <row r="1117" spans="1:9" x14ac:dyDescent="0.45">
      <c r="A1117" t="s">
        <v>1830</v>
      </c>
      <c r="B1117" t="s">
        <v>90</v>
      </c>
      <c r="C1117" t="s">
        <v>330</v>
      </c>
      <c r="D1117" t="s">
        <v>148</v>
      </c>
      <c r="E1117">
        <v>3997.05</v>
      </c>
      <c r="F1117" s="2">
        <v>45545.666684444448</v>
      </c>
      <c r="G1117" t="s">
        <v>93</v>
      </c>
      <c r="H1117" t="s">
        <v>81</v>
      </c>
      <c r="I1117" t="s">
        <v>119</v>
      </c>
    </row>
    <row r="1118" spans="1:9" x14ac:dyDescent="0.45">
      <c r="A1118" t="s">
        <v>1831</v>
      </c>
      <c r="B1118" t="s">
        <v>138</v>
      </c>
      <c r="C1118" t="s">
        <v>1832</v>
      </c>
      <c r="D1118" t="s">
        <v>101</v>
      </c>
      <c r="E1118">
        <v>1671.56</v>
      </c>
      <c r="F1118" s="2">
        <v>45223.666684444448</v>
      </c>
      <c r="G1118" t="s">
        <v>140</v>
      </c>
      <c r="H1118" t="s">
        <v>87</v>
      </c>
      <c r="I1118" t="s">
        <v>82</v>
      </c>
    </row>
    <row r="1119" spans="1:9" x14ac:dyDescent="0.45">
      <c r="A1119" t="s">
        <v>1833</v>
      </c>
      <c r="B1119" t="s">
        <v>90</v>
      </c>
      <c r="C1119" t="s">
        <v>787</v>
      </c>
      <c r="D1119" t="s">
        <v>101</v>
      </c>
      <c r="E1119">
        <v>0</v>
      </c>
      <c r="F1119" s="2">
        <v>45358.666684444448</v>
      </c>
      <c r="G1119" t="s">
        <v>93</v>
      </c>
      <c r="H1119" t="s">
        <v>145</v>
      </c>
      <c r="I1119" t="s">
        <v>82</v>
      </c>
    </row>
    <row r="1120" spans="1:9" x14ac:dyDescent="0.45">
      <c r="A1120" t="s">
        <v>1834</v>
      </c>
      <c r="B1120" t="s">
        <v>172</v>
      </c>
      <c r="C1120" t="s">
        <v>193</v>
      </c>
      <c r="D1120" t="s">
        <v>155</v>
      </c>
      <c r="E1120">
        <v>6649.54</v>
      </c>
      <c r="F1120" s="2">
        <v>45244.666684444448</v>
      </c>
      <c r="H1120" t="s">
        <v>118</v>
      </c>
      <c r="I1120" t="s">
        <v>163</v>
      </c>
    </row>
    <row r="1121" spans="1:9" x14ac:dyDescent="0.45">
      <c r="A1121" t="s">
        <v>865</v>
      </c>
      <c r="B1121" t="s">
        <v>172</v>
      </c>
      <c r="C1121" t="s">
        <v>480</v>
      </c>
      <c r="D1121" t="s">
        <v>85</v>
      </c>
      <c r="E1121">
        <v>11123.86</v>
      </c>
      <c r="F1121" s="2">
        <v>45600.666684444448</v>
      </c>
      <c r="H1121" t="s">
        <v>116</v>
      </c>
      <c r="I1121" t="s">
        <v>163</v>
      </c>
    </row>
    <row r="1122" spans="1:9" x14ac:dyDescent="0.45">
      <c r="A1122" t="s">
        <v>1835</v>
      </c>
      <c r="B1122" t="s">
        <v>138</v>
      </c>
      <c r="C1122" t="s">
        <v>1836</v>
      </c>
      <c r="D1122" t="s">
        <v>85</v>
      </c>
      <c r="E1122">
        <v>8290.24</v>
      </c>
      <c r="F1122" s="2">
        <v>45248.666684444448</v>
      </c>
      <c r="I1122" t="s">
        <v>88</v>
      </c>
    </row>
    <row r="1123" spans="1:9" x14ac:dyDescent="0.45">
      <c r="A1123" t="s">
        <v>1837</v>
      </c>
      <c r="B1123" t="s">
        <v>104</v>
      </c>
      <c r="C1123" t="s">
        <v>1838</v>
      </c>
      <c r="D1123" t="s">
        <v>74</v>
      </c>
      <c r="E1123">
        <v>1396.18</v>
      </c>
      <c r="F1123" s="2">
        <v>45791.666684444448</v>
      </c>
      <c r="G1123" t="s">
        <v>247</v>
      </c>
      <c r="H1123" t="s">
        <v>81</v>
      </c>
      <c r="I1123" t="s">
        <v>77</v>
      </c>
    </row>
    <row r="1124" spans="1:9" x14ac:dyDescent="0.45">
      <c r="A1124" t="s">
        <v>1839</v>
      </c>
      <c r="B1124" t="s">
        <v>72</v>
      </c>
      <c r="C1124" t="s">
        <v>1840</v>
      </c>
      <c r="D1124" t="s">
        <v>74</v>
      </c>
      <c r="E1124">
        <v>11618.5</v>
      </c>
      <c r="F1124" s="2">
        <v>45285.666684444448</v>
      </c>
      <c r="G1124" t="s">
        <v>75</v>
      </c>
      <c r="H1124" t="s">
        <v>145</v>
      </c>
      <c r="I1124" t="s">
        <v>112</v>
      </c>
    </row>
    <row r="1125" spans="1:9" x14ac:dyDescent="0.45">
      <c r="A1125" t="s">
        <v>1841</v>
      </c>
      <c r="B1125" t="s">
        <v>109</v>
      </c>
      <c r="C1125" t="s">
        <v>1804</v>
      </c>
      <c r="E1125">
        <v>10608.9</v>
      </c>
      <c r="F1125" s="2">
        <v>45638.666684444448</v>
      </c>
      <c r="G1125" t="s">
        <v>111</v>
      </c>
      <c r="H1125" t="s">
        <v>87</v>
      </c>
      <c r="I1125" t="s">
        <v>163</v>
      </c>
    </row>
    <row r="1126" spans="1:9" x14ac:dyDescent="0.45">
      <c r="A1126" t="s">
        <v>1842</v>
      </c>
      <c r="B1126" t="s">
        <v>109</v>
      </c>
      <c r="C1126" t="s">
        <v>158</v>
      </c>
      <c r="D1126" t="s">
        <v>85</v>
      </c>
      <c r="E1126">
        <v>10286.32</v>
      </c>
      <c r="F1126" s="2">
        <v>45426.666684444448</v>
      </c>
      <c r="G1126" t="s">
        <v>111</v>
      </c>
      <c r="H1126" t="s">
        <v>116</v>
      </c>
      <c r="I1126" t="s">
        <v>82</v>
      </c>
    </row>
    <row r="1127" spans="1:9" x14ac:dyDescent="0.45">
      <c r="A1127" t="s">
        <v>1843</v>
      </c>
      <c r="B1127" t="s">
        <v>90</v>
      </c>
      <c r="C1127" t="s">
        <v>160</v>
      </c>
      <c r="D1127" t="s">
        <v>101</v>
      </c>
      <c r="E1127">
        <v>0</v>
      </c>
      <c r="F1127" s="2">
        <v>45649.666684444448</v>
      </c>
      <c r="G1127" t="s">
        <v>93</v>
      </c>
      <c r="H1127" t="s">
        <v>145</v>
      </c>
      <c r="I1127" t="s">
        <v>88</v>
      </c>
    </row>
    <row r="1128" spans="1:9" x14ac:dyDescent="0.45">
      <c r="A1128" t="s">
        <v>1844</v>
      </c>
      <c r="B1128" t="s">
        <v>138</v>
      </c>
      <c r="C1128" t="s">
        <v>1845</v>
      </c>
      <c r="D1128" t="s">
        <v>74</v>
      </c>
      <c r="E1128">
        <v>4967.6099999999997</v>
      </c>
      <c r="F1128" s="2">
        <v>45850.666684444448</v>
      </c>
      <c r="G1128" t="s">
        <v>140</v>
      </c>
      <c r="H1128" t="s">
        <v>145</v>
      </c>
      <c r="I1128" t="s">
        <v>88</v>
      </c>
    </row>
    <row r="1129" spans="1:9" x14ac:dyDescent="0.45">
      <c r="A1129" t="s">
        <v>1846</v>
      </c>
      <c r="B1129" t="s">
        <v>138</v>
      </c>
      <c r="C1129" t="s">
        <v>796</v>
      </c>
      <c r="D1129" t="s">
        <v>85</v>
      </c>
      <c r="E1129">
        <v>3162.09</v>
      </c>
      <c r="F1129" s="2">
        <v>45407.666684444448</v>
      </c>
      <c r="G1129" t="s">
        <v>140</v>
      </c>
      <c r="H1129" t="s">
        <v>76</v>
      </c>
      <c r="I1129" t="s">
        <v>82</v>
      </c>
    </row>
    <row r="1130" spans="1:9" x14ac:dyDescent="0.45">
      <c r="A1130" t="s">
        <v>1847</v>
      </c>
      <c r="B1130" t="s">
        <v>99</v>
      </c>
      <c r="C1130" t="s">
        <v>1848</v>
      </c>
      <c r="D1130" t="s">
        <v>85</v>
      </c>
      <c r="E1130">
        <v>1953.31</v>
      </c>
      <c r="F1130" s="2">
        <v>45553.666684444448</v>
      </c>
      <c r="G1130" t="s">
        <v>102</v>
      </c>
      <c r="H1130" t="s">
        <v>118</v>
      </c>
      <c r="I1130" t="s">
        <v>82</v>
      </c>
    </row>
    <row r="1131" spans="1:9" x14ac:dyDescent="0.45">
      <c r="A1131" t="s">
        <v>1849</v>
      </c>
      <c r="B1131" t="s">
        <v>79</v>
      </c>
      <c r="C1131" t="s">
        <v>1850</v>
      </c>
      <c r="D1131" t="s">
        <v>74</v>
      </c>
      <c r="E1131">
        <v>9526.1200000000008</v>
      </c>
      <c r="F1131" s="2">
        <v>45622.666684444448</v>
      </c>
      <c r="G1131" t="s">
        <v>86</v>
      </c>
      <c r="H1131" t="s">
        <v>107</v>
      </c>
      <c r="I1131" t="s">
        <v>119</v>
      </c>
    </row>
    <row r="1132" spans="1:9" x14ac:dyDescent="0.45">
      <c r="A1132" t="s">
        <v>1851</v>
      </c>
      <c r="B1132" t="s">
        <v>95</v>
      </c>
      <c r="C1132" t="s">
        <v>1711</v>
      </c>
      <c r="D1132" t="s">
        <v>148</v>
      </c>
      <c r="E1132">
        <v>1293.51</v>
      </c>
      <c r="F1132" s="2">
        <v>45611.666684444448</v>
      </c>
      <c r="G1132" t="s">
        <v>97</v>
      </c>
      <c r="H1132" t="s">
        <v>116</v>
      </c>
      <c r="I1132" t="s">
        <v>77</v>
      </c>
    </row>
    <row r="1133" spans="1:9" x14ac:dyDescent="0.45">
      <c r="A1133" t="s">
        <v>1852</v>
      </c>
      <c r="B1133" t="s">
        <v>172</v>
      </c>
      <c r="C1133" t="s">
        <v>1299</v>
      </c>
      <c r="D1133" t="s">
        <v>74</v>
      </c>
      <c r="E1133">
        <v>8371.76</v>
      </c>
      <c r="F1133" s="2">
        <v>45377.666684444448</v>
      </c>
      <c r="G1133" t="s">
        <v>174</v>
      </c>
      <c r="H1133" t="s">
        <v>136</v>
      </c>
      <c r="I1133" t="s">
        <v>163</v>
      </c>
    </row>
    <row r="1134" spans="1:9" x14ac:dyDescent="0.45">
      <c r="A1134" t="s">
        <v>1853</v>
      </c>
      <c r="B1134" t="s">
        <v>109</v>
      </c>
      <c r="C1134" t="s">
        <v>198</v>
      </c>
      <c r="D1134" t="s">
        <v>101</v>
      </c>
      <c r="E1134">
        <v>4700.1099999999997</v>
      </c>
      <c r="F1134" s="2">
        <v>45595.666684444448</v>
      </c>
      <c r="G1134" t="s">
        <v>111</v>
      </c>
      <c r="H1134" t="s">
        <v>136</v>
      </c>
      <c r="I1134" t="s">
        <v>88</v>
      </c>
    </row>
    <row r="1135" spans="1:9" x14ac:dyDescent="0.45">
      <c r="A1135" t="s">
        <v>1854</v>
      </c>
      <c r="B1135" t="s">
        <v>72</v>
      </c>
      <c r="C1135" t="s">
        <v>1464</v>
      </c>
      <c r="D1135" t="s">
        <v>92</v>
      </c>
      <c r="E1135">
        <v>11623.66</v>
      </c>
      <c r="F1135" s="2">
        <v>45692.666684444448</v>
      </c>
      <c r="G1135" t="s">
        <v>75</v>
      </c>
      <c r="H1135" t="s">
        <v>116</v>
      </c>
      <c r="I1135" t="s">
        <v>163</v>
      </c>
    </row>
    <row r="1136" spans="1:9" x14ac:dyDescent="0.45">
      <c r="A1136" t="s">
        <v>1855</v>
      </c>
      <c r="B1136" t="s">
        <v>95</v>
      </c>
      <c r="C1136" t="s">
        <v>612</v>
      </c>
      <c r="D1136" t="s">
        <v>101</v>
      </c>
      <c r="E1136">
        <v>0</v>
      </c>
      <c r="F1136" s="2">
        <v>45276.666684444448</v>
      </c>
      <c r="G1136" t="s">
        <v>97</v>
      </c>
      <c r="H1136" t="s">
        <v>81</v>
      </c>
      <c r="I1136" t="s">
        <v>82</v>
      </c>
    </row>
    <row r="1137" spans="1:9" x14ac:dyDescent="0.45">
      <c r="A1137" t="s">
        <v>1856</v>
      </c>
      <c r="B1137" t="s">
        <v>90</v>
      </c>
      <c r="C1137" t="s">
        <v>668</v>
      </c>
      <c r="E1137">
        <v>4879.2700000000004</v>
      </c>
      <c r="F1137" s="2">
        <v>45520.666684444448</v>
      </c>
      <c r="G1137" t="s">
        <v>93</v>
      </c>
      <c r="H1137" t="s">
        <v>133</v>
      </c>
      <c r="I1137" t="s">
        <v>77</v>
      </c>
    </row>
    <row r="1138" spans="1:9" x14ac:dyDescent="0.45">
      <c r="A1138" t="s">
        <v>1857</v>
      </c>
      <c r="B1138" t="s">
        <v>99</v>
      </c>
      <c r="D1138" t="s">
        <v>92</v>
      </c>
      <c r="E1138">
        <v>1826.1</v>
      </c>
      <c r="F1138" s="2">
        <v>45323.666684444448</v>
      </c>
      <c r="G1138" t="s">
        <v>102</v>
      </c>
      <c r="H1138" t="s">
        <v>87</v>
      </c>
      <c r="I1138" t="s">
        <v>119</v>
      </c>
    </row>
    <row r="1139" spans="1:9" x14ac:dyDescent="0.45">
      <c r="A1139" t="s">
        <v>1858</v>
      </c>
      <c r="B1139" t="s">
        <v>95</v>
      </c>
      <c r="C1139" t="s">
        <v>293</v>
      </c>
      <c r="D1139" t="s">
        <v>92</v>
      </c>
      <c r="E1139">
        <v>3424.34</v>
      </c>
      <c r="F1139" s="2">
        <v>45741.666684444448</v>
      </c>
      <c r="G1139" t="s">
        <v>97</v>
      </c>
      <c r="H1139" t="s">
        <v>81</v>
      </c>
      <c r="I1139" t="s">
        <v>88</v>
      </c>
    </row>
    <row r="1140" spans="1:9" x14ac:dyDescent="0.45">
      <c r="A1140" t="s">
        <v>1859</v>
      </c>
      <c r="B1140" t="s">
        <v>99</v>
      </c>
      <c r="C1140" t="s">
        <v>1840</v>
      </c>
      <c r="D1140" t="s">
        <v>74</v>
      </c>
      <c r="E1140">
        <v>8809.2999999999993</v>
      </c>
      <c r="F1140" s="2">
        <v>45648.666684444448</v>
      </c>
      <c r="G1140" t="s">
        <v>102</v>
      </c>
      <c r="I1140" t="s">
        <v>77</v>
      </c>
    </row>
    <row r="1141" spans="1:9" x14ac:dyDescent="0.45">
      <c r="A1141" t="s">
        <v>1860</v>
      </c>
      <c r="B1141" t="s">
        <v>109</v>
      </c>
      <c r="C1141" t="s">
        <v>1797</v>
      </c>
      <c r="D1141" t="s">
        <v>74</v>
      </c>
      <c r="E1141">
        <v>9803.49</v>
      </c>
      <c r="F1141" s="2">
        <v>45267.666684444448</v>
      </c>
      <c r="H1141" t="s">
        <v>136</v>
      </c>
      <c r="I1141" t="s">
        <v>119</v>
      </c>
    </row>
    <row r="1142" spans="1:9" x14ac:dyDescent="0.45">
      <c r="A1142" t="s">
        <v>1861</v>
      </c>
      <c r="B1142" t="s">
        <v>109</v>
      </c>
      <c r="C1142" t="s">
        <v>1172</v>
      </c>
      <c r="D1142" t="s">
        <v>101</v>
      </c>
      <c r="E1142">
        <v>10311.99</v>
      </c>
      <c r="F1142" s="2">
        <v>45199.666684444448</v>
      </c>
      <c r="G1142" t="s">
        <v>307</v>
      </c>
      <c r="H1142" t="s">
        <v>118</v>
      </c>
      <c r="I1142" t="s">
        <v>77</v>
      </c>
    </row>
    <row r="1143" spans="1:9" x14ac:dyDescent="0.45">
      <c r="A1143" t="s">
        <v>156</v>
      </c>
      <c r="B1143" t="s">
        <v>72</v>
      </c>
      <c r="C1143" t="s">
        <v>816</v>
      </c>
      <c r="D1143" t="s">
        <v>85</v>
      </c>
      <c r="E1143">
        <v>4023.95</v>
      </c>
      <c r="F1143" s="2">
        <v>45410.666684444448</v>
      </c>
      <c r="G1143" t="s">
        <v>75</v>
      </c>
      <c r="H1143" t="s">
        <v>107</v>
      </c>
      <c r="I1143" t="s">
        <v>112</v>
      </c>
    </row>
    <row r="1144" spans="1:9" x14ac:dyDescent="0.45">
      <c r="A1144" t="s">
        <v>1862</v>
      </c>
      <c r="B1144" t="s">
        <v>138</v>
      </c>
      <c r="C1144" t="s">
        <v>330</v>
      </c>
      <c r="D1144" t="s">
        <v>92</v>
      </c>
      <c r="E1144">
        <v>9630.77</v>
      </c>
      <c r="F1144" s="2">
        <v>45552.666684444448</v>
      </c>
      <c r="G1144" t="s">
        <v>140</v>
      </c>
      <c r="H1144" t="s">
        <v>145</v>
      </c>
      <c r="I1144" t="s">
        <v>77</v>
      </c>
    </row>
    <row r="1145" spans="1:9" x14ac:dyDescent="0.45">
      <c r="A1145" t="s">
        <v>1863</v>
      </c>
      <c r="B1145" t="s">
        <v>90</v>
      </c>
      <c r="C1145" t="s">
        <v>674</v>
      </c>
      <c r="E1145">
        <v>1386.21</v>
      </c>
      <c r="F1145" s="2">
        <v>45476.666684444448</v>
      </c>
      <c r="G1145" t="s">
        <v>296</v>
      </c>
      <c r="H1145" t="s">
        <v>116</v>
      </c>
      <c r="I1145" t="s">
        <v>88</v>
      </c>
    </row>
    <row r="1146" spans="1:9" x14ac:dyDescent="0.45">
      <c r="A1146" t="s">
        <v>1864</v>
      </c>
      <c r="B1146" t="s">
        <v>104</v>
      </c>
      <c r="C1146" t="s">
        <v>1036</v>
      </c>
      <c r="D1146" t="s">
        <v>92</v>
      </c>
      <c r="E1146">
        <v>11515.51</v>
      </c>
      <c r="F1146" s="2">
        <v>45647.666684444448</v>
      </c>
      <c r="G1146" t="s">
        <v>115</v>
      </c>
      <c r="H1146" t="s">
        <v>133</v>
      </c>
      <c r="I1146" t="s">
        <v>119</v>
      </c>
    </row>
    <row r="1147" spans="1:9" x14ac:dyDescent="0.45">
      <c r="A1147" t="s">
        <v>1865</v>
      </c>
      <c r="B1147" t="s">
        <v>72</v>
      </c>
      <c r="C1147" t="s">
        <v>872</v>
      </c>
      <c r="D1147" t="s">
        <v>155</v>
      </c>
      <c r="E1147">
        <v>790.73</v>
      </c>
      <c r="F1147" s="2">
        <v>45401.666684444448</v>
      </c>
      <c r="G1147" t="s">
        <v>75</v>
      </c>
      <c r="H1147" t="s">
        <v>145</v>
      </c>
      <c r="I1147" t="s">
        <v>112</v>
      </c>
    </row>
    <row r="1148" spans="1:9" x14ac:dyDescent="0.45">
      <c r="A1148" t="s">
        <v>1866</v>
      </c>
      <c r="B1148" t="s">
        <v>109</v>
      </c>
      <c r="C1148" t="s">
        <v>554</v>
      </c>
      <c r="D1148" t="s">
        <v>92</v>
      </c>
      <c r="E1148">
        <v>11913.97</v>
      </c>
      <c r="F1148" s="2">
        <v>45130.666684444448</v>
      </c>
      <c r="G1148" t="s">
        <v>111</v>
      </c>
      <c r="H1148" t="s">
        <v>118</v>
      </c>
      <c r="I1148" t="s">
        <v>119</v>
      </c>
    </row>
    <row r="1149" spans="1:9" x14ac:dyDescent="0.45">
      <c r="A1149" t="s">
        <v>1867</v>
      </c>
      <c r="B1149" t="s">
        <v>79</v>
      </c>
      <c r="C1149" t="s">
        <v>577</v>
      </c>
      <c r="D1149" t="s">
        <v>101</v>
      </c>
      <c r="E1149">
        <v>4279.46</v>
      </c>
      <c r="F1149" s="2">
        <v>45417.666684444448</v>
      </c>
      <c r="G1149" t="s">
        <v>86</v>
      </c>
      <c r="H1149" t="s">
        <v>81</v>
      </c>
      <c r="I1149" t="s">
        <v>82</v>
      </c>
    </row>
    <row r="1150" spans="1:9" x14ac:dyDescent="0.45">
      <c r="A1150" t="s">
        <v>1868</v>
      </c>
      <c r="B1150" t="s">
        <v>138</v>
      </c>
      <c r="C1150" t="s">
        <v>233</v>
      </c>
      <c r="D1150" t="s">
        <v>101</v>
      </c>
      <c r="E1150">
        <v>3083.9</v>
      </c>
      <c r="F1150" s="2">
        <v>45433.666684444448</v>
      </c>
      <c r="G1150" t="s">
        <v>140</v>
      </c>
      <c r="H1150" t="s">
        <v>118</v>
      </c>
      <c r="I1150" t="s">
        <v>163</v>
      </c>
    </row>
    <row r="1151" spans="1:9" x14ac:dyDescent="0.45">
      <c r="A1151" t="s">
        <v>1869</v>
      </c>
      <c r="B1151" t="s">
        <v>79</v>
      </c>
      <c r="C1151" t="s">
        <v>309</v>
      </c>
      <c r="D1151" t="s">
        <v>92</v>
      </c>
      <c r="E1151">
        <v>5032.6499999999996</v>
      </c>
      <c r="F1151" s="2">
        <v>45729.666684444448</v>
      </c>
      <c r="G1151" t="s">
        <v>86</v>
      </c>
      <c r="H1151" t="s">
        <v>128</v>
      </c>
      <c r="I1151" t="s">
        <v>112</v>
      </c>
    </row>
    <row r="1152" spans="1:9" x14ac:dyDescent="0.45">
      <c r="A1152" t="s">
        <v>1870</v>
      </c>
      <c r="B1152" t="s">
        <v>72</v>
      </c>
      <c r="C1152" t="s">
        <v>631</v>
      </c>
      <c r="D1152" t="s">
        <v>74</v>
      </c>
      <c r="E1152">
        <v>8206.1200000000008</v>
      </c>
      <c r="F1152" s="2">
        <v>45721.666684444448</v>
      </c>
      <c r="G1152" t="s">
        <v>75</v>
      </c>
      <c r="H1152" t="s">
        <v>145</v>
      </c>
      <c r="I1152" t="s">
        <v>88</v>
      </c>
    </row>
    <row r="1153" spans="1:9" x14ac:dyDescent="0.45">
      <c r="A1153" t="s">
        <v>1871</v>
      </c>
      <c r="B1153" t="s">
        <v>95</v>
      </c>
      <c r="C1153" t="s">
        <v>1464</v>
      </c>
      <c r="D1153" t="s">
        <v>74</v>
      </c>
      <c r="E1153">
        <v>3512.9</v>
      </c>
      <c r="F1153" s="2">
        <v>45803.666684444448</v>
      </c>
      <c r="G1153" t="s">
        <v>97</v>
      </c>
      <c r="H1153" t="s">
        <v>116</v>
      </c>
      <c r="I1153" t="s">
        <v>163</v>
      </c>
    </row>
    <row r="1154" spans="1:9" x14ac:dyDescent="0.45">
      <c r="A1154" t="s">
        <v>1872</v>
      </c>
      <c r="B1154" t="s">
        <v>104</v>
      </c>
      <c r="D1154" t="s">
        <v>85</v>
      </c>
      <c r="E1154">
        <v>0</v>
      </c>
      <c r="F1154" s="2">
        <v>45629.666684444448</v>
      </c>
      <c r="G1154" t="s">
        <v>115</v>
      </c>
      <c r="I1154" t="s">
        <v>119</v>
      </c>
    </row>
    <row r="1155" spans="1:9" x14ac:dyDescent="0.45">
      <c r="A1155" t="s">
        <v>1873</v>
      </c>
      <c r="B1155" t="s">
        <v>99</v>
      </c>
      <c r="C1155" t="s">
        <v>807</v>
      </c>
      <c r="E1155">
        <v>3774.98</v>
      </c>
      <c r="F1155" s="2">
        <v>45280.666684444448</v>
      </c>
      <c r="G1155" t="s">
        <v>102</v>
      </c>
      <c r="I1155" t="s">
        <v>112</v>
      </c>
    </row>
    <row r="1156" spans="1:9" x14ac:dyDescent="0.45">
      <c r="A1156" t="s">
        <v>1874</v>
      </c>
      <c r="B1156" t="s">
        <v>72</v>
      </c>
      <c r="C1156" t="s">
        <v>442</v>
      </c>
      <c r="D1156" t="s">
        <v>74</v>
      </c>
      <c r="E1156">
        <v>11431.71</v>
      </c>
      <c r="F1156" s="2">
        <v>45585.666684444448</v>
      </c>
      <c r="G1156" t="s">
        <v>75</v>
      </c>
      <c r="H1156" t="s">
        <v>133</v>
      </c>
      <c r="I1156" t="s">
        <v>163</v>
      </c>
    </row>
    <row r="1157" spans="1:9" x14ac:dyDescent="0.45">
      <c r="A1157" t="s">
        <v>1875</v>
      </c>
      <c r="B1157" t="s">
        <v>99</v>
      </c>
      <c r="C1157" t="s">
        <v>834</v>
      </c>
      <c r="D1157" t="s">
        <v>92</v>
      </c>
      <c r="E1157">
        <v>2096.5</v>
      </c>
      <c r="F1157" s="2">
        <v>45679.666684444448</v>
      </c>
      <c r="G1157" t="s">
        <v>102</v>
      </c>
      <c r="H1157" t="s">
        <v>116</v>
      </c>
      <c r="I1157" t="s">
        <v>163</v>
      </c>
    </row>
    <row r="1158" spans="1:9" x14ac:dyDescent="0.45">
      <c r="A1158" t="s">
        <v>1876</v>
      </c>
      <c r="B1158" t="s">
        <v>99</v>
      </c>
      <c r="C1158" t="s">
        <v>1393</v>
      </c>
      <c r="E1158">
        <v>3368.52</v>
      </c>
      <c r="F1158" s="2">
        <v>45623.666684444448</v>
      </c>
      <c r="G1158" t="s">
        <v>285</v>
      </c>
      <c r="H1158" t="s">
        <v>136</v>
      </c>
      <c r="I1158" t="s">
        <v>77</v>
      </c>
    </row>
    <row r="1159" spans="1:9" x14ac:dyDescent="0.45">
      <c r="A1159" t="s">
        <v>1877</v>
      </c>
      <c r="B1159" t="s">
        <v>79</v>
      </c>
      <c r="C1159" t="s">
        <v>1878</v>
      </c>
      <c r="D1159" t="s">
        <v>85</v>
      </c>
      <c r="E1159">
        <v>3216.14</v>
      </c>
      <c r="F1159" s="2">
        <v>45481.666684444448</v>
      </c>
      <c r="G1159" t="s">
        <v>86</v>
      </c>
      <c r="H1159" t="s">
        <v>133</v>
      </c>
      <c r="I1159" t="s">
        <v>119</v>
      </c>
    </row>
    <row r="1160" spans="1:9" x14ac:dyDescent="0.45">
      <c r="A1160" t="s">
        <v>1879</v>
      </c>
      <c r="B1160" t="s">
        <v>95</v>
      </c>
      <c r="C1160" t="s">
        <v>1183</v>
      </c>
      <c r="D1160" t="s">
        <v>74</v>
      </c>
      <c r="E1160">
        <v>7911.94</v>
      </c>
      <c r="F1160" s="2">
        <v>45468.666684444448</v>
      </c>
      <c r="G1160" t="s">
        <v>97</v>
      </c>
      <c r="I1160" t="s">
        <v>82</v>
      </c>
    </row>
    <row r="1161" spans="1:9" x14ac:dyDescent="0.45">
      <c r="A1161" t="s">
        <v>1880</v>
      </c>
      <c r="B1161" t="s">
        <v>99</v>
      </c>
      <c r="C1161" t="s">
        <v>749</v>
      </c>
      <c r="D1161" t="s">
        <v>74</v>
      </c>
      <c r="E1161">
        <v>2589.65</v>
      </c>
      <c r="F1161" s="2">
        <v>45693.666684444448</v>
      </c>
      <c r="G1161" t="s">
        <v>102</v>
      </c>
      <c r="H1161" t="s">
        <v>116</v>
      </c>
      <c r="I1161" t="s">
        <v>163</v>
      </c>
    </row>
    <row r="1162" spans="1:9" x14ac:dyDescent="0.45">
      <c r="A1162" t="s">
        <v>1881</v>
      </c>
      <c r="B1162" t="s">
        <v>104</v>
      </c>
      <c r="C1162" t="s">
        <v>691</v>
      </c>
      <c r="D1162" t="s">
        <v>92</v>
      </c>
      <c r="E1162">
        <v>3752.19</v>
      </c>
      <c r="F1162" s="2">
        <v>45684.666684444448</v>
      </c>
      <c r="G1162" t="s">
        <v>115</v>
      </c>
      <c r="H1162" t="s">
        <v>116</v>
      </c>
      <c r="I1162" t="s">
        <v>163</v>
      </c>
    </row>
    <row r="1163" spans="1:9" x14ac:dyDescent="0.45">
      <c r="A1163" t="s">
        <v>1882</v>
      </c>
      <c r="B1163" t="s">
        <v>79</v>
      </c>
      <c r="D1163" t="s">
        <v>92</v>
      </c>
      <c r="E1163">
        <v>223.76</v>
      </c>
      <c r="F1163" s="2">
        <v>45514.666684444448</v>
      </c>
      <c r="G1163" t="s">
        <v>86</v>
      </c>
      <c r="H1163" t="s">
        <v>81</v>
      </c>
      <c r="I1163" t="s">
        <v>77</v>
      </c>
    </row>
    <row r="1164" spans="1:9" x14ac:dyDescent="0.45">
      <c r="A1164" t="s">
        <v>1883</v>
      </c>
      <c r="B1164" t="s">
        <v>109</v>
      </c>
      <c r="C1164" t="s">
        <v>552</v>
      </c>
      <c r="D1164" t="s">
        <v>148</v>
      </c>
      <c r="E1164">
        <v>1654.74</v>
      </c>
      <c r="F1164" s="2">
        <v>45594.666684444448</v>
      </c>
      <c r="G1164" t="s">
        <v>111</v>
      </c>
      <c r="H1164" t="s">
        <v>81</v>
      </c>
      <c r="I1164" t="s">
        <v>88</v>
      </c>
    </row>
    <row r="1165" spans="1:9" x14ac:dyDescent="0.45">
      <c r="A1165" t="s">
        <v>1884</v>
      </c>
      <c r="B1165" t="s">
        <v>79</v>
      </c>
      <c r="C1165" t="s">
        <v>511</v>
      </c>
      <c r="D1165" t="s">
        <v>85</v>
      </c>
      <c r="E1165">
        <v>9570.51</v>
      </c>
      <c r="F1165" s="2">
        <v>45457.666684444448</v>
      </c>
      <c r="G1165" t="s">
        <v>86</v>
      </c>
      <c r="H1165" t="s">
        <v>87</v>
      </c>
      <c r="I1165" t="s">
        <v>163</v>
      </c>
    </row>
    <row r="1166" spans="1:9" x14ac:dyDescent="0.45">
      <c r="A1166" t="s">
        <v>1885</v>
      </c>
      <c r="B1166" t="s">
        <v>104</v>
      </c>
      <c r="C1166" t="s">
        <v>1698</v>
      </c>
      <c r="D1166" t="s">
        <v>74</v>
      </c>
      <c r="E1166">
        <v>3716.18</v>
      </c>
      <c r="F1166" s="2">
        <v>45321.666684444448</v>
      </c>
      <c r="H1166" t="s">
        <v>118</v>
      </c>
      <c r="I1166" t="s">
        <v>119</v>
      </c>
    </row>
    <row r="1167" spans="1:9" x14ac:dyDescent="0.45">
      <c r="A1167" t="s">
        <v>1886</v>
      </c>
      <c r="B1167" t="s">
        <v>138</v>
      </c>
      <c r="D1167" t="s">
        <v>74</v>
      </c>
      <c r="E1167">
        <v>8841.66</v>
      </c>
      <c r="F1167" s="2">
        <v>45842.666684444448</v>
      </c>
      <c r="H1167" t="s">
        <v>116</v>
      </c>
      <c r="I1167" t="s">
        <v>119</v>
      </c>
    </row>
    <row r="1168" spans="1:9" x14ac:dyDescent="0.45">
      <c r="A1168" t="s">
        <v>1887</v>
      </c>
      <c r="B1168" t="s">
        <v>79</v>
      </c>
      <c r="C1168" t="s">
        <v>1888</v>
      </c>
      <c r="D1168" t="s">
        <v>92</v>
      </c>
      <c r="E1168">
        <v>7865.44</v>
      </c>
      <c r="F1168" s="2">
        <v>45372.666684444448</v>
      </c>
      <c r="G1168" t="s">
        <v>86</v>
      </c>
      <c r="H1168" t="s">
        <v>76</v>
      </c>
      <c r="I1168" t="s">
        <v>112</v>
      </c>
    </row>
    <row r="1169" spans="1:9" x14ac:dyDescent="0.45">
      <c r="A1169" t="s">
        <v>1889</v>
      </c>
      <c r="B1169" t="s">
        <v>109</v>
      </c>
      <c r="C1169" t="s">
        <v>1294</v>
      </c>
      <c r="D1169" t="s">
        <v>74</v>
      </c>
      <c r="E1169">
        <v>0</v>
      </c>
      <c r="F1169" s="2">
        <v>45713.666684444448</v>
      </c>
      <c r="G1169" t="s">
        <v>307</v>
      </c>
      <c r="H1169" t="s">
        <v>81</v>
      </c>
      <c r="I1169" t="s">
        <v>77</v>
      </c>
    </row>
    <row r="1170" spans="1:9" x14ac:dyDescent="0.45">
      <c r="A1170" t="s">
        <v>1890</v>
      </c>
      <c r="B1170" t="s">
        <v>99</v>
      </c>
      <c r="C1170" t="s">
        <v>1036</v>
      </c>
      <c r="D1170" t="s">
        <v>101</v>
      </c>
      <c r="E1170">
        <v>795.48</v>
      </c>
      <c r="F1170" s="2">
        <v>45520.666684444448</v>
      </c>
      <c r="G1170" t="s">
        <v>285</v>
      </c>
      <c r="H1170" t="s">
        <v>133</v>
      </c>
      <c r="I1170" t="s">
        <v>119</v>
      </c>
    </row>
    <row r="1171" spans="1:9" x14ac:dyDescent="0.45">
      <c r="A1171" t="s">
        <v>1040</v>
      </c>
      <c r="B1171" t="s">
        <v>172</v>
      </c>
      <c r="C1171" t="s">
        <v>1891</v>
      </c>
      <c r="D1171" t="s">
        <v>85</v>
      </c>
      <c r="E1171">
        <v>4832.54</v>
      </c>
      <c r="F1171" s="2">
        <v>45367.666684444448</v>
      </c>
      <c r="G1171" t="s">
        <v>174</v>
      </c>
      <c r="H1171" t="s">
        <v>81</v>
      </c>
      <c r="I1171" t="s">
        <v>163</v>
      </c>
    </row>
    <row r="1172" spans="1:9" x14ac:dyDescent="0.45">
      <c r="A1172" t="s">
        <v>1892</v>
      </c>
      <c r="B1172" t="s">
        <v>172</v>
      </c>
      <c r="C1172" t="s">
        <v>393</v>
      </c>
      <c r="D1172" t="s">
        <v>74</v>
      </c>
      <c r="E1172">
        <v>0</v>
      </c>
      <c r="F1172" s="2">
        <v>45548.666684444448</v>
      </c>
      <c r="G1172" t="s">
        <v>174</v>
      </c>
      <c r="H1172" t="s">
        <v>107</v>
      </c>
      <c r="I1172" t="s">
        <v>163</v>
      </c>
    </row>
    <row r="1173" spans="1:9" x14ac:dyDescent="0.45">
      <c r="A1173" t="s">
        <v>1893</v>
      </c>
      <c r="B1173" t="s">
        <v>172</v>
      </c>
      <c r="C1173" t="s">
        <v>922</v>
      </c>
      <c r="D1173" t="s">
        <v>74</v>
      </c>
      <c r="E1173">
        <v>9033.7099999999991</v>
      </c>
      <c r="F1173" s="2">
        <v>45172.666684444448</v>
      </c>
      <c r="G1173" t="s">
        <v>236</v>
      </c>
      <c r="I1173" t="s">
        <v>112</v>
      </c>
    </row>
    <row r="1174" spans="1:9" x14ac:dyDescent="0.45">
      <c r="A1174" t="s">
        <v>1894</v>
      </c>
      <c r="B1174" t="s">
        <v>138</v>
      </c>
      <c r="C1174" t="s">
        <v>1504</v>
      </c>
      <c r="D1174" t="s">
        <v>101</v>
      </c>
      <c r="E1174">
        <v>10552.76</v>
      </c>
      <c r="F1174" s="2">
        <v>45453.666684444448</v>
      </c>
      <c r="G1174" t="s">
        <v>140</v>
      </c>
      <c r="H1174" t="s">
        <v>136</v>
      </c>
      <c r="I1174" t="s">
        <v>163</v>
      </c>
    </row>
    <row r="1175" spans="1:9" x14ac:dyDescent="0.45">
      <c r="A1175" t="s">
        <v>1895</v>
      </c>
      <c r="B1175" t="s">
        <v>109</v>
      </c>
      <c r="C1175" t="s">
        <v>1896</v>
      </c>
      <c r="D1175" t="s">
        <v>101</v>
      </c>
      <c r="E1175">
        <v>7567.63</v>
      </c>
      <c r="F1175" s="2">
        <v>45612.666684444448</v>
      </c>
      <c r="G1175" t="s">
        <v>307</v>
      </c>
      <c r="H1175" t="s">
        <v>87</v>
      </c>
      <c r="I1175" t="s">
        <v>82</v>
      </c>
    </row>
    <row r="1176" spans="1:9" x14ac:dyDescent="0.45">
      <c r="A1176" t="s">
        <v>1897</v>
      </c>
      <c r="B1176" t="s">
        <v>104</v>
      </c>
      <c r="D1176" t="s">
        <v>74</v>
      </c>
      <c r="E1176">
        <v>0</v>
      </c>
      <c r="F1176" s="2">
        <v>45850.666684444448</v>
      </c>
      <c r="G1176" t="s">
        <v>115</v>
      </c>
      <c r="H1176" t="s">
        <v>116</v>
      </c>
      <c r="I1176" t="s">
        <v>119</v>
      </c>
    </row>
    <row r="1177" spans="1:9" x14ac:dyDescent="0.45">
      <c r="A1177" t="s">
        <v>1898</v>
      </c>
      <c r="B1177" t="s">
        <v>72</v>
      </c>
      <c r="C1177" t="s">
        <v>515</v>
      </c>
      <c r="D1177" t="s">
        <v>92</v>
      </c>
      <c r="E1177">
        <v>1857.79</v>
      </c>
      <c r="F1177" s="2">
        <v>45518.666684444448</v>
      </c>
      <c r="G1177" t="s">
        <v>75</v>
      </c>
      <c r="H1177" t="s">
        <v>116</v>
      </c>
      <c r="I1177" t="s">
        <v>82</v>
      </c>
    </row>
    <row r="1178" spans="1:9" x14ac:dyDescent="0.45">
      <c r="A1178" t="s">
        <v>1899</v>
      </c>
      <c r="B1178" t="s">
        <v>172</v>
      </c>
      <c r="C1178" t="s">
        <v>994</v>
      </c>
      <c r="E1178">
        <v>3951.66</v>
      </c>
      <c r="F1178" s="2">
        <v>45523.666684444448</v>
      </c>
      <c r="G1178" t="s">
        <v>174</v>
      </c>
      <c r="H1178" t="s">
        <v>136</v>
      </c>
      <c r="I1178" t="s">
        <v>82</v>
      </c>
    </row>
    <row r="1179" spans="1:9" x14ac:dyDescent="0.45">
      <c r="A1179" t="s">
        <v>1900</v>
      </c>
      <c r="B1179" t="s">
        <v>72</v>
      </c>
      <c r="C1179" t="s">
        <v>930</v>
      </c>
      <c r="D1179" t="s">
        <v>101</v>
      </c>
      <c r="E1179">
        <v>6859.64</v>
      </c>
      <c r="F1179" s="2">
        <v>45807.666684444448</v>
      </c>
      <c r="G1179" t="s">
        <v>75</v>
      </c>
      <c r="H1179" t="s">
        <v>81</v>
      </c>
      <c r="I1179" t="s">
        <v>88</v>
      </c>
    </row>
    <row r="1180" spans="1:9" x14ac:dyDescent="0.45">
      <c r="A1180" t="s">
        <v>1901</v>
      </c>
      <c r="B1180" t="s">
        <v>138</v>
      </c>
      <c r="C1180" t="s">
        <v>1902</v>
      </c>
      <c r="D1180" t="s">
        <v>92</v>
      </c>
      <c r="E1180">
        <v>4733.82</v>
      </c>
      <c r="F1180" s="2">
        <v>45795.666684444448</v>
      </c>
      <c r="G1180" t="s">
        <v>140</v>
      </c>
      <c r="H1180" t="s">
        <v>128</v>
      </c>
      <c r="I1180" t="s">
        <v>163</v>
      </c>
    </row>
    <row r="1181" spans="1:9" x14ac:dyDescent="0.45">
      <c r="A1181" t="s">
        <v>1903</v>
      </c>
      <c r="B1181" t="s">
        <v>72</v>
      </c>
      <c r="C1181" t="s">
        <v>1904</v>
      </c>
      <c r="D1181" t="s">
        <v>101</v>
      </c>
      <c r="E1181">
        <v>9108.34</v>
      </c>
      <c r="F1181" s="2">
        <v>45283.666684444448</v>
      </c>
      <c r="G1181" t="s">
        <v>75</v>
      </c>
      <c r="H1181" t="s">
        <v>81</v>
      </c>
      <c r="I1181" t="s">
        <v>112</v>
      </c>
    </row>
    <row r="1182" spans="1:9" x14ac:dyDescent="0.45">
      <c r="A1182" t="s">
        <v>1905</v>
      </c>
      <c r="B1182" t="s">
        <v>138</v>
      </c>
      <c r="C1182" t="s">
        <v>1906</v>
      </c>
      <c r="D1182" t="s">
        <v>85</v>
      </c>
      <c r="E1182">
        <v>7728.32</v>
      </c>
      <c r="F1182" s="2">
        <v>45635.666684444448</v>
      </c>
      <c r="G1182" t="s">
        <v>140</v>
      </c>
      <c r="H1182" t="s">
        <v>107</v>
      </c>
      <c r="I1182" t="s">
        <v>77</v>
      </c>
    </row>
    <row r="1183" spans="1:9" x14ac:dyDescent="0.45">
      <c r="A1183" t="s">
        <v>126</v>
      </c>
      <c r="B1183" t="s">
        <v>72</v>
      </c>
      <c r="C1183" t="s">
        <v>1125</v>
      </c>
      <c r="D1183" t="s">
        <v>148</v>
      </c>
      <c r="E1183">
        <v>10134.26</v>
      </c>
      <c r="F1183" s="2">
        <v>45165.666684444448</v>
      </c>
      <c r="G1183" t="s">
        <v>75</v>
      </c>
      <c r="H1183" t="s">
        <v>87</v>
      </c>
      <c r="I1183" t="s">
        <v>77</v>
      </c>
    </row>
    <row r="1184" spans="1:9" x14ac:dyDescent="0.45">
      <c r="A1184" t="s">
        <v>1907</v>
      </c>
      <c r="B1184" t="s">
        <v>79</v>
      </c>
      <c r="D1184" t="s">
        <v>92</v>
      </c>
      <c r="E1184">
        <v>11832.81</v>
      </c>
      <c r="F1184" s="2">
        <v>45257.666684444448</v>
      </c>
      <c r="G1184" t="s">
        <v>86</v>
      </c>
      <c r="H1184" t="s">
        <v>87</v>
      </c>
      <c r="I1184" t="s">
        <v>163</v>
      </c>
    </row>
    <row r="1185" spans="1:9" x14ac:dyDescent="0.45">
      <c r="A1185" t="s">
        <v>447</v>
      </c>
      <c r="B1185" t="s">
        <v>172</v>
      </c>
      <c r="C1185" t="s">
        <v>1827</v>
      </c>
      <c r="E1185">
        <v>10009.34</v>
      </c>
      <c r="F1185" s="2">
        <v>45642.666684444448</v>
      </c>
      <c r="G1185" t="s">
        <v>174</v>
      </c>
      <c r="H1185" t="s">
        <v>116</v>
      </c>
      <c r="I1185" t="s">
        <v>119</v>
      </c>
    </row>
    <row r="1186" spans="1:9" x14ac:dyDescent="0.45">
      <c r="A1186" t="s">
        <v>1908</v>
      </c>
      <c r="B1186" t="s">
        <v>95</v>
      </c>
      <c r="C1186" t="s">
        <v>1909</v>
      </c>
      <c r="D1186" t="s">
        <v>74</v>
      </c>
      <c r="E1186">
        <v>4145.53</v>
      </c>
      <c r="F1186" s="2">
        <v>45732.666684444448</v>
      </c>
      <c r="G1186" t="s">
        <v>97</v>
      </c>
      <c r="I1186" t="s">
        <v>82</v>
      </c>
    </row>
    <row r="1187" spans="1:9" x14ac:dyDescent="0.45">
      <c r="A1187" t="s">
        <v>1910</v>
      </c>
      <c r="B1187" t="s">
        <v>90</v>
      </c>
      <c r="C1187" t="s">
        <v>798</v>
      </c>
      <c r="D1187" t="s">
        <v>74</v>
      </c>
      <c r="E1187">
        <v>5165.92</v>
      </c>
      <c r="F1187" s="2">
        <v>45467.666684444448</v>
      </c>
      <c r="G1187" t="s">
        <v>296</v>
      </c>
      <c r="H1187" t="s">
        <v>87</v>
      </c>
      <c r="I1187" t="s">
        <v>163</v>
      </c>
    </row>
    <row r="1188" spans="1:9" x14ac:dyDescent="0.45">
      <c r="A1188" t="s">
        <v>1911</v>
      </c>
      <c r="B1188" t="s">
        <v>138</v>
      </c>
      <c r="C1188" t="s">
        <v>251</v>
      </c>
      <c r="D1188" t="s">
        <v>148</v>
      </c>
      <c r="E1188">
        <v>2881.02</v>
      </c>
      <c r="F1188" s="2">
        <v>45230.666684444448</v>
      </c>
      <c r="G1188" t="s">
        <v>140</v>
      </c>
      <c r="H1188" t="s">
        <v>145</v>
      </c>
      <c r="I1188" t="s">
        <v>119</v>
      </c>
    </row>
    <row r="1189" spans="1:9" x14ac:dyDescent="0.45">
      <c r="A1189" t="s">
        <v>1912</v>
      </c>
      <c r="B1189" t="s">
        <v>99</v>
      </c>
      <c r="C1189" t="s">
        <v>1103</v>
      </c>
      <c r="D1189" t="s">
        <v>101</v>
      </c>
      <c r="E1189">
        <v>6510.57</v>
      </c>
      <c r="F1189" s="2">
        <v>45578.666684444448</v>
      </c>
      <c r="I1189" t="s">
        <v>88</v>
      </c>
    </row>
    <row r="1190" spans="1:9" x14ac:dyDescent="0.45">
      <c r="A1190" t="s">
        <v>1913</v>
      </c>
      <c r="B1190" t="s">
        <v>90</v>
      </c>
      <c r="C1190" t="s">
        <v>1129</v>
      </c>
      <c r="D1190" t="s">
        <v>101</v>
      </c>
      <c r="E1190">
        <v>9720.2099999999991</v>
      </c>
      <c r="F1190" s="2">
        <v>45230.666684444448</v>
      </c>
      <c r="G1190" t="s">
        <v>93</v>
      </c>
      <c r="H1190" t="s">
        <v>136</v>
      </c>
      <c r="I1190" t="s">
        <v>112</v>
      </c>
    </row>
    <row r="1191" spans="1:9" x14ac:dyDescent="0.45">
      <c r="A1191" t="s">
        <v>1914</v>
      </c>
      <c r="B1191" t="s">
        <v>104</v>
      </c>
      <c r="C1191" t="s">
        <v>132</v>
      </c>
      <c r="D1191" t="s">
        <v>92</v>
      </c>
      <c r="E1191">
        <v>11364.48</v>
      </c>
      <c r="F1191" s="2">
        <v>45666.666684444448</v>
      </c>
      <c r="G1191" t="s">
        <v>115</v>
      </c>
      <c r="I1191" t="s">
        <v>163</v>
      </c>
    </row>
    <row r="1192" spans="1:9" x14ac:dyDescent="0.45">
      <c r="A1192" t="s">
        <v>1915</v>
      </c>
      <c r="B1192" t="s">
        <v>138</v>
      </c>
      <c r="C1192" t="s">
        <v>1233</v>
      </c>
      <c r="E1192">
        <v>10645.28</v>
      </c>
      <c r="F1192" s="2">
        <v>45595.666684444448</v>
      </c>
      <c r="G1192" t="s">
        <v>140</v>
      </c>
      <c r="H1192" t="s">
        <v>81</v>
      </c>
      <c r="I1192" t="s">
        <v>112</v>
      </c>
    </row>
    <row r="1193" spans="1:9" x14ac:dyDescent="0.45">
      <c r="A1193" t="s">
        <v>1916</v>
      </c>
      <c r="B1193" t="s">
        <v>138</v>
      </c>
      <c r="C1193" t="s">
        <v>1650</v>
      </c>
      <c r="D1193" t="s">
        <v>148</v>
      </c>
      <c r="E1193">
        <v>4543.71</v>
      </c>
      <c r="F1193" s="2">
        <v>45143.666684444448</v>
      </c>
      <c r="G1193" t="s">
        <v>140</v>
      </c>
      <c r="H1193" t="s">
        <v>133</v>
      </c>
      <c r="I1193" t="s">
        <v>77</v>
      </c>
    </row>
    <row r="1194" spans="1:9" x14ac:dyDescent="0.45">
      <c r="A1194" t="s">
        <v>1917</v>
      </c>
      <c r="B1194" t="s">
        <v>72</v>
      </c>
      <c r="C1194" t="s">
        <v>1813</v>
      </c>
      <c r="D1194" t="s">
        <v>101</v>
      </c>
      <c r="E1194">
        <v>6559.51</v>
      </c>
      <c r="F1194" s="2">
        <v>45275.666684444448</v>
      </c>
      <c r="G1194" t="s">
        <v>75</v>
      </c>
      <c r="H1194" t="s">
        <v>87</v>
      </c>
      <c r="I1194" t="s">
        <v>112</v>
      </c>
    </row>
    <row r="1195" spans="1:9" x14ac:dyDescent="0.45">
      <c r="A1195" t="s">
        <v>1918</v>
      </c>
      <c r="B1195" t="s">
        <v>138</v>
      </c>
      <c r="C1195" t="s">
        <v>568</v>
      </c>
      <c r="D1195" t="s">
        <v>148</v>
      </c>
      <c r="E1195">
        <v>5956.79</v>
      </c>
      <c r="F1195" s="2">
        <v>45547.666684444448</v>
      </c>
      <c r="G1195" t="s">
        <v>140</v>
      </c>
      <c r="H1195" t="s">
        <v>133</v>
      </c>
      <c r="I1195" t="s">
        <v>82</v>
      </c>
    </row>
    <row r="1196" spans="1:9" x14ac:dyDescent="0.45">
      <c r="A1196" t="s">
        <v>1919</v>
      </c>
      <c r="B1196" t="s">
        <v>172</v>
      </c>
      <c r="C1196" t="s">
        <v>1609</v>
      </c>
      <c r="D1196" t="s">
        <v>74</v>
      </c>
      <c r="E1196">
        <v>11126.48</v>
      </c>
      <c r="F1196" s="2">
        <v>45798.666684444448</v>
      </c>
      <c r="H1196" t="s">
        <v>87</v>
      </c>
      <c r="I1196" t="s">
        <v>88</v>
      </c>
    </row>
    <row r="1197" spans="1:9" x14ac:dyDescent="0.45">
      <c r="A1197" t="s">
        <v>1920</v>
      </c>
      <c r="B1197" t="s">
        <v>109</v>
      </c>
      <c r="C1197" t="s">
        <v>924</v>
      </c>
      <c r="D1197" t="s">
        <v>74</v>
      </c>
      <c r="E1197">
        <v>4892.87</v>
      </c>
      <c r="F1197" s="2">
        <v>45286.666684444448</v>
      </c>
      <c r="G1197" t="s">
        <v>111</v>
      </c>
      <c r="I1197" t="s">
        <v>119</v>
      </c>
    </row>
    <row r="1198" spans="1:9" x14ac:dyDescent="0.45">
      <c r="A1198" t="s">
        <v>1921</v>
      </c>
      <c r="B1198" t="s">
        <v>109</v>
      </c>
      <c r="C1198" t="s">
        <v>1431</v>
      </c>
      <c r="D1198" t="s">
        <v>85</v>
      </c>
      <c r="E1198">
        <v>9215.6</v>
      </c>
      <c r="F1198" s="2">
        <v>45204.666684444448</v>
      </c>
      <c r="G1198" t="s">
        <v>111</v>
      </c>
      <c r="I1198" t="s">
        <v>88</v>
      </c>
    </row>
    <row r="1199" spans="1:9" x14ac:dyDescent="0.45">
      <c r="A1199" t="s">
        <v>1922</v>
      </c>
      <c r="B1199" t="s">
        <v>104</v>
      </c>
      <c r="D1199" t="s">
        <v>74</v>
      </c>
      <c r="E1199">
        <v>5994.59</v>
      </c>
      <c r="F1199" s="2">
        <v>45608.666684444448</v>
      </c>
      <c r="G1199" t="s">
        <v>115</v>
      </c>
      <c r="H1199" t="s">
        <v>116</v>
      </c>
      <c r="I1199" t="s">
        <v>163</v>
      </c>
    </row>
    <row r="1200" spans="1:9" x14ac:dyDescent="0.45">
      <c r="A1200" t="s">
        <v>1923</v>
      </c>
      <c r="B1200" t="s">
        <v>95</v>
      </c>
      <c r="C1200" t="s">
        <v>1473</v>
      </c>
      <c r="D1200" t="s">
        <v>101</v>
      </c>
      <c r="E1200">
        <v>5289.19</v>
      </c>
      <c r="F1200" s="2">
        <v>45399.666684444448</v>
      </c>
      <c r="G1200" t="s">
        <v>97</v>
      </c>
      <c r="H1200" t="s">
        <v>118</v>
      </c>
      <c r="I1200" t="s">
        <v>119</v>
      </c>
    </row>
    <row r="1201" spans="1:9" x14ac:dyDescent="0.45">
      <c r="A1201" t="s">
        <v>1924</v>
      </c>
      <c r="B1201" t="s">
        <v>172</v>
      </c>
      <c r="C1201" t="s">
        <v>851</v>
      </c>
      <c r="D1201" t="s">
        <v>92</v>
      </c>
      <c r="E1201">
        <v>10763.93</v>
      </c>
      <c r="F1201" s="2">
        <v>45474.666684444448</v>
      </c>
      <c r="G1201" t="s">
        <v>236</v>
      </c>
      <c r="H1201" t="s">
        <v>136</v>
      </c>
      <c r="I1201" t="s">
        <v>82</v>
      </c>
    </row>
    <row r="1202" spans="1:9" x14ac:dyDescent="0.45">
      <c r="A1202" t="s">
        <v>1925</v>
      </c>
      <c r="B1202" t="s">
        <v>172</v>
      </c>
      <c r="C1202" t="s">
        <v>582</v>
      </c>
      <c r="D1202" t="s">
        <v>101</v>
      </c>
      <c r="E1202">
        <v>11439.89</v>
      </c>
      <c r="F1202" s="2">
        <v>45766.666684444448</v>
      </c>
      <c r="G1202" t="s">
        <v>174</v>
      </c>
      <c r="H1202" t="s">
        <v>136</v>
      </c>
      <c r="I1202" t="s">
        <v>163</v>
      </c>
    </row>
    <row r="1203" spans="1:9" x14ac:dyDescent="0.45">
      <c r="A1203" t="s">
        <v>1926</v>
      </c>
      <c r="B1203" t="s">
        <v>79</v>
      </c>
      <c r="C1203" t="s">
        <v>1927</v>
      </c>
      <c r="D1203" t="s">
        <v>74</v>
      </c>
      <c r="E1203">
        <v>11685.37</v>
      </c>
      <c r="F1203" s="2">
        <v>45837.666684444448</v>
      </c>
      <c r="G1203" t="s">
        <v>86</v>
      </c>
      <c r="H1203" t="s">
        <v>81</v>
      </c>
      <c r="I1203" t="s">
        <v>163</v>
      </c>
    </row>
    <row r="1204" spans="1:9" x14ac:dyDescent="0.45">
      <c r="A1204" t="s">
        <v>1928</v>
      </c>
      <c r="B1204" t="s">
        <v>109</v>
      </c>
      <c r="C1204" t="s">
        <v>1032</v>
      </c>
      <c r="D1204" t="s">
        <v>101</v>
      </c>
      <c r="E1204">
        <v>0</v>
      </c>
      <c r="F1204" s="2">
        <v>45535.666684444448</v>
      </c>
      <c r="G1204" t="s">
        <v>111</v>
      </c>
      <c r="H1204" t="s">
        <v>133</v>
      </c>
      <c r="I1204" t="s">
        <v>112</v>
      </c>
    </row>
    <row r="1205" spans="1:9" x14ac:dyDescent="0.45">
      <c r="A1205" t="s">
        <v>1929</v>
      </c>
      <c r="B1205" t="s">
        <v>90</v>
      </c>
      <c r="C1205" t="s">
        <v>556</v>
      </c>
      <c r="D1205" t="s">
        <v>85</v>
      </c>
      <c r="E1205">
        <v>11173.45</v>
      </c>
      <c r="F1205" s="2">
        <v>45793.666684444448</v>
      </c>
      <c r="G1205" t="s">
        <v>93</v>
      </c>
      <c r="H1205" t="s">
        <v>128</v>
      </c>
      <c r="I1205" t="s">
        <v>119</v>
      </c>
    </row>
    <row r="1206" spans="1:9" x14ac:dyDescent="0.45">
      <c r="A1206" t="s">
        <v>1930</v>
      </c>
      <c r="B1206" t="s">
        <v>99</v>
      </c>
      <c r="C1206" t="s">
        <v>1931</v>
      </c>
      <c r="D1206" t="s">
        <v>85</v>
      </c>
      <c r="E1206">
        <v>156.91999999999999</v>
      </c>
      <c r="F1206" s="2">
        <v>45210.666684444448</v>
      </c>
      <c r="G1206" t="s">
        <v>102</v>
      </c>
      <c r="H1206" t="s">
        <v>118</v>
      </c>
      <c r="I1206" t="s">
        <v>112</v>
      </c>
    </row>
    <row r="1207" spans="1:9" x14ac:dyDescent="0.45">
      <c r="A1207" t="s">
        <v>1932</v>
      </c>
      <c r="B1207" t="s">
        <v>138</v>
      </c>
      <c r="C1207" t="s">
        <v>1933</v>
      </c>
      <c r="D1207" t="s">
        <v>92</v>
      </c>
      <c r="E1207">
        <v>7845.17</v>
      </c>
      <c r="F1207" s="2">
        <v>45464.666684444448</v>
      </c>
      <c r="G1207" t="s">
        <v>140</v>
      </c>
      <c r="I1207" t="s">
        <v>119</v>
      </c>
    </row>
    <row r="1208" spans="1:9" x14ac:dyDescent="0.45">
      <c r="A1208" t="s">
        <v>1934</v>
      </c>
      <c r="B1208" t="s">
        <v>95</v>
      </c>
      <c r="C1208" t="s">
        <v>1845</v>
      </c>
      <c r="D1208" t="s">
        <v>92</v>
      </c>
      <c r="E1208">
        <v>0</v>
      </c>
      <c r="F1208" s="2">
        <v>45818.666684444448</v>
      </c>
      <c r="H1208" t="s">
        <v>145</v>
      </c>
      <c r="I1208" t="s">
        <v>77</v>
      </c>
    </row>
    <row r="1209" spans="1:9" x14ac:dyDescent="0.45">
      <c r="A1209" t="s">
        <v>1935</v>
      </c>
      <c r="B1209" t="s">
        <v>99</v>
      </c>
      <c r="C1209" t="s">
        <v>1614</v>
      </c>
      <c r="D1209" t="s">
        <v>85</v>
      </c>
      <c r="E1209">
        <v>0</v>
      </c>
      <c r="F1209" s="2">
        <v>45674.666684444448</v>
      </c>
      <c r="G1209" t="s">
        <v>102</v>
      </c>
      <c r="H1209" t="s">
        <v>116</v>
      </c>
      <c r="I1209" t="s">
        <v>163</v>
      </c>
    </row>
    <row r="1210" spans="1:9" x14ac:dyDescent="0.45">
      <c r="A1210" t="s">
        <v>1936</v>
      </c>
      <c r="B1210" t="s">
        <v>99</v>
      </c>
      <c r="C1210" t="s">
        <v>784</v>
      </c>
      <c r="E1210">
        <v>6149.28</v>
      </c>
      <c r="F1210" s="2">
        <v>45517.666684444448</v>
      </c>
      <c r="G1210" t="s">
        <v>102</v>
      </c>
      <c r="H1210" t="s">
        <v>116</v>
      </c>
      <c r="I1210" t="s">
        <v>82</v>
      </c>
    </row>
    <row r="1211" spans="1:9" x14ac:dyDescent="0.45">
      <c r="A1211" t="s">
        <v>1937</v>
      </c>
      <c r="B1211" t="s">
        <v>79</v>
      </c>
      <c r="C1211" t="s">
        <v>1938</v>
      </c>
      <c r="D1211" t="s">
        <v>74</v>
      </c>
      <c r="E1211">
        <v>411.13</v>
      </c>
      <c r="F1211" s="2">
        <v>45452.666684444448</v>
      </c>
      <c r="G1211" t="s">
        <v>86</v>
      </c>
      <c r="H1211" t="s">
        <v>81</v>
      </c>
      <c r="I1211" t="s">
        <v>82</v>
      </c>
    </row>
    <row r="1212" spans="1:9" x14ac:dyDescent="0.45">
      <c r="A1212" t="s">
        <v>1939</v>
      </c>
      <c r="B1212" t="s">
        <v>95</v>
      </c>
      <c r="C1212" t="s">
        <v>1824</v>
      </c>
      <c r="D1212" t="s">
        <v>101</v>
      </c>
      <c r="E1212">
        <v>5996.47</v>
      </c>
      <c r="F1212" s="2">
        <v>45769.666684444448</v>
      </c>
      <c r="G1212" t="s">
        <v>97</v>
      </c>
      <c r="I1212" t="s">
        <v>77</v>
      </c>
    </row>
    <row r="1213" spans="1:9" x14ac:dyDescent="0.45">
      <c r="A1213" t="s">
        <v>1940</v>
      </c>
      <c r="B1213" t="s">
        <v>95</v>
      </c>
      <c r="C1213" t="s">
        <v>166</v>
      </c>
      <c r="E1213">
        <v>1780.82</v>
      </c>
      <c r="F1213" s="2">
        <v>45627.666684444448</v>
      </c>
      <c r="G1213" t="s">
        <v>97</v>
      </c>
      <c r="H1213" t="s">
        <v>116</v>
      </c>
      <c r="I1213" t="s">
        <v>112</v>
      </c>
    </row>
    <row r="1214" spans="1:9" x14ac:dyDescent="0.45">
      <c r="A1214" t="s">
        <v>1941</v>
      </c>
      <c r="B1214" t="s">
        <v>79</v>
      </c>
      <c r="C1214" t="s">
        <v>218</v>
      </c>
      <c r="D1214" t="s">
        <v>101</v>
      </c>
      <c r="E1214">
        <v>10852.82</v>
      </c>
      <c r="F1214" s="2">
        <v>45682.666684444448</v>
      </c>
      <c r="G1214" t="s">
        <v>86</v>
      </c>
      <c r="I1214" t="s">
        <v>119</v>
      </c>
    </row>
    <row r="1215" spans="1:9" x14ac:dyDescent="0.45">
      <c r="A1215" t="s">
        <v>1942</v>
      </c>
      <c r="B1215" t="s">
        <v>172</v>
      </c>
      <c r="C1215" t="s">
        <v>1943</v>
      </c>
      <c r="D1215" t="s">
        <v>106</v>
      </c>
      <c r="E1215">
        <v>11846.57</v>
      </c>
      <c r="F1215" s="2">
        <v>45164.666684444448</v>
      </c>
      <c r="G1215" t="s">
        <v>174</v>
      </c>
      <c r="H1215" t="s">
        <v>145</v>
      </c>
      <c r="I1215" t="s">
        <v>112</v>
      </c>
    </row>
    <row r="1216" spans="1:9" x14ac:dyDescent="0.45">
      <c r="A1216" t="s">
        <v>1944</v>
      </c>
      <c r="B1216" t="s">
        <v>79</v>
      </c>
      <c r="C1216" t="s">
        <v>1945</v>
      </c>
      <c r="D1216" t="s">
        <v>85</v>
      </c>
      <c r="E1216">
        <v>4735.92</v>
      </c>
      <c r="F1216" s="2">
        <v>45760.666684444448</v>
      </c>
      <c r="G1216" t="s">
        <v>86</v>
      </c>
      <c r="I1216" t="s">
        <v>119</v>
      </c>
    </row>
    <row r="1217" spans="1:9" x14ac:dyDescent="0.45">
      <c r="A1217" t="s">
        <v>1946</v>
      </c>
      <c r="B1217" t="s">
        <v>172</v>
      </c>
      <c r="C1217" t="s">
        <v>992</v>
      </c>
      <c r="D1217" t="s">
        <v>92</v>
      </c>
      <c r="E1217">
        <v>4999.1099999999997</v>
      </c>
      <c r="F1217" s="2">
        <v>45198.666684444448</v>
      </c>
      <c r="G1217" t="s">
        <v>174</v>
      </c>
      <c r="H1217" t="s">
        <v>76</v>
      </c>
      <c r="I1217" t="s">
        <v>82</v>
      </c>
    </row>
    <row r="1218" spans="1:9" x14ac:dyDescent="0.45">
      <c r="A1218" t="s">
        <v>1947</v>
      </c>
      <c r="B1218" t="s">
        <v>90</v>
      </c>
      <c r="C1218" t="s">
        <v>1948</v>
      </c>
      <c r="D1218" t="s">
        <v>101</v>
      </c>
      <c r="E1218">
        <v>3713.19</v>
      </c>
      <c r="F1218" s="2">
        <v>45368.666684444448</v>
      </c>
      <c r="G1218" t="s">
        <v>93</v>
      </c>
      <c r="H1218" t="s">
        <v>136</v>
      </c>
      <c r="I1218" t="s">
        <v>163</v>
      </c>
    </row>
    <row r="1219" spans="1:9" x14ac:dyDescent="0.45">
      <c r="A1219" t="s">
        <v>1949</v>
      </c>
      <c r="B1219" t="s">
        <v>104</v>
      </c>
      <c r="C1219" t="s">
        <v>570</v>
      </c>
      <c r="D1219" t="s">
        <v>101</v>
      </c>
      <c r="E1219">
        <v>6285.1</v>
      </c>
      <c r="F1219" s="2">
        <v>45774.666684444448</v>
      </c>
      <c r="G1219" t="s">
        <v>115</v>
      </c>
      <c r="H1219" t="s">
        <v>128</v>
      </c>
      <c r="I1219" t="s">
        <v>119</v>
      </c>
    </row>
    <row r="1220" spans="1:9" x14ac:dyDescent="0.45">
      <c r="A1220" t="s">
        <v>1950</v>
      </c>
      <c r="B1220" t="s">
        <v>172</v>
      </c>
      <c r="C1220" t="s">
        <v>1247</v>
      </c>
      <c r="D1220" t="s">
        <v>101</v>
      </c>
      <c r="E1220">
        <v>0</v>
      </c>
      <c r="F1220" s="2">
        <v>45828.666684444448</v>
      </c>
      <c r="G1220" t="s">
        <v>174</v>
      </c>
      <c r="H1220" t="s">
        <v>107</v>
      </c>
      <c r="I1220" t="s">
        <v>82</v>
      </c>
    </row>
    <row r="1221" spans="1:9" x14ac:dyDescent="0.45">
      <c r="A1221" t="s">
        <v>1951</v>
      </c>
      <c r="B1221" t="s">
        <v>99</v>
      </c>
      <c r="C1221" t="s">
        <v>423</v>
      </c>
      <c r="D1221" t="s">
        <v>92</v>
      </c>
      <c r="E1221">
        <v>142.77000000000001</v>
      </c>
      <c r="F1221" s="2">
        <v>45422.666684444448</v>
      </c>
      <c r="G1221" t="s">
        <v>102</v>
      </c>
      <c r="H1221" t="s">
        <v>118</v>
      </c>
      <c r="I1221" t="s">
        <v>77</v>
      </c>
    </row>
    <row r="1222" spans="1:9" x14ac:dyDescent="0.45">
      <c r="A1222" t="s">
        <v>1952</v>
      </c>
      <c r="B1222" t="s">
        <v>172</v>
      </c>
      <c r="C1222" t="s">
        <v>1953</v>
      </c>
      <c r="D1222" t="s">
        <v>85</v>
      </c>
      <c r="E1222">
        <v>71.09</v>
      </c>
      <c r="F1222" s="2">
        <v>45360.666684444448</v>
      </c>
      <c r="G1222" t="s">
        <v>174</v>
      </c>
      <c r="H1222" t="s">
        <v>87</v>
      </c>
      <c r="I1222" t="s">
        <v>163</v>
      </c>
    </row>
    <row r="1223" spans="1:9" x14ac:dyDescent="0.45">
      <c r="A1223" t="s">
        <v>1954</v>
      </c>
      <c r="B1223" t="s">
        <v>104</v>
      </c>
      <c r="C1223" t="s">
        <v>1759</v>
      </c>
      <c r="D1223" t="s">
        <v>155</v>
      </c>
      <c r="E1223">
        <v>757.93</v>
      </c>
      <c r="F1223" s="2">
        <v>45220.666684444448</v>
      </c>
      <c r="G1223" t="s">
        <v>115</v>
      </c>
      <c r="H1223" t="s">
        <v>133</v>
      </c>
      <c r="I1223" t="s">
        <v>163</v>
      </c>
    </row>
    <row r="1224" spans="1:9" x14ac:dyDescent="0.45">
      <c r="A1224" t="s">
        <v>1955</v>
      </c>
      <c r="B1224" t="s">
        <v>138</v>
      </c>
      <c r="C1224" t="s">
        <v>139</v>
      </c>
      <c r="D1224" t="s">
        <v>101</v>
      </c>
      <c r="E1224">
        <v>4988.1499999999996</v>
      </c>
      <c r="F1224" s="2">
        <v>45572.666684444448</v>
      </c>
      <c r="G1224" t="s">
        <v>140</v>
      </c>
      <c r="I1224" t="s">
        <v>88</v>
      </c>
    </row>
    <row r="1225" spans="1:9" x14ac:dyDescent="0.45">
      <c r="A1225" t="s">
        <v>1956</v>
      </c>
      <c r="B1225" t="s">
        <v>79</v>
      </c>
      <c r="C1225" t="s">
        <v>749</v>
      </c>
      <c r="D1225" t="s">
        <v>74</v>
      </c>
      <c r="E1225">
        <v>4198.2</v>
      </c>
      <c r="F1225" s="2">
        <v>45228.666684444448</v>
      </c>
      <c r="G1225" t="s">
        <v>86</v>
      </c>
      <c r="H1225" t="s">
        <v>133</v>
      </c>
      <c r="I1225" t="s">
        <v>112</v>
      </c>
    </row>
    <row r="1226" spans="1:9" x14ac:dyDescent="0.45">
      <c r="A1226" t="s">
        <v>1957</v>
      </c>
      <c r="B1226" t="s">
        <v>138</v>
      </c>
      <c r="C1226" t="s">
        <v>1804</v>
      </c>
      <c r="D1226" t="s">
        <v>101</v>
      </c>
      <c r="E1226">
        <v>9412.9</v>
      </c>
      <c r="F1226" s="2">
        <v>45776.666684444448</v>
      </c>
      <c r="G1226" t="s">
        <v>140</v>
      </c>
      <c r="H1226" t="s">
        <v>76</v>
      </c>
      <c r="I1226" t="s">
        <v>77</v>
      </c>
    </row>
    <row r="1227" spans="1:9" x14ac:dyDescent="0.45">
      <c r="A1227" t="s">
        <v>1958</v>
      </c>
      <c r="B1227" t="s">
        <v>79</v>
      </c>
      <c r="C1227" t="s">
        <v>1159</v>
      </c>
      <c r="D1227" t="s">
        <v>85</v>
      </c>
      <c r="E1227">
        <v>8978.49</v>
      </c>
      <c r="F1227" s="2">
        <v>45848.666684444448</v>
      </c>
      <c r="G1227" t="s">
        <v>278</v>
      </c>
      <c r="H1227" t="s">
        <v>145</v>
      </c>
      <c r="I1227" t="s">
        <v>82</v>
      </c>
    </row>
    <row r="1228" spans="1:9" x14ac:dyDescent="0.45">
      <c r="A1228" t="s">
        <v>1959</v>
      </c>
      <c r="B1228" t="s">
        <v>90</v>
      </c>
      <c r="C1228" t="s">
        <v>342</v>
      </c>
      <c r="D1228" t="s">
        <v>148</v>
      </c>
      <c r="E1228">
        <v>10362.56</v>
      </c>
      <c r="F1228" s="2">
        <v>45230.666684444448</v>
      </c>
      <c r="H1228" t="s">
        <v>76</v>
      </c>
      <c r="I1228" t="s">
        <v>112</v>
      </c>
    </row>
    <row r="1229" spans="1:9" x14ac:dyDescent="0.45">
      <c r="A1229" t="s">
        <v>1960</v>
      </c>
      <c r="B1229" t="s">
        <v>109</v>
      </c>
      <c r="C1229" t="s">
        <v>375</v>
      </c>
      <c r="D1229" t="s">
        <v>101</v>
      </c>
      <c r="E1229">
        <v>2575.66</v>
      </c>
      <c r="F1229" s="2">
        <v>45582.666684444448</v>
      </c>
      <c r="G1229" t="s">
        <v>111</v>
      </c>
      <c r="H1229" t="s">
        <v>81</v>
      </c>
      <c r="I1229" t="s">
        <v>119</v>
      </c>
    </row>
    <row r="1230" spans="1:9" x14ac:dyDescent="0.45">
      <c r="A1230" t="s">
        <v>1961</v>
      </c>
      <c r="B1230" t="s">
        <v>99</v>
      </c>
      <c r="C1230" t="s">
        <v>1848</v>
      </c>
      <c r="D1230" t="s">
        <v>92</v>
      </c>
      <c r="E1230">
        <v>6073</v>
      </c>
      <c r="F1230" s="2">
        <v>45298.666684444448</v>
      </c>
      <c r="G1230" t="s">
        <v>285</v>
      </c>
      <c r="H1230" t="s">
        <v>81</v>
      </c>
      <c r="I1230" t="s">
        <v>119</v>
      </c>
    </row>
    <row r="1231" spans="1:9" x14ac:dyDescent="0.45">
      <c r="A1231" t="s">
        <v>1962</v>
      </c>
      <c r="B1231" t="s">
        <v>99</v>
      </c>
      <c r="C1231" t="s">
        <v>371</v>
      </c>
      <c r="D1231" t="s">
        <v>101</v>
      </c>
      <c r="E1231">
        <v>9995.18</v>
      </c>
      <c r="F1231" s="2">
        <v>45838.666684444448</v>
      </c>
      <c r="G1231" t="s">
        <v>285</v>
      </c>
      <c r="H1231" t="s">
        <v>76</v>
      </c>
      <c r="I1231" t="s">
        <v>163</v>
      </c>
    </row>
    <row r="1232" spans="1:9" x14ac:dyDescent="0.45">
      <c r="A1232" t="s">
        <v>1963</v>
      </c>
      <c r="B1232" t="s">
        <v>109</v>
      </c>
      <c r="C1232" t="s">
        <v>637</v>
      </c>
      <c r="D1232" t="s">
        <v>85</v>
      </c>
      <c r="E1232">
        <v>10158.73</v>
      </c>
      <c r="F1232" s="2">
        <v>45434.666684444448</v>
      </c>
      <c r="H1232" t="s">
        <v>107</v>
      </c>
      <c r="I1232" t="s">
        <v>82</v>
      </c>
    </row>
    <row r="1233" spans="1:9" x14ac:dyDescent="0.45">
      <c r="A1233" t="s">
        <v>1964</v>
      </c>
      <c r="B1233" t="s">
        <v>109</v>
      </c>
      <c r="C1233" t="s">
        <v>1965</v>
      </c>
      <c r="D1233" t="s">
        <v>148</v>
      </c>
      <c r="E1233">
        <v>0</v>
      </c>
      <c r="F1233" s="2">
        <v>45157.666684444448</v>
      </c>
      <c r="G1233" t="s">
        <v>111</v>
      </c>
      <c r="I1233" t="s">
        <v>82</v>
      </c>
    </row>
    <row r="1234" spans="1:9" x14ac:dyDescent="0.45">
      <c r="A1234" t="s">
        <v>1966</v>
      </c>
      <c r="B1234" t="s">
        <v>79</v>
      </c>
      <c r="C1234" t="s">
        <v>170</v>
      </c>
      <c r="D1234" t="s">
        <v>74</v>
      </c>
      <c r="E1234">
        <v>0</v>
      </c>
      <c r="F1234" s="2">
        <v>45175.666684444448</v>
      </c>
      <c r="G1234" t="s">
        <v>86</v>
      </c>
      <c r="H1234" t="s">
        <v>87</v>
      </c>
      <c r="I1234" t="s">
        <v>112</v>
      </c>
    </row>
    <row r="1235" spans="1:9" x14ac:dyDescent="0.45">
      <c r="A1235" t="s">
        <v>1967</v>
      </c>
      <c r="B1235" t="s">
        <v>99</v>
      </c>
      <c r="C1235" t="s">
        <v>1547</v>
      </c>
      <c r="D1235" t="s">
        <v>101</v>
      </c>
      <c r="E1235">
        <v>10807.99</v>
      </c>
      <c r="F1235" s="2">
        <v>45460.666684444448</v>
      </c>
      <c r="G1235" t="s">
        <v>102</v>
      </c>
      <c r="H1235" t="s">
        <v>128</v>
      </c>
      <c r="I1235" t="s">
        <v>112</v>
      </c>
    </row>
    <row r="1236" spans="1:9" x14ac:dyDescent="0.45">
      <c r="A1236" t="s">
        <v>1968</v>
      </c>
      <c r="B1236" t="s">
        <v>99</v>
      </c>
      <c r="C1236" t="s">
        <v>880</v>
      </c>
      <c r="D1236" t="s">
        <v>106</v>
      </c>
      <c r="E1236">
        <v>8192.73</v>
      </c>
      <c r="F1236" s="2">
        <v>45185.666684444448</v>
      </c>
      <c r="G1236" t="s">
        <v>102</v>
      </c>
      <c r="H1236" t="s">
        <v>136</v>
      </c>
      <c r="I1236" t="s">
        <v>82</v>
      </c>
    </row>
    <row r="1237" spans="1:9" x14ac:dyDescent="0.45">
      <c r="A1237" t="s">
        <v>195</v>
      </c>
      <c r="B1237" t="s">
        <v>109</v>
      </c>
      <c r="C1237" t="s">
        <v>1969</v>
      </c>
      <c r="D1237" t="s">
        <v>148</v>
      </c>
      <c r="E1237">
        <v>8720.0499999999993</v>
      </c>
      <c r="F1237" s="2">
        <v>45428.666684444448</v>
      </c>
      <c r="G1237" t="s">
        <v>111</v>
      </c>
      <c r="H1237" t="s">
        <v>118</v>
      </c>
      <c r="I1237" t="s">
        <v>163</v>
      </c>
    </row>
    <row r="1238" spans="1:9" x14ac:dyDescent="0.45">
      <c r="A1238" t="s">
        <v>1970</v>
      </c>
      <c r="B1238" t="s">
        <v>79</v>
      </c>
      <c r="C1238" t="s">
        <v>425</v>
      </c>
      <c r="D1238" t="s">
        <v>85</v>
      </c>
      <c r="E1238">
        <v>9986.2900000000009</v>
      </c>
      <c r="F1238" s="2">
        <v>45495.666684444448</v>
      </c>
      <c r="G1238" t="s">
        <v>86</v>
      </c>
      <c r="H1238" t="s">
        <v>107</v>
      </c>
      <c r="I1238" t="s">
        <v>163</v>
      </c>
    </row>
    <row r="1239" spans="1:9" x14ac:dyDescent="0.45">
      <c r="A1239" t="s">
        <v>1971</v>
      </c>
      <c r="B1239" t="s">
        <v>172</v>
      </c>
      <c r="C1239" t="s">
        <v>1575</v>
      </c>
      <c r="D1239" t="s">
        <v>85</v>
      </c>
      <c r="E1239">
        <v>7988.59</v>
      </c>
      <c r="F1239" s="2">
        <v>45511.666684444448</v>
      </c>
      <c r="G1239" t="s">
        <v>174</v>
      </c>
      <c r="I1239" t="s">
        <v>163</v>
      </c>
    </row>
    <row r="1240" spans="1:9" x14ac:dyDescent="0.45">
      <c r="A1240" t="s">
        <v>1972</v>
      </c>
      <c r="B1240" t="s">
        <v>172</v>
      </c>
      <c r="C1240" t="s">
        <v>462</v>
      </c>
      <c r="D1240" t="s">
        <v>101</v>
      </c>
      <c r="E1240">
        <v>7887.83</v>
      </c>
      <c r="F1240" s="2">
        <v>45569.666684444448</v>
      </c>
      <c r="H1240" t="s">
        <v>128</v>
      </c>
      <c r="I1240" t="s">
        <v>88</v>
      </c>
    </row>
    <row r="1241" spans="1:9" x14ac:dyDescent="0.45">
      <c r="A1241" t="s">
        <v>1973</v>
      </c>
      <c r="B1241" t="s">
        <v>104</v>
      </c>
      <c r="C1241" t="s">
        <v>1741</v>
      </c>
      <c r="D1241" t="s">
        <v>85</v>
      </c>
      <c r="E1241">
        <v>1835.54</v>
      </c>
      <c r="F1241" s="2">
        <v>45277.666684444448</v>
      </c>
      <c r="G1241" t="s">
        <v>115</v>
      </c>
      <c r="H1241" t="s">
        <v>76</v>
      </c>
      <c r="I1241" t="s">
        <v>77</v>
      </c>
    </row>
    <row r="1242" spans="1:9" x14ac:dyDescent="0.45">
      <c r="A1242" t="s">
        <v>1974</v>
      </c>
      <c r="B1242" t="s">
        <v>72</v>
      </c>
      <c r="C1242" t="s">
        <v>1975</v>
      </c>
      <c r="E1242">
        <v>6122.97</v>
      </c>
      <c r="F1242" s="2">
        <v>45378.666684444448</v>
      </c>
      <c r="G1242" t="s">
        <v>75</v>
      </c>
      <c r="H1242" t="s">
        <v>76</v>
      </c>
      <c r="I1242" t="s">
        <v>112</v>
      </c>
    </row>
    <row r="1243" spans="1:9" x14ac:dyDescent="0.45">
      <c r="A1243" t="s">
        <v>1976</v>
      </c>
      <c r="B1243" t="s">
        <v>95</v>
      </c>
      <c r="C1243" t="s">
        <v>1977</v>
      </c>
      <c r="D1243" t="s">
        <v>92</v>
      </c>
      <c r="E1243">
        <v>3380.15</v>
      </c>
      <c r="F1243" s="2">
        <v>45671.666684444448</v>
      </c>
      <c r="H1243" t="s">
        <v>133</v>
      </c>
      <c r="I1243" t="s">
        <v>77</v>
      </c>
    </row>
    <row r="1244" spans="1:9" x14ac:dyDescent="0.45">
      <c r="A1244" t="s">
        <v>1978</v>
      </c>
      <c r="B1244" t="s">
        <v>90</v>
      </c>
      <c r="C1244" t="s">
        <v>1108</v>
      </c>
      <c r="D1244" t="s">
        <v>101</v>
      </c>
      <c r="E1244">
        <v>5375.95</v>
      </c>
      <c r="F1244" s="2">
        <v>45549.666684444448</v>
      </c>
      <c r="G1244" t="s">
        <v>296</v>
      </c>
      <c r="H1244" t="s">
        <v>107</v>
      </c>
      <c r="I1244" t="s">
        <v>163</v>
      </c>
    </row>
    <row r="1245" spans="1:9" x14ac:dyDescent="0.45">
      <c r="A1245" t="s">
        <v>1979</v>
      </c>
      <c r="B1245" t="s">
        <v>79</v>
      </c>
      <c r="D1245" t="s">
        <v>74</v>
      </c>
      <c r="E1245">
        <v>5113.38</v>
      </c>
      <c r="F1245" s="2">
        <v>45707.666684444448</v>
      </c>
      <c r="G1245" t="s">
        <v>86</v>
      </c>
      <c r="I1245" t="s">
        <v>82</v>
      </c>
    </row>
    <row r="1246" spans="1:9" x14ac:dyDescent="0.45">
      <c r="A1246" t="s">
        <v>1980</v>
      </c>
      <c r="B1246" t="s">
        <v>172</v>
      </c>
      <c r="C1246" t="s">
        <v>1981</v>
      </c>
      <c r="D1246" t="s">
        <v>101</v>
      </c>
      <c r="E1246">
        <v>1923.85</v>
      </c>
      <c r="F1246" s="2">
        <v>45826.666684444448</v>
      </c>
      <c r="G1246" t="s">
        <v>174</v>
      </c>
      <c r="H1246" t="s">
        <v>118</v>
      </c>
      <c r="I1246" t="s">
        <v>77</v>
      </c>
    </row>
    <row r="1247" spans="1:9" x14ac:dyDescent="0.45">
      <c r="A1247" t="s">
        <v>1982</v>
      </c>
      <c r="B1247" t="s">
        <v>95</v>
      </c>
      <c r="C1247" t="s">
        <v>1832</v>
      </c>
      <c r="D1247" t="s">
        <v>74</v>
      </c>
      <c r="E1247">
        <v>2799.02</v>
      </c>
      <c r="F1247" s="2">
        <v>45312.666684444448</v>
      </c>
      <c r="G1247" t="s">
        <v>97</v>
      </c>
      <c r="H1247" t="s">
        <v>107</v>
      </c>
      <c r="I1247" t="s">
        <v>88</v>
      </c>
    </row>
    <row r="1248" spans="1:9" x14ac:dyDescent="0.45">
      <c r="A1248" t="s">
        <v>1983</v>
      </c>
      <c r="B1248" t="s">
        <v>95</v>
      </c>
      <c r="C1248" t="s">
        <v>450</v>
      </c>
      <c r="D1248" t="s">
        <v>74</v>
      </c>
      <c r="E1248">
        <v>369.3</v>
      </c>
      <c r="F1248" s="2">
        <v>45302.666684444448</v>
      </c>
      <c r="G1248" t="s">
        <v>97</v>
      </c>
      <c r="H1248" t="s">
        <v>118</v>
      </c>
      <c r="I1248" t="s">
        <v>163</v>
      </c>
    </row>
    <row r="1249" spans="1:9" x14ac:dyDescent="0.45">
      <c r="A1249" t="s">
        <v>1984</v>
      </c>
      <c r="B1249" t="s">
        <v>95</v>
      </c>
      <c r="C1249" t="s">
        <v>1985</v>
      </c>
      <c r="D1249" t="s">
        <v>101</v>
      </c>
      <c r="E1249">
        <v>9127.94</v>
      </c>
      <c r="F1249" s="2">
        <v>45307.666684444448</v>
      </c>
      <c r="H1249" t="s">
        <v>81</v>
      </c>
      <c r="I1249" t="s">
        <v>119</v>
      </c>
    </row>
    <row r="1250" spans="1:9" x14ac:dyDescent="0.45">
      <c r="A1250" t="s">
        <v>1986</v>
      </c>
      <c r="B1250" t="s">
        <v>109</v>
      </c>
      <c r="C1250" t="s">
        <v>1540</v>
      </c>
      <c r="D1250" t="s">
        <v>74</v>
      </c>
      <c r="E1250">
        <v>11178.78</v>
      </c>
      <c r="F1250" s="2">
        <v>45208.666684444448</v>
      </c>
      <c r="H1250" t="s">
        <v>128</v>
      </c>
      <c r="I1250" t="s">
        <v>88</v>
      </c>
    </row>
    <row r="1251" spans="1:9" x14ac:dyDescent="0.45">
      <c r="A1251" t="s">
        <v>1987</v>
      </c>
      <c r="B1251" t="s">
        <v>104</v>
      </c>
      <c r="C1251" t="s">
        <v>879</v>
      </c>
      <c r="D1251" t="s">
        <v>74</v>
      </c>
      <c r="E1251">
        <v>8975.08</v>
      </c>
      <c r="F1251" s="2">
        <v>45752.666684444448</v>
      </c>
      <c r="G1251" t="s">
        <v>115</v>
      </c>
      <c r="I1251" t="s">
        <v>88</v>
      </c>
    </row>
    <row r="1252" spans="1:9" x14ac:dyDescent="0.45">
      <c r="A1252" t="s">
        <v>1988</v>
      </c>
      <c r="B1252" t="s">
        <v>72</v>
      </c>
      <c r="C1252" t="s">
        <v>1083</v>
      </c>
      <c r="D1252" t="s">
        <v>85</v>
      </c>
      <c r="E1252">
        <v>9327.5499999999993</v>
      </c>
      <c r="F1252" s="2">
        <v>45519.666684444448</v>
      </c>
      <c r="G1252" t="s">
        <v>75</v>
      </c>
      <c r="H1252" t="s">
        <v>136</v>
      </c>
      <c r="I1252" t="s">
        <v>112</v>
      </c>
    </row>
    <row r="1253" spans="1:9" x14ac:dyDescent="0.45">
      <c r="A1253" t="s">
        <v>1989</v>
      </c>
      <c r="B1253" t="s">
        <v>79</v>
      </c>
      <c r="C1253" t="s">
        <v>1299</v>
      </c>
      <c r="D1253" t="s">
        <v>74</v>
      </c>
      <c r="E1253">
        <v>4335.2</v>
      </c>
      <c r="F1253" s="2">
        <v>45762.666684444448</v>
      </c>
      <c r="G1253" t="s">
        <v>86</v>
      </c>
      <c r="H1253" t="s">
        <v>136</v>
      </c>
      <c r="I1253" t="s">
        <v>119</v>
      </c>
    </row>
    <row r="1254" spans="1:9" x14ac:dyDescent="0.45">
      <c r="A1254" t="s">
        <v>1990</v>
      </c>
      <c r="B1254" t="s">
        <v>104</v>
      </c>
      <c r="C1254" t="s">
        <v>1991</v>
      </c>
      <c r="D1254" t="s">
        <v>74</v>
      </c>
      <c r="E1254">
        <v>4620.6099999999997</v>
      </c>
      <c r="F1254" s="2">
        <v>45827.666684444448</v>
      </c>
      <c r="G1254" t="s">
        <v>115</v>
      </c>
      <c r="H1254" t="s">
        <v>76</v>
      </c>
      <c r="I1254" t="s">
        <v>77</v>
      </c>
    </row>
    <row r="1255" spans="1:9" x14ac:dyDescent="0.45">
      <c r="A1255" t="s">
        <v>1992</v>
      </c>
      <c r="B1255" t="s">
        <v>138</v>
      </c>
      <c r="C1255" t="s">
        <v>989</v>
      </c>
      <c r="D1255" t="s">
        <v>101</v>
      </c>
      <c r="E1255">
        <v>5011.67</v>
      </c>
      <c r="F1255" s="2">
        <v>45374.666684444448</v>
      </c>
      <c r="G1255" t="s">
        <v>140</v>
      </c>
      <c r="H1255" t="s">
        <v>81</v>
      </c>
      <c r="I1255" t="s">
        <v>77</v>
      </c>
    </row>
    <row r="1256" spans="1:9" x14ac:dyDescent="0.45">
      <c r="A1256" t="s">
        <v>1993</v>
      </c>
      <c r="B1256" t="s">
        <v>104</v>
      </c>
      <c r="D1256" t="s">
        <v>74</v>
      </c>
      <c r="E1256">
        <v>1362.77</v>
      </c>
      <c r="F1256" s="2">
        <v>45637.666684444448</v>
      </c>
      <c r="G1256" t="s">
        <v>115</v>
      </c>
      <c r="H1256" t="s">
        <v>145</v>
      </c>
      <c r="I1256" t="s">
        <v>88</v>
      </c>
    </row>
    <row r="1257" spans="1:9" x14ac:dyDescent="0.45">
      <c r="A1257" t="s">
        <v>945</v>
      </c>
      <c r="B1257" t="s">
        <v>138</v>
      </c>
      <c r="C1257" t="s">
        <v>1994</v>
      </c>
      <c r="D1257" t="s">
        <v>85</v>
      </c>
      <c r="E1257">
        <v>3038.49</v>
      </c>
      <c r="F1257" s="2">
        <v>45725.666684444448</v>
      </c>
      <c r="G1257" t="s">
        <v>194</v>
      </c>
      <c r="H1257" t="s">
        <v>128</v>
      </c>
      <c r="I1257" t="s">
        <v>88</v>
      </c>
    </row>
    <row r="1258" spans="1:9" x14ac:dyDescent="0.45">
      <c r="A1258" t="s">
        <v>1995</v>
      </c>
      <c r="B1258" t="s">
        <v>72</v>
      </c>
      <c r="C1258" t="s">
        <v>1996</v>
      </c>
      <c r="D1258" t="s">
        <v>74</v>
      </c>
      <c r="E1258">
        <v>7084.57</v>
      </c>
      <c r="F1258" s="2">
        <v>45274.666684444448</v>
      </c>
      <c r="G1258" t="s">
        <v>75</v>
      </c>
      <c r="H1258" t="s">
        <v>128</v>
      </c>
      <c r="I1258" t="s">
        <v>112</v>
      </c>
    </row>
    <row r="1259" spans="1:9" x14ac:dyDescent="0.45">
      <c r="A1259" t="s">
        <v>1997</v>
      </c>
      <c r="B1259" t="s">
        <v>79</v>
      </c>
      <c r="C1259" t="s">
        <v>509</v>
      </c>
      <c r="D1259" t="s">
        <v>92</v>
      </c>
      <c r="E1259">
        <v>0</v>
      </c>
      <c r="F1259" s="2">
        <v>45365.666684444448</v>
      </c>
      <c r="G1259" t="s">
        <v>86</v>
      </c>
      <c r="H1259" t="s">
        <v>81</v>
      </c>
      <c r="I1259" t="s">
        <v>82</v>
      </c>
    </row>
    <row r="1260" spans="1:9" x14ac:dyDescent="0.45">
      <c r="A1260" t="s">
        <v>1998</v>
      </c>
      <c r="B1260" t="s">
        <v>109</v>
      </c>
      <c r="C1260" t="s">
        <v>665</v>
      </c>
      <c r="D1260" t="s">
        <v>155</v>
      </c>
      <c r="E1260">
        <v>0</v>
      </c>
      <c r="F1260" s="2">
        <v>45600.666684444448</v>
      </c>
      <c r="G1260" t="s">
        <v>111</v>
      </c>
      <c r="H1260" t="s">
        <v>87</v>
      </c>
      <c r="I1260" t="s">
        <v>77</v>
      </c>
    </row>
    <row r="1261" spans="1:9" x14ac:dyDescent="0.45">
      <c r="A1261" t="s">
        <v>1999</v>
      </c>
      <c r="B1261" t="s">
        <v>95</v>
      </c>
      <c r="C1261" t="s">
        <v>505</v>
      </c>
      <c r="D1261" t="s">
        <v>92</v>
      </c>
      <c r="E1261">
        <v>6456.81</v>
      </c>
      <c r="F1261" s="2">
        <v>45781.666684444448</v>
      </c>
      <c r="G1261" t="s">
        <v>97</v>
      </c>
      <c r="H1261" t="s">
        <v>118</v>
      </c>
      <c r="I1261" t="s">
        <v>77</v>
      </c>
    </row>
    <row r="1262" spans="1:9" x14ac:dyDescent="0.45">
      <c r="A1262" t="s">
        <v>2000</v>
      </c>
      <c r="B1262" t="s">
        <v>79</v>
      </c>
      <c r="C1262" t="s">
        <v>997</v>
      </c>
      <c r="D1262" t="s">
        <v>85</v>
      </c>
      <c r="E1262">
        <v>10157.219999999999</v>
      </c>
      <c r="F1262" s="2">
        <v>45388.666684444448</v>
      </c>
      <c r="G1262" t="s">
        <v>86</v>
      </c>
      <c r="H1262" t="s">
        <v>145</v>
      </c>
      <c r="I1262" t="s">
        <v>77</v>
      </c>
    </row>
    <row r="1263" spans="1:9" x14ac:dyDescent="0.45">
      <c r="A1263" t="s">
        <v>2001</v>
      </c>
      <c r="B1263" t="s">
        <v>109</v>
      </c>
      <c r="C1263" t="s">
        <v>796</v>
      </c>
      <c r="D1263" t="s">
        <v>148</v>
      </c>
      <c r="E1263">
        <v>444.62</v>
      </c>
      <c r="F1263" s="2">
        <v>45598.666684444448</v>
      </c>
      <c r="G1263" t="s">
        <v>111</v>
      </c>
      <c r="H1263" t="s">
        <v>145</v>
      </c>
      <c r="I1263" t="s">
        <v>77</v>
      </c>
    </row>
    <row r="1264" spans="1:9" x14ac:dyDescent="0.45">
      <c r="A1264" t="s">
        <v>2002</v>
      </c>
      <c r="B1264" t="s">
        <v>79</v>
      </c>
      <c r="C1264" t="s">
        <v>401</v>
      </c>
      <c r="D1264" t="s">
        <v>92</v>
      </c>
      <c r="E1264">
        <v>8457.5499999999993</v>
      </c>
      <c r="F1264" s="2">
        <v>45389.666684444448</v>
      </c>
      <c r="G1264" t="s">
        <v>86</v>
      </c>
      <c r="H1264" t="s">
        <v>136</v>
      </c>
      <c r="I1264" t="s">
        <v>77</v>
      </c>
    </row>
    <row r="1265" spans="1:9" x14ac:dyDescent="0.45">
      <c r="A1265" t="s">
        <v>2003</v>
      </c>
      <c r="B1265" t="s">
        <v>109</v>
      </c>
      <c r="C1265" t="s">
        <v>365</v>
      </c>
      <c r="D1265" t="s">
        <v>74</v>
      </c>
      <c r="E1265">
        <v>1332.76</v>
      </c>
      <c r="F1265" s="2">
        <v>45810.666684444448</v>
      </c>
      <c r="G1265" t="s">
        <v>111</v>
      </c>
      <c r="H1265" t="s">
        <v>145</v>
      </c>
      <c r="I1265" t="s">
        <v>82</v>
      </c>
    </row>
    <row r="1266" spans="1:9" x14ac:dyDescent="0.45">
      <c r="A1266" t="s">
        <v>2004</v>
      </c>
      <c r="B1266" t="s">
        <v>79</v>
      </c>
      <c r="C1266" t="s">
        <v>130</v>
      </c>
      <c r="D1266" t="s">
        <v>101</v>
      </c>
      <c r="E1266">
        <v>9259.07</v>
      </c>
      <c r="F1266" s="2">
        <v>45137.666684444448</v>
      </c>
      <c r="H1266" t="s">
        <v>116</v>
      </c>
      <c r="I1266" t="s">
        <v>119</v>
      </c>
    </row>
    <row r="1267" spans="1:9" x14ac:dyDescent="0.45">
      <c r="A1267" t="s">
        <v>2005</v>
      </c>
      <c r="B1267" t="s">
        <v>104</v>
      </c>
      <c r="C1267" t="s">
        <v>448</v>
      </c>
      <c r="D1267" t="s">
        <v>148</v>
      </c>
      <c r="E1267">
        <v>9743.7800000000007</v>
      </c>
      <c r="F1267" s="2">
        <v>45604.666684444448</v>
      </c>
      <c r="G1267" t="s">
        <v>247</v>
      </c>
      <c r="H1267" t="s">
        <v>118</v>
      </c>
      <c r="I1267" t="s">
        <v>112</v>
      </c>
    </row>
    <row r="1268" spans="1:9" x14ac:dyDescent="0.45">
      <c r="A1268" t="s">
        <v>2006</v>
      </c>
      <c r="B1268" t="s">
        <v>104</v>
      </c>
      <c r="C1268" t="s">
        <v>2007</v>
      </c>
      <c r="D1268" t="s">
        <v>101</v>
      </c>
      <c r="E1268">
        <v>1962.66</v>
      </c>
      <c r="F1268" s="2">
        <v>45422.666684444448</v>
      </c>
      <c r="G1268" t="s">
        <v>115</v>
      </c>
      <c r="H1268" t="s">
        <v>145</v>
      </c>
      <c r="I1268" t="s">
        <v>163</v>
      </c>
    </row>
    <row r="1269" spans="1:9" x14ac:dyDescent="0.45">
      <c r="A1269" t="s">
        <v>2008</v>
      </c>
      <c r="B1269" t="s">
        <v>104</v>
      </c>
      <c r="C1269" t="s">
        <v>1585</v>
      </c>
      <c r="D1269" t="s">
        <v>74</v>
      </c>
      <c r="E1269">
        <v>5427.29</v>
      </c>
      <c r="F1269" s="2">
        <v>45821.666684444448</v>
      </c>
      <c r="G1269" t="s">
        <v>115</v>
      </c>
      <c r="H1269" t="s">
        <v>136</v>
      </c>
      <c r="I1269" t="s">
        <v>112</v>
      </c>
    </row>
    <row r="1270" spans="1:9" x14ac:dyDescent="0.45">
      <c r="A1270" t="s">
        <v>2009</v>
      </c>
      <c r="B1270" t="s">
        <v>95</v>
      </c>
      <c r="C1270" t="s">
        <v>704</v>
      </c>
      <c r="D1270" t="s">
        <v>92</v>
      </c>
      <c r="E1270">
        <v>0</v>
      </c>
      <c r="F1270" s="2">
        <v>45687.666684444448</v>
      </c>
      <c r="G1270" t="s">
        <v>97</v>
      </c>
      <c r="H1270" t="s">
        <v>133</v>
      </c>
      <c r="I1270" t="s">
        <v>163</v>
      </c>
    </row>
    <row r="1271" spans="1:9" x14ac:dyDescent="0.45">
      <c r="A1271" t="s">
        <v>2010</v>
      </c>
      <c r="B1271" t="s">
        <v>90</v>
      </c>
      <c r="C1271" t="s">
        <v>2011</v>
      </c>
      <c r="E1271">
        <v>2219.11</v>
      </c>
      <c r="F1271" s="2">
        <v>45289.666684444448</v>
      </c>
      <c r="G1271" t="s">
        <v>296</v>
      </c>
      <c r="H1271" t="s">
        <v>133</v>
      </c>
      <c r="I1271" t="s">
        <v>82</v>
      </c>
    </row>
    <row r="1272" spans="1:9" x14ac:dyDescent="0.45">
      <c r="A1272" t="s">
        <v>2012</v>
      </c>
      <c r="B1272" t="s">
        <v>99</v>
      </c>
      <c r="C1272" t="s">
        <v>745</v>
      </c>
      <c r="D1272" t="s">
        <v>74</v>
      </c>
      <c r="E1272">
        <v>4098.3100000000004</v>
      </c>
      <c r="F1272" s="2">
        <v>45203.666684444448</v>
      </c>
      <c r="G1272" t="s">
        <v>102</v>
      </c>
      <c r="I1272" t="s">
        <v>119</v>
      </c>
    </row>
    <row r="1273" spans="1:9" x14ac:dyDescent="0.45">
      <c r="A1273" t="s">
        <v>2013</v>
      </c>
      <c r="B1273" t="s">
        <v>138</v>
      </c>
      <c r="C1273" t="s">
        <v>1471</v>
      </c>
      <c r="D1273" t="s">
        <v>85</v>
      </c>
      <c r="E1273">
        <v>6110.67</v>
      </c>
      <c r="F1273" s="2">
        <v>45580.666684444448</v>
      </c>
      <c r="H1273" t="s">
        <v>118</v>
      </c>
      <c r="I1273" t="s">
        <v>77</v>
      </c>
    </row>
    <row r="1274" spans="1:9" x14ac:dyDescent="0.45">
      <c r="A1274" t="s">
        <v>2014</v>
      </c>
      <c r="B1274" t="s">
        <v>104</v>
      </c>
      <c r="C1274" t="s">
        <v>2015</v>
      </c>
      <c r="D1274" t="s">
        <v>74</v>
      </c>
      <c r="E1274">
        <v>4276.6400000000003</v>
      </c>
      <c r="F1274" s="2">
        <v>45481.666684444448</v>
      </c>
      <c r="G1274" t="s">
        <v>115</v>
      </c>
      <c r="I1274" t="s">
        <v>163</v>
      </c>
    </row>
    <row r="1275" spans="1:9" x14ac:dyDescent="0.45">
      <c r="A1275" t="s">
        <v>2016</v>
      </c>
      <c r="B1275" t="s">
        <v>90</v>
      </c>
      <c r="C1275" t="s">
        <v>637</v>
      </c>
      <c r="D1275" t="s">
        <v>92</v>
      </c>
      <c r="E1275">
        <v>277.76</v>
      </c>
      <c r="F1275" s="2">
        <v>45729.666684444448</v>
      </c>
      <c r="I1275" t="s">
        <v>82</v>
      </c>
    </row>
    <row r="1276" spans="1:9" x14ac:dyDescent="0.45">
      <c r="A1276" t="s">
        <v>2017</v>
      </c>
      <c r="B1276" t="s">
        <v>138</v>
      </c>
      <c r="C1276" t="s">
        <v>2018</v>
      </c>
      <c r="D1276" t="s">
        <v>101</v>
      </c>
      <c r="E1276">
        <v>5803.31</v>
      </c>
      <c r="F1276" s="2">
        <v>45434.666684444448</v>
      </c>
      <c r="G1276" t="s">
        <v>140</v>
      </c>
      <c r="H1276" t="s">
        <v>118</v>
      </c>
      <c r="I1276" t="s">
        <v>88</v>
      </c>
    </row>
    <row r="1277" spans="1:9" x14ac:dyDescent="0.45">
      <c r="A1277" t="s">
        <v>2019</v>
      </c>
      <c r="B1277" t="s">
        <v>79</v>
      </c>
      <c r="C1277" t="s">
        <v>2020</v>
      </c>
      <c r="D1277" t="s">
        <v>101</v>
      </c>
      <c r="E1277">
        <v>9171.89</v>
      </c>
      <c r="F1277" s="2">
        <v>45782.666684444448</v>
      </c>
      <c r="G1277" t="s">
        <v>86</v>
      </c>
      <c r="I1277" t="s">
        <v>77</v>
      </c>
    </row>
    <row r="1278" spans="1:9" x14ac:dyDescent="0.45">
      <c r="A1278" t="s">
        <v>2021</v>
      </c>
      <c r="B1278" t="s">
        <v>72</v>
      </c>
      <c r="E1278">
        <v>4067.93</v>
      </c>
      <c r="F1278" s="2">
        <v>45562.666684444448</v>
      </c>
      <c r="G1278" t="s">
        <v>75</v>
      </c>
      <c r="H1278" t="s">
        <v>107</v>
      </c>
      <c r="I1278" t="s">
        <v>119</v>
      </c>
    </row>
    <row r="1279" spans="1:9" x14ac:dyDescent="0.45">
      <c r="A1279" t="s">
        <v>2022</v>
      </c>
      <c r="B1279" t="s">
        <v>109</v>
      </c>
      <c r="C1279" t="s">
        <v>277</v>
      </c>
      <c r="D1279" t="s">
        <v>85</v>
      </c>
      <c r="E1279">
        <v>6625.93</v>
      </c>
      <c r="F1279" s="2">
        <v>45834.666684444448</v>
      </c>
      <c r="G1279" t="s">
        <v>111</v>
      </c>
      <c r="H1279" t="s">
        <v>87</v>
      </c>
      <c r="I1279" t="s">
        <v>163</v>
      </c>
    </row>
    <row r="1280" spans="1:9" x14ac:dyDescent="0.45">
      <c r="A1280" t="s">
        <v>2023</v>
      </c>
      <c r="B1280" t="s">
        <v>90</v>
      </c>
      <c r="C1280" t="s">
        <v>715</v>
      </c>
      <c r="D1280" t="s">
        <v>92</v>
      </c>
      <c r="E1280">
        <v>3383.99</v>
      </c>
      <c r="F1280" s="2">
        <v>45384.666684444448</v>
      </c>
      <c r="G1280" t="s">
        <v>93</v>
      </c>
      <c r="H1280" t="s">
        <v>118</v>
      </c>
      <c r="I1280" t="s">
        <v>112</v>
      </c>
    </row>
    <row r="1281" spans="1:9" x14ac:dyDescent="0.45">
      <c r="A1281" t="s">
        <v>2024</v>
      </c>
      <c r="B1281" t="s">
        <v>172</v>
      </c>
      <c r="C1281" t="s">
        <v>2025</v>
      </c>
      <c r="D1281" t="s">
        <v>101</v>
      </c>
      <c r="E1281">
        <v>6263.22</v>
      </c>
      <c r="F1281" s="2">
        <v>45595.666684444448</v>
      </c>
      <c r="G1281" t="s">
        <v>174</v>
      </c>
      <c r="H1281" t="s">
        <v>76</v>
      </c>
      <c r="I1281" t="s">
        <v>77</v>
      </c>
    </row>
    <row r="1282" spans="1:9" x14ac:dyDescent="0.45">
      <c r="A1282" t="s">
        <v>2026</v>
      </c>
      <c r="B1282" t="s">
        <v>90</v>
      </c>
      <c r="C1282" t="s">
        <v>935</v>
      </c>
      <c r="D1282" t="s">
        <v>101</v>
      </c>
      <c r="E1282">
        <v>7999.36</v>
      </c>
      <c r="F1282" s="2">
        <v>45437.666684444448</v>
      </c>
      <c r="G1282" t="s">
        <v>93</v>
      </c>
      <c r="H1282" t="s">
        <v>116</v>
      </c>
      <c r="I1282" t="s">
        <v>163</v>
      </c>
    </row>
    <row r="1283" spans="1:9" x14ac:dyDescent="0.45">
      <c r="A1283" t="s">
        <v>2027</v>
      </c>
      <c r="B1283" t="s">
        <v>104</v>
      </c>
      <c r="C1283" t="s">
        <v>1696</v>
      </c>
      <c r="D1283" t="s">
        <v>85</v>
      </c>
      <c r="E1283">
        <v>1044.98</v>
      </c>
      <c r="F1283" s="2">
        <v>45331.666684444448</v>
      </c>
      <c r="G1283" t="s">
        <v>115</v>
      </c>
      <c r="H1283" t="s">
        <v>133</v>
      </c>
      <c r="I1283" t="s">
        <v>77</v>
      </c>
    </row>
    <row r="1284" spans="1:9" x14ac:dyDescent="0.45">
      <c r="A1284" t="s">
        <v>2028</v>
      </c>
      <c r="B1284" t="s">
        <v>104</v>
      </c>
      <c r="C1284" t="s">
        <v>505</v>
      </c>
      <c r="D1284" t="s">
        <v>74</v>
      </c>
      <c r="E1284">
        <v>0</v>
      </c>
      <c r="F1284" s="2">
        <v>45521.666684444448</v>
      </c>
      <c r="G1284" t="s">
        <v>115</v>
      </c>
      <c r="H1284" t="s">
        <v>81</v>
      </c>
      <c r="I1284" t="s">
        <v>88</v>
      </c>
    </row>
    <row r="1285" spans="1:9" x14ac:dyDescent="0.45">
      <c r="A1285" t="s">
        <v>1979</v>
      </c>
      <c r="B1285" t="s">
        <v>90</v>
      </c>
      <c r="C1285" t="s">
        <v>2029</v>
      </c>
      <c r="D1285" t="s">
        <v>101</v>
      </c>
      <c r="E1285">
        <v>3531.53</v>
      </c>
      <c r="F1285" s="2">
        <v>45622.666684444448</v>
      </c>
      <c r="G1285" t="s">
        <v>93</v>
      </c>
      <c r="H1285" t="s">
        <v>133</v>
      </c>
      <c r="I1285" t="s">
        <v>119</v>
      </c>
    </row>
    <row r="1286" spans="1:9" x14ac:dyDescent="0.45">
      <c r="A1286" t="s">
        <v>2030</v>
      </c>
      <c r="B1286" t="s">
        <v>109</v>
      </c>
      <c r="C1286" t="s">
        <v>653</v>
      </c>
      <c r="D1286" t="s">
        <v>74</v>
      </c>
      <c r="E1286">
        <v>0</v>
      </c>
      <c r="F1286" s="2">
        <v>45237.666684444448</v>
      </c>
      <c r="G1286" t="s">
        <v>111</v>
      </c>
      <c r="H1286" t="s">
        <v>145</v>
      </c>
      <c r="I1286" t="s">
        <v>119</v>
      </c>
    </row>
    <row r="1287" spans="1:9" x14ac:dyDescent="0.45">
      <c r="A1287" t="s">
        <v>2031</v>
      </c>
      <c r="B1287" t="s">
        <v>138</v>
      </c>
      <c r="C1287" t="s">
        <v>494</v>
      </c>
      <c r="D1287" t="s">
        <v>92</v>
      </c>
      <c r="E1287">
        <v>3768.53</v>
      </c>
      <c r="F1287" s="2">
        <v>45370.666684444448</v>
      </c>
      <c r="G1287" t="s">
        <v>140</v>
      </c>
      <c r="H1287" t="s">
        <v>81</v>
      </c>
      <c r="I1287" t="s">
        <v>112</v>
      </c>
    </row>
    <row r="1288" spans="1:9" x14ac:dyDescent="0.45">
      <c r="A1288" t="s">
        <v>2032</v>
      </c>
      <c r="B1288" t="s">
        <v>79</v>
      </c>
      <c r="C1288" t="s">
        <v>2033</v>
      </c>
      <c r="D1288" t="s">
        <v>155</v>
      </c>
      <c r="E1288">
        <v>2841.76</v>
      </c>
      <c r="F1288" s="2">
        <v>45518.666684444448</v>
      </c>
      <c r="H1288" t="s">
        <v>136</v>
      </c>
      <c r="I1288" t="s">
        <v>77</v>
      </c>
    </row>
    <row r="1289" spans="1:9" x14ac:dyDescent="0.45">
      <c r="A1289" t="s">
        <v>2034</v>
      </c>
      <c r="B1289" t="s">
        <v>172</v>
      </c>
      <c r="C1289" t="s">
        <v>1028</v>
      </c>
      <c r="D1289" t="s">
        <v>106</v>
      </c>
      <c r="E1289">
        <v>3617.86</v>
      </c>
      <c r="F1289" s="2">
        <v>45713.666684444448</v>
      </c>
      <c r="G1289" t="s">
        <v>174</v>
      </c>
      <c r="H1289" t="s">
        <v>145</v>
      </c>
      <c r="I1289" t="s">
        <v>112</v>
      </c>
    </row>
    <row r="1290" spans="1:9" x14ac:dyDescent="0.45">
      <c r="A1290" t="s">
        <v>2035</v>
      </c>
      <c r="B1290" t="s">
        <v>79</v>
      </c>
      <c r="C1290" t="s">
        <v>1658</v>
      </c>
      <c r="D1290" t="s">
        <v>85</v>
      </c>
      <c r="E1290">
        <v>8435.3700000000008</v>
      </c>
      <c r="F1290" s="2">
        <v>45495.666684444448</v>
      </c>
      <c r="G1290" t="s">
        <v>86</v>
      </c>
      <c r="H1290" t="s">
        <v>145</v>
      </c>
      <c r="I1290" t="s">
        <v>163</v>
      </c>
    </row>
    <row r="1291" spans="1:9" x14ac:dyDescent="0.45">
      <c r="A1291" t="s">
        <v>2036</v>
      </c>
      <c r="B1291" t="s">
        <v>95</v>
      </c>
      <c r="C1291" t="s">
        <v>2037</v>
      </c>
      <c r="D1291" t="s">
        <v>101</v>
      </c>
      <c r="E1291">
        <v>5000.34</v>
      </c>
      <c r="F1291" s="2">
        <v>45716.666684444448</v>
      </c>
      <c r="G1291" t="s">
        <v>97</v>
      </c>
      <c r="H1291" t="s">
        <v>133</v>
      </c>
      <c r="I1291" t="s">
        <v>77</v>
      </c>
    </row>
    <row r="1292" spans="1:9" x14ac:dyDescent="0.45">
      <c r="A1292" t="s">
        <v>2038</v>
      </c>
      <c r="B1292" t="s">
        <v>109</v>
      </c>
      <c r="C1292" t="s">
        <v>1116</v>
      </c>
      <c r="D1292" t="s">
        <v>101</v>
      </c>
      <c r="E1292">
        <v>6410.97</v>
      </c>
      <c r="F1292" s="2">
        <v>45430.666684444448</v>
      </c>
      <c r="G1292" t="s">
        <v>111</v>
      </c>
      <c r="I1292" t="s">
        <v>88</v>
      </c>
    </row>
    <row r="1293" spans="1:9" x14ac:dyDescent="0.45">
      <c r="A1293" t="s">
        <v>2039</v>
      </c>
      <c r="B1293" t="s">
        <v>104</v>
      </c>
      <c r="E1293">
        <v>7001.06</v>
      </c>
      <c r="F1293" s="2">
        <v>45844.666684444448</v>
      </c>
      <c r="G1293" t="s">
        <v>115</v>
      </c>
      <c r="H1293" t="s">
        <v>145</v>
      </c>
      <c r="I1293" t="s">
        <v>112</v>
      </c>
    </row>
    <row r="1294" spans="1:9" x14ac:dyDescent="0.45">
      <c r="A1294" t="s">
        <v>2040</v>
      </c>
      <c r="B1294" t="s">
        <v>95</v>
      </c>
      <c r="C1294" t="s">
        <v>2041</v>
      </c>
      <c r="D1294" t="s">
        <v>74</v>
      </c>
      <c r="E1294">
        <v>0</v>
      </c>
      <c r="F1294" s="2">
        <v>45430.666684444448</v>
      </c>
      <c r="G1294" t="s">
        <v>97</v>
      </c>
      <c r="H1294" t="s">
        <v>145</v>
      </c>
      <c r="I1294" t="s">
        <v>88</v>
      </c>
    </row>
    <row r="1295" spans="1:9" x14ac:dyDescent="0.45">
      <c r="A1295" t="s">
        <v>2042</v>
      </c>
      <c r="B1295" t="s">
        <v>79</v>
      </c>
      <c r="C1295" t="s">
        <v>515</v>
      </c>
      <c r="D1295" t="s">
        <v>106</v>
      </c>
      <c r="E1295">
        <v>99.18</v>
      </c>
      <c r="F1295" s="2">
        <v>45150.666684444448</v>
      </c>
      <c r="H1295" t="s">
        <v>133</v>
      </c>
      <c r="I1295" t="s">
        <v>163</v>
      </c>
    </row>
    <row r="1296" spans="1:9" x14ac:dyDescent="0.45">
      <c r="A1296" t="s">
        <v>2043</v>
      </c>
      <c r="B1296" t="s">
        <v>79</v>
      </c>
      <c r="C1296" t="s">
        <v>515</v>
      </c>
      <c r="D1296" t="s">
        <v>101</v>
      </c>
      <c r="E1296">
        <v>7999.63</v>
      </c>
      <c r="F1296" s="2">
        <v>45802.666684444448</v>
      </c>
      <c r="G1296" t="s">
        <v>86</v>
      </c>
      <c r="H1296" t="s">
        <v>118</v>
      </c>
      <c r="I1296" t="s">
        <v>112</v>
      </c>
    </row>
    <row r="1297" spans="1:9" x14ac:dyDescent="0.45">
      <c r="A1297" t="s">
        <v>2044</v>
      </c>
      <c r="B1297" t="s">
        <v>172</v>
      </c>
      <c r="C1297" t="s">
        <v>1791</v>
      </c>
      <c r="D1297" t="s">
        <v>106</v>
      </c>
      <c r="E1297">
        <v>3509.3</v>
      </c>
      <c r="F1297" s="2">
        <v>45533.666684444448</v>
      </c>
      <c r="G1297" t="s">
        <v>174</v>
      </c>
      <c r="H1297" t="s">
        <v>87</v>
      </c>
      <c r="I1297" t="s">
        <v>82</v>
      </c>
    </row>
    <row r="1298" spans="1:9" x14ac:dyDescent="0.45">
      <c r="A1298" t="s">
        <v>2045</v>
      </c>
      <c r="B1298" t="s">
        <v>99</v>
      </c>
      <c r="C1298" t="s">
        <v>2041</v>
      </c>
      <c r="E1298">
        <v>9400.0400000000009</v>
      </c>
      <c r="F1298" s="2">
        <v>45409.666684444448</v>
      </c>
      <c r="G1298" t="s">
        <v>102</v>
      </c>
      <c r="H1298" t="s">
        <v>145</v>
      </c>
      <c r="I1298" t="s">
        <v>112</v>
      </c>
    </row>
    <row r="1299" spans="1:9" x14ac:dyDescent="0.45">
      <c r="A1299" t="s">
        <v>2046</v>
      </c>
      <c r="B1299" t="s">
        <v>79</v>
      </c>
      <c r="C1299" t="s">
        <v>2029</v>
      </c>
      <c r="E1299">
        <v>3587.37</v>
      </c>
      <c r="F1299" s="2">
        <v>45136.666684444448</v>
      </c>
      <c r="G1299" t="s">
        <v>86</v>
      </c>
      <c r="H1299" t="s">
        <v>87</v>
      </c>
      <c r="I1299" t="s">
        <v>112</v>
      </c>
    </row>
    <row r="1300" spans="1:9" x14ac:dyDescent="0.45">
      <c r="A1300" t="s">
        <v>2047</v>
      </c>
      <c r="B1300" t="s">
        <v>138</v>
      </c>
      <c r="C1300" t="s">
        <v>2007</v>
      </c>
      <c r="D1300" t="s">
        <v>101</v>
      </c>
      <c r="E1300">
        <v>100.39</v>
      </c>
      <c r="F1300" s="2">
        <v>45707.666684444448</v>
      </c>
      <c r="G1300" t="s">
        <v>140</v>
      </c>
      <c r="H1300" t="s">
        <v>76</v>
      </c>
      <c r="I1300" t="s">
        <v>77</v>
      </c>
    </row>
    <row r="1301" spans="1:9" x14ac:dyDescent="0.45">
      <c r="A1301" t="s">
        <v>2048</v>
      </c>
      <c r="B1301" t="s">
        <v>138</v>
      </c>
      <c r="C1301" t="s">
        <v>2020</v>
      </c>
      <c r="D1301" t="s">
        <v>74</v>
      </c>
      <c r="E1301">
        <v>0</v>
      </c>
      <c r="F1301" s="2">
        <v>45830.666684444448</v>
      </c>
      <c r="G1301" t="s">
        <v>194</v>
      </c>
      <c r="H1301" t="s">
        <v>81</v>
      </c>
      <c r="I1301" t="s">
        <v>88</v>
      </c>
    </row>
    <row r="1302" spans="1:9" x14ac:dyDescent="0.45">
      <c r="A1302" t="s">
        <v>2049</v>
      </c>
      <c r="B1302" t="s">
        <v>90</v>
      </c>
      <c r="C1302" t="s">
        <v>1524</v>
      </c>
      <c r="D1302" t="s">
        <v>101</v>
      </c>
      <c r="E1302">
        <v>2224.94</v>
      </c>
      <c r="F1302" s="2">
        <v>45178.666684444448</v>
      </c>
      <c r="G1302" t="s">
        <v>93</v>
      </c>
      <c r="H1302" t="s">
        <v>118</v>
      </c>
      <c r="I1302" t="s">
        <v>119</v>
      </c>
    </row>
    <row r="1303" spans="1:9" x14ac:dyDescent="0.45">
      <c r="A1303" t="s">
        <v>2003</v>
      </c>
      <c r="B1303" t="s">
        <v>172</v>
      </c>
      <c r="C1303" t="s">
        <v>2050</v>
      </c>
      <c r="D1303" t="s">
        <v>101</v>
      </c>
      <c r="E1303">
        <v>11906.9</v>
      </c>
      <c r="F1303" s="2">
        <v>45748.666684444448</v>
      </c>
      <c r="G1303" t="s">
        <v>174</v>
      </c>
      <c r="H1303" t="s">
        <v>81</v>
      </c>
      <c r="I1303" t="s">
        <v>82</v>
      </c>
    </row>
    <row r="1304" spans="1:9" x14ac:dyDescent="0.45">
      <c r="A1304" t="s">
        <v>2051</v>
      </c>
      <c r="B1304" t="s">
        <v>172</v>
      </c>
      <c r="C1304" t="s">
        <v>1225</v>
      </c>
      <c r="D1304" t="s">
        <v>74</v>
      </c>
      <c r="E1304">
        <v>735.59</v>
      </c>
      <c r="F1304" s="2">
        <v>45636.666684444448</v>
      </c>
      <c r="G1304" t="s">
        <v>174</v>
      </c>
      <c r="H1304" t="s">
        <v>116</v>
      </c>
      <c r="I1304" t="s">
        <v>82</v>
      </c>
    </row>
    <row r="1305" spans="1:9" x14ac:dyDescent="0.45">
      <c r="A1305" t="s">
        <v>2052</v>
      </c>
      <c r="B1305" t="s">
        <v>104</v>
      </c>
      <c r="C1305" t="s">
        <v>2011</v>
      </c>
      <c r="D1305" t="s">
        <v>85</v>
      </c>
      <c r="E1305">
        <v>5959.74</v>
      </c>
      <c r="F1305" s="2">
        <v>45421.666684444448</v>
      </c>
      <c r="G1305" t="s">
        <v>115</v>
      </c>
      <c r="H1305" t="s">
        <v>118</v>
      </c>
      <c r="I1305" t="s">
        <v>119</v>
      </c>
    </row>
    <row r="1306" spans="1:9" x14ac:dyDescent="0.45">
      <c r="A1306" t="s">
        <v>1742</v>
      </c>
      <c r="B1306" t="s">
        <v>79</v>
      </c>
      <c r="D1306" t="s">
        <v>101</v>
      </c>
      <c r="E1306">
        <v>11043.27</v>
      </c>
      <c r="F1306" s="2">
        <v>45363.666684444448</v>
      </c>
      <c r="G1306" t="s">
        <v>86</v>
      </c>
      <c r="H1306" t="s">
        <v>81</v>
      </c>
      <c r="I1306" t="s">
        <v>82</v>
      </c>
    </row>
    <row r="1307" spans="1:9" x14ac:dyDescent="0.45">
      <c r="A1307" t="s">
        <v>125</v>
      </c>
      <c r="B1307" t="s">
        <v>99</v>
      </c>
      <c r="C1307" t="s">
        <v>2053</v>
      </c>
      <c r="D1307" t="s">
        <v>85</v>
      </c>
      <c r="E1307">
        <v>11934.71</v>
      </c>
      <c r="F1307" s="2">
        <v>45749.666684444448</v>
      </c>
      <c r="G1307" t="s">
        <v>102</v>
      </c>
      <c r="H1307" t="s">
        <v>128</v>
      </c>
      <c r="I1307" t="s">
        <v>82</v>
      </c>
    </row>
    <row r="1308" spans="1:9" x14ac:dyDescent="0.45">
      <c r="A1308" t="s">
        <v>2054</v>
      </c>
      <c r="B1308" t="s">
        <v>95</v>
      </c>
      <c r="C1308" t="s">
        <v>1433</v>
      </c>
      <c r="D1308" t="s">
        <v>85</v>
      </c>
      <c r="E1308">
        <v>7295.49</v>
      </c>
      <c r="F1308" s="2">
        <v>45488.666684444448</v>
      </c>
      <c r="G1308" t="s">
        <v>97</v>
      </c>
      <c r="H1308" t="s">
        <v>116</v>
      </c>
      <c r="I1308" t="s">
        <v>88</v>
      </c>
    </row>
    <row r="1309" spans="1:9" x14ac:dyDescent="0.45">
      <c r="A1309" t="s">
        <v>2055</v>
      </c>
      <c r="B1309" t="s">
        <v>172</v>
      </c>
      <c r="C1309" t="s">
        <v>840</v>
      </c>
      <c r="D1309" t="s">
        <v>74</v>
      </c>
      <c r="E1309">
        <v>5450.73</v>
      </c>
      <c r="F1309" s="2">
        <v>45352.666684444448</v>
      </c>
      <c r="G1309" t="s">
        <v>174</v>
      </c>
      <c r="H1309" t="s">
        <v>76</v>
      </c>
      <c r="I1309" t="s">
        <v>119</v>
      </c>
    </row>
    <row r="1310" spans="1:9" x14ac:dyDescent="0.45">
      <c r="A1310" t="s">
        <v>2056</v>
      </c>
      <c r="B1310" t="s">
        <v>90</v>
      </c>
      <c r="C1310" t="s">
        <v>375</v>
      </c>
      <c r="D1310" t="s">
        <v>106</v>
      </c>
      <c r="E1310">
        <v>10026.780000000001</v>
      </c>
      <c r="F1310" s="2">
        <v>45779.666684444448</v>
      </c>
      <c r="G1310" t="s">
        <v>93</v>
      </c>
      <c r="H1310" t="s">
        <v>107</v>
      </c>
      <c r="I1310" t="s">
        <v>77</v>
      </c>
    </row>
    <row r="1311" spans="1:9" x14ac:dyDescent="0.45">
      <c r="A1311" t="s">
        <v>2057</v>
      </c>
      <c r="B1311" t="s">
        <v>90</v>
      </c>
      <c r="C1311" t="s">
        <v>2058</v>
      </c>
      <c r="D1311" t="s">
        <v>74</v>
      </c>
      <c r="E1311">
        <v>9890.16</v>
      </c>
      <c r="F1311" s="2">
        <v>45322.666684444448</v>
      </c>
      <c r="G1311" t="s">
        <v>93</v>
      </c>
      <c r="H1311" t="s">
        <v>133</v>
      </c>
      <c r="I1311" t="s">
        <v>163</v>
      </c>
    </row>
    <row r="1312" spans="1:9" x14ac:dyDescent="0.45">
      <c r="A1312" t="s">
        <v>2059</v>
      </c>
      <c r="B1312" t="s">
        <v>79</v>
      </c>
      <c r="C1312" t="s">
        <v>1118</v>
      </c>
      <c r="D1312" t="s">
        <v>101</v>
      </c>
      <c r="E1312">
        <v>9992.2000000000007</v>
      </c>
      <c r="F1312" s="2">
        <v>45763.666684444448</v>
      </c>
      <c r="H1312" t="s">
        <v>145</v>
      </c>
      <c r="I1312" t="s">
        <v>77</v>
      </c>
    </row>
    <row r="1313" spans="1:9" x14ac:dyDescent="0.45">
      <c r="A1313" t="s">
        <v>2060</v>
      </c>
      <c r="B1313" t="s">
        <v>79</v>
      </c>
      <c r="C1313" t="s">
        <v>2061</v>
      </c>
      <c r="D1313" t="s">
        <v>85</v>
      </c>
      <c r="E1313">
        <v>5424.53</v>
      </c>
      <c r="F1313" s="2">
        <v>45384.666684444448</v>
      </c>
      <c r="G1313" t="s">
        <v>86</v>
      </c>
      <c r="H1313" t="s">
        <v>136</v>
      </c>
      <c r="I1313" t="s">
        <v>163</v>
      </c>
    </row>
    <row r="1314" spans="1:9" x14ac:dyDescent="0.45">
      <c r="A1314" t="s">
        <v>2062</v>
      </c>
      <c r="B1314" t="s">
        <v>72</v>
      </c>
      <c r="C1314" t="s">
        <v>1477</v>
      </c>
      <c r="E1314">
        <v>7648.71</v>
      </c>
      <c r="F1314" s="2">
        <v>45822.666684444448</v>
      </c>
      <c r="G1314" t="s">
        <v>75</v>
      </c>
      <c r="I1314" t="s">
        <v>163</v>
      </c>
    </row>
    <row r="1315" spans="1:9" x14ac:dyDescent="0.45">
      <c r="A1315" t="s">
        <v>2063</v>
      </c>
      <c r="B1315" t="s">
        <v>72</v>
      </c>
      <c r="C1315" t="s">
        <v>1552</v>
      </c>
      <c r="D1315" t="s">
        <v>74</v>
      </c>
      <c r="E1315">
        <v>2691.1</v>
      </c>
      <c r="F1315" s="2">
        <v>45803.666684444448</v>
      </c>
      <c r="G1315" t="s">
        <v>75</v>
      </c>
      <c r="H1315" t="s">
        <v>118</v>
      </c>
      <c r="I1315" t="s">
        <v>163</v>
      </c>
    </row>
    <row r="1316" spans="1:9" x14ac:dyDescent="0.45">
      <c r="A1316" t="s">
        <v>2064</v>
      </c>
      <c r="B1316" t="s">
        <v>79</v>
      </c>
      <c r="C1316" t="s">
        <v>645</v>
      </c>
      <c r="D1316" t="s">
        <v>101</v>
      </c>
      <c r="E1316">
        <v>0</v>
      </c>
      <c r="F1316" s="2">
        <v>45825.666684444448</v>
      </c>
      <c r="G1316" t="s">
        <v>86</v>
      </c>
      <c r="H1316" t="s">
        <v>81</v>
      </c>
      <c r="I1316" t="s">
        <v>82</v>
      </c>
    </row>
    <row r="1317" spans="1:9" x14ac:dyDescent="0.45">
      <c r="A1317" t="s">
        <v>2065</v>
      </c>
      <c r="B1317" t="s">
        <v>109</v>
      </c>
      <c r="C1317" t="s">
        <v>2066</v>
      </c>
      <c r="D1317" t="s">
        <v>85</v>
      </c>
      <c r="E1317">
        <v>6722.06</v>
      </c>
      <c r="F1317" s="2">
        <v>45268.666684444448</v>
      </c>
      <c r="G1317" t="s">
        <v>111</v>
      </c>
      <c r="H1317" t="s">
        <v>81</v>
      </c>
      <c r="I1317" t="s">
        <v>82</v>
      </c>
    </row>
    <row r="1318" spans="1:9" x14ac:dyDescent="0.45">
      <c r="A1318" t="s">
        <v>2067</v>
      </c>
      <c r="B1318" t="s">
        <v>138</v>
      </c>
      <c r="C1318" t="s">
        <v>656</v>
      </c>
      <c r="D1318" t="s">
        <v>74</v>
      </c>
      <c r="E1318">
        <v>9521.24</v>
      </c>
      <c r="F1318" s="2">
        <v>45771.666684444448</v>
      </c>
      <c r="G1318" t="s">
        <v>140</v>
      </c>
      <c r="H1318" t="s">
        <v>145</v>
      </c>
      <c r="I1318" t="s">
        <v>88</v>
      </c>
    </row>
    <row r="1319" spans="1:9" x14ac:dyDescent="0.45">
      <c r="A1319" t="s">
        <v>2068</v>
      </c>
      <c r="B1319" t="s">
        <v>138</v>
      </c>
      <c r="C1319" t="s">
        <v>639</v>
      </c>
      <c r="D1319" t="s">
        <v>85</v>
      </c>
      <c r="E1319">
        <v>2034.76</v>
      </c>
      <c r="F1319" s="2">
        <v>45227.666684444448</v>
      </c>
      <c r="G1319" t="s">
        <v>140</v>
      </c>
      <c r="H1319" t="s">
        <v>145</v>
      </c>
      <c r="I1319" t="s">
        <v>163</v>
      </c>
    </row>
    <row r="1320" spans="1:9" x14ac:dyDescent="0.45">
      <c r="A1320" t="s">
        <v>2069</v>
      </c>
      <c r="B1320" t="s">
        <v>104</v>
      </c>
      <c r="C1320" t="s">
        <v>208</v>
      </c>
      <c r="D1320" t="s">
        <v>155</v>
      </c>
      <c r="E1320">
        <v>11198.7</v>
      </c>
      <c r="F1320" s="2">
        <v>45770.666684444448</v>
      </c>
      <c r="G1320" t="s">
        <v>115</v>
      </c>
      <c r="H1320" t="s">
        <v>107</v>
      </c>
      <c r="I1320" t="s">
        <v>88</v>
      </c>
    </row>
    <row r="1321" spans="1:9" x14ac:dyDescent="0.45">
      <c r="A1321" t="s">
        <v>2070</v>
      </c>
      <c r="B1321" t="s">
        <v>99</v>
      </c>
      <c r="C1321" t="s">
        <v>827</v>
      </c>
      <c r="D1321" t="s">
        <v>106</v>
      </c>
      <c r="E1321">
        <v>10969.88</v>
      </c>
      <c r="F1321" s="2">
        <v>45789.666684444448</v>
      </c>
      <c r="G1321" t="s">
        <v>102</v>
      </c>
      <c r="H1321" t="s">
        <v>76</v>
      </c>
      <c r="I1321" t="s">
        <v>82</v>
      </c>
    </row>
    <row r="1322" spans="1:9" x14ac:dyDescent="0.45">
      <c r="A1322" t="s">
        <v>2071</v>
      </c>
      <c r="B1322" t="s">
        <v>90</v>
      </c>
      <c r="C1322" t="s">
        <v>836</v>
      </c>
      <c r="D1322" t="s">
        <v>74</v>
      </c>
      <c r="E1322">
        <v>4274.54</v>
      </c>
      <c r="F1322" s="2">
        <v>45168.666684444448</v>
      </c>
      <c r="G1322" t="s">
        <v>93</v>
      </c>
      <c r="H1322" t="s">
        <v>145</v>
      </c>
      <c r="I1322" t="s">
        <v>119</v>
      </c>
    </row>
    <row r="1323" spans="1:9" x14ac:dyDescent="0.45">
      <c r="A1323" t="s">
        <v>2072</v>
      </c>
      <c r="B1323" t="s">
        <v>138</v>
      </c>
      <c r="C1323" t="s">
        <v>1344</v>
      </c>
      <c r="D1323" t="s">
        <v>74</v>
      </c>
      <c r="E1323">
        <v>0</v>
      </c>
      <c r="F1323" s="2">
        <v>45444.666684444448</v>
      </c>
      <c r="H1323" t="s">
        <v>107</v>
      </c>
      <c r="I1323" t="s">
        <v>112</v>
      </c>
    </row>
    <row r="1324" spans="1:9" x14ac:dyDescent="0.45">
      <c r="A1324" t="s">
        <v>2073</v>
      </c>
      <c r="B1324" t="s">
        <v>109</v>
      </c>
      <c r="C1324" t="s">
        <v>721</v>
      </c>
      <c r="D1324" t="s">
        <v>101</v>
      </c>
      <c r="E1324">
        <v>0</v>
      </c>
      <c r="F1324" s="2">
        <v>45579.666684444448</v>
      </c>
      <c r="G1324" t="s">
        <v>111</v>
      </c>
      <c r="H1324" t="s">
        <v>76</v>
      </c>
      <c r="I1324" t="s">
        <v>163</v>
      </c>
    </row>
    <row r="1325" spans="1:9" x14ac:dyDescent="0.45">
      <c r="A1325" t="s">
        <v>2074</v>
      </c>
      <c r="B1325" t="s">
        <v>79</v>
      </c>
      <c r="C1325" t="s">
        <v>1146</v>
      </c>
      <c r="D1325" t="s">
        <v>101</v>
      </c>
      <c r="E1325">
        <v>4791.91</v>
      </c>
      <c r="F1325" s="2">
        <v>45162.666684444448</v>
      </c>
      <c r="G1325" t="s">
        <v>86</v>
      </c>
      <c r="H1325" t="s">
        <v>118</v>
      </c>
      <c r="I1325" t="s">
        <v>163</v>
      </c>
    </row>
    <row r="1326" spans="1:9" x14ac:dyDescent="0.45">
      <c r="A1326" t="s">
        <v>2075</v>
      </c>
      <c r="B1326" t="s">
        <v>172</v>
      </c>
      <c r="C1326" t="s">
        <v>1263</v>
      </c>
      <c r="D1326" t="s">
        <v>74</v>
      </c>
      <c r="E1326">
        <v>4745.76</v>
      </c>
      <c r="F1326" s="2">
        <v>45721.666684444448</v>
      </c>
      <c r="G1326" t="s">
        <v>174</v>
      </c>
      <c r="H1326" t="s">
        <v>128</v>
      </c>
      <c r="I1326" t="s">
        <v>82</v>
      </c>
    </row>
    <row r="1327" spans="1:9" x14ac:dyDescent="0.45">
      <c r="A1327" t="s">
        <v>2076</v>
      </c>
      <c r="B1327" t="s">
        <v>109</v>
      </c>
      <c r="C1327" t="s">
        <v>1736</v>
      </c>
      <c r="D1327" t="s">
        <v>74</v>
      </c>
      <c r="E1327">
        <v>10185.5</v>
      </c>
      <c r="F1327" s="2">
        <v>45501.666684444448</v>
      </c>
      <c r="G1327" t="s">
        <v>111</v>
      </c>
      <c r="H1327" t="s">
        <v>145</v>
      </c>
      <c r="I1327" t="s">
        <v>112</v>
      </c>
    </row>
    <row r="1328" spans="1:9" x14ac:dyDescent="0.45">
      <c r="A1328" t="s">
        <v>2077</v>
      </c>
      <c r="B1328" t="s">
        <v>104</v>
      </c>
      <c r="C1328" t="s">
        <v>371</v>
      </c>
      <c r="D1328" t="s">
        <v>106</v>
      </c>
      <c r="E1328">
        <v>7182.77</v>
      </c>
      <c r="F1328" s="2">
        <v>45262.666684444448</v>
      </c>
      <c r="G1328" t="s">
        <v>247</v>
      </c>
      <c r="H1328" t="s">
        <v>76</v>
      </c>
      <c r="I1328" t="s">
        <v>88</v>
      </c>
    </row>
    <row r="1329" spans="1:9" x14ac:dyDescent="0.45">
      <c r="A1329" t="s">
        <v>164</v>
      </c>
      <c r="B1329" t="s">
        <v>109</v>
      </c>
      <c r="C1329" t="s">
        <v>1646</v>
      </c>
      <c r="D1329" t="s">
        <v>155</v>
      </c>
      <c r="E1329">
        <v>622.58000000000004</v>
      </c>
      <c r="F1329" s="2">
        <v>45220.666684444448</v>
      </c>
      <c r="G1329" t="s">
        <v>111</v>
      </c>
      <c r="H1329" t="s">
        <v>145</v>
      </c>
      <c r="I1329" t="s">
        <v>88</v>
      </c>
    </row>
    <row r="1330" spans="1:9" x14ac:dyDescent="0.45">
      <c r="A1330" t="s">
        <v>2078</v>
      </c>
      <c r="B1330" t="s">
        <v>172</v>
      </c>
      <c r="C1330" t="s">
        <v>2079</v>
      </c>
      <c r="D1330" t="s">
        <v>74</v>
      </c>
      <c r="E1330">
        <v>6326.71</v>
      </c>
      <c r="F1330" s="2">
        <v>45430.666684444448</v>
      </c>
      <c r="G1330" t="s">
        <v>174</v>
      </c>
      <c r="H1330" t="s">
        <v>81</v>
      </c>
      <c r="I1330" t="s">
        <v>112</v>
      </c>
    </row>
    <row r="1331" spans="1:9" x14ac:dyDescent="0.45">
      <c r="A1331" t="s">
        <v>2080</v>
      </c>
      <c r="B1331" t="s">
        <v>95</v>
      </c>
      <c r="C1331" t="s">
        <v>2081</v>
      </c>
      <c r="D1331" t="s">
        <v>101</v>
      </c>
      <c r="E1331">
        <v>1897.52</v>
      </c>
      <c r="F1331" s="2">
        <v>45462.666684444448</v>
      </c>
      <c r="G1331" t="s">
        <v>97</v>
      </c>
      <c r="H1331" t="s">
        <v>76</v>
      </c>
      <c r="I1331" t="s">
        <v>88</v>
      </c>
    </row>
    <row r="1332" spans="1:9" x14ac:dyDescent="0.45">
      <c r="A1332" t="s">
        <v>2082</v>
      </c>
      <c r="B1332" t="s">
        <v>72</v>
      </c>
      <c r="C1332" t="s">
        <v>110</v>
      </c>
      <c r="D1332" t="s">
        <v>101</v>
      </c>
      <c r="E1332">
        <v>246.14</v>
      </c>
      <c r="F1332" s="2">
        <v>45553.666684444448</v>
      </c>
      <c r="G1332" t="s">
        <v>75</v>
      </c>
      <c r="H1332" t="s">
        <v>107</v>
      </c>
      <c r="I1332" t="s">
        <v>163</v>
      </c>
    </row>
    <row r="1333" spans="1:9" x14ac:dyDescent="0.45">
      <c r="A1333" t="s">
        <v>2083</v>
      </c>
      <c r="B1333" t="s">
        <v>95</v>
      </c>
      <c r="C1333" t="s">
        <v>319</v>
      </c>
      <c r="D1333" t="s">
        <v>74</v>
      </c>
      <c r="E1333">
        <v>6377.83</v>
      </c>
      <c r="F1333" s="2">
        <v>45307.666684444448</v>
      </c>
      <c r="G1333" t="s">
        <v>97</v>
      </c>
      <c r="H1333" t="s">
        <v>116</v>
      </c>
      <c r="I1333" t="s">
        <v>163</v>
      </c>
    </row>
    <row r="1334" spans="1:9" x14ac:dyDescent="0.45">
      <c r="A1334" t="s">
        <v>2084</v>
      </c>
      <c r="B1334" t="s">
        <v>90</v>
      </c>
      <c r="C1334" t="s">
        <v>1711</v>
      </c>
      <c r="D1334" t="s">
        <v>85</v>
      </c>
      <c r="E1334">
        <v>8248.49</v>
      </c>
      <c r="F1334" s="2">
        <v>45333.666684444448</v>
      </c>
      <c r="G1334" t="s">
        <v>93</v>
      </c>
      <c r="H1334" t="s">
        <v>81</v>
      </c>
      <c r="I1334" t="s">
        <v>82</v>
      </c>
    </row>
    <row r="1335" spans="1:9" x14ac:dyDescent="0.45">
      <c r="A1335" t="s">
        <v>2085</v>
      </c>
      <c r="B1335" t="s">
        <v>90</v>
      </c>
      <c r="C1335" t="s">
        <v>253</v>
      </c>
      <c r="D1335" t="s">
        <v>85</v>
      </c>
      <c r="E1335">
        <v>1772.96</v>
      </c>
      <c r="F1335" s="2">
        <v>45263.666684444448</v>
      </c>
      <c r="G1335" t="s">
        <v>93</v>
      </c>
      <c r="H1335" t="s">
        <v>136</v>
      </c>
      <c r="I1335" t="s">
        <v>77</v>
      </c>
    </row>
    <row r="1336" spans="1:9" x14ac:dyDescent="0.45">
      <c r="A1336" t="s">
        <v>2086</v>
      </c>
      <c r="B1336" t="s">
        <v>138</v>
      </c>
      <c r="C1336" t="s">
        <v>2087</v>
      </c>
      <c r="D1336" t="s">
        <v>148</v>
      </c>
      <c r="E1336">
        <v>2348.4899999999998</v>
      </c>
      <c r="F1336" s="2">
        <v>45680.666684444448</v>
      </c>
      <c r="G1336" t="s">
        <v>140</v>
      </c>
      <c r="H1336" t="s">
        <v>76</v>
      </c>
      <c r="I1336" t="s">
        <v>77</v>
      </c>
    </row>
    <row r="1337" spans="1:9" x14ac:dyDescent="0.45">
      <c r="A1337" t="s">
        <v>2088</v>
      </c>
      <c r="B1337" t="s">
        <v>172</v>
      </c>
      <c r="C1337" t="s">
        <v>913</v>
      </c>
      <c r="D1337" t="s">
        <v>92</v>
      </c>
      <c r="E1337">
        <v>0</v>
      </c>
      <c r="F1337" s="2">
        <v>45502.666684444448</v>
      </c>
      <c r="G1337" t="s">
        <v>174</v>
      </c>
      <c r="H1337" t="s">
        <v>87</v>
      </c>
      <c r="I1337" t="s">
        <v>77</v>
      </c>
    </row>
    <row r="1338" spans="1:9" x14ac:dyDescent="0.45">
      <c r="A1338" t="s">
        <v>2089</v>
      </c>
      <c r="B1338" t="s">
        <v>90</v>
      </c>
      <c r="C1338" t="s">
        <v>2090</v>
      </c>
      <c r="D1338" t="s">
        <v>85</v>
      </c>
      <c r="E1338">
        <v>234.27</v>
      </c>
      <c r="F1338" s="2">
        <v>45671.666684444448</v>
      </c>
      <c r="G1338" t="s">
        <v>93</v>
      </c>
      <c r="H1338" t="s">
        <v>136</v>
      </c>
      <c r="I1338" t="s">
        <v>163</v>
      </c>
    </row>
    <row r="1339" spans="1:9" x14ac:dyDescent="0.45">
      <c r="A1339" t="s">
        <v>2091</v>
      </c>
      <c r="B1339" t="s">
        <v>138</v>
      </c>
      <c r="C1339" t="s">
        <v>2092</v>
      </c>
      <c r="D1339" t="s">
        <v>92</v>
      </c>
      <c r="E1339">
        <v>1729.25</v>
      </c>
      <c r="F1339" s="2">
        <v>45641.666684444448</v>
      </c>
      <c r="G1339" t="s">
        <v>140</v>
      </c>
      <c r="H1339" t="s">
        <v>116</v>
      </c>
      <c r="I1339" t="s">
        <v>77</v>
      </c>
    </row>
    <row r="1340" spans="1:9" x14ac:dyDescent="0.45">
      <c r="A1340" t="s">
        <v>2093</v>
      </c>
      <c r="B1340" t="s">
        <v>104</v>
      </c>
      <c r="D1340" t="s">
        <v>101</v>
      </c>
      <c r="E1340">
        <v>7246.49</v>
      </c>
      <c r="F1340" s="2">
        <v>45407.666684444448</v>
      </c>
      <c r="G1340" t="s">
        <v>247</v>
      </c>
      <c r="H1340" t="s">
        <v>118</v>
      </c>
      <c r="I1340" t="s">
        <v>82</v>
      </c>
    </row>
    <row r="1341" spans="1:9" x14ac:dyDescent="0.45">
      <c r="A1341" t="s">
        <v>2094</v>
      </c>
      <c r="B1341" t="s">
        <v>138</v>
      </c>
      <c r="C1341" t="s">
        <v>1393</v>
      </c>
      <c r="D1341" t="s">
        <v>85</v>
      </c>
      <c r="E1341">
        <v>1325.8</v>
      </c>
      <c r="F1341" s="2">
        <v>45296.666684444448</v>
      </c>
      <c r="G1341" t="s">
        <v>140</v>
      </c>
      <c r="H1341" t="s">
        <v>145</v>
      </c>
      <c r="I1341" t="s">
        <v>77</v>
      </c>
    </row>
    <row r="1342" spans="1:9" x14ac:dyDescent="0.45">
      <c r="A1342" t="s">
        <v>2095</v>
      </c>
      <c r="B1342" t="s">
        <v>95</v>
      </c>
      <c r="C1342" t="s">
        <v>809</v>
      </c>
      <c r="D1342" t="s">
        <v>85</v>
      </c>
      <c r="E1342">
        <v>10070.31</v>
      </c>
      <c r="F1342" s="2">
        <v>45391.666684444448</v>
      </c>
      <c r="G1342" t="s">
        <v>97</v>
      </c>
      <c r="H1342" t="s">
        <v>107</v>
      </c>
      <c r="I1342" t="s">
        <v>88</v>
      </c>
    </row>
    <row r="1343" spans="1:9" x14ac:dyDescent="0.45">
      <c r="A1343" t="s">
        <v>2096</v>
      </c>
      <c r="B1343" t="s">
        <v>79</v>
      </c>
      <c r="C1343" t="s">
        <v>1741</v>
      </c>
      <c r="D1343" t="s">
        <v>74</v>
      </c>
      <c r="E1343">
        <v>6027.3</v>
      </c>
      <c r="F1343" s="2">
        <v>45621.666684444448</v>
      </c>
      <c r="G1343" t="s">
        <v>86</v>
      </c>
      <c r="H1343" t="s">
        <v>133</v>
      </c>
      <c r="I1343" t="s">
        <v>119</v>
      </c>
    </row>
    <row r="1344" spans="1:9" x14ac:dyDescent="0.45">
      <c r="A1344" t="s">
        <v>2097</v>
      </c>
      <c r="B1344" t="s">
        <v>99</v>
      </c>
      <c r="C1344" t="s">
        <v>2098</v>
      </c>
      <c r="D1344" t="s">
        <v>74</v>
      </c>
      <c r="E1344">
        <v>71.14</v>
      </c>
      <c r="F1344" s="2">
        <v>45430.666684444448</v>
      </c>
      <c r="G1344" t="s">
        <v>102</v>
      </c>
      <c r="H1344" t="s">
        <v>145</v>
      </c>
      <c r="I1344" t="s">
        <v>119</v>
      </c>
    </row>
    <row r="1345" spans="1:9" x14ac:dyDescent="0.45">
      <c r="A1345" t="s">
        <v>2099</v>
      </c>
      <c r="B1345" t="s">
        <v>95</v>
      </c>
      <c r="C1345" t="s">
        <v>2100</v>
      </c>
      <c r="D1345" t="s">
        <v>101</v>
      </c>
      <c r="E1345">
        <v>10168.870000000001</v>
      </c>
      <c r="F1345" s="2">
        <v>45474.666684444448</v>
      </c>
      <c r="G1345" t="s">
        <v>97</v>
      </c>
      <c r="H1345" t="s">
        <v>118</v>
      </c>
      <c r="I1345" t="s">
        <v>119</v>
      </c>
    </row>
    <row r="1346" spans="1:9" x14ac:dyDescent="0.45">
      <c r="A1346" t="s">
        <v>2101</v>
      </c>
      <c r="B1346" t="s">
        <v>109</v>
      </c>
      <c r="D1346" t="s">
        <v>155</v>
      </c>
      <c r="E1346">
        <v>1299.47</v>
      </c>
      <c r="F1346" s="2">
        <v>45245.666684444448</v>
      </c>
      <c r="G1346" t="s">
        <v>111</v>
      </c>
      <c r="H1346" t="s">
        <v>118</v>
      </c>
      <c r="I1346" t="s">
        <v>119</v>
      </c>
    </row>
    <row r="1347" spans="1:9" x14ac:dyDescent="0.45">
      <c r="A1347" t="s">
        <v>2102</v>
      </c>
      <c r="B1347" t="s">
        <v>79</v>
      </c>
      <c r="C1347" t="s">
        <v>982</v>
      </c>
      <c r="D1347" t="s">
        <v>74</v>
      </c>
      <c r="E1347">
        <v>8725.25</v>
      </c>
      <c r="F1347" s="2">
        <v>45607.666684444448</v>
      </c>
      <c r="G1347" t="s">
        <v>86</v>
      </c>
      <c r="H1347" t="s">
        <v>136</v>
      </c>
      <c r="I1347" t="s">
        <v>77</v>
      </c>
    </row>
    <row r="1348" spans="1:9" x14ac:dyDescent="0.45">
      <c r="A1348" t="s">
        <v>2103</v>
      </c>
      <c r="B1348" t="s">
        <v>72</v>
      </c>
      <c r="C1348" t="s">
        <v>2104</v>
      </c>
      <c r="D1348" t="s">
        <v>101</v>
      </c>
      <c r="E1348">
        <v>2472.58</v>
      </c>
      <c r="F1348" s="2">
        <v>45205.666684444448</v>
      </c>
      <c r="H1348" t="s">
        <v>76</v>
      </c>
      <c r="I1348" t="s">
        <v>119</v>
      </c>
    </row>
    <row r="1349" spans="1:9" x14ac:dyDescent="0.45">
      <c r="A1349" t="s">
        <v>2105</v>
      </c>
      <c r="B1349" t="s">
        <v>95</v>
      </c>
      <c r="C1349" t="s">
        <v>674</v>
      </c>
      <c r="D1349" t="s">
        <v>101</v>
      </c>
      <c r="E1349">
        <v>9563.3700000000008</v>
      </c>
      <c r="F1349" s="2">
        <v>45272.666684444448</v>
      </c>
      <c r="G1349" t="s">
        <v>97</v>
      </c>
      <c r="H1349" t="s">
        <v>128</v>
      </c>
      <c r="I1349" t="s">
        <v>88</v>
      </c>
    </row>
    <row r="1350" spans="1:9" x14ac:dyDescent="0.45">
      <c r="A1350" t="s">
        <v>2106</v>
      </c>
      <c r="B1350" t="s">
        <v>95</v>
      </c>
      <c r="C1350" t="s">
        <v>1036</v>
      </c>
      <c r="D1350" t="s">
        <v>92</v>
      </c>
      <c r="E1350">
        <v>0</v>
      </c>
      <c r="F1350" s="2">
        <v>45359.666684444448</v>
      </c>
      <c r="G1350" t="s">
        <v>97</v>
      </c>
      <c r="I1350" t="s">
        <v>163</v>
      </c>
    </row>
    <row r="1351" spans="1:9" x14ac:dyDescent="0.45">
      <c r="A1351" t="s">
        <v>2107</v>
      </c>
      <c r="B1351" t="s">
        <v>109</v>
      </c>
      <c r="C1351" t="s">
        <v>2108</v>
      </c>
      <c r="D1351" t="s">
        <v>74</v>
      </c>
      <c r="E1351">
        <v>4397.4799999999996</v>
      </c>
      <c r="F1351" s="2">
        <v>45820.666684444448</v>
      </c>
      <c r="H1351" t="s">
        <v>87</v>
      </c>
      <c r="I1351" t="s">
        <v>119</v>
      </c>
    </row>
    <row r="1352" spans="1:9" x14ac:dyDescent="0.45">
      <c r="A1352" t="s">
        <v>2109</v>
      </c>
      <c r="B1352" t="s">
        <v>99</v>
      </c>
      <c r="C1352" t="s">
        <v>735</v>
      </c>
      <c r="D1352" t="s">
        <v>106</v>
      </c>
      <c r="E1352">
        <v>11572.6</v>
      </c>
      <c r="F1352" s="2">
        <v>45818.666684444448</v>
      </c>
      <c r="G1352" t="s">
        <v>102</v>
      </c>
      <c r="H1352" t="s">
        <v>116</v>
      </c>
      <c r="I1352" t="s">
        <v>163</v>
      </c>
    </row>
    <row r="1353" spans="1:9" x14ac:dyDescent="0.45">
      <c r="A1353" t="s">
        <v>2110</v>
      </c>
      <c r="B1353" t="s">
        <v>109</v>
      </c>
      <c r="C1353" t="s">
        <v>2111</v>
      </c>
      <c r="D1353" t="s">
        <v>148</v>
      </c>
      <c r="E1353">
        <v>3772.62</v>
      </c>
      <c r="F1353" s="2">
        <v>45534.666684444448</v>
      </c>
      <c r="H1353" t="s">
        <v>116</v>
      </c>
      <c r="I1353" t="s">
        <v>77</v>
      </c>
    </row>
    <row r="1354" spans="1:9" x14ac:dyDescent="0.45">
      <c r="A1354" t="s">
        <v>2112</v>
      </c>
      <c r="B1354" t="s">
        <v>138</v>
      </c>
      <c r="C1354" t="s">
        <v>691</v>
      </c>
      <c r="D1354" t="s">
        <v>85</v>
      </c>
      <c r="E1354">
        <v>3193.9</v>
      </c>
      <c r="F1354" s="2">
        <v>45698.666684444448</v>
      </c>
      <c r="G1354" t="s">
        <v>140</v>
      </c>
      <c r="H1354" t="s">
        <v>76</v>
      </c>
      <c r="I1354" t="s">
        <v>88</v>
      </c>
    </row>
    <row r="1355" spans="1:9" x14ac:dyDescent="0.45">
      <c r="A1355" t="s">
        <v>2113</v>
      </c>
      <c r="B1355" t="s">
        <v>72</v>
      </c>
      <c r="C1355" t="s">
        <v>130</v>
      </c>
      <c r="D1355" t="s">
        <v>92</v>
      </c>
      <c r="E1355">
        <v>9904.5400000000009</v>
      </c>
      <c r="F1355" s="2">
        <v>45502.666684444448</v>
      </c>
      <c r="H1355" t="s">
        <v>76</v>
      </c>
      <c r="I1355" t="s">
        <v>88</v>
      </c>
    </row>
    <row r="1356" spans="1:9" x14ac:dyDescent="0.45">
      <c r="A1356" t="s">
        <v>2114</v>
      </c>
      <c r="B1356" t="s">
        <v>90</v>
      </c>
      <c r="C1356" t="s">
        <v>144</v>
      </c>
      <c r="D1356" t="s">
        <v>74</v>
      </c>
      <c r="E1356">
        <v>6682.57</v>
      </c>
      <c r="F1356" s="2">
        <v>45220.666684444448</v>
      </c>
      <c r="G1356" t="s">
        <v>93</v>
      </c>
      <c r="H1356" t="s">
        <v>145</v>
      </c>
      <c r="I1356" t="s">
        <v>119</v>
      </c>
    </row>
    <row r="1357" spans="1:9" x14ac:dyDescent="0.45">
      <c r="A1357" t="s">
        <v>2115</v>
      </c>
      <c r="B1357" t="s">
        <v>104</v>
      </c>
      <c r="C1357" t="s">
        <v>1030</v>
      </c>
      <c r="D1357" t="s">
        <v>101</v>
      </c>
      <c r="E1357">
        <v>4782.79</v>
      </c>
      <c r="F1357" s="2">
        <v>45532.666684444448</v>
      </c>
      <c r="H1357" t="s">
        <v>145</v>
      </c>
      <c r="I1357" t="s">
        <v>77</v>
      </c>
    </row>
    <row r="1358" spans="1:9" x14ac:dyDescent="0.45">
      <c r="A1358" t="s">
        <v>2116</v>
      </c>
      <c r="B1358" t="s">
        <v>90</v>
      </c>
      <c r="C1358" t="s">
        <v>2117</v>
      </c>
      <c r="D1358" t="s">
        <v>92</v>
      </c>
      <c r="E1358">
        <v>9142.65</v>
      </c>
      <c r="F1358" s="2">
        <v>45142.666684444448</v>
      </c>
      <c r="G1358" t="s">
        <v>93</v>
      </c>
      <c r="H1358" t="s">
        <v>128</v>
      </c>
      <c r="I1358" t="s">
        <v>163</v>
      </c>
    </row>
    <row r="1359" spans="1:9" x14ac:dyDescent="0.45">
      <c r="A1359" t="s">
        <v>2118</v>
      </c>
      <c r="B1359" t="s">
        <v>99</v>
      </c>
      <c r="C1359" t="s">
        <v>872</v>
      </c>
      <c r="D1359" t="s">
        <v>74</v>
      </c>
      <c r="E1359">
        <v>10501.45</v>
      </c>
      <c r="F1359" s="2">
        <v>45398.666684444448</v>
      </c>
      <c r="G1359" t="s">
        <v>102</v>
      </c>
      <c r="H1359" t="s">
        <v>87</v>
      </c>
      <c r="I1359" t="s">
        <v>88</v>
      </c>
    </row>
    <row r="1360" spans="1:9" x14ac:dyDescent="0.45">
      <c r="A1360" t="s">
        <v>2119</v>
      </c>
      <c r="B1360" t="s">
        <v>99</v>
      </c>
      <c r="C1360" t="s">
        <v>1330</v>
      </c>
      <c r="D1360" t="s">
        <v>101</v>
      </c>
      <c r="E1360">
        <v>0</v>
      </c>
      <c r="F1360" s="2">
        <v>45677.666684444448</v>
      </c>
      <c r="G1360" t="s">
        <v>102</v>
      </c>
      <c r="H1360" t="s">
        <v>118</v>
      </c>
      <c r="I1360" t="s">
        <v>88</v>
      </c>
    </row>
    <row r="1361" spans="1:9" x14ac:dyDescent="0.45">
      <c r="A1361" t="s">
        <v>2120</v>
      </c>
      <c r="B1361" t="s">
        <v>109</v>
      </c>
      <c r="C1361" t="s">
        <v>2121</v>
      </c>
      <c r="D1361" t="s">
        <v>85</v>
      </c>
      <c r="E1361">
        <v>2571.0700000000002</v>
      </c>
      <c r="F1361" s="2">
        <v>45254.666684444448</v>
      </c>
      <c r="G1361" t="s">
        <v>111</v>
      </c>
      <c r="H1361" t="s">
        <v>118</v>
      </c>
      <c r="I1361" t="s">
        <v>119</v>
      </c>
    </row>
    <row r="1362" spans="1:9" x14ac:dyDescent="0.45">
      <c r="A1362" t="s">
        <v>2122</v>
      </c>
      <c r="B1362" t="s">
        <v>138</v>
      </c>
      <c r="C1362" t="s">
        <v>715</v>
      </c>
      <c r="D1362" t="s">
        <v>101</v>
      </c>
      <c r="E1362">
        <v>9419.4699999999993</v>
      </c>
      <c r="F1362" s="2">
        <v>45593.666684444448</v>
      </c>
      <c r="G1362" t="s">
        <v>140</v>
      </c>
      <c r="I1362" t="s">
        <v>77</v>
      </c>
    </row>
    <row r="1363" spans="1:9" x14ac:dyDescent="0.45">
      <c r="A1363" t="s">
        <v>2123</v>
      </c>
      <c r="B1363" t="s">
        <v>172</v>
      </c>
      <c r="C1363" t="s">
        <v>568</v>
      </c>
      <c r="D1363" t="s">
        <v>155</v>
      </c>
      <c r="E1363">
        <v>7660.1</v>
      </c>
      <c r="F1363" s="2">
        <v>45505.666684444448</v>
      </c>
      <c r="H1363" t="s">
        <v>87</v>
      </c>
      <c r="I1363" t="s">
        <v>82</v>
      </c>
    </row>
    <row r="1364" spans="1:9" x14ac:dyDescent="0.45">
      <c r="A1364" t="s">
        <v>2124</v>
      </c>
      <c r="B1364" t="s">
        <v>138</v>
      </c>
      <c r="C1364" t="s">
        <v>2125</v>
      </c>
      <c r="D1364" t="s">
        <v>74</v>
      </c>
      <c r="E1364">
        <v>11449.13</v>
      </c>
      <c r="F1364" s="2">
        <v>45816.666684444448</v>
      </c>
      <c r="G1364" t="s">
        <v>140</v>
      </c>
      <c r="H1364" t="s">
        <v>136</v>
      </c>
      <c r="I1364" t="s">
        <v>163</v>
      </c>
    </row>
    <row r="1365" spans="1:9" x14ac:dyDescent="0.45">
      <c r="A1365" t="s">
        <v>1448</v>
      </c>
      <c r="B1365" t="s">
        <v>99</v>
      </c>
      <c r="C1365" t="s">
        <v>201</v>
      </c>
      <c r="D1365" t="s">
        <v>92</v>
      </c>
      <c r="E1365">
        <v>9643.6200000000008</v>
      </c>
      <c r="F1365" s="2">
        <v>45816.666684444448</v>
      </c>
      <c r="G1365" t="s">
        <v>102</v>
      </c>
      <c r="H1365" t="s">
        <v>145</v>
      </c>
      <c r="I1365" t="s">
        <v>112</v>
      </c>
    </row>
    <row r="1366" spans="1:9" x14ac:dyDescent="0.45">
      <c r="A1366" t="s">
        <v>2126</v>
      </c>
      <c r="B1366" t="s">
        <v>99</v>
      </c>
      <c r="D1366" t="s">
        <v>85</v>
      </c>
      <c r="E1366">
        <v>2241.37</v>
      </c>
      <c r="F1366" s="2">
        <v>45396.666684444448</v>
      </c>
      <c r="G1366" t="s">
        <v>102</v>
      </c>
      <c r="H1366" t="s">
        <v>81</v>
      </c>
      <c r="I1366" t="s">
        <v>112</v>
      </c>
    </row>
    <row r="1367" spans="1:9" x14ac:dyDescent="0.45">
      <c r="A1367" t="s">
        <v>2127</v>
      </c>
      <c r="B1367" t="s">
        <v>95</v>
      </c>
      <c r="C1367" t="s">
        <v>414</v>
      </c>
      <c r="D1367" t="s">
        <v>92</v>
      </c>
      <c r="E1367">
        <v>6593.87</v>
      </c>
      <c r="F1367" s="2">
        <v>45726.666684444448</v>
      </c>
      <c r="G1367" t="s">
        <v>97</v>
      </c>
      <c r="I1367" t="s">
        <v>163</v>
      </c>
    </row>
    <row r="1368" spans="1:9" x14ac:dyDescent="0.45">
      <c r="A1368" t="s">
        <v>2128</v>
      </c>
      <c r="B1368" t="s">
        <v>172</v>
      </c>
      <c r="C1368" t="s">
        <v>225</v>
      </c>
      <c r="D1368" t="s">
        <v>101</v>
      </c>
      <c r="E1368">
        <v>7292.51</v>
      </c>
      <c r="F1368" s="2">
        <v>45518.666684444448</v>
      </c>
      <c r="G1368" t="s">
        <v>174</v>
      </c>
      <c r="I1368" t="s">
        <v>88</v>
      </c>
    </row>
    <row r="1369" spans="1:9" x14ac:dyDescent="0.45">
      <c r="A1369" t="s">
        <v>2129</v>
      </c>
      <c r="B1369" t="s">
        <v>99</v>
      </c>
      <c r="C1369" t="s">
        <v>1294</v>
      </c>
      <c r="D1369" t="s">
        <v>85</v>
      </c>
      <c r="E1369">
        <v>3183.76</v>
      </c>
      <c r="F1369" s="2">
        <v>45781.666684444448</v>
      </c>
      <c r="G1369" t="s">
        <v>102</v>
      </c>
      <c r="H1369" t="s">
        <v>145</v>
      </c>
      <c r="I1369" t="s">
        <v>163</v>
      </c>
    </row>
    <row r="1370" spans="1:9" x14ac:dyDescent="0.45">
      <c r="A1370" t="s">
        <v>2130</v>
      </c>
      <c r="B1370" t="s">
        <v>172</v>
      </c>
      <c r="C1370" t="s">
        <v>1452</v>
      </c>
      <c r="D1370" t="s">
        <v>148</v>
      </c>
      <c r="E1370">
        <v>8326.14</v>
      </c>
      <c r="F1370" s="2">
        <v>45508.666684444448</v>
      </c>
      <c r="G1370" t="s">
        <v>174</v>
      </c>
      <c r="H1370" t="s">
        <v>128</v>
      </c>
      <c r="I1370" t="s">
        <v>119</v>
      </c>
    </row>
    <row r="1371" spans="1:9" x14ac:dyDescent="0.45">
      <c r="A1371" t="s">
        <v>1922</v>
      </c>
      <c r="B1371" t="s">
        <v>72</v>
      </c>
      <c r="C1371" t="s">
        <v>1025</v>
      </c>
      <c r="D1371" t="s">
        <v>85</v>
      </c>
      <c r="E1371">
        <v>8248.4699999999993</v>
      </c>
      <c r="F1371" s="2">
        <v>45238.666684444448</v>
      </c>
      <c r="G1371" t="s">
        <v>75</v>
      </c>
      <c r="H1371" t="s">
        <v>107</v>
      </c>
      <c r="I1371" t="s">
        <v>112</v>
      </c>
    </row>
    <row r="1372" spans="1:9" x14ac:dyDescent="0.45">
      <c r="A1372" t="s">
        <v>2131</v>
      </c>
      <c r="B1372" t="s">
        <v>104</v>
      </c>
      <c r="C1372" t="s">
        <v>201</v>
      </c>
      <c r="D1372" t="s">
        <v>101</v>
      </c>
      <c r="E1372">
        <v>3148.89</v>
      </c>
      <c r="F1372" s="2">
        <v>45819.666684444448</v>
      </c>
      <c r="G1372" t="s">
        <v>115</v>
      </c>
      <c r="H1372" t="s">
        <v>76</v>
      </c>
      <c r="I1372" t="s">
        <v>163</v>
      </c>
    </row>
    <row r="1373" spans="1:9" x14ac:dyDescent="0.45">
      <c r="A1373" t="s">
        <v>2132</v>
      </c>
      <c r="B1373" t="s">
        <v>109</v>
      </c>
      <c r="C1373" t="s">
        <v>2133</v>
      </c>
      <c r="D1373" t="s">
        <v>85</v>
      </c>
      <c r="E1373">
        <v>9283.77</v>
      </c>
      <c r="F1373" s="2">
        <v>45367.666684444448</v>
      </c>
      <c r="G1373" t="s">
        <v>111</v>
      </c>
      <c r="H1373" t="s">
        <v>118</v>
      </c>
      <c r="I1373" t="s">
        <v>119</v>
      </c>
    </row>
    <row r="1374" spans="1:9" x14ac:dyDescent="0.45">
      <c r="A1374" t="s">
        <v>2134</v>
      </c>
      <c r="B1374" t="s">
        <v>99</v>
      </c>
      <c r="C1374" t="s">
        <v>484</v>
      </c>
      <c r="D1374" t="s">
        <v>92</v>
      </c>
      <c r="E1374">
        <v>7342.85</v>
      </c>
      <c r="F1374" s="2">
        <v>45610.666684444448</v>
      </c>
      <c r="G1374" t="s">
        <v>102</v>
      </c>
      <c r="H1374" t="s">
        <v>145</v>
      </c>
      <c r="I1374" t="s">
        <v>82</v>
      </c>
    </row>
    <row r="1375" spans="1:9" x14ac:dyDescent="0.45">
      <c r="A1375" t="s">
        <v>2135</v>
      </c>
      <c r="B1375" t="s">
        <v>72</v>
      </c>
      <c r="C1375" t="s">
        <v>2136</v>
      </c>
      <c r="D1375" t="s">
        <v>101</v>
      </c>
      <c r="E1375">
        <v>8423.3700000000008</v>
      </c>
      <c r="F1375" s="2">
        <v>45153.666684444448</v>
      </c>
      <c r="G1375" t="s">
        <v>75</v>
      </c>
      <c r="H1375" t="s">
        <v>81</v>
      </c>
      <c r="I1375" t="s">
        <v>163</v>
      </c>
    </row>
    <row r="1376" spans="1:9" x14ac:dyDescent="0.45">
      <c r="A1376" t="s">
        <v>2137</v>
      </c>
      <c r="B1376" t="s">
        <v>138</v>
      </c>
      <c r="C1376" t="s">
        <v>601</v>
      </c>
      <c r="D1376" t="s">
        <v>155</v>
      </c>
      <c r="E1376">
        <v>8258.7999999999993</v>
      </c>
      <c r="F1376" s="2">
        <v>45762.666684444448</v>
      </c>
      <c r="G1376" t="s">
        <v>194</v>
      </c>
      <c r="H1376" t="s">
        <v>136</v>
      </c>
      <c r="I1376" t="s">
        <v>163</v>
      </c>
    </row>
    <row r="1377" spans="1:9" x14ac:dyDescent="0.45">
      <c r="A1377" t="s">
        <v>2138</v>
      </c>
      <c r="B1377" t="s">
        <v>109</v>
      </c>
      <c r="C1377" t="s">
        <v>2139</v>
      </c>
      <c r="D1377" t="s">
        <v>101</v>
      </c>
      <c r="E1377">
        <v>5503.9</v>
      </c>
      <c r="F1377" s="2">
        <v>45702.666684444448</v>
      </c>
      <c r="G1377" t="s">
        <v>111</v>
      </c>
      <c r="H1377" t="s">
        <v>107</v>
      </c>
      <c r="I1377" t="s">
        <v>77</v>
      </c>
    </row>
    <row r="1378" spans="1:9" x14ac:dyDescent="0.45">
      <c r="A1378" t="s">
        <v>435</v>
      </c>
      <c r="B1378" t="s">
        <v>172</v>
      </c>
      <c r="C1378" t="s">
        <v>2140</v>
      </c>
      <c r="D1378" t="s">
        <v>85</v>
      </c>
      <c r="E1378">
        <v>8157.73</v>
      </c>
      <c r="F1378" s="2">
        <v>45463.666684444448</v>
      </c>
      <c r="G1378" t="s">
        <v>174</v>
      </c>
      <c r="H1378" t="s">
        <v>76</v>
      </c>
      <c r="I1378" t="s">
        <v>77</v>
      </c>
    </row>
    <row r="1379" spans="1:9" x14ac:dyDescent="0.45">
      <c r="A1379" t="s">
        <v>2141</v>
      </c>
      <c r="B1379" t="s">
        <v>109</v>
      </c>
      <c r="C1379" t="s">
        <v>2142</v>
      </c>
      <c r="D1379" t="s">
        <v>92</v>
      </c>
      <c r="E1379">
        <v>7499.31</v>
      </c>
      <c r="F1379" s="2">
        <v>45752.666684444448</v>
      </c>
      <c r="H1379" t="s">
        <v>128</v>
      </c>
      <c r="I1379" t="s">
        <v>77</v>
      </c>
    </row>
    <row r="1380" spans="1:9" x14ac:dyDescent="0.45">
      <c r="A1380" t="s">
        <v>2143</v>
      </c>
      <c r="B1380" t="s">
        <v>90</v>
      </c>
      <c r="D1380" t="s">
        <v>92</v>
      </c>
      <c r="E1380">
        <v>0</v>
      </c>
      <c r="F1380" s="2">
        <v>45354.666684444448</v>
      </c>
      <c r="G1380" t="s">
        <v>93</v>
      </c>
      <c r="I1380" t="s">
        <v>163</v>
      </c>
    </row>
    <row r="1381" spans="1:9" x14ac:dyDescent="0.45">
      <c r="A1381" t="s">
        <v>2144</v>
      </c>
      <c r="B1381" t="s">
        <v>95</v>
      </c>
      <c r="C1381" t="s">
        <v>840</v>
      </c>
      <c r="D1381" t="s">
        <v>148</v>
      </c>
      <c r="E1381">
        <v>9489.2800000000007</v>
      </c>
      <c r="F1381" s="2">
        <v>45791.666684444448</v>
      </c>
      <c r="G1381" t="s">
        <v>336</v>
      </c>
      <c r="H1381" t="s">
        <v>133</v>
      </c>
      <c r="I1381" t="s">
        <v>119</v>
      </c>
    </row>
    <row r="1382" spans="1:9" x14ac:dyDescent="0.45">
      <c r="A1382" t="s">
        <v>2145</v>
      </c>
      <c r="B1382" t="s">
        <v>172</v>
      </c>
      <c r="C1382" t="s">
        <v>2146</v>
      </c>
      <c r="D1382" t="s">
        <v>106</v>
      </c>
      <c r="E1382">
        <v>6753.75</v>
      </c>
      <c r="F1382" s="2">
        <v>45192.666684444448</v>
      </c>
      <c r="G1382" t="s">
        <v>174</v>
      </c>
      <c r="H1382" t="s">
        <v>145</v>
      </c>
      <c r="I1382" t="s">
        <v>82</v>
      </c>
    </row>
    <row r="1383" spans="1:9" x14ac:dyDescent="0.45">
      <c r="A1383" t="s">
        <v>2147</v>
      </c>
      <c r="B1383" t="s">
        <v>72</v>
      </c>
      <c r="C1383" t="s">
        <v>130</v>
      </c>
      <c r="D1383" t="s">
        <v>101</v>
      </c>
      <c r="E1383">
        <v>0</v>
      </c>
      <c r="F1383" s="2">
        <v>45778.666684444448</v>
      </c>
      <c r="G1383" t="s">
        <v>521</v>
      </c>
      <c r="H1383" t="s">
        <v>116</v>
      </c>
      <c r="I1383" t="s">
        <v>112</v>
      </c>
    </row>
    <row r="1384" spans="1:9" x14ac:dyDescent="0.45">
      <c r="A1384" t="s">
        <v>2148</v>
      </c>
      <c r="B1384" t="s">
        <v>99</v>
      </c>
      <c r="C1384" t="s">
        <v>1231</v>
      </c>
      <c r="D1384" t="s">
        <v>74</v>
      </c>
      <c r="E1384">
        <v>0</v>
      </c>
      <c r="F1384" s="2">
        <v>45603.666684444448</v>
      </c>
      <c r="G1384" t="s">
        <v>102</v>
      </c>
      <c r="H1384" t="s">
        <v>133</v>
      </c>
      <c r="I1384" t="s">
        <v>88</v>
      </c>
    </row>
    <row r="1385" spans="1:9" x14ac:dyDescent="0.45">
      <c r="A1385" t="s">
        <v>2149</v>
      </c>
      <c r="B1385" t="s">
        <v>172</v>
      </c>
      <c r="C1385" t="s">
        <v>259</v>
      </c>
      <c r="D1385" t="s">
        <v>74</v>
      </c>
      <c r="E1385">
        <v>8276.42</v>
      </c>
      <c r="F1385" s="2">
        <v>45845.666684444448</v>
      </c>
      <c r="G1385" t="s">
        <v>174</v>
      </c>
      <c r="H1385" t="s">
        <v>136</v>
      </c>
      <c r="I1385" t="s">
        <v>82</v>
      </c>
    </row>
    <row r="1386" spans="1:9" x14ac:dyDescent="0.45">
      <c r="A1386" t="s">
        <v>2150</v>
      </c>
      <c r="B1386" t="s">
        <v>79</v>
      </c>
      <c r="C1386" t="s">
        <v>271</v>
      </c>
      <c r="D1386" t="s">
        <v>92</v>
      </c>
      <c r="E1386">
        <v>6710.23</v>
      </c>
      <c r="F1386" s="2">
        <v>45437.666684444448</v>
      </c>
      <c r="G1386" t="s">
        <v>86</v>
      </c>
      <c r="I1386" t="s">
        <v>82</v>
      </c>
    </row>
    <row r="1387" spans="1:9" x14ac:dyDescent="0.45">
      <c r="A1387" t="s">
        <v>2151</v>
      </c>
      <c r="B1387" t="s">
        <v>90</v>
      </c>
      <c r="C1387" t="s">
        <v>1658</v>
      </c>
      <c r="D1387" t="s">
        <v>148</v>
      </c>
      <c r="E1387">
        <v>4827.71</v>
      </c>
      <c r="F1387" s="2">
        <v>45792.666684444448</v>
      </c>
      <c r="G1387" t="s">
        <v>93</v>
      </c>
      <c r="H1387" t="s">
        <v>116</v>
      </c>
      <c r="I1387" t="s">
        <v>77</v>
      </c>
    </row>
    <row r="1388" spans="1:9" x14ac:dyDescent="0.45">
      <c r="A1388" t="s">
        <v>2152</v>
      </c>
      <c r="B1388" t="s">
        <v>72</v>
      </c>
      <c r="C1388" t="s">
        <v>1514</v>
      </c>
      <c r="D1388" t="s">
        <v>74</v>
      </c>
      <c r="E1388">
        <v>1420.25</v>
      </c>
      <c r="F1388" s="2">
        <v>45546.666684444448</v>
      </c>
      <c r="G1388" t="s">
        <v>75</v>
      </c>
      <c r="H1388" t="s">
        <v>76</v>
      </c>
      <c r="I1388" t="s">
        <v>82</v>
      </c>
    </row>
    <row r="1389" spans="1:9" x14ac:dyDescent="0.45">
      <c r="A1389" t="s">
        <v>2153</v>
      </c>
      <c r="B1389" t="s">
        <v>138</v>
      </c>
      <c r="C1389" t="s">
        <v>361</v>
      </c>
      <c r="D1389" t="s">
        <v>74</v>
      </c>
      <c r="E1389">
        <v>11130.04</v>
      </c>
      <c r="F1389" s="2">
        <v>45247.666684444448</v>
      </c>
      <c r="G1389" t="s">
        <v>140</v>
      </c>
      <c r="H1389" t="s">
        <v>128</v>
      </c>
      <c r="I1389" t="s">
        <v>82</v>
      </c>
    </row>
    <row r="1390" spans="1:9" x14ac:dyDescent="0.45">
      <c r="A1390" t="s">
        <v>2154</v>
      </c>
      <c r="B1390" t="s">
        <v>79</v>
      </c>
      <c r="C1390" t="s">
        <v>263</v>
      </c>
      <c r="D1390" t="s">
        <v>74</v>
      </c>
      <c r="E1390">
        <v>7913.35</v>
      </c>
      <c r="F1390" s="2">
        <v>45271.666684444448</v>
      </c>
      <c r="G1390" t="s">
        <v>86</v>
      </c>
      <c r="H1390" t="s">
        <v>87</v>
      </c>
      <c r="I1390" t="s">
        <v>163</v>
      </c>
    </row>
    <row r="1391" spans="1:9" x14ac:dyDescent="0.45">
      <c r="A1391" t="s">
        <v>2155</v>
      </c>
      <c r="B1391" t="s">
        <v>172</v>
      </c>
      <c r="C1391" t="s">
        <v>397</v>
      </c>
      <c r="E1391">
        <v>1081.3599999999999</v>
      </c>
      <c r="F1391" s="2">
        <v>45174.666684444448</v>
      </c>
      <c r="G1391" t="s">
        <v>174</v>
      </c>
      <c r="H1391" t="s">
        <v>136</v>
      </c>
      <c r="I1391" t="s">
        <v>77</v>
      </c>
    </row>
    <row r="1392" spans="1:9" x14ac:dyDescent="0.45">
      <c r="A1392" t="s">
        <v>2156</v>
      </c>
      <c r="B1392" t="s">
        <v>95</v>
      </c>
      <c r="C1392" t="s">
        <v>229</v>
      </c>
      <c r="D1392" t="s">
        <v>101</v>
      </c>
      <c r="E1392">
        <v>7401.8</v>
      </c>
      <c r="F1392" s="2">
        <v>45166.666684444448</v>
      </c>
      <c r="G1392" t="s">
        <v>97</v>
      </c>
      <c r="H1392" t="s">
        <v>128</v>
      </c>
      <c r="I1392" t="s">
        <v>112</v>
      </c>
    </row>
    <row r="1393" spans="1:9" x14ac:dyDescent="0.45">
      <c r="A1393" t="s">
        <v>2157</v>
      </c>
      <c r="B1393" t="s">
        <v>79</v>
      </c>
      <c r="C1393" t="s">
        <v>1367</v>
      </c>
      <c r="D1393" t="s">
        <v>101</v>
      </c>
      <c r="E1393">
        <v>3510.49</v>
      </c>
      <c r="F1393" s="2">
        <v>45439.666684444448</v>
      </c>
      <c r="G1393" t="s">
        <v>86</v>
      </c>
      <c r="H1393" t="s">
        <v>118</v>
      </c>
      <c r="I1393" t="s">
        <v>119</v>
      </c>
    </row>
    <row r="1394" spans="1:9" x14ac:dyDescent="0.45">
      <c r="A1394" t="s">
        <v>2158</v>
      </c>
      <c r="B1394" t="s">
        <v>109</v>
      </c>
      <c r="C1394" t="s">
        <v>212</v>
      </c>
      <c r="D1394" t="s">
        <v>85</v>
      </c>
      <c r="E1394">
        <v>9537.57</v>
      </c>
      <c r="F1394" s="2">
        <v>45632.666684444448</v>
      </c>
      <c r="G1394" t="s">
        <v>111</v>
      </c>
      <c r="H1394" t="s">
        <v>133</v>
      </c>
      <c r="I1394" t="s">
        <v>163</v>
      </c>
    </row>
    <row r="1395" spans="1:9" x14ac:dyDescent="0.45">
      <c r="A1395" t="s">
        <v>2159</v>
      </c>
      <c r="B1395" t="s">
        <v>172</v>
      </c>
      <c r="C1395" t="s">
        <v>2160</v>
      </c>
      <c r="E1395">
        <v>6402.26</v>
      </c>
      <c r="F1395" s="2">
        <v>45246.666684444448</v>
      </c>
      <c r="G1395" t="s">
        <v>174</v>
      </c>
      <c r="H1395" t="s">
        <v>128</v>
      </c>
      <c r="I1395" t="s">
        <v>119</v>
      </c>
    </row>
    <row r="1396" spans="1:9" x14ac:dyDescent="0.45">
      <c r="A1396" t="s">
        <v>2161</v>
      </c>
      <c r="B1396" t="s">
        <v>72</v>
      </c>
      <c r="C1396" t="s">
        <v>1634</v>
      </c>
      <c r="D1396" t="s">
        <v>92</v>
      </c>
      <c r="E1396">
        <v>10470.89</v>
      </c>
      <c r="F1396" s="2">
        <v>45227.666684444448</v>
      </c>
      <c r="G1396" t="s">
        <v>75</v>
      </c>
      <c r="H1396" t="s">
        <v>133</v>
      </c>
      <c r="I1396" t="s">
        <v>119</v>
      </c>
    </row>
    <row r="1397" spans="1:9" x14ac:dyDescent="0.45">
      <c r="A1397" t="s">
        <v>2162</v>
      </c>
      <c r="B1397" t="s">
        <v>172</v>
      </c>
      <c r="C1397" t="s">
        <v>105</v>
      </c>
      <c r="D1397" t="s">
        <v>85</v>
      </c>
      <c r="E1397">
        <v>9695.59</v>
      </c>
      <c r="F1397" s="2">
        <v>45368.666684444448</v>
      </c>
      <c r="G1397" t="s">
        <v>236</v>
      </c>
      <c r="H1397" t="s">
        <v>76</v>
      </c>
      <c r="I1397" t="s">
        <v>119</v>
      </c>
    </row>
    <row r="1398" spans="1:9" x14ac:dyDescent="0.45">
      <c r="A1398" t="s">
        <v>2163</v>
      </c>
      <c r="B1398" t="s">
        <v>95</v>
      </c>
      <c r="C1398" t="s">
        <v>261</v>
      </c>
      <c r="D1398" t="s">
        <v>74</v>
      </c>
      <c r="E1398">
        <v>1500.94</v>
      </c>
      <c r="F1398" s="2">
        <v>45678.666684444448</v>
      </c>
      <c r="H1398" t="s">
        <v>118</v>
      </c>
      <c r="I1398" t="s">
        <v>112</v>
      </c>
    </row>
    <row r="1399" spans="1:9" x14ac:dyDescent="0.45">
      <c r="A1399" t="s">
        <v>2164</v>
      </c>
      <c r="B1399" t="s">
        <v>104</v>
      </c>
      <c r="C1399" t="s">
        <v>132</v>
      </c>
      <c r="D1399" t="s">
        <v>85</v>
      </c>
      <c r="E1399">
        <v>0</v>
      </c>
      <c r="F1399" s="2">
        <v>45266.666684444448</v>
      </c>
      <c r="G1399" t="s">
        <v>115</v>
      </c>
      <c r="H1399" t="s">
        <v>118</v>
      </c>
      <c r="I1399" t="s">
        <v>82</v>
      </c>
    </row>
    <row r="1400" spans="1:9" x14ac:dyDescent="0.45">
      <c r="A1400" t="s">
        <v>2165</v>
      </c>
      <c r="B1400" t="s">
        <v>109</v>
      </c>
      <c r="C1400" t="s">
        <v>208</v>
      </c>
      <c r="D1400" t="s">
        <v>92</v>
      </c>
      <c r="E1400">
        <v>2930.8</v>
      </c>
      <c r="F1400" s="2">
        <v>45525.666684444448</v>
      </c>
      <c r="G1400" t="s">
        <v>111</v>
      </c>
      <c r="H1400" t="s">
        <v>128</v>
      </c>
      <c r="I1400" t="s">
        <v>88</v>
      </c>
    </row>
    <row r="1401" spans="1:9" x14ac:dyDescent="0.45">
      <c r="A1401" t="s">
        <v>2166</v>
      </c>
      <c r="B1401" t="s">
        <v>99</v>
      </c>
      <c r="C1401" t="s">
        <v>503</v>
      </c>
      <c r="D1401" t="s">
        <v>106</v>
      </c>
      <c r="E1401">
        <v>260.87</v>
      </c>
      <c r="F1401" s="2">
        <v>45592.666684444448</v>
      </c>
      <c r="G1401" t="s">
        <v>102</v>
      </c>
      <c r="H1401" t="s">
        <v>133</v>
      </c>
      <c r="I1401" t="s">
        <v>77</v>
      </c>
    </row>
    <row r="1402" spans="1:9" x14ac:dyDescent="0.45">
      <c r="A1402" t="s">
        <v>2167</v>
      </c>
      <c r="B1402" t="s">
        <v>172</v>
      </c>
      <c r="C1402" t="s">
        <v>1804</v>
      </c>
      <c r="D1402" t="s">
        <v>74</v>
      </c>
      <c r="E1402">
        <v>4701.26</v>
      </c>
      <c r="F1402" s="2">
        <v>45507.666684444448</v>
      </c>
      <c r="G1402" t="s">
        <v>174</v>
      </c>
      <c r="H1402" t="s">
        <v>133</v>
      </c>
      <c r="I1402" t="s">
        <v>88</v>
      </c>
    </row>
    <row r="1403" spans="1:9" x14ac:dyDescent="0.45">
      <c r="A1403" t="s">
        <v>2168</v>
      </c>
      <c r="B1403" t="s">
        <v>95</v>
      </c>
      <c r="C1403" t="s">
        <v>1672</v>
      </c>
      <c r="D1403" t="s">
        <v>74</v>
      </c>
      <c r="E1403">
        <v>8429.01</v>
      </c>
      <c r="F1403" s="2">
        <v>45814.666684444448</v>
      </c>
      <c r="G1403" t="s">
        <v>97</v>
      </c>
      <c r="H1403" t="s">
        <v>133</v>
      </c>
      <c r="I1403" t="s">
        <v>82</v>
      </c>
    </row>
    <row r="1404" spans="1:9" x14ac:dyDescent="0.45">
      <c r="A1404" t="s">
        <v>2169</v>
      </c>
      <c r="B1404" t="s">
        <v>79</v>
      </c>
      <c r="C1404" t="s">
        <v>1330</v>
      </c>
      <c r="D1404" t="s">
        <v>74</v>
      </c>
      <c r="E1404">
        <v>11815.73</v>
      </c>
      <c r="F1404" s="2">
        <v>45841.666684444448</v>
      </c>
      <c r="G1404" t="s">
        <v>86</v>
      </c>
      <c r="H1404" t="s">
        <v>107</v>
      </c>
      <c r="I1404" t="s">
        <v>82</v>
      </c>
    </row>
    <row r="1405" spans="1:9" x14ac:dyDescent="0.45">
      <c r="A1405" t="s">
        <v>2170</v>
      </c>
      <c r="B1405" t="s">
        <v>79</v>
      </c>
      <c r="C1405" t="s">
        <v>1325</v>
      </c>
      <c r="D1405" t="s">
        <v>101</v>
      </c>
      <c r="E1405">
        <v>5156.84</v>
      </c>
      <c r="F1405" s="2">
        <v>45681.666684444448</v>
      </c>
      <c r="G1405" t="s">
        <v>86</v>
      </c>
      <c r="I1405" t="s">
        <v>112</v>
      </c>
    </row>
    <row r="1406" spans="1:9" x14ac:dyDescent="0.45">
      <c r="A1406" t="s">
        <v>2171</v>
      </c>
      <c r="B1406" t="s">
        <v>72</v>
      </c>
      <c r="C1406" t="s">
        <v>442</v>
      </c>
      <c r="E1406">
        <v>5004.6400000000003</v>
      </c>
      <c r="F1406" s="2">
        <v>45557.666684444448</v>
      </c>
      <c r="G1406" t="s">
        <v>75</v>
      </c>
      <c r="H1406" t="s">
        <v>87</v>
      </c>
      <c r="I1406" t="s">
        <v>88</v>
      </c>
    </row>
    <row r="1407" spans="1:9" x14ac:dyDescent="0.45">
      <c r="A1407" t="s">
        <v>2172</v>
      </c>
      <c r="B1407" t="s">
        <v>109</v>
      </c>
      <c r="C1407" t="s">
        <v>661</v>
      </c>
      <c r="D1407" t="s">
        <v>74</v>
      </c>
      <c r="E1407">
        <v>5877.94</v>
      </c>
      <c r="F1407" s="2">
        <v>45729.666684444448</v>
      </c>
      <c r="G1407" t="s">
        <v>111</v>
      </c>
      <c r="H1407" t="s">
        <v>136</v>
      </c>
      <c r="I1407" t="s">
        <v>163</v>
      </c>
    </row>
    <row r="1408" spans="1:9" x14ac:dyDescent="0.45">
      <c r="A1408" t="s">
        <v>2173</v>
      </c>
      <c r="B1408" t="s">
        <v>79</v>
      </c>
      <c r="C1408" t="s">
        <v>1148</v>
      </c>
      <c r="D1408" t="s">
        <v>85</v>
      </c>
      <c r="E1408">
        <v>5188.2700000000004</v>
      </c>
      <c r="F1408" s="2">
        <v>45286.666684444448</v>
      </c>
      <c r="I1408" t="s">
        <v>112</v>
      </c>
    </row>
    <row r="1409" spans="1:9" x14ac:dyDescent="0.45">
      <c r="A1409" t="s">
        <v>2174</v>
      </c>
      <c r="B1409" t="s">
        <v>99</v>
      </c>
      <c r="C1409" t="s">
        <v>114</v>
      </c>
      <c r="D1409" t="s">
        <v>101</v>
      </c>
      <c r="E1409">
        <v>11130.74</v>
      </c>
      <c r="F1409" s="2">
        <v>45552.666684444448</v>
      </c>
      <c r="G1409" t="s">
        <v>285</v>
      </c>
      <c r="H1409" t="s">
        <v>136</v>
      </c>
      <c r="I1409" t="s">
        <v>88</v>
      </c>
    </row>
    <row r="1410" spans="1:9" x14ac:dyDescent="0.45">
      <c r="A1410" t="s">
        <v>2175</v>
      </c>
      <c r="B1410" t="s">
        <v>104</v>
      </c>
      <c r="C1410" t="s">
        <v>2050</v>
      </c>
      <c r="D1410" t="s">
        <v>74</v>
      </c>
      <c r="E1410">
        <v>1339.13</v>
      </c>
      <c r="F1410" s="2">
        <v>45798.666684444448</v>
      </c>
      <c r="G1410" t="s">
        <v>115</v>
      </c>
      <c r="H1410" t="s">
        <v>81</v>
      </c>
      <c r="I1410" t="s">
        <v>163</v>
      </c>
    </row>
    <row r="1411" spans="1:9" x14ac:dyDescent="0.45">
      <c r="A1411" t="s">
        <v>2176</v>
      </c>
      <c r="B1411" t="s">
        <v>104</v>
      </c>
      <c r="D1411" t="s">
        <v>85</v>
      </c>
      <c r="E1411">
        <v>11966.04</v>
      </c>
      <c r="F1411" s="2">
        <v>45229.666684444448</v>
      </c>
      <c r="G1411" t="s">
        <v>115</v>
      </c>
      <c r="H1411" t="s">
        <v>145</v>
      </c>
      <c r="I1411" t="s">
        <v>112</v>
      </c>
    </row>
    <row r="1412" spans="1:9" x14ac:dyDescent="0.45">
      <c r="A1412" t="s">
        <v>2177</v>
      </c>
      <c r="B1412" t="s">
        <v>72</v>
      </c>
      <c r="C1412" t="s">
        <v>556</v>
      </c>
      <c r="D1412" t="s">
        <v>101</v>
      </c>
      <c r="E1412">
        <v>4293.42</v>
      </c>
      <c r="F1412" s="2">
        <v>45629.666684444448</v>
      </c>
      <c r="G1412" t="s">
        <v>75</v>
      </c>
      <c r="H1412" t="s">
        <v>145</v>
      </c>
      <c r="I1412" t="s">
        <v>88</v>
      </c>
    </row>
    <row r="1413" spans="1:9" x14ac:dyDescent="0.45">
      <c r="A1413" t="s">
        <v>2178</v>
      </c>
      <c r="B1413" t="s">
        <v>172</v>
      </c>
      <c r="C1413" t="s">
        <v>1389</v>
      </c>
      <c r="D1413" t="s">
        <v>101</v>
      </c>
      <c r="E1413">
        <v>8533.5499999999993</v>
      </c>
      <c r="F1413" s="2">
        <v>45758.666684444448</v>
      </c>
      <c r="G1413" t="s">
        <v>174</v>
      </c>
      <c r="H1413" t="s">
        <v>145</v>
      </c>
      <c r="I1413" t="s">
        <v>77</v>
      </c>
    </row>
    <row r="1414" spans="1:9" x14ac:dyDescent="0.45">
      <c r="A1414" t="s">
        <v>2179</v>
      </c>
      <c r="B1414" t="s">
        <v>79</v>
      </c>
      <c r="C1414" t="s">
        <v>233</v>
      </c>
      <c r="D1414" t="s">
        <v>92</v>
      </c>
      <c r="E1414">
        <v>6972.56</v>
      </c>
      <c r="F1414" s="2">
        <v>45545.666684444448</v>
      </c>
      <c r="G1414" t="s">
        <v>86</v>
      </c>
      <c r="H1414" t="s">
        <v>133</v>
      </c>
      <c r="I1414" t="s">
        <v>163</v>
      </c>
    </row>
    <row r="1415" spans="1:9" x14ac:dyDescent="0.45">
      <c r="A1415" t="s">
        <v>2180</v>
      </c>
      <c r="B1415" t="s">
        <v>95</v>
      </c>
      <c r="C1415" t="s">
        <v>1286</v>
      </c>
      <c r="D1415" t="s">
        <v>85</v>
      </c>
      <c r="E1415">
        <v>9741.76</v>
      </c>
      <c r="F1415" s="2">
        <v>45414.666684444448</v>
      </c>
      <c r="G1415" t="s">
        <v>336</v>
      </c>
      <c r="H1415" t="s">
        <v>145</v>
      </c>
      <c r="I1415" t="s">
        <v>119</v>
      </c>
    </row>
    <row r="1416" spans="1:9" x14ac:dyDescent="0.45">
      <c r="A1416" t="s">
        <v>2181</v>
      </c>
      <c r="B1416" t="s">
        <v>138</v>
      </c>
      <c r="C1416" t="s">
        <v>565</v>
      </c>
      <c r="D1416" t="s">
        <v>74</v>
      </c>
      <c r="E1416">
        <v>8843.9599999999991</v>
      </c>
      <c r="F1416" s="2">
        <v>45161.666684444448</v>
      </c>
      <c r="G1416" t="s">
        <v>140</v>
      </c>
      <c r="H1416" t="s">
        <v>87</v>
      </c>
      <c r="I1416" t="s">
        <v>88</v>
      </c>
    </row>
    <row r="1417" spans="1:9" x14ac:dyDescent="0.45">
      <c r="A1417" t="s">
        <v>2182</v>
      </c>
      <c r="B1417" t="s">
        <v>104</v>
      </c>
      <c r="C1417" t="s">
        <v>1579</v>
      </c>
      <c r="D1417" t="s">
        <v>106</v>
      </c>
      <c r="E1417">
        <v>9896.17</v>
      </c>
      <c r="F1417" s="2">
        <v>45834.666684444448</v>
      </c>
      <c r="G1417" t="s">
        <v>115</v>
      </c>
      <c r="H1417" t="s">
        <v>145</v>
      </c>
      <c r="I1417" t="s">
        <v>163</v>
      </c>
    </row>
    <row r="1418" spans="1:9" x14ac:dyDescent="0.45">
      <c r="A1418" t="s">
        <v>2183</v>
      </c>
      <c r="B1418" t="s">
        <v>72</v>
      </c>
      <c r="D1418" t="s">
        <v>85</v>
      </c>
      <c r="E1418">
        <v>11164.4</v>
      </c>
      <c r="F1418" s="2">
        <v>45507.666684444448</v>
      </c>
      <c r="G1418" t="s">
        <v>75</v>
      </c>
      <c r="H1418" t="s">
        <v>107</v>
      </c>
      <c r="I1418" t="s">
        <v>112</v>
      </c>
    </row>
    <row r="1419" spans="1:9" x14ac:dyDescent="0.45">
      <c r="A1419" t="s">
        <v>2184</v>
      </c>
      <c r="B1419" t="s">
        <v>172</v>
      </c>
      <c r="C1419" t="s">
        <v>1746</v>
      </c>
      <c r="D1419" t="s">
        <v>92</v>
      </c>
      <c r="E1419">
        <v>10291.92</v>
      </c>
      <c r="F1419" s="2">
        <v>45350.666684444448</v>
      </c>
      <c r="G1419" t="s">
        <v>174</v>
      </c>
      <c r="H1419" t="s">
        <v>87</v>
      </c>
      <c r="I1419" t="s">
        <v>77</v>
      </c>
    </row>
    <row r="1420" spans="1:9" x14ac:dyDescent="0.45">
      <c r="A1420" t="s">
        <v>2185</v>
      </c>
      <c r="B1420" t="s">
        <v>90</v>
      </c>
      <c r="C1420" t="s">
        <v>932</v>
      </c>
      <c r="D1420" t="s">
        <v>74</v>
      </c>
      <c r="E1420">
        <v>6174.32</v>
      </c>
      <c r="F1420" s="2">
        <v>45582.666684444448</v>
      </c>
      <c r="G1420" t="s">
        <v>296</v>
      </c>
      <c r="H1420" t="s">
        <v>87</v>
      </c>
      <c r="I1420" t="s">
        <v>163</v>
      </c>
    </row>
    <row r="1421" spans="1:9" x14ac:dyDescent="0.45">
      <c r="A1421" t="s">
        <v>2186</v>
      </c>
      <c r="B1421" t="s">
        <v>72</v>
      </c>
      <c r="C1421" t="s">
        <v>1443</v>
      </c>
      <c r="D1421" t="s">
        <v>74</v>
      </c>
      <c r="E1421">
        <v>7921.43</v>
      </c>
      <c r="F1421" s="2">
        <v>45583.666684444448</v>
      </c>
      <c r="G1421" t="s">
        <v>75</v>
      </c>
      <c r="I1421" t="s">
        <v>77</v>
      </c>
    </row>
    <row r="1422" spans="1:9" x14ac:dyDescent="0.45">
      <c r="A1422" t="s">
        <v>2187</v>
      </c>
      <c r="B1422" t="s">
        <v>95</v>
      </c>
      <c r="C1422" t="s">
        <v>223</v>
      </c>
      <c r="D1422" t="s">
        <v>74</v>
      </c>
      <c r="E1422">
        <v>8621.3700000000008</v>
      </c>
      <c r="F1422" s="2">
        <v>45369.666684444448</v>
      </c>
      <c r="G1422" t="s">
        <v>97</v>
      </c>
      <c r="H1422" t="s">
        <v>76</v>
      </c>
      <c r="I1422" t="s">
        <v>112</v>
      </c>
    </row>
    <row r="1423" spans="1:9" x14ac:dyDescent="0.45">
      <c r="A1423" t="s">
        <v>2188</v>
      </c>
      <c r="B1423" t="s">
        <v>138</v>
      </c>
      <c r="C1423" t="s">
        <v>1813</v>
      </c>
      <c r="D1423" t="s">
        <v>74</v>
      </c>
      <c r="E1423">
        <v>541.39</v>
      </c>
      <c r="F1423" s="2">
        <v>45499.666684444448</v>
      </c>
      <c r="G1423" t="s">
        <v>140</v>
      </c>
      <c r="H1423" t="s">
        <v>118</v>
      </c>
      <c r="I1423" t="s">
        <v>163</v>
      </c>
    </row>
    <row r="1424" spans="1:9" x14ac:dyDescent="0.45">
      <c r="A1424" t="s">
        <v>1714</v>
      </c>
      <c r="B1424" t="s">
        <v>104</v>
      </c>
      <c r="C1424" t="s">
        <v>2100</v>
      </c>
      <c r="D1424" t="s">
        <v>101</v>
      </c>
      <c r="E1424">
        <v>8465.8700000000008</v>
      </c>
      <c r="F1424" s="2">
        <v>45229.666684444448</v>
      </c>
      <c r="G1424" t="s">
        <v>115</v>
      </c>
      <c r="H1424" t="s">
        <v>107</v>
      </c>
      <c r="I1424" t="s">
        <v>82</v>
      </c>
    </row>
    <row r="1425" spans="1:9" x14ac:dyDescent="0.45">
      <c r="A1425" t="s">
        <v>2189</v>
      </c>
      <c r="B1425" t="s">
        <v>109</v>
      </c>
      <c r="D1425" t="s">
        <v>155</v>
      </c>
      <c r="E1425">
        <v>9536.17</v>
      </c>
      <c r="F1425" s="2">
        <v>45830.666684444448</v>
      </c>
      <c r="G1425" t="s">
        <v>111</v>
      </c>
      <c r="H1425" t="s">
        <v>128</v>
      </c>
      <c r="I1425" t="s">
        <v>88</v>
      </c>
    </row>
    <row r="1426" spans="1:9" x14ac:dyDescent="0.45">
      <c r="A1426" t="s">
        <v>649</v>
      </c>
      <c r="B1426" t="s">
        <v>104</v>
      </c>
      <c r="C1426" t="s">
        <v>1977</v>
      </c>
      <c r="D1426" t="s">
        <v>85</v>
      </c>
      <c r="E1426">
        <v>5293.39</v>
      </c>
      <c r="F1426" s="2">
        <v>45504.666684444448</v>
      </c>
      <c r="G1426" t="s">
        <v>115</v>
      </c>
      <c r="H1426" t="s">
        <v>116</v>
      </c>
      <c r="I1426" t="s">
        <v>112</v>
      </c>
    </row>
    <row r="1427" spans="1:9" x14ac:dyDescent="0.45">
      <c r="A1427" t="s">
        <v>2190</v>
      </c>
      <c r="B1427" t="s">
        <v>90</v>
      </c>
      <c r="C1427" t="s">
        <v>105</v>
      </c>
      <c r="D1427" t="s">
        <v>101</v>
      </c>
      <c r="E1427">
        <v>7500.32</v>
      </c>
      <c r="F1427" s="2">
        <v>45685.666684444448</v>
      </c>
      <c r="G1427" t="s">
        <v>93</v>
      </c>
      <c r="H1427" t="s">
        <v>76</v>
      </c>
      <c r="I1427" t="s">
        <v>163</v>
      </c>
    </row>
    <row r="1428" spans="1:9" x14ac:dyDescent="0.45">
      <c r="A1428" t="s">
        <v>2191</v>
      </c>
      <c r="B1428" t="s">
        <v>90</v>
      </c>
      <c r="C1428" t="s">
        <v>743</v>
      </c>
      <c r="D1428" t="s">
        <v>85</v>
      </c>
      <c r="E1428">
        <v>9629.52</v>
      </c>
      <c r="F1428" s="2">
        <v>45788.666684444448</v>
      </c>
      <c r="G1428" t="s">
        <v>296</v>
      </c>
      <c r="H1428" t="s">
        <v>116</v>
      </c>
      <c r="I1428" t="s">
        <v>112</v>
      </c>
    </row>
    <row r="1429" spans="1:9" x14ac:dyDescent="0.45">
      <c r="A1429" t="s">
        <v>2192</v>
      </c>
      <c r="B1429" t="s">
        <v>104</v>
      </c>
      <c r="C1429" t="s">
        <v>890</v>
      </c>
      <c r="D1429" t="s">
        <v>74</v>
      </c>
      <c r="E1429">
        <v>0</v>
      </c>
      <c r="F1429" s="2">
        <v>45495.666684444448</v>
      </c>
      <c r="H1429" t="s">
        <v>107</v>
      </c>
      <c r="I1429" t="s">
        <v>119</v>
      </c>
    </row>
    <row r="1430" spans="1:9" x14ac:dyDescent="0.45">
      <c r="A1430" t="s">
        <v>2193</v>
      </c>
      <c r="B1430" t="s">
        <v>109</v>
      </c>
      <c r="C1430" t="s">
        <v>1191</v>
      </c>
      <c r="D1430" t="s">
        <v>85</v>
      </c>
      <c r="E1430">
        <v>416.59</v>
      </c>
      <c r="F1430" s="2">
        <v>45190.666684444448</v>
      </c>
      <c r="G1430" t="s">
        <v>111</v>
      </c>
      <c r="H1430" t="s">
        <v>133</v>
      </c>
      <c r="I1430" t="s">
        <v>77</v>
      </c>
    </row>
    <row r="1431" spans="1:9" x14ac:dyDescent="0.45">
      <c r="A1431" t="s">
        <v>2194</v>
      </c>
      <c r="B1431" t="s">
        <v>72</v>
      </c>
      <c r="C1431" t="s">
        <v>668</v>
      </c>
      <c r="D1431" t="s">
        <v>85</v>
      </c>
      <c r="E1431">
        <v>7216.93</v>
      </c>
      <c r="F1431" s="2">
        <v>45535.666684444448</v>
      </c>
      <c r="G1431" t="s">
        <v>75</v>
      </c>
      <c r="H1431" t="s">
        <v>128</v>
      </c>
      <c r="I1431" t="s">
        <v>112</v>
      </c>
    </row>
    <row r="1432" spans="1:9" x14ac:dyDescent="0.45">
      <c r="A1432" t="s">
        <v>2195</v>
      </c>
      <c r="B1432" t="s">
        <v>109</v>
      </c>
      <c r="C1432" t="s">
        <v>1838</v>
      </c>
      <c r="D1432" t="s">
        <v>92</v>
      </c>
      <c r="E1432">
        <v>1437.9</v>
      </c>
      <c r="F1432" s="2">
        <v>45410.666684444448</v>
      </c>
      <c r="H1432" t="s">
        <v>118</v>
      </c>
      <c r="I1432" t="s">
        <v>88</v>
      </c>
    </row>
    <row r="1433" spans="1:9" x14ac:dyDescent="0.45">
      <c r="A1433" t="s">
        <v>2196</v>
      </c>
      <c r="B1433" t="s">
        <v>79</v>
      </c>
      <c r="C1433" t="s">
        <v>2197</v>
      </c>
      <c r="D1433" t="s">
        <v>106</v>
      </c>
      <c r="E1433">
        <v>10930.55</v>
      </c>
      <c r="F1433" s="2">
        <v>45322.666684444448</v>
      </c>
      <c r="G1433" t="s">
        <v>278</v>
      </c>
      <c r="H1433" t="s">
        <v>145</v>
      </c>
      <c r="I1433" t="s">
        <v>119</v>
      </c>
    </row>
    <row r="1434" spans="1:9" x14ac:dyDescent="0.45">
      <c r="A1434" t="s">
        <v>2198</v>
      </c>
      <c r="B1434" t="s">
        <v>104</v>
      </c>
      <c r="C1434" t="s">
        <v>847</v>
      </c>
      <c r="D1434" t="s">
        <v>101</v>
      </c>
      <c r="E1434">
        <v>6236.01</v>
      </c>
      <c r="F1434" s="2">
        <v>45253.666684444448</v>
      </c>
      <c r="G1434" t="s">
        <v>115</v>
      </c>
      <c r="I1434" t="s">
        <v>77</v>
      </c>
    </row>
    <row r="1435" spans="1:9" x14ac:dyDescent="0.45">
      <c r="A1435" t="s">
        <v>2199</v>
      </c>
      <c r="B1435" t="s">
        <v>104</v>
      </c>
      <c r="C1435" t="s">
        <v>231</v>
      </c>
      <c r="D1435" t="s">
        <v>85</v>
      </c>
      <c r="E1435">
        <v>6272.33</v>
      </c>
      <c r="F1435" s="2">
        <v>45593.666684444448</v>
      </c>
      <c r="G1435" t="s">
        <v>115</v>
      </c>
      <c r="H1435" t="s">
        <v>81</v>
      </c>
      <c r="I1435" t="s">
        <v>88</v>
      </c>
    </row>
    <row r="1436" spans="1:9" x14ac:dyDescent="0.45">
      <c r="A1436" t="s">
        <v>2200</v>
      </c>
      <c r="B1436" t="s">
        <v>109</v>
      </c>
      <c r="C1436" t="s">
        <v>880</v>
      </c>
      <c r="D1436" t="s">
        <v>155</v>
      </c>
      <c r="E1436">
        <v>1496.83</v>
      </c>
      <c r="F1436" s="2">
        <v>45221.666684444448</v>
      </c>
      <c r="H1436" t="s">
        <v>133</v>
      </c>
      <c r="I1436" t="s">
        <v>163</v>
      </c>
    </row>
    <row r="1437" spans="1:9" x14ac:dyDescent="0.45">
      <c r="A1437" t="s">
        <v>2201</v>
      </c>
      <c r="B1437" t="s">
        <v>99</v>
      </c>
      <c r="C1437" t="s">
        <v>2202</v>
      </c>
      <c r="D1437" t="s">
        <v>92</v>
      </c>
      <c r="E1437">
        <v>4211.07</v>
      </c>
      <c r="F1437" s="2">
        <v>45806.666684444448</v>
      </c>
      <c r="G1437" t="s">
        <v>102</v>
      </c>
      <c r="H1437" t="s">
        <v>128</v>
      </c>
      <c r="I1437" t="s">
        <v>77</v>
      </c>
    </row>
    <row r="1438" spans="1:9" x14ac:dyDescent="0.45">
      <c r="A1438" t="s">
        <v>2203</v>
      </c>
      <c r="B1438" t="s">
        <v>99</v>
      </c>
      <c r="C1438" t="s">
        <v>875</v>
      </c>
      <c r="D1438" t="s">
        <v>85</v>
      </c>
      <c r="E1438">
        <v>9596.14</v>
      </c>
      <c r="F1438" s="2">
        <v>45345.666684444448</v>
      </c>
      <c r="G1438" t="s">
        <v>102</v>
      </c>
      <c r="I1438" t="s">
        <v>82</v>
      </c>
    </row>
    <row r="1439" spans="1:9" x14ac:dyDescent="0.45">
      <c r="A1439" t="s">
        <v>2204</v>
      </c>
      <c r="B1439" t="s">
        <v>95</v>
      </c>
      <c r="C1439" t="s">
        <v>480</v>
      </c>
      <c r="D1439" t="s">
        <v>155</v>
      </c>
      <c r="E1439">
        <v>5916.92</v>
      </c>
      <c r="F1439" s="2">
        <v>45785.666684444448</v>
      </c>
      <c r="G1439" t="s">
        <v>97</v>
      </c>
      <c r="H1439" t="s">
        <v>118</v>
      </c>
      <c r="I1439" t="s">
        <v>88</v>
      </c>
    </row>
    <row r="1440" spans="1:9" x14ac:dyDescent="0.45">
      <c r="A1440" t="s">
        <v>2205</v>
      </c>
      <c r="B1440" t="s">
        <v>99</v>
      </c>
      <c r="C1440" t="s">
        <v>2206</v>
      </c>
      <c r="D1440" t="s">
        <v>74</v>
      </c>
      <c r="E1440">
        <v>8452.24</v>
      </c>
      <c r="F1440" s="2">
        <v>45782.666684444448</v>
      </c>
      <c r="G1440" t="s">
        <v>102</v>
      </c>
      <c r="H1440" t="s">
        <v>87</v>
      </c>
      <c r="I1440" t="s">
        <v>112</v>
      </c>
    </row>
    <row r="1441" spans="1:9" x14ac:dyDescent="0.45">
      <c r="A1441" t="s">
        <v>2207</v>
      </c>
      <c r="B1441" t="s">
        <v>90</v>
      </c>
      <c r="C1441" t="s">
        <v>2208</v>
      </c>
      <c r="D1441" t="s">
        <v>155</v>
      </c>
      <c r="E1441">
        <v>2866.86</v>
      </c>
      <c r="F1441" s="2">
        <v>45739.666684444448</v>
      </c>
      <c r="G1441" t="s">
        <v>93</v>
      </c>
      <c r="H1441" t="s">
        <v>133</v>
      </c>
      <c r="I1441" t="s">
        <v>82</v>
      </c>
    </row>
    <row r="1442" spans="1:9" x14ac:dyDescent="0.45">
      <c r="A1442" t="s">
        <v>2209</v>
      </c>
      <c r="B1442" t="s">
        <v>79</v>
      </c>
      <c r="C1442" t="s">
        <v>1733</v>
      </c>
      <c r="D1442" t="s">
        <v>74</v>
      </c>
      <c r="E1442">
        <v>0</v>
      </c>
      <c r="F1442" s="2">
        <v>45149.666684444448</v>
      </c>
      <c r="G1442" t="s">
        <v>86</v>
      </c>
      <c r="H1442" t="s">
        <v>133</v>
      </c>
      <c r="I1442" t="s">
        <v>112</v>
      </c>
    </row>
    <row r="1443" spans="1:9" x14ac:dyDescent="0.45">
      <c r="A1443" t="s">
        <v>2210</v>
      </c>
      <c r="B1443" t="s">
        <v>104</v>
      </c>
      <c r="C1443" t="s">
        <v>162</v>
      </c>
      <c r="D1443" t="s">
        <v>85</v>
      </c>
      <c r="E1443">
        <v>6750.15</v>
      </c>
      <c r="F1443" s="2">
        <v>45179.666684444448</v>
      </c>
      <c r="G1443" t="s">
        <v>115</v>
      </c>
      <c r="H1443" t="s">
        <v>87</v>
      </c>
      <c r="I1443" t="s">
        <v>119</v>
      </c>
    </row>
    <row r="1444" spans="1:9" x14ac:dyDescent="0.45">
      <c r="A1444" t="s">
        <v>2211</v>
      </c>
      <c r="B1444" t="s">
        <v>90</v>
      </c>
      <c r="C1444" t="s">
        <v>2212</v>
      </c>
      <c r="D1444" t="s">
        <v>148</v>
      </c>
      <c r="E1444">
        <v>7726.73</v>
      </c>
      <c r="F1444" s="2">
        <v>45469.666684444448</v>
      </c>
      <c r="G1444" t="s">
        <v>93</v>
      </c>
      <c r="H1444" t="s">
        <v>87</v>
      </c>
      <c r="I1444" t="s">
        <v>119</v>
      </c>
    </row>
    <row r="1445" spans="1:9" x14ac:dyDescent="0.45">
      <c r="A1445" t="s">
        <v>2213</v>
      </c>
      <c r="B1445" t="s">
        <v>95</v>
      </c>
      <c r="C1445" t="s">
        <v>1134</v>
      </c>
      <c r="D1445" t="s">
        <v>101</v>
      </c>
      <c r="E1445">
        <v>3006.98</v>
      </c>
      <c r="F1445" s="2">
        <v>45377.666684444448</v>
      </c>
      <c r="G1445" t="s">
        <v>97</v>
      </c>
      <c r="H1445" t="s">
        <v>118</v>
      </c>
      <c r="I1445" t="s">
        <v>119</v>
      </c>
    </row>
    <row r="1446" spans="1:9" x14ac:dyDescent="0.45">
      <c r="A1446" t="s">
        <v>2214</v>
      </c>
      <c r="B1446" t="s">
        <v>138</v>
      </c>
      <c r="C1446" t="s">
        <v>1500</v>
      </c>
      <c r="D1446" t="s">
        <v>85</v>
      </c>
      <c r="E1446">
        <v>5137.3599999999997</v>
      </c>
      <c r="F1446" s="2">
        <v>45256.666684444448</v>
      </c>
      <c r="G1446" t="s">
        <v>140</v>
      </c>
      <c r="H1446" t="s">
        <v>133</v>
      </c>
      <c r="I1446" t="s">
        <v>163</v>
      </c>
    </row>
    <row r="1447" spans="1:9" x14ac:dyDescent="0.45">
      <c r="A1447" t="s">
        <v>2215</v>
      </c>
      <c r="B1447" t="s">
        <v>79</v>
      </c>
      <c r="C1447" t="s">
        <v>2216</v>
      </c>
      <c r="D1447" t="s">
        <v>101</v>
      </c>
      <c r="E1447">
        <v>11530.85</v>
      </c>
      <c r="F1447" s="2">
        <v>45706.666684444448</v>
      </c>
      <c r="G1447" t="s">
        <v>86</v>
      </c>
      <c r="H1447" t="s">
        <v>118</v>
      </c>
      <c r="I1447" t="s">
        <v>119</v>
      </c>
    </row>
    <row r="1448" spans="1:9" x14ac:dyDescent="0.45">
      <c r="A1448" t="s">
        <v>2031</v>
      </c>
      <c r="B1448" t="s">
        <v>99</v>
      </c>
      <c r="C1448" t="s">
        <v>484</v>
      </c>
      <c r="D1448" t="s">
        <v>106</v>
      </c>
      <c r="E1448">
        <v>8630.14</v>
      </c>
      <c r="F1448" s="2">
        <v>45338.666684444448</v>
      </c>
      <c r="G1448" t="s">
        <v>102</v>
      </c>
      <c r="H1448" t="s">
        <v>107</v>
      </c>
      <c r="I1448" t="s">
        <v>77</v>
      </c>
    </row>
    <row r="1449" spans="1:9" x14ac:dyDescent="0.45">
      <c r="A1449" t="s">
        <v>2217</v>
      </c>
      <c r="B1449" t="s">
        <v>172</v>
      </c>
      <c r="C1449" t="s">
        <v>944</v>
      </c>
      <c r="E1449">
        <v>8271.14</v>
      </c>
      <c r="F1449" s="2">
        <v>45198.666684444448</v>
      </c>
      <c r="G1449" t="s">
        <v>174</v>
      </c>
      <c r="H1449" t="s">
        <v>87</v>
      </c>
      <c r="I1449" t="s">
        <v>88</v>
      </c>
    </row>
    <row r="1450" spans="1:9" x14ac:dyDescent="0.45">
      <c r="A1450" t="s">
        <v>2218</v>
      </c>
      <c r="B1450" t="s">
        <v>72</v>
      </c>
      <c r="C1450" t="s">
        <v>166</v>
      </c>
      <c r="D1450" t="s">
        <v>92</v>
      </c>
      <c r="E1450">
        <v>2999.98</v>
      </c>
      <c r="F1450" s="2">
        <v>45695.666684444448</v>
      </c>
      <c r="G1450" t="s">
        <v>521</v>
      </c>
      <c r="H1450" t="s">
        <v>81</v>
      </c>
      <c r="I1450" t="s">
        <v>112</v>
      </c>
    </row>
    <row r="1451" spans="1:9" x14ac:dyDescent="0.45">
      <c r="A1451" t="s">
        <v>2219</v>
      </c>
      <c r="B1451" t="s">
        <v>104</v>
      </c>
      <c r="C1451" t="s">
        <v>1032</v>
      </c>
      <c r="D1451" t="s">
        <v>85</v>
      </c>
      <c r="E1451">
        <v>8275.2999999999993</v>
      </c>
      <c r="F1451" s="2">
        <v>45340.666684444448</v>
      </c>
      <c r="G1451" t="s">
        <v>115</v>
      </c>
      <c r="H1451" t="s">
        <v>76</v>
      </c>
      <c r="I1451" t="s">
        <v>119</v>
      </c>
    </row>
    <row r="1452" spans="1:9" x14ac:dyDescent="0.45">
      <c r="A1452" t="s">
        <v>2220</v>
      </c>
      <c r="B1452" t="s">
        <v>138</v>
      </c>
      <c r="C1452" t="s">
        <v>2221</v>
      </c>
      <c r="E1452">
        <v>3027.35</v>
      </c>
      <c r="F1452" s="2">
        <v>45728.666684444448</v>
      </c>
      <c r="G1452" t="s">
        <v>140</v>
      </c>
      <c r="H1452" t="s">
        <v>133</v>
      </c>
      <c r="I1452" t="s">
        <v>88</v>
      </c>
    </row>
    <row r="1453" spans="1:9" x14ac:dyDescent="0.45">
      <c r="A1453" t="s">
        <v>2222</v>
      </c>
      <c r="B1453" t="s">
        <v>72</v>
      </c>
      <c r="C1453" t="s">
        <v>284</v>
      </c>
      <c r="D1453" t="s">
        <v>101</v>
      </c>
      <c r="E1453">
        <v>9550.9599999999991</v>
      </c>
      <c r="F1453" s="2">
        <v>45349.666684444448</v>
      </c>
      <c r="H1453" t="s">
        <v>145</v>
      </c>
      <c r="I1453" t="s">
        <v>77</v>
      </c>
    </row>
    <row r="1454" spans="1:9" x14ac:dyDescent="0.45">
      <c r="A1454" t="s">
        <v>2210</v>
      </c>
      <c r="B1454" t="s">
        <v>109</v>
      </c>
      <c r="C1454" t="s">
        <v>214</v>
      </c>
      <c r="D1454" t="s">
        <v>101</v>
      </c>
      <c r="E1454">
        <v>9519.58</v>
      </c>
      <c r="F1454" s="2">
        <v>45366.666684444448</v>
      </c>
      <c r="G1454" t="s">
        <v>111</v>
      </c>
      <c r="H1454" t="s">
        <v>107</v>
      </c>
      <c r="I1454" t="s">
        <v>88</v>
      </c>
    </row>
    <row r="1455" spans="1:9" x14ac:dyDescent="0.45">
      <c r="A1455" t="s">
        <v>2223</v>
      </c>
      <c r="B1455" t="s">
        <v>109</v>
      </c>
      <c r="C1455" t="s">
        <v>1269</v>
      </c>
      <c r="D1455" t="s">
        <v>92</v>
      </c>
      <c r="E1455">
        <v>11265.12</v>
      </c>
      <c r="F1455" s="2">
        <v>45464.666684444448</v>
      </c>
      <c r="G1455" t="s">
        <v>307</v>
      </c>
      <c r="H1455" t="s">
        <v>136</v>
      </c>
      <c r="I1455" t="s">
        <v>119</v>
      </c>
    </row>
    <row r="1456" spans="1:9" x14ac:dyDescent="0.45">
      <c r="A1456" t="s">
        <v>2224</v>
      </c>
      <c r="B1456" t="s">
        <v>79</v>
      </c>
      <c r="C1456" t="s">
        <v>1188</v>
      </c>
      <c r="D1456" t="s">
        <v>101</v>
      </c>
      <c r="E1456">
        <v>7151.38</v>
      </c>
      <c r="F1456" s="2">
        <v>45279.666684444448</v>
      </c>
      <c r="G1456" t="s">
        <v>86</v>
      </c>
      <c r="H1456" t="s">
        <v>116</v>
      </c>
      <c r="I1456" t="s">
        <v>88</v>
      </c>
    </row>
    <row r="1457" spans="1:9" x14ac:dyDescent="0.45">
      <c r="A1457" t="s">
        <v>2225</v>
      </c>
      <c r="B1457" t="s">
        <v>79</v>
      </c>
      <c r="C1457" t="s">
        <v>198</v>
      </c>
      <c r="D1457" t="s">
        <v>74</v>
      </c>
      <c r="E1457">
        <v>0</v>
      </c>
      <c r="F1457" s="2">
        <v>45738.666684444448</v>
      </c>
      <c r="G1457" t="s">
        <v>86</v>
      </c>
      <c r="H1457" t="s">
        <v>118</v>
      </c>
      <c r="I1457" t="s">
        <v>163</v>
      </c>
    </row>
    <row r="1458" spans="1:9" x14ac:dyDescent="0.45">
      <c r="A1458" t="s">
        <v>2226</v>
      </c>
      <c r="B1458" t="s">
        <v>79</v>
      </c>
      <c r="D1458" t="s">
        <v>74</v>
      </c>
      <c r="E1458">
        <v>7595.21</v>
      </c>
      <c r="F1458" s="2">
        <v>45130.666684444448</v>
      </c>
      <c r="G1458" t="s">
        <v>86</v>
      </c>
      <c r="H1458" t="s">
        <v>116</v>
      </c>
      <c r="I1458" t="s">
        <v>119</v>
      </c>
    </row>
    <row r="1459" spans="1:9" x14ac:dyDescent="0.45">
      <c r="A1459" t="s">
        <v>2227</v>
      </c>
      <c r="B1459" t="s">
        <v>90</v>
      </c>
      <c r="C1459" t="s">
        <v>1557</v>
      </c>
      <c r="D1459" t="s">
        <v>74</v>
      </c>
      <c r="E1459">
        <v>6097.97</v>
      </c>
      <c r="F1459" s="2">
        <v>45411.666684444448</v>
      </c>
      <c r="G1459" t="s">
        <v>93</v>
      </c>
      <c r="H1459" t="s">
        <v>107</v>
      </c>
      <c r="I1459" t="s">
        <v>77</v>
      </c>
    </row>
    <row r="1460" spans="1:9" x14ac:dyDescent="0.45">
      <c r="A1460" t="s">
        <v>2228</v>
      </c>
      <c r="B1460" t="s">
        <v>90</v>
      </c>
      <c r="C1460" t="s">
        <v>1157</v>
      </c>
      <c r="D1460" t="s">
        <v>148</v>
      </c>
      <c r="E1460">
        <v>0</v>
      </c>
      <c r="F1460" s="2">
        <v>45276.666684444448</v>
      </c>
      <c r="G1460" t="s">
        <v>93</v>
      </c>
      <c r="H1460" t="s">
        <v>128</v>
      </c>
      <c r="I1460" t="s">
        <v>77</v>
      </c>
    </row>
    <row r="1461" spans="1:9" x14ac:dyDescent="0.45">
      <c r="A1461" t="s">
        <v>2229</v>
      </c>
      <c r="B1461" t="s">
        <v>109</v>
      </c>
      <c r="C1461" t="s">
        <v>1418</v>
      </c>
      <c r="D1461" t="s">
        <v>85</v>
      </c>
      <c r="E1461">
        <v>9414.07</v>
      </c>
      <c r="F1461" s="2">
        <v>45261.666684444448</v>
      </c>
      <c r="G1461" t="s">
        <v>111</v>
      </c>
      <c r="H1461" t="s">
        <v>128</v>
      </c>
      <c r="I1461" t="s">
        <v>112</v>
      </c>
    </row>
    <row r="1462" spans="1:9" x14ac:dyDescent="0.45">
      <c r="A1462" t="s">
        <v>2230</v>
      </c>
      <c r="B1462" t="s">
        <v>79</v>
      </c>
      <c r="C1462" t="s">
        <v>906</v>
      </c>
      <c r="D1462" t="s">
        <v>92</v>
      </c>
      <c r="E1462">
        <v>7611.95</v>
      </c>
      <c r="F1462" s="2">
        <v>45681.666684444448</v>
      </c>
      <c r="G1462" t="s">
        <v>86</v>
      </c>
      <c r="H1462" t="s">
        <v>128</v>
      </c>
      <c r="I1462" t="s">
        <v>163</v>
      </c>
    </row>
    <row r="1463" spans="1:9" x14ac:dyDescent="0.45">
      <c r="A1463" t="s">
        <v>2231</v>
      </c>
      <c r="B1463" t="s">
        <v>95</v>
      </c>
      <c r="C1463" t="s">
        <v>1996</v>
      </c>
      <c r="D1463" t="s">
        <v>101</v>
      </c>
      <c r="E1463">
        <v>7690.25</v>
      </c>
      <c r="F1463" s="2">
        <v>45384.666684444448</v>
      </c>
      <c r="G1463" t="s">
        <v>336</v>
      </c>
      <c r="H1463" t="s">
        <v>136</v>
      </c>
      <c r="I1463" t="s">
        <v>77</v>
      </c>
    </row>
    <row r="1464" spans="1:9" x14ac:dyDescent="0.45">
      <c r="A1464" t="s">
        <v>2232</v>
      </c>
      <c r="B1464" t="s">
        <v>79</v>
      </c>
      <c r="C1464" t="s">
        <v>2233</v>
      </c>
      <c r="D1464" t="s">
        <v>101</v>
      </c>
      <c r="E1464">
        <v>7873.33</v>
      </c>
      <c r="F1464" s="2">
        <v>45306.666684444448</v>
      </c>
      <c r="G1464" t="s">
        <v>86</v>
      </c>
      <c r="H1464" t="s">
        <v>116</v>
      </c>
      <c r="I1464" t="s">
        <v>77</v>
      </c>
    </row>
    <row r="1465" spans="1:9" x14ac:dyDescent="0.45">
      <c r="A1465" t="s">
        <v>2234</v>
      </c>
      <c r="B1465" t="s">
        <v>104</v>
      </c>
      <c r="C1465" t="s">
        <v>2235</v>
      </c>
      <c r="D1465" t="s">
        <v>101</v>
      </c>
      <c r="E1465">
        <v>3819.06</v>
      </c>
      <c r="F1465" s="2">
        <v>45240.666684444448</v>
      </c>
      <c r="G1465" t="s">
        <v>115</v>
      </c>
      <c r="H1465" t="s">
        <v>107</v>
      </c>
      <c r="I1465" t="s">
        <v>82</v>
      </c>
    </row>
    <row r="1466" spans="1:9" x14ac:dyDescent="0.45">
      <c r="A1466" t="s">
        <v>2236</v>
      </c>
      <c r="B1466" t="s">
        <v>104</v>
      </c>
      <c r="C1466" t="s">
        <v>641</v>
      </c>
      <c r="D1466" t="s">
        <v>92</v>
      </c>
      <c r="E1466">
        <v>6683.1</v>
      </c>
      <c r="F1466" s="2">
        <v>45804.666684444448</v>
      </c>
      <c r="G1466" t="s">
        <v>247</v>
      </c>
      <c r="H1466" t="s">
        <v>145</v>
      </c>
      <c r="I1466" t="s">
        <v>112</v>
      </c>
    </row>
    <row r="1467" spans="1:9" x14ac:dyDescent="0.45">
      <c r="A1467" t="s">
        <v>2237</v>
      </c>
      <c r="B1467" t="s">
        <v>172</v>
      </c>
      <c r="C1467" t="s">
        <v>267</v>
      </c>
      <c r="D1467" t="s">
        <v>85</v>
      </c>
      <c r="E1467">
        <v>11199.72</v>
      </c>
      <c r="F1467" s="2">
        <v>45154.666684444448</v>
      </c>
      <c r="G1467" t="s">
        <v>174</v>
      </c>
      <c r="H1467" t="s">
        <v>116</v>
      </c>
      <c r="I1467" t="s">
        <v>112</v>
      </c>
    </row>
    <row r="1468" spans="1:9" x14ac:dyDescent="0.45">
      <c r="A1468" t="s">
        <v>2238</v>
      </c>
      <c r="B1468" t="s">
        <v>109</v>
      </c>
      <c r="C1468" t="s">
        <v>1996</v>
      </c>
      <c r="D1468" t="s">
        <v>155</v>
      </c>
      <c r="E1468">
        <v>2627.64</v>
      </c>
      <c r="F1468" s="2">
        <v>45262.666684444448</v>
      </c>
      <c r="G1468" t="s">
        <v>111</v>
      </c>
      <c r="H1468" t="s">
        <v>116</v>
      </c>
      <c r="I1468" t="s">
        <v>77</v>
      </c>
    </row>
    <row r="1469" spans="1:9" x14ac:dyDescent="0.45">
      <c r="A1469" t="s">
        <v>2239</v>
      </c>
      <c r="B1469" t="s">
        <v>79</v>
      </c>
      <c r="C1469" t="s">
        <v>2240</v>
      </c>
      <c r="D1469" t="s">
        <v>92</v>
      </c>
      <c r="E1469">
        <v>3323.97</v>
      </c>
      <c r="F1469" s="2">
        <v>45143.666684444448</v>
      </c>
      <c r="G1469" t="s">
        <v>86</v>
      </c>
      <c r="H1469" t="s">
        <v>116</v>
      </c>
      <c r="I1469" t="s">
        <v>112</v>
      </c>
    </row>
    <row r="1470" spans="1:9" x14ac:dyDescent="0.45">
      <c r="A1470" t="s">
        <v>2241</v>
      </c>
      <c r="B1470" t="s">
        <v>99</v>
      </c>
      <c r="C1470" t="s">
        <v>1076</v>
      </c>
      <c r="D1470" t="s">
        <v>85</v>
      </c>
      <c r="E1470">
        <v>4182.1099999999997</v>
      </c>
      <c r="F1470" s="2">
        <v>45494.666684444448</v>
      </c>
      <c r="G1470" t="s">
        <v>102</v>
      </c>
      <c r="H1470" t="s">
        <v>118</v>
      </c>
      <c r="I1470" t="s">
        <v>82</v>
      </c>
    </row>
    <row r="1471" spans="1:9" x14ac:dyDescent="0.45">
      <c r="A1471" t="s">
        <v>2242</v>
      </c>
      <c r="B1471" t="s">
        <v>72</v>
      </c>
      <c r="C1471" t="s">
        <v>2243</v>
      </c>
      <c r="D1471" t="s">
        <v>85</v>
      </c>
      <c r="E1471">
        <v>3190.74</v>
      </c>
      <c r="F1471" s="2">
        <v>45371.666684444448</v>
      </c>
      <c r="H1471" t="s">
        <v>81</v>
      </c>
      <c r="I1471" t="s">
        <v>112</v>
      </c>
    </row>
    <row r="1472" spans="1:9" x14ac:dyDescent="0.45">
      <c r="A1472" t="s">
        <v>2244</v>
      </c>
      <c r="B1472" t="s">
        <v>79</v>
      </c>
      <c r="C1472" t="s">
        <v>2245</v>
      </c>
      <c r="D1472" t="s">
        <v>155</v>
      </c>
      <c r="E1472">
        <v>363.52</v>
      </c>
      <c r="F1472" s="2">
        <v>45730.666684444448</v>
      </c>
      <c r="G1472" t="s">
        <v>86</v>
      </c>
      <c r="H1472" t="s">
        <v>128</v>
      </c>
      <c r="I1472" t="s">
        <v>88</v>
      </c>
    </row>
    <row r="1473" spans="1:9" x14ac:dyDescent="0.45">
      <c r="A1473" t="s">
        <v>2246</v>
      </c>
      <c r="B1473" t="s">
        <v>95</v>
      </c>
      <c r="C1473" t="s">
        <v>1780</v>
      </c>
      <c r="D1473" t="s">
        <v>92</v>
      </c>
      <c r="E1473">
        <v>7461.89</v>
      </c>
      <c r="F1473" s="2">
        <v>45459.666684444448</v>
      </c>
      <c r="G1473" t="s">
        <v>97</v>
      </c>
      <c r="H1473" t="s">
        <v>145</v>
      </c>
      <c r="I1473" t="s">
        <v>112</v>
      </c>
    </row>
    <row r="1474" spans="1:9" x14ac:dyDescent="0.45">
      <c r="A1474" t="s">
        <v>2247</v>
      </c>
      <c r="B1474" t="s">
        <v>172</v>
      </c>
      <c r="C1474" t="s">
        <v>2248</v>
      </c>
      <c r="D1474" t="s">
        <v>74</v>
      </c>
      <c r="E1474">
        <v>6552.6</v>
      </c>
      <c r="F1474" s="2">
        <v>45144.666684444448</v>
      </c>
      <c r="H1474" t="s">
        <v>118</v>
      </c>
      <c r="I1474" t="s">
        <v>77</v>
      </c>
    </row>
    <row r="1475" spans="1:9" x14ac:dyDescent="0.45">
      <c r="A1475" t="s">
        <v>2249</v>
      </c>
      <c r="B1475" t="s">
        <v>79</v>
      </c>
      <c r="C1475" t="s">
        <v>582</v>
      </c>
      <c r="D1475" t="s">
        <v>85</v>
      </c>
      <c r="E1475">
        <v>11215.82</v>
      </c>
      <c r="F1475" s="2">
        <v>45306.666684444448</v>
      </c>
      <c r="G1475" t="s">
        <v>278</v>
      </c>
      <c r="H1475" t="s">
        <v>145</v>
      </c>
      <c r="I1475" t="s">
        <v>163</v>
      </c>
    </row>
    <row r="1476" spans="1:9" x14ac:dyDescent="0.45">
      <c r="A1476" t="s">
        <v>2250</v>
      </c>
      <c r="B1476" t="s">
        <v>72</v>
      </c>
      <c r="C1476" t="s">
        <v>395</v>
      </c>
      <c r="D1476" t="s">
        <v>92</v>
      </c>
      <c r="E1476">
        <v>0</v>
      </c>
      <c r="F1476" s="2">
        <v>45399.666684444448</v>
      </c>
      <c r="G1476" t="s">
        <v>75</v>
      </c>
      <c r="H1476" t="s">
        <v>136</v>
      </c>
      <c r="I1476" t="s">
        <v>82</v>
      </c>
    </row>
    <row r="1477" spans="1:9" x14ac:dyDescent="0.45">
      <c r="A1477" t="s">
        <v>2251</v>
      </c>
      <c r="B1477" t="s">
        <v>72</v>
      </c>
      <c r="C1477" t="s">
        <v>193</v>
      </c>
      <c r="D1477" t="s">
        <v>92</v>
      </c>
      <c r="E1477">
        <v>0</v>
      </c>
      <c r="F1477" s="2">
        <v>45181.666684444448</v>
      </c>
      <c r="G1477" t="s">
        <v>75</v>
      </c>
      <c r="H1477" t="s">
        <v>118</v>
      </c>
      <c r="I1477" t="s">
        <v>77</v>
      </c>
    </row>
    <row r="1478" spans="1:9" x14ac:dyDescent="0.45">
      <c r="A1478" t="s">
        <v>2252</v>
      </c>
      <c r="B1478" t="s">
        <v>90</v>
      </c>
      <c r="C1478" t="s">
        <v>676</v>
      </c>
      <c r="D1478" t="s">
        <v>74</v>
      </c>
      <c r="E1478">
        <v>2007.62</v>
      </c>
      <c r="F1478" s="2">
        <v>45257.666684444448</v>
      </c>
      <c r="G1478" t="s">
        <v>93</v>
      </c>
      <c r="H1478" t="s">
        <v>107</v>
      </c>
      <c r="I1478" t="s">
        <v>119</v>
      </c>
    </row>
    <row r="1479" spans="1:9" x14ac:dyDescent="0.45">
      <c r="A1479" t="s">
        <v>2253</v>
      </c>
      <c r="B1479" t="s">
        <v>95</v>
      </c>
      <c r="C1479" t="s">
        <v>1297</v>
      </c>
      <c r="D1479" t="s">
        <v>148</v>
      </c>
      <c r="E1479">
        <v>8063.33</v>
      </c>
      <c r="F1479" s="2">
        <v>45559.666684444448</v>
      </c>
      <c r="G1479" t="s">
        <v>336</v>
      </c>
      <c r="H1479" t="s">
        <v>107</v>
      </c>
      <c r="I1479" t="s">
        <v>82</v>
      </c>
    </row>
    <row r="1480" spans="1:9" x14ac:dyDescent="0.45">
      <c r="A1480" t="s">
        <v>2254</v>
      </c>
      <c r="B1480" t="s">
        <v>95</v>
      </c>
      <c r="C1480" t="s">
        <v>2255</v>
      </c>
      <c r="D1480" t="s">
        <v>106</v>
      </c>
      <c r="E1480">
        <v>11901.35</v>
      </c>
      <c r="F1480" s="2">
        <v>45666.666684444448</v>
      </c>
      <c r="H1480" t="s">
        <v>136</v>
      </c>
      <c r="I1480" t="s">
        <v>119</v>
      </c>
    </row>
    <row r="1481" spans="1:9" x14ac:dyDescent="0.45">
      <c r="A1481" t="s">
        <v>2256</v>
      </c>
      <c r="B1481" t="s">
        <v>99</v>
      </c>
      <c r="C1481" t="s">
        <v>246</v>
      </c>
      <c r="D1481" t="s">
        <v>74</v>
      </c>
      <c r="E1481">
        <v>3729.96</v>
      </c>
      <c r="F1481" s="2">
        <v>45244.666684444448</v>
      </c>
      <c r="G1481" t="s">
        <v>102</v>
      </c>
      <c r="H1481" t="s">
        <v>107</v>
      </c>
      <c r="I1481" t="s">
        <v>112</v>
      </c>
    </row>
    <row r="1482" spans="1:9" x14ac:dyDescent="0.45">
      <c r="A1482" t="s">
        <v>2257</v>
      </c>
      <c r="B1482" t="s">
        <v>95</v>
      </c>
      <c r="C1482" t="s">
        <v>726</v>
      </c>
      <c r="D1482" t="s">
        <v>148</v>
      </c>
      <c r="E1482">
        <v>9981.1</v>
      </c>
      <c r="F1482" s="2">
        <v>45193.666684444448</v>
      </c>
      <c r="G1482" t="s">
        <v>336</v>
      </c>
      <c r="H1482" t="s">
        <v>145</v>
      </c>
      <c r="I1482" t="s">
        <v>77</v>
      </c>
    </row>
    <row r="1483" spans="1:9" x14ac:dyDescent="0.45">
      <c r="A1483" t="s">
        <v>2258</v>
      </c>
      <c r="B1483" t="s">
        <v>172</v>
      </c>
      <c r="C1483" t="s">
        <v>1696</v>
      </c>
      <c r="D1483" t="s">
        <v>74</v>
      </c>
      <c r="E1483">
        <v>6655.16</v>
      </c>
      <c r="F1483" s="2">
        <v>45615.666684444448</v>
      </c>
      <c r="G1483" t="s">
        <v>174</v>
      </c>
      <c r="I1483" t="s">
        <v>119</v>
      </c>
    </row>
    <row r="1484" spans="1:9" x14ac:dyDescent="0.45">
      <c r="A1484" t="s">
        <v>2259</v>
      </c>
      <c r="B1484" t="s">
        <v>99</v>
      </c>
      <c r="D1484" t="s">
        <v>74</v>
      </c>
      <c r="E1484">
        <v>5771.76</v>
      </c>
      <c r="F1484" s="2">
        <v>45587.666684444448</v>
      </c>
      <c r="G1484" t="s">
        <v>102</v>
      </c>
      <c r="H1484" t="s">
        <v>76</v>
      </c>
      <c r="I1484" t="s">
        <v>77</v>
      </c>
    </row>
    <row r="1485" spans="1:9" x14ac:dyDescent="0.45">
      <c r="A1485" t="s">
        <v>2260</v>
      </c>
      <c r="B1485" t="s">
        <v>90</v>
      </c>
      <c r="C1485" t="s">
        <v>2261</v>
      </c>
      <c r="D1485" t="s">
        <v>74</v>
      </c>
      <c r="E1485">
        <v>9941.33</v>
      </c>
      <c r="F1485" s="2">
        <v>45498.666684444448</v>
      </c>
      <c r="G1485" t="s">
        <v>93</v>
      </c>
      <c r="H1485" t="s">
        <v>128</v>
      </c>
      <c r="I1485" t="s">
        <v>88</v>
      </c>
    </row>
    <row r="1486" spans="1:9" x14ac:dyDescent="0.45">
      <c r="A1486" t="s">
        <v>2262</v>
      </c>
      <c r="B1486" t="s">
        <v>95</v>
      </c>
      <c r="C1486" t="s">
        <v>959</v>
      </c>
      <c r="D1486" t="s">
        <v>74</v>
      </c>
      <c r="E1486">
        <v>1836.51</v>
      </c>
      <c r="F1486" s="2">
        <v>45653.666684444448</v>
      </c>
      <c r="G1486" t="s">
        <v>97</v>
      </c>
      <c r="H1486" t="s">
        <v>107</v>
      </c>
      <c r="I1486" t="s">
        <v>119</v>
      </c>
    </row>
    <row r="1487" spans="1:9" x14ac:dyDescent="0.45">
      <c r="A1487" t="s">
        <v>2263</v>
      </c>
      <c r="B1487" t="s">
        <v>90</v>
      </c>
      <c r="C1487" t="s">
        <v>523</v>
      </c>
      <c r="E1487">
        <v>4958.4399999999996</v>
      </c>
      <c r="F1487" s="2">
        <v>45735.666684444448</v>
      </c>
      <c r="G1487" t="s">
        <v>93</v>
      </c>
      <c r="H1487" t="s">
        <v>81</v>
      </c>
      <c r="I1487" t="s">
        <v>119</v>
      </c>
    </row>
    <row r="1488" spans="1:9" x14ac:dyDescent="0.45">
      <c r="A1488" t="s">
        <v>2264</v>
      </c>
      <c r="B1488" t="s">
        <v>72</v>
      </c>
      <c r="C1488" t="s">
        <v>505</v>
      </c>
      <c r="D1488" t="s">
        <v>74</v>
      </c>
      <c r="E1488">
        <v>1512.67</v>
      </c>
      <c r="F1488" s="2">
        <v>45239.666684444448</v>
      </c>
      <c r="G1488" t="s">
        <v>75</v>
      </c>
      <c r="H1488" t="s">
        <v>107</v>
      </c>
      <c r="I1488" t="s">
        <v>163</v>
      </c>
    </row>
    <row r="1489" spans="1:9" x14ac:dyDescent="0.45">
      <c r="A1489" t="s">
        <v>2265</v>
      </c>
      <c r="B1489" t="s">
        <v>79</v>
      </c>
      <c r="C1489" t="s">
        <v>1169</v>
      </c>
      <c r="D1489" t="s">
        <v>101</v>
      </c>
      <c r="E1489">
        <v>6146.53</v>
      </c>
      <c r="F1489" s="2">
        <v>45590.666684444448</v>
      </c>
      <c r="G1489" t="s">
        <v>86</v>
      </c>
      <c r="H1489" t="s">
        <v>107</v>
      </c>
      <c r="I1489" t="s">
        <v>88</v>
      </c>
    </row>
    <row r="1490" spans="1:9" x14ac:dyDescent="0.45">
      <c r="A1490" t="s">
        <v>1342</v>
      </c>
      <c r="B1490" t="s">
        <v>95</v>
      </c>
      <c r="D1490" t="s">
        <v>74</v>
      </c>
      <c r="E1490">
        <v>1943.61</v>
      </c>
      <c r="F1490" s="2">
        <v>45643.666684444448</v>
      </c>
      <c r="G1490" t="s">
        <v>97</v>
      </c>
      <c r="H1490" t="s">
        <v>118</v>
      </c>
      <c r="I1490" t="s">
        <v>119</v>
      </c>
    </row>
    <row r="1491" spans="1:9" x14ac:dyDescent="0.45">
      <c r="A1491" t="s">
        <v>2266</v>
      </c>
      <c r="B1491" t="s">
        <v>72</v>
      </c>
      <c r="C1491" t="s">
        <v>110</v>
      </c>
      <c r="D1491" t="s">
        <v>101</v>
      </c>
      <c r="E1491">
        <v>11121.68</v>
      </c>
      <c r="F1491" s="2">
        <v>45354.666684444448</v>
      </c>
      <c r="G1491" t="s">
        <v>75</v>
      </c>
      <c r="H1491" t="s">
        <v>87</v>
      </c>
      <c r="I1491" t="s">
        <v>119</v>
      </c>
    </row>
    <row r="1492" spans="1:9" x14ac:dyDescent="0.45">
      <c r="A1492" t="s">
        <v>2267</v>
      </c>
      <c r="B1492" t="s">
        <v>79</v>
      </c>
      <c r="C1492" t="s">
        <v>1483</v>
      </c>
      <c r="D1492" t="s">
        <v>74</v>
      </c>
      <c r="E1492">
        <v>2899.02</v>
      </c>
      <c r="F1492" s="2">
        <v>45757.666684444448</v>
      </c>
      <c r="G1492" t="s">
        <v>86</v>
      </c>
      <c r="H1492" t="s">
        <v>87</v>
      </c>
      <c r="I1492" t="s">
        <v>112</v>
      </c>
    </row>
    <row r="1493" spans="1:9" x14ac:dyDescent="0.45">
      <c r="A1493" t="s">
        <v>2268</v>
      </c>
      <c r="B1493" t="s">
        <v>79</v>
      </c>
      <c r="C1493" t="s">
        <v>807</v>
      </c>
      <c r="D1493" t="s">
        <v>92</v>
      </c>
      <c r="E1493">
        <v>9554.23</v>
      </c>
      <c r="F1493" s="2">
        <v>45172.666684444448</v>
      </c>
      <c r="G1493" t="s">
        <v>86</v>
      </c>
      <c r="I1493" t="s">
        <v>82</v>
      </c>
    </row>
    <row r="1494" spans="1:9" x14ac:dyDescent="0.45">
      <c r="A1494" t="s">
        <v>2269</v>
      </c>
      <c r="B1494" t="s">
        <v>72</v>
      </c>
      <c r="C1494" t="s">
        <v>796</v>
      </c>
      <c r="D1494" t="s">
        <v>74</v>
      </c>
      <c r="E1494">
        <v>0</v>
      </c>
      <c r="F1494" s="2">
        <v>45802.666684444448</v>
      </c>
      <c r="G1494" t="s">
        <v>75</v>
      </c>
      <c r="H1494" t="s">
        <v>136</v>
      </c>
      <c r="I1494" t="s">
        <v>82</v>
      </c>
    </row>
    <row r="1495" spans="1:9" x14ac:dyDescent="0.45">
      <c r="A1495" t="s">
        <v>2270</v>
      </c>
      <c r="B1495" t="s">
        <v>104</v>
      </c>
      <c r="C1495" t="s">
        <v>554</v>
      </c>
      <c r="D1495" t="s">
        <v>148</v>
      </c>
      <c r="E1495">
        <v>7158.19</v>
      </c>
      <c r="F1495" s="2">
        <v>45661.666684444448</v>
      </c>
      <c r="G1495" t="s">
        <v>115</v>
      </c>
      <c r="H1495" t="s">
        <v>81</v>
      </c>
      <c r="I1495" t="s">
        <v>112</v>
      </c>
    </row>
    <row r="1496" spans="1:9" x14ac:dyDescent="0.45">
      <c r="A1496" t="s">
        <v>2271</v>
      </c>
      <c r="B1496" t="s">
        <v>99</v>
      </c>
      <c r="C1496" t="s">
        <v>1146</v>
      </c>
      <c r="E1496">
        <v>5417.08</v>
      </c>
      <c r="F1496" s="2">
        <v>45436.666684444448</v>
      </c>
      <c r="G1496" t="s">
        <v>102</v>
      </c>
      <c r="H1496" t="s">
        <v>133</v>
      </c>
      <c r="I1496" t="s">
        <v>119</v>
      </c>
    </row>
    <row r="1497" spans="1:9" x14ac:dyDescent="0.45">
      <c r="A1497" t="s">
        <v>2272</v>
      </c>
      <c r="B1497" t="s">
        <v>104</v>
      </c>
      <c r="C1497" t="s">
        <v>2273</v>
      </c>
      <c r="D1497" t="s">
        <v>74</v>
      </c>
      <c r="E1497">
        <v>9478.6299999999992</v>
      </c>
      <c r="F1497" s="2">
        <v>45597.666684444448</v>
      </c>
      <c r="G1497" t="s">
        <v>115</v>
      </c>
      <c r="H1497" t="s">
        <v>136</v>
      </c>
      <c r="I1497" t="s">
        <v>119</v>
      </c>
    </row>
    <row r="1498" spans="1:9" x14ac:dyDescent="0.45">
      <c r="A1498" t="s">
        <v>2274</v>
      </c>
      <c r="B1498" t="s">
        <v>109</v>
      </c>
      <c r="C1498" t="s">
        <v>1346</v>
      </c>
      <c r="D1498" t="s">
        <v>148</v>
      </c>
      <c r="E1498">
        <v>6392.54</v>
      </c>
      <c r="F1498" s="2">
        <v>45786.666684444448</v>
      </c>
      <c r="G1498" t="s">
        <v>111</v>
      </c>
      <c r="H1498" t="s">
        <v>128</v>
      </c>
      <c r="I1498" t="s">
        <v>163</v>
      </c>
    </row>
    <row r="1499" spans="1:9" x14ac:dyDescent="0.45">
      <c r="A1499" t="s">
        <v>2275</v>
      </c>
      <c r="B1499" t="s">
        <v>138</v>
      </c>
      <c r="C1499" t="s">
        <v>261</v>
      </c>
      <c r="D1499" t="s">
        <v>74</v>
      </c>
      <c r="E1499">
        <v>3496.61</v>
      </c>
      <c r="F1499" s="2">
        <v>45159.666684444448</v>
      </c>
      <c r="G1499" t="s">
        <v>140</v>
      </c>
      <c r="H1499" t="s">
        <v>76</v>
      </c>
      <c r="I1499" t="s">
        <v>82</v>
      </c>
    </row>
    <row r="1500" spans="1:9" x14ac:dyDescent="0.45">
      <c r="A1500" t="s">
        <v>2276</v>
      </c>
      <c r="B1500" t="s">
        <v>79</v>
      </c>
      <c r="C1500" t="s">
        <v>1425</v>
      </c>
      <c r="D1500" t="s">
        <v>74</v>
      </c>
      <c r="E1500">
        <v>5416.89</v>
      </c>
      <c r="F1500" s="2">
        <v>45190.666684444448</v>
      </c>
      <c r="G1500" t="s">
        <v>86</v>
      </c>
      <c r="H1500" t="s">
        <v>87</v>
      </c>
      <c r="I1500" t="s">
        <v>112</v>
      </c>
    </row>
    <row r="1501" spans="1:9" x14ac:dyDescent="0.45">
      <c r="A1501" t="s">
        <v>2277</v>
      </c>
      <c r="B1501" t="s">
        <v>99</v>
      </c>
      <c r="C1501" t="s">
        <v>864</v>
      </c>
      <c r="D1501" t="s">
        <v>74</v>
      </c>
      <c r="E1501">
        <v>6249.94</v>
      </c>
      <c r="F1501" s="2">
        <v>45618.666684444448</v>
      </c>
      <c r="G1501" t="s">
        <v>102</v>
      </c>
      <c r="H1501" t="s">
        <v>145</v>
      </c>
      <c r="I1501" t="s">
        <v>163</v>
      </c>
    </row>
    <row r="1502" spans="1:9" x14ac:dyDescent="0.45">
      <c r="A1502" t="s">
        <v>2278</v>
      </c>
      <c r="B1502" t="s">
        <v>79</v>
      </c>
      <c r="C1502" t="s">
        <v>2279</v>
      </c>
      <c r="D1502" t="s">
        <v>101</v>
      </c>
      <c r="E1502">
        <v>3073.06</v>
      </c>
      <c r="F1502" s="2">
        <v>45539.666684444448</v>
      </c>
      <c r="G1502" t="s">
        <v>86</v>
      </c>
      <c r="H1502" t="s">
        <v>145</v>
      </c>
      <c r="I1502" t="s">
        <v>119</v>
      </c>
    </row>
    <row r="1503" spans="1:9" x14ac:dyDescent="0.45">
      <c r="A1503" t="s">
        <v>2280</v>
      </c>
      <c r="B1503" t="s">
        <v>172</v>
      </c>
      <c r="C1503" t="s">
        <v>563</v>
      </c>
      <c r="D1503" t="s">
        <v>85</v>
      </c>
      <c r="E1503">
        <v>1182.45</v>
      </c>
      <c r="F1503" s="2">
        <v>45564.666684444448</v>
      </c>
      <c r="G1503" t="s">
        <v>174</v>
      </c>
      <c r="H1503" t="s">
        <v>145</v>
      </c>
      <c r="I1503" t="s">
        <v>163</v>
      </c>
    </row>
    <row r="1504" spans="1:9" x14ac:dyDescent="0.45">
      <c r="A1504" t="s">
        <v>2281</v>
      </c>
      <c r="B1504" t="s">
        <v>109</v>
      </c>
      <c r="C1504" t="s">
        <v>1524</v>
      </c>
      <c r="D1504" t="s">
        <v>92</v>
      </c>
      <c r="E1504">
        <v>2682.33</v>
      </c>
      <c r="F1504" s="2">
        <v>45830.666684444448</v>
      </c>
      <c r="G1504" t="s">
        <v>111</v>
      </c>
      <c r="H1504" t="s">
        <v>133</v>
      </c>
      <c r="I1504" t="s">
        <v>119</v>
      </c>
    </row>
    <row r="1505" spans="1:9" x14ac:dyDescent="0.45">
      <c r="A1505" t="s">
        <v>2282</v>
      </c>
      <c r="B1505" t="s">
        <v>109</v>
      </c>
      <c r="C1505" t="s">
        <v>1155</v>
      </c>
      <c r="D1505" t="s">
        <v>101</v>
      </c>
      <c r="E1505">
        <v>0</v>
      </c>
      <c r="F1505" s="2">
        <v>45238.666684444448</v>
      </c>
      <c r="G1505" t="s">
        <v>111</v>
      </c>
      <c r="H1505" t="s">
        <v>145</v>
      </c>
      <c r="I1505" t="s">
        <v>163</v>
      </c>
    </row>
    <row r="1506" spans="1:9" x14ac:dyDescent="0.45">
      <c r="A1506" t="s">
        <v>2283</v>
      </c>
      <c r="B1506" t="s">
        <v>172</v>
      </c>
      <c r="C1506" t="s">
        <v>2284</v>
      </c>
      <c r="D1506" t="s">
        <v>92</v>
      </c>
      <c r="E1506">
        <v>1848.74</v>
      </c>
      <c r="F1506" s="2">
        <v>45630.666684444448</v>
      </c>
      <c r="G1506" t="s">
        <v>174</v>
      </c>
      <c r="H1506" t="s">
        <v>128</v>
      </c>
      <c r="I1506" t="s">
        <v>119</v>
      </c>
    </row>
    <row r="1507" spans="1:9" x14ac:dyDescent="0.45">
      <c r="A1507" t="s">
        <v>2285</v>
      </c>
      <c r="B1507" t="s">
        <v>72</v>
      </c>
      <c r="C1507" t="s">
        <v>2286</v>
      </c>
      <c r="D1507" t="s">
        <v>74</v>
      </c>
      <c r="E1507">
        <v>4063.72</v>
      </c>
      <c r="F1507" s="2">
        <v>45857.666684444448</v>
      </c>
      <c r="I1507" t="s">
        <v>163</v>
      </c>
    </row>
    <row r="1508" spans="1:9" x14ac:dyDescent="0.45">
      <c r="A1508" t="s">
        <v>2287</v>
      </c>
      <c r="B1508" t="s">
        <v>99</v>
      </c>
      <c r="C1508" t="s">
        <v>135</v>
      </c>
      <c r="D1508" t="s">
        <v>92</v>
      </c>
      <c r="E1508">
        <v>4973.7700000000004</v>
      </c>
      <c r="F1508" s="2">
        <v>45582.666684444448</v>
      </c>
      <c r="G1508" t="s">
        <v>102</v>
      </c>
      <c r="H1508" t="s">
        <v>128</v>
      </c>
      <c r="I1508" t="s">
        <v>77</v>
      </c>
    </row>
    <row r="1509" spans="1:9" x14ac:dyDescent="0.45">
      <c r="A1509" t="s">
        <v>709</v>
      </c>
      <c r="B1509" t="s">
        <v>90</v>
      </c>
      <c r="C1509" t="s">
        <v>619</v>
      </c>
      <c r="D1509" t="s">
        <v>74</v>
      </c>
      <c r="E1509">
        <v>0</v>
      </c>
      <c r="F1509" s="2">
        <v>45203.666684444448</v>
      </c>
      <c r="G1509" t="s">
        <v>93</v>
      </c>
      <c r="H1509" t="s">
        <v>133</v>
      </c>
      <c r="I1509" t="s">
        <v>119</v>
      </c>
    </row>
    <row r="1510" spans="1:9" x14ac:dyDescent="0.45">
      <c r="A1510" t="s">
        <v>125</v>
      </c>
      <c r="B1510" t="s">
        <v>99</v>
      </c>
      <c r="C1510" t="s">
        <v>1112</v>
      </c>
      <c r="D1510" t="s">
        <v>74</v>
      </c>
      <c r="E1510">
        <v>6161.98</v>
      </c>
      <c r="F1510" s="2">
        <v>45210.666684444448</v>
      </c>
      <c r="G1510" t="s">
        <v>102</v>
      </c>
      <c r="H1510" t="s">
        <v>133</v>
      </c>
      <c r="I1510" t="s">
        <v>112</v>
      </c>
    </row>
    <row r="1511" spans="1:9" x14ac:dyDescent="0.45">
      <c r="A1511" t="s">
        <v>2288</v>
      </c>
      <c r="B1511" t="s">
        <v>104</v>
      </c>
      <c r="C1511" t="s">
        <v>1230</v>
      </c>
      <c r="D1511" t="s">
        <v>74</v>
      </c>
      <c r="E1511">
        <v>2843.76</v>
      </c>
      <c r="F1511" s="2">
        <v>45457.666684444448</v>
      </c>
      <c r="G1511" t="s">
        <v>247</v>
      </c>
      <c r="H1511" t="s">
        <v>118</v>
      </c>
      <c r="I1511" t="s">
        <v>77</v>
      </c>
    </row>
    <row r="1512" spans="1:9" x14ac:dyDescent="0.45">
      <c r="A1512" t="s">
        <v>2289</v>
      </c>
      <c r="B1512" t="s">
        <v>90</v>
      </c>
      <c r="C1512" t="s">
        <v>2290</v>
      </c>
      <c r="D1512" t="s">
        <v>74</v>
      </c>
      <c r="E1512">
        <v>2266.4299999999998</v>
      </c>
      <c r="F1512" s="2">
        <v>45750.666684444448</v>
      </c>
      <c r="G1512" t="s">
        <v>93</v>
      </c>
      <c r="H1512" t="s">
        <v>116</v>
      </c>
      <c r="I1512" t="s">
        <v>163</v>
      </c>
    </row>
    <row r="1513" spans="1:9" x14ac:dyDescent="0.45">
      <c r="A1513" t="s">
        <v>2291</v>
      </c>
      <c r="B1513" t="s">
        <v>109</v>
      </c>
      <c r="C1513" t="s">
        <v>1413</v>
      </c>
      <c r="D1513" t="s">
        <v>85</v>
      </c>
      <c r="E1513">
        <v>6412.63</v>
      </c>
      <c r="F1513" s="2">
        <v>45279.666684444448</v>
      </c>
      <c r="G1513" t="s">
        <v>111</v>
      </c>
      <c r="H1513" t="s">
        <v>118</v>
      </c>
      <c r="I1513" t="s">
        <v>163</v>
      </c>
    </row>
    <row r="1514" spans="1:9" x14ac:dyDescent="0.45">
      <c r="A1514" t="s">
        <v>2292</v>
      </c>
      <c r="B1514" t="s">
        <v>109</v>
      </c>
      <c r="C1514" t="s">
        <v>1512</v>
      </c>
      <c r="E1514">
        <v>4822.08</v>
      </c>
      <c r="F1514" s="2">
        <v>45195.666684444448</v>
      </c>
      <c r="G1514" t="s">
        <v>111</v>
      </c>
      <c r="H1514" t="s">
        <v>145</v>
      </c>
      <c r="I1514" t="s">
        <v>82</v>
      </c>
    </row>
    <row r="1515" spans="1:9" x14ac:dyDescent="0.45">
      <c r="A1515" t="s">
        <v>2293</v>
      </c>
      <c r="B1515" t="s">
        <v>72</v>
      </c>
      <c r="C1515" t="s">
        <v>1215</v>
      </c>
      <c r="D1515" t="s">
        <v>74</v>
      </c>
      <c r="E1515">
        <v>10520.21</v>
      </c>
      <c r="F1515" s="2">
        <v>45257.666684444448</v>
      </c>
      <c r="H1515" t="s">
        <v>87</v>
      </c>
      <c r="I1515" t="s">
        <v>77</v>
      </c>
    </row>
    <row r="1516" spans="1:9" x14ac:dyDescent="0.45">
      <c r="A1516" t="s">
        <v>2294</v>
      </c>
      <c r="B1516" t="s">
        <v>138</v>
      </c>
      <c r="C1516" t="s">
        <v>1938</v>
      </c>
      <c r="D1516" t="s">
        <v>92</v>
      </c>
      <c r="E1516">
        <v>9686.2999999999993</v>
      </c>
      <c r="F1516" s="2">
        <v>45409.666684444448</v>
      </c>
      <c r="G1516" t="s">
        <v>140</v>
      </c>
      <c r="H1516" t="s">
        <v>87</v>
      </c>
      <c r="I1516" t="s">
        <v>163</v>
      </c>
    </row>
    <row r="1517" spans="1:9" x14ac:dyDescent="0.45">
      <c r="A1517" t="s">
        <v>2295</v>
      </c>
      <c r="B1517" t="s">
        <v>99</v>
      </c>
      <c r="C1517" t="s">
        <v>2296</v>
      </c>
      <c r="D1517" t="s">
        <v>92</v>
      </c>
      <c r="E1517">
        <v>4283.25</v>
      </c>
      <c r="F1517" s="2">
        <v>45767.666684444448</v>
      </c>
      <c r="G1517" t="s">
        <v>102</v>
      </c>
      <c r="H1517" t="s">
        <v>145</v>
      </c>
      <c r="I1517" t="s">
        <v>112</v>
      </c>
    </row>
    <row r="1518" spans="1:9" x14ac:dyDescent="0.45">
      <c r="A1518" t="s">
        <v>2297</v>
      </c>
      <c r="B1518" t="s">
        <v>72</v>
      </c>
      <c r="C1518" t="s">
        <v>2233</v>
      </c>
      <c r="D1518" t="s">
        <v>148</v>
      </c>
      <c r="E1518">
        <v>3150.87</v>
      </c>
      <c r="F1518" s="2">
        <v>45776.666684444448</v>
      </c>
      <c r="G1518" t="s">
        <v>75</v>
      </c>
      <c r="H1518" t="s">
        <v>133</v>
      </c>
      <c r="I1518" t="s">
        <v>112</v>
      </c>
    </row>
    <row r="1519" spans="1:9" x14ac:dyDescent="0.45">
      <c r="A1519" t="s">
        <v>2298</v>
      </c>
      <c r="B1519" t="s">
        <v>90</v>
      </c>
      <c r="C1519" t="s">
        <v>2299</v>
      </c>
      <c r="D1519" t="s">
        <v>74</v>
      </c>
      <c r="E1519">
        <v>9267.11</v>
      </c>
      <c r="F1519" s="2">
        <v>45727.666684444448</v>
      </c>
      <c r="G1519" t="s">
        <v>93</v>
      </c>
      <c r="H1519" t="s">
        <v>133</v>
      </c>
      <c r="I1519" t="s">
        <v>82</v>
      </c>
    </row>
    <row r="1520" spans="1:9" x14ac:dyDescent="0.45">
      <c r="A1520" t="s">
        <v>2300</v>
      </c>
      <c r="B1520" t="s">
        <v>172</v>
      </c>
      <c r="C1520" t="s">
        <v>393</v>
      </c>
      <c r="D1520" t="s">
        <v>85</v>
      </c>
      <c r="E1520">
        <v>3969.54</v>
      </c>
      <c r="F1520" s="2">
        <v>45689.666684444448</v>
      </c>
      <c r="G1520" t="s">
        <v>174</v>
      </c>
      <c r="H1520" t="s">
        <v>128</v>
      </c>
      <c r="I1520" t="s">
        <v>119</v>
      </c>
    </row>
    <row r="1521" spans="1:9" x14ac:dyDescent="0.45">
      <c r="A1521" t="s">
        <v>2301</v>
      </c>
      <c r="B1521" t="s">
        <v>79</v>
      </c>
      <c r="C1521" t="s">
        <v>271</v>
      </c>
      <c r="D1521" t="s">
        <v>155</v>
      </c>
      <c r="E1521">
        <v>9183.99</v>
      </c>
      <c r="F1521" s="2">
        <v>45857.666684444448</v>
      </c>
      <c r="G1521" t="s">
        <v>86</v>
      </c>
      <c r="H1521" t="s">
        <v>81</v>
      </c>
      <c r="I1521" t="s">
        <v>112</v>
      </c>
    </row>
    <row r="1522" spans="1:9" x14ac:dyDescent="0.45">
      <c r="A1522" t="s">
        <v>2302</v>
      </c>
      <c r="B1522" t="s">
        <v>104</v>
      </c>
      <c r="C1522" t="s">
        <v>757</v>
      </c>
      <c r="D1522" t="s">
        <v>92</v>
      </c>
      <c r="E1522">
        <v>6798.77</v>
      </c>
      <c r="F1522" s="2">
        <v>45460.666684444448</v>
      </c>
      <c r="G1522" t="s">
        <v>115</v>
      </c>
      <c r="H1522" t="s">
        <v>118</v>
      </c>
      <c r="I1522" t="s">
        <v>77</v>
      </c>
    </row>
    <row r="1523" spans="1:9" x14ac:dyDescent="0.45">
      <c r="A1523" t="s">
        <v>2303</v>
      </c>
      <c r="B1523" t="s">
        <v>79</v>
      </c>
      <c r="C1523" t="s">
        <v>1349</v>
      </c>
      <c r="D1523" t="s">
        <v>101</v>
      </c>
      <c r="E1523">
        <v>3817.96</v>
      </c>
      <c r="F1523" s="2">
        <v>45518.666684444448</v>
      </c>
      <c r="H1523" t="s">
        <v>76</v>
      </c>
      <c r="I1523" t="s">
        <v>88</v>
      </c>
    </row>
    <row r="1524" spans="1:9" x14ac:dyDescent="0.45">
      <c r="A1524" t="s">
        <v>2304</v>
      </c>
      <c r="B1524" t="s">
        <v>99</v>
      </c>
      <c r="C1524" t="s">
        <v>1563</v>
      </c>
      <c r="D1524" t="s">
        <v>74</v>
      </c>
      <c r="E1524">
        <v>8129.6</v>
      </c>
      <c r="F1524" s="2">
        <v>45739.666684444448</v>
      </c>
      <c r="I1524" t="s">
        <v>77</v>
      </c>
    </row>
    <row r="1525" spans="1:9" x14ac:dyDescent="0.45">
      <c r="A1525" t="s">
        <v>2305</v>
      </c>
      <c r="B1525" t="s">
        <v>172</v>
      </c>
      <c r="C1525" t="s">
        <v>886</v>
      </c>
      <c r="D1525" t="s">
        <v>101</v>
      </c>
      <c r="E1525">
        <v>2698.87</v>
      </c>
      <c r="F1525" s="2">
        <v>45671.666684444448</v>
      </c>
      <c r="G1525" t="s">
        <v>174</v>
      </c>
      <c r="H1525" t="s">
        <v>76</v>
      </c>
      <c r="I1525" t="s">
        <v>88</v>
      </c>
    </row>
    <row r="1526" spans="1:9" x14ac:dyDescent="0.45">
      <c r="A1526" t="s">
        <v>2306</v>
      </c>
      <c r="B1526" t="s">
        <v>109</v>
      </c>
      <c r="C1526" t="s">
        <v>301</v>
      </c>
      <c r="D1526" t="s">
        <v>85</v>
      </c>
      <c r="E1526">
        <v>0</v>
      </c>
      <c r="F1526" s="2">
        <v>45429.666684444448</v>
      </c>
      <c r="G1526" t="s">
        <v>111</v>
      </c>
      <c r="H1526" t="s">
        <v>107</v>
      </c>
      <c r="I1526" t="s">
        <v>119</v>
      </c>
    </row>
    <row r="1527" spans="1:9" x14ac:dyDescent="0.45">
      <c r="A1527" t="s">
        <v>2307</v>
      </c>
      <c r="B1527" t="s">
        <v>72</v>
      </c>
      <c r="C1527" t="s">
        <v>295</v>
      </c>
      <c r="D1527" t="s">
        <v>92</v>
      </c>
      <c r="E1527">
        <v>11718.02</v>
      </c>
      <c r="F1527" s="2">
        <v>45592.666684444448</v>
      </c>
      <c r="G1527" t="s">
        <v>75</v>
      </c>
      <c r="H1527" t="s">
        <v>81</v>
      </c>
      <c r="I1527" t="s">
        <v>119</v>
      </c>
    </row>
    <row r="1528" spans="1:9" x14ac:dyDescent="0.45">
      <c r="A1528" t="s">
        <v>2308</v>
      </c>
      <c r="B1528" t="s">
        <v>90</v>
      </c>
      <c r="C1528" t="s">
        <v>2309</v>
      </c>
      <c r="D1528" t="s">
        <v>74</v>
      </c>
      <c r="E1528">
        <v>3334.4</v>
      </c>
      <c r="F1528" s="2">
        <v>45645.666684444448</v>
      </c>
      <c r="G1528" t="s">
        <v>93</v>
      </c>
      <c r="H1528" t="s">
        <v>133</v>
      </c>
      <c r="I1528" t="s">
        <v>82</v>
      </c>
    </row>
    <row r="1529" spans="1:9" x14ac:dyDescent="0.45">
      <c r="A1529" t="s">
        <v>2310</v>
      </c>
      <c r="B1529" t="s">
        <v>72</v>
      </c>
      <c r="C1529" t="s">
        <v>526</v>
      </c>
      <c r="D1529" t="s">
        <v>85</v>
      </c>
      <c r="E1529">
        <v>10719.2</v>
      </c>
      <c r="F1529" s="2">
        <v>45747.666684444448</v>
      </c>
      <c r="G1529" t="s">
        <v>521</v>
      </c>
      <c r="H1529" t="s">
        <v>136</v>
      </c>
      <c r="I1529" t="s">
        <v>82</v>
      </c>
    </row>
    <row r="1530" spans="1:9" x14ac:dyDescent="0.45">
      <c r="A1530" t="s">
        <v>2311</v>
      </c>
      <c r="B1530" t="s">
        <v>90</v>
      </c>
      <c r="C1530" t="s">
        <v>1696</v>
      </c>
      <c r="D1530" t="s">
        <v>85</v>
      </c>
      <c r="E1530">
        <v>9903.86</v>
      </c>
      <c r="F1530" s="2">
        <v>45568.666684444448</v>
      </c>
      <c r="G1530" t="s">
        <v>93</v>
      </c>
      <c r="H1530" t="s">
        <v>118</v>
      </c>
      <c r="I1530" t="s">
        <v>163</v>
      </c>
    </row>
    <row r="1531" spans="1:9" x14ac:dyDescent="0.45">
      <c r="A1531" t="s">
        <v>2312</v>
      </c>
      <c r="B1531" t="s">
        <v>138</v>
      </c>
      <c r="C1531" t="s">
        <v>1634</v>
      </c>
      <c r="D1531" t="s">
        <v>85</v>
      </c>
      <c r="E1531">
        <v>11217.59</v>
      </c>
      <c r="F1531" s="2">
        <v>45229.666684444448</v>
      </c>
      <c r="G1531" t="s">
        <v>194</v>
      </c>
      <c r="H1531" t="s">
        <v>118</v>
      </c>
      <c r="I1531" t="s">
        <v>88</v>
      </c>
    </row>
    <row r="1532" spans="1:9" x14ac:dyDescent="0.45">
      <c r="A1532" t="s">
        <v>2313</v>
      </c>
      <c r="B1532" t="s">
        <v>138</v>
      </c>
      <c r="C1532" t="s">
        <v>319</v>
      </c>
      <c r="D1532" t="s">
        <v>92</v>
      </c>
      <c r="E1532">
        <v>7724.15</v>
      </c>
      <c r="F1532" s="2">
        <v>45846.666684444448</v>
      </c>
      <c r="G1532" t="s">
        <v>140</v>
      </c>
      <c r="H1532" t="s">
        <v>145</v>
      </c>
      <c r="I1532" t="s">
        <v>88</v>
      </c>
    </row>
    <row r="1533" spans="1:9" x14ac:dyDescent="0.45">
      <c r="A1533" t="s">
        <v>2314</v>
      </c>
      <c r="B1533" t="s">
        <v>72</v>
      </c>
      <c r="C1533" t="s">
        <v>2315</v>
      </c>
      <c r="E1533">
        <v>5608.29</v>
      </c>
      <c r="F1533" s="2">
        <v>45245.666684444448</v>
      </c>
      <c r="G1533" t="s">
        <v>75</v>
      </c>
      <c r="H1533" t="s">
        <v>87</v>
      </c>
      <c r="I1533" t="s">
        <v>88</v>
      </c>
    </row>
    <row r="1534" spans="1:9" x14ac:dyDescent="0.45">
      <c r="A1534" t="s">
        <v>2316</v>
      </c>
      <c r="B1534" t="s">
        <v>90</v>
      </c>
      <c r="C1534" t="s">
        <v>367</v>
      </c>
      <c r="D1534" t="s">
        <v>101</v>
      </c>
      <c r="E1534">
        <v>9542.6</v>
      </c>
      <c r="F1534" s="2">
        <v>45798.666684444448</v>
      </c>
      <c r="H1534" t="s">
        <v>87</v>
      </c>
      <c r="I1534" t="s">
        <v>119</v>
      </c>
    </row>
    <row r="1535" spans="1:9" x14ac:dyDescent="0.45">
      <c r="A1535" t="s">
        <v>2317</v>
      </c>
      <c r="B1535" t="s">
        <v>90</v>
      </c>
      <c r="C1535" t="s">
        <v>1542</v>
      </c>
      <c r="D1535" t="s">
        <v>148</v>
      </c>
      <c r="E1535">
        <v>5607.45</v>
      </c>
      <c r="F1535" s="2">
        <v>45794.666684444448</v>
      </c>
      <c r="G1535" t="s">
        <v>93</v>
      </c>
      <c r="H1535" t="s">
        <v>136</v>
      </c>
      <c r="I1535" t="s">
        <v>112</v>
      </c>
    </row>
    <row r="1536" spans="1:9" x14ac:dyDescent="0.45">
      <c r="A1536" t="s">
        <v>2318</v>
      </c>
      <c r="B1536" t="s">
        <v>79</v>
      </c>
      <c r="C1536" t="s">
        <v>629</v>
      </c>
      <c r="D1536" t="s">
        <v>74</v>
      </c>
      <c r="E1536">
        <v>5337.67</v>
      </c>
      <c r="F1536" s="2">
        <v>45692.666684444448</v>
      </c>
      <c r="G1536" t="s">
        <v>86</v>
      </c>
      <c r="H1536" t="s">
        <v>87</v>
      </c>
      <c r="I1536" t="s">
        <v>88</v>
      </c>
    </row>
    <row r="1537" spans="1:9" x14ac:dyDescent="0.45">
      <c r="A1537" t="s">
        <v>2319</v>
      </c>
      <c r="B1537" t="s">
        <v>72</v>
      </c>
      <c r="C1537" t="s">
        <v>1658</v>
      </c>
      <c r="D1537" t="s">
        <v>74</v>
      </c>
      <c r="E1537">
        <v>7559.05</v>
      </c>
      <c r="F1537" s="2">
        <v>45348.666684444448</v>
      </c>
      <c r="G1537" t="s">
        <v>75</v>
      </c>
      <c r="H1537" t="s">
        <v>128</v>
      </c>
      <c r="I1537" t="s">
        <v>77</v>
      </c>
    </row>
    <row r="1538" spans="1:9" x14ac:dyDescent="0.45">
      <c r="A1538" t="s">
        <v>2320</v>
      </c>
      <c r="B1538" t="s">
        <v>95</v>
      </c>
      <c r="C1538" t="s">
        <v>2321</v>
      </c>
      <c r="D1538" t="s">
        <v>101</v>
      </c>
      <c r="E1538">
        <v>0</v>
      </c>
      <c r="F1538" s="2">
        <v>45568.666684444448</v>
      </c>
      <c r="G1538" t="s">
        <v>97</v>
      </c>
      <c r="H1538" t="s">
        <v>107</v>
      </c>
      <c r="I1538" t="s">
        <v>82</v>
      </c>
    </row>
    <row r="1539" spans="1:9" x14ac:dyDescent="0.45">
      <c r="A1539" t="s">
        <v>2322</v>
      </c>
      <c r="B1539" t="s">
        <v>99</v>
      </c>
      <c r="C1539" t="s">
        <v>924</v>
      </c>
      <c r="D1539" t="s">
        <v>74</v>
      </c>
      <c r="E1539">
        <v>1061.8399999999999</v>
      </c>
      <c r="F1539" s="2">
        <v>45590.666684444448</v>
      </c>
      <c r="G1539" t="s">
        <v>285</v>
      </c>
      <c r="H1539" t="s">
        <v>118</v>
      </c>
      <c r="I1539" t="s">
        <v>119</v>
      </c>
    </row>
    <row r="1540" spans="1:9" x14ac:dyDescent="0.45">
      <c r="A1540" t="s">
        <v>2323</v>
      </c>
      <c r="B1540" t="s">
        <v>109</v>
      </c>
      <c r="C1540" t="s">
        <v>1838</v>
      </c>
      <c r="D1540" t="s">
        <v>74</v>
      </c>
      <c r="E1540">
        <v>0</v>
      </c>
      <c r="F1540" s="2">
        <v>45361.666684444448</v>
      </c>
      <c r="G1540" t="s">
        <v>307</v>
      </c>
      <c r="I1540" t="s">
        <v>112</v>
      </c>
    </row>
    <row r="1541" spans="1:9" x14ac:dyDescent="0.45">
      <c r="A1541" t="s">
        <v>2324</v>
      </c>
      <c r="B1541" t="s">
        <v>138</v>
      </c>
      <c r="C1541" t="s">
        <v>1150</v>
      </c>
      <c r="D1541" t="s">
        <v>74</v>
      </c>
      <c r="E1541">
        <v>3103.8</v>
      </c>
      <c r="F1541" s="2">
        <v>45551.666684444448</v>
      </c>
      <c r="G1541" t="s">
        <v>194</v>
      </c>
      <c r="H1541" t="s">
        <v>81</v>
      </c>
      <c r="I1541" t="s">
        <v>88</v>
      </c>
    </row>
    <row r="1542" spans="1:9" x14ac:dyDescent="0.45">
      <c r="A1542" t="s">
        <v>2325</v>
      </c>
      <c r="B1542" t="s">
        <v>95</v>
      </c>
      <c r="C1542" t="s">
        <v>448</v>
      </c>
      <c r="E1542">
        <v>769.02</v>
      </c>
      <c r="F1542" s="2">
        <v>45475.666684444448</v>
      </c>
      <c r="G1542" t="s">
        <v>97</v>
      </c>
      <c r="I1542" t="s">
        <v>119</v>
      </c>
    </row>
    <row r="1543" spans="1:9" x14ac:dyDescent="0.45">
      <c r="A1543" t="s">
        <v>2326</v>
      </c>
      <c r="B1543" t="s">
        <v>138</v>
      </c>
      <c r="D1543" t="s">
        <v>74</v>
      </c>
      <c r="E1543">
        <v>9187.26</v>
      </c>
      <c r="F1543" s="2">
        <v>45592.666684444448</v>
      </c>
      <c r="G1543" t="s">
        <v>140</v>
      </c>
      <c r="H1543" t="s">
        <v>81</v>
      </c>
      <c r="I1543" t="s">
        <v>88</v>
      </c>
    </row>
    <row r="1544" spans="1:9" x14ac:dyDescent="0.45">
      <c r="A1544" t="s">
        <v>2327</v>
      </c>
      <c r="B1544" t="s">
        <v>172</v>
      </c>
      <c r="C1544" t="s">
        <v>2081</v>
      </c>
      <c r="D1544" t="s">
        <v>92</v>
      </c>
      <c r="E1544">
        <v>10568.02</v>
      </c>
      <c r="F1544" s="2">
        <v>45536.666684444448</v>
      </c>
      <c r="G1544" t="s">
        <v>174</v>
      </c>
      <c r="H1544" t="s">
        <v>76</v>
      </c>
      <c r="I1544" t="s">
        <v>119</v>
      </c>
    </row>
    <row r="1545" spans="1:9" x14ac:dyDescent="0.45">
      <c r="A1545" t="s">
        <v>2328</v>
      </c>
      <c r="B1545" t="s">
        <v>138</v>
      </c>
      <c r="C1545" t="s">
        <v>2329</v>
      </c>
      <c r="D1545" t="s">
        <v>74</v>
      </c>
      <c r="E1545">
        <v>3224.41</v>
      </c>
      <c r="F1545" s="2">
        <v>45553.666684444448</v>
      </c>
      <c r="G1545" t="s">
        <v>140</v>
      </c>
      <c r="H1545" t="s">
        <v>76</v>
      </c>
      <c r="I1545" t="s">
        <v>88</v>
      </c>
    </row>
    <row r="1546" spans="1:9" x14ac:dyDescent="0.45">
      <c r="A1546" t="s">
        <v>2330</v>
      </c>
      <c r="B1546" t="s">
        <v>138</v>
      </c>
      <c r="C1546" t="s">
        <v>475</v>
      </c>
      <c r="D1546" t="s">
        <v>155</v>
      </c>
      <c r="E1546">
        <v>8553.26</v>
      </c>
      <c r="F1546" s="2">
        <v>45225.666684444448</v>
      </c>
      <c r="G1546" t="s">
        <v>140</v>
      </c>
      <c r="H1546" t="s">
        <v>118</v>
      </c>
      <c r="I1546" t="s">
        <v>88</v>
      </c>
    </row>
    <row r="1547" spans="1:9" x14ac:dyDescent="0.45">
      <c r="A1547" t="s">
        <v>2331</v>
      </c>
      <c r="B1547" t="s">
        <v>79</v>
      </c>
      <c r="D1547" t="s">
        <v>92</v>
      </c>
      <c r="E1547">
        <v>10850.29</v>
      </c>
      <c r="F1547" s="2">
        <v>45448.666684444448</v>
      </c>
      <c r="G1547" t="s">
        <v>278</v>
      </c>
      <c r="I1547" t="s">
        <v>112</v>
      </c>
    </row>
    <row r="1548" spans="1:9" x14ac:dyDescent="0.45">
      <c r="A1548" t="s">
        <v>2332</v>
      </c>
      <c r="B1548" t="s">
        <v>95</v>
      </c>
      <c r="C1548" t="s">
        <v>915</v>
      </c>
      <c r="D1548" t="s">
        <v>74</v>
      </c>
      <c r="E1548">
        <v>5916.22</v>
      </c>
      <c r="F1548" s="2">
        <v>45565.666684444448</v>
      </c>
      <c r="G1548" t="s">
        <v>97</v>
      </c>
      <c r="H1548" t="s">
        <v>136</v>
      </c>
      <c r="I1548" t="s">
        <v>112</v>
      </c>
    </row>
    <row r="1549" spans="1:9" x14ac:dyDescent="0.45">
      <c r="A1549" t="s">
        <v>2333</v>
      </c>
      <c r="B1549" t="s">
        <v>172</v>
      </c>
      <c r="C1549" t="s">
        <v>2334</v>
      </c>
      <c r="D1549" t="s">
        <v>92</v>
      </c>
      <c r="E1549">
        <v>11370.41</v>
      </c>
      <c r="F1549" s="2">
        <v>45448.666684444448</v>
      </c>
      <c r="G1549" t="s">
        <v>236</v>
      </c>
      <c r="I1549" t="s">
        <v>82</v>
      </c>
    </row>
    <row r="1550" spans="1:9" x14ac:dyDescent="0.45">
      <c r="A1550" t="s">
        <v>2335</v>
      </c>
      <c r="B1550" t="s">
        <v>90</v>
      </c>
      <c r="C1550" t="s">
        <v>2336</v>
      </c>
      <c r="D1550" t="s">
        <v>85</v>
      </c>
      <c r="E1550">
        <v>2998.51</v>
      </c>
      <c r="F1550" s="2">
        <v>45809.666684444448</v>
      </c>
      <c r="G1550" t="s">
        <v>93</v>
      </c>
      <c r="I1550" t="s">
        <v>119</v>
      </c>
    </row>
    <row r="1551" spans="1:9" x14ac:dyDescent="0.45">
      <c r="A1551" t="s">
        <v>2337</v>
      </c>
      <c r="B1551" t="s">
        <v>90</v>
      </c>
      <c r="C1551" t="s">
        <v>2338</v>
      </c>
      <c r="D1551" t="s">
        <v>92</v>
      </c>
      <c r="E1551">
        <v>5986.47</v>
      </c>
      <c r="F1551" s="2">
        <v>45389.666684444448</v>
      </c>
      <c r="G1551" t="s">
        <v>93</v>
      </c>
      <c r="I1551" t="s">
        <v>112</v>
      </c>
    </row>
    <row r="1552" spans="1:9" x14ac:dyDescent="0.45">
      <c r="A1552" t="s">
        <v>2339</v>
      </c>
      <c r="B1552" t="s">
        <v>172</v>
      </c>
      <c r="C1552" t="s">
        <v>1323</v>
      </c>
      <c r="D1552" t="s">
        <v>85</v>
      </c>
      <c r="E1552">
        <v>5548.34</v>
      </c>
      <c r="F1552" s="2">
        <v>45511.666684444448</v>
      </c>
      <c r="G1552" t="s">
        <v>236</v>
      </c>
      <c r="H1552" t="s">
        <v>87</v>
      </c>
      <c r="I1552" t="s">
        <v>119</v>
      </c>
    </row>
    <row r="1553" spans="1:9" x14ac:dyDescent="0.45">
      <c r="A1553" t="s">
        <v>2340</v>
      </c>
      <c r="B1553" t="s">
        <v>104</v>
      </c>
      <c r="C1553" t="s">
        <v>114</v>
      </c>
      <c r="D1553" t="s">
        <v>85</v>
      </c>
      <c r="E1553">
        <v>0</v>
      </c>
      <c r="F1553" s="2">
        <v>45284.666684444448</v>
      </c>
      <c r="G1553" t="s">
        <v>115</v>
      </c>
      <c r="H1553" t="s">
        <v>87</v>
      </c>
      <c r="I1553" t="s">
        <v>82</v>
      </c>
    </row>
    <row r="1554" spans="1:9" x14ac:dyDescent="0.45">
      <c r="A1554" t="s">
        <v>2341</v>
      </c>
      <c r="B1554" t="s">
        <v>72</v>
      </c>
      <c r="C1554" t="s">
        <v>206</v>
      </c>
      <c r="D1554" t="s">
        <v>92</v>
      </c>
      <c r="E1554">
        <v>10123.040000000001</v>
      </c>
      <c r="F1554" s="2">
        <v>45831.666684444448</v>
      </c>
      <c r="G1554" t="s">
        <v>75</v>
      </c>
      <c r="H1554" t="s">
        <v>145</v>
      </c>
      <c r="I1554" t="s">
        <v>112</v>
      </c>
    </row>
    <row r="1555" spans="1:9" x14ac:dyDescent="0.45">
      <c r="A1555" t="s">
        <v>2342</v>
      </c>
      <c r="B1555" t="s">
        <v>104</v>
      </c>
      <c r="C1555" t="s">
        <v>365</v>
      </c>
      <c r="D1555" t="s">
        <v>101</v>
      </c>
      <c r="E1555">
        <v>10855.26</v>
      </c>
      <c r="F1555" s="2">
        <v>45613.666684444448</v>
      </c>
      <c r="G1555" t="s">
        <v>115</v>
      </c>
      <c r="H1555" t="s">
        <v>87</v>
      </c>
      <c r="I1555" t="s">
        <v>112</v>
      </c>
    </row>
    <row r="1556" spans="1:9" x14ac:dyDescent="0.45">
      <c r="A1556" t="s">
        <v>2343</v>
      </c>
      <c r="B1556" t="s">
        <v>95</v>
      </c>
      <c r="C1556" t="s">
        <v>2125</v>
      </c>
      <c r="D1556" t="s">
        <v>74</v>
      </c>
      <c r="E1556">
        <v>4525.34</v>
      </c>
      <c r="F1556" s="2">
        <v>45196.666684444448</v>
      </c>
      <c r="H1556" t="s">
        <v>116</v>
      </c>
      <c r="I1556" t="s">
        <v>119</v>
      </c>
    </row>
    <row r="1557" spans="1:9" x14ac:dyDescent="0.45">
      <c r="A1557" t="s">
        <v>2344</v>
      </c>
      <c r="B1557" t="s">
        <v>138</v>
      </c>
      <c r="C1557" t="s">
        <v>2345</v>
      </c>
      <c r="E1557">
        <v>6361.39</v>
      </c>
      <c r="F1557" s="2">
        <v>45221.666684444448</v>
      </c>
      <c r="G1557" t="s">
        <v>140</v>
      </c>
      <c r="H1557" t="s">
        <v>128</v>
      </c>
      <c r="I1557" t="s">
        <v>77</v>
      </c>
    </row>
    <row r="1558" spans="1:9" x14ac:dyDescent="0.45">
      <c r="A1558" t="s">
        <v>2346</v>
      </c>
      <c r="B1558" t="s">
        <v>90</v>
      </c>
      <c r="C1558" t="s">
        <v>2347</v>
      </c>
      <c r="D1558" t="s">
        <v>101</v>
      </c>
      <c r="E1558">
        <v>4428.67</v>
      </c>
      <c r="F1558" s="2">
        <v>45215.666684444448</v>
      </c>
      <c r="G1558" t="s">
        <v>93</v>
      </c>
      <c r="H1558" t="s">
        <v>87</v>
      </c>
      <c r="I1558" t="s">
        <v>77</v>
      </c>
    </row>
    <row r="1559" spans="1:9" x14ac:dyDescent="0.45">
      <c r="A1559" t="s">
        <v>2348</v>
      </c>
      <c r="B1559" t="s">
        <v>79</v>
      </c>
      <c r="C1559" t="s">
        <v>1267</v>
      </c>
      <c r="D1559" t="s">
        <v>85</v>
      </c>
      <c r="E1559">
        <v>2090.21</v>
      </c>
      <c r="F1559" s="2">
        <v>45223.666684444448</v>
      </c>
      <c r="G1559" t="s">
        <v>86</v>
      </c>
      <c r="H1559" t="s">
        <v>145</v>
      </c>
      <c r="I1559" t="s">
        <v>112</v>
      </c>
    </row>
    <row r="1560" spans="1:9" x14ac:dyDescent="0.45">
      <c r="A1560" t="s">
        <v>2349</v>
      </c>
      <c r="B1560" t="s">
        <v>104</v>
      </c>
      <c r="C1560" t="s">
        <v>2240</v>
      </c>
      <c r="D1560" t="s">
        <v>74</v>
      </c>
      <c r="E1560">
        <v>8343.2900000000009</v>
      </c>
      <c r="F1560" s="2">
        <v>45570.666684444448</v>
      </c>
      <c r="H1560" t="s">
        <v>133</v>
      </c>
      <c r="I1560" t="s">
        <v>82</v>
      </c>
    </row>
    <row r="1561" spans="1:9" x14ac:dyDescent="0.45">
      <c r="A1561" t="s">
        <v>649</v>
      </c>
      <c r="B1561" t="s">
        <v>138</v>
      </c>
      <c r="C1561" t="s">
        <v>1832</v>
      </c>
      <c r="D1561" t="s">
        <v>85</v>
      </c>
      <c r="E1561">
        <v>8326.57</v>
      </c>
      <c r="F1561" s="2">
        <v>45226.666684444448</v>
      </c>
      <c r="G1561" t="s">
        <v>140</v>
      </c>
      <c r="H1561" t="s">
        <v>116</v>
      </c>
      <c r="I1561" t="s">
        <v>82</v>
      </c>
    </row>
    <row r="1562" spans="1:9" x14ac:dyDescent="0.45">
      <c r="A1562" t="s">
        <v>2093</v>
      </c>
      <c r="B1562" t="s">
        <v>109</v>
      </c>
      <c r="C1562" t="s">
        <v>2350</v>
      </c>
      <c r="D1562" t="s">
        <v>106</v>
      </c>
      <c r="E1562">
        <v>5665.4</v>
      </c>
      <c r="F1562" s="2">
        <v>45509.666684444448</v>
      </c>
      <c r="G1562" t="s">
        <v>111</v>
      </c>
      <c r="H1562" t="s">
        <v>118</v>
      </c>
      <c r="I1562" t="s">
        <v>163</v>
      </c>
    </row>
    <row r="1563" spans="1:9" x14ac:dyDescent="0.45">
      <c r="A1563" t="s">
        <v>1679</v>
      </c>
      <c r="B1563" t="s">
        <v>72</v>
      </c>
      <c r="D1563" t="s">
        <v>101</v>
      </c>
      <c r="E1563">
        <v>3013.9</v>
      </c>
      <c r="F1563" s="2">
        <v>45261.666684444448</v>
      </c>
      <c r="I1563" t="s">
        <v>112</v>
      </c>
    </row>
    <row r="1564" spans="1:9" x14ac:dyDescent="0.45">
      <c r="A1564" t="s">
        <v>2351</v>
      </c>
      <c r="B1564" t="s">
        <v>172</v>
      </c>
      <c r="C1564" t="s">
        <v>1965</v>
      </c>
      <c r="D1564" t="s">
        <v>101</v>
      </c>
      <c r="E1564">
        <v>10558.22</v>
      </c>
      <c r="F1564" s="2">
        <v>45697.666684444448</v>
      </c>
      <c r="G1564" t="s">
        <v>174</v>
      </c>
      <c r="H1564" t="s">
        <v>133</v>
      </c>
      <c r="I1564" t="s">
        <v>119</v>
      </c>
    </row>
    <row r="1565" spans="1:9" x14ac:dyDescent="0.45">
      <c r="A1565" t="s">
        <v>2352</v>
      </c>
      <c r="B1565" t="s">
        <v>138</v>
      </c>
      <c r="C1565" t="s">
        <v>1780</v>
      </c>
      <c r="D1565" t="s">
        <v>92</v>
      </c>
      <c r="E1565">
        <v>4754.83</v>
      </c>
      <c r="F1565" s="2">
        <v>45189.666684444448</v>
      </c>
      <c r="G1565" t="s">
        <v>194</v>
      </c>
      <c r="H1565" t="s">
        <v>136</v>
      </c>
      <c r="I1565" t="s">
        <v>82</v>
      </c>
    </row>
    <row r="1566" spans="1:9" x14ac:dyDescent="0.45">
      <c r="A1566" t="s">
        <v>2353</v>
      </c>
      <c r="B1566" t="s">
        <v>72</v>
      </c>
      <c r="C1566" t="s">
        <v>2354</v>
      </c>
      <c r="E1566">
        <v>6729.75</v>
      </c>
      <c r="F1566" s="2">
        <v>45728.666684444448</v>
      </c>
      <c r="G1566" t="s">
        <v>75</v>
      </c>
      <c r="H1566" t="s">
        <v>107</v>
      </c>
      <c r="I1566" t="s">
        <v>77</v>
      </c>
    </row>
    <row r="1567" spans="1:9" x14ac:dyDescent="0.45">
      <c r="A1567" t="s">
        <v>2355</v>
      </c>
      <c r="B1567" t="s">
        <v>72</v>
      </c>
      <c r="C1567" t="s">
        <v>144</v>
      </c>
      <c r="D1567" t="s">
        <v>101</v>
      </c>
      <c r="E1567">
        <v>9866.5300000000007</v>
      </c>
      <c r="F1567" s="2">
        <v>45703.666684444448</v>
      </c>
      <c r="G1567" t="s">
        <v>75</v>
      </c>
      <c r="H1567" t="s">
        <v>116</v>
      </c>
      <c r="I1567" t="s">
        <v>88</v>
      </c>
    </row>
    <row r="1568" spans="1:9" x14ac:dyDescent="0.45">
      <c r="A1568" t="s">
        <v>2356</v>
      </c>
      <c r="B1568" t="s">
        <v>90</v>
      </c>
      <c r="C1568" t="s">
        <v>2357</v>
      </c>
      <c r="D1568" t="s">
        <v>101</v>
      </c>
      <c r="E1568">
        <v>8464.35</v>
      </c>
      <c r="F1568" s="2">
        <v>45703.666684444448</v>
      </c>
      <c r="G1568" t="s">
        <v>93</v>
      </c>
      <c r="H1568" t="s">
        <v>76</v>
      </c>
      <c r="I1568" t="s">
        <v>77</v>
      </c>
    </row>
    <row r="1569" spans="1:9" x14ac:dyDescent="0.45">
      <c r="A1569" t="s">
        <v>2358</v>
      </c>
      <c r="B1569" t="s">
        <v>90</v>
      </c>
      <c r="C1569" t="s">
        <v>575</v>
      </c>
      <c r="D1569" t="s">
        <v>155</v>
      </c>
      <c r="E1569">
        <v>7030.77</v>
      </c>
      <c r="F1569" s="2">
        <v>45465.666684444448</v>
      </c>
      <c r="G1569" t="s">
        <v>93</v>
      </c>
      <c r="H1569" t="s">
        <v>116</v>
      </c>
      <c r="I1569" t="s">
        <v>82</v>
      </c>
    </row>
    <row r="1570" spans="1:9" x14ac:dyDescent="0.45">
      <c r="A1570" t="s">
        <v>2359</v>
      </c>
      <c r="B1570" t="s">
        <v>95</v>
      </c>
      <c r="C1570" t="s">
        <v>259</v>
      </c>
      <c r="D1570" t="s">
        <v>92</v>
      </c>
      <c r="E1570">
        <v>8820.2800000000007</v>
      </c>
      <c r="F1570" s="2">
        <v>45814.666684444448</v>
      </c>
      <c r="G1570" t="s">
        <v>336</v>
      </c>
      <c r="H1570" t="s">
        <v>136</v>
      </c>
      <c r="I1570" t="s">
        <v>163</v>
      </c>
    </row>
    <row r="1571" spans="1:9" x14ac:dyDescent="0.45">
      <c r="A1571" t="s">
        <v>2360</v>
      </c>
      <c r="B1571" t="s">
        <v>109</v>
      </c>
      <c r="C1571" t="s">
        <v>214</v>
      </c>
      <c r="D1571" t="s">
        <v>74</v>
      </c>
      <c r="E1571">
        <v>1361.68</v>
      </c>
      <c r="F1571" s="2">
        <v>45253.666684444448</v>
      </c>
      <c r="G1571" t="s">
        <v>111</v>
      </c>
      <c r="H1571" t="s">
        <v>128</v>
      </c>
      <c r="I1571" t="s">
        <v>77</v>
      </c>
    </row>
    <row r="1572" spans="1:9" x14ac:dyDescent="0.45">
      <c r="A1572" t="s">
        <v>2361</v>
      </c>
      <c r="B1572" t="s">
        <v>172</v>
      </c>
      <c r="C1572" t="s">
        <v>1713</v>
      </c>
      <c r="D1572" t="s">
        <v>74</v>
      </c>
      <c r="E1572">
        <v>8511.57</v>
      </c>
      <c r="F1572" s="2">
        <v>45548.666684444448</v>
      </c>
      <c r="H1572" t="s">
        <v>76</v>
      </c>
      <c r="I1572" t="s">
        <v>163</v>
      </c>
    </row>
    <row r="1573" spans="1:9" x14ac:dyDescent="0.45">
      <c r="A1573" t="s">
        <v>2362</v>
      </c>
      <c r="B1573" t="s">
        <v>72</v>
      </c>
      <c r="C1573" t="s">
        <v>653</v>
      </c>
      <c r="D1573" t="s">
        <v>85</v>
      </c>
      <c r="E1573">
        <v>0</v>
      </c>
      <c r="F1573" s="2">
        <v>45490.666684444448</v>
      </c>
      <c r="G1573" t="s">
        <v>75</v>
      </c>
      <c r="H1573" t="s">
        <v>81</v>
      </c>
      <c r="I1573" t="s">
        <v>163</v>
      </c>
    </row>
    <row r="1574" spans="1:9" x14ac:dyDescent="0.45">
      <c r="A1574" t="s">
        <v>2363</v>
      </c>
      <c r="B1574" t="s">
        <v>95</v>
      </c>
      <c r="C1574" t="s">
        <v>864</v>
      </c>
      <c r="D1574" t="s">
        <v>74</v>
      </c>
      <c r="E1574">
        <v>0</v>
      </c>
      <c r="F1574" s="2">
        <v>45809.666684444448</v>
      </c>
      <c r="G1574" t="s">
        <v>97</v>
      </c>
      <c r="I1574" t="s">
        <v>88</v>
      </c>
    </row>
    <row r="1575" spans="1:9" x14ac:dyDescent="0.45">
      <c r="A1575" t="s">
        <v>2364</v>
      </c>
      <c r="B1575" t="s">
        <v>104</v>
      </c>
      <c r="C1575" t="s">
        <v>1375</v>
      </c>
      <c r="D1575" t="s">
        <v>101</v>
      </c>
      <c r="E1575">
        <v>9708.39</v>
      </c>
      <c r="F1575" s="2">
        <v>45561.666684444448</v>
      </c>
      <c r="H1575" t="s">
        <v>133</v>
      </c>
      <c r="I1575" t="s">
        <v>163</v>
      </c>
    </row>
    <row r="1576" spans="1:9" x14ac:dyDescent="0.45">
      <c r="A1576" t="s">
        <v>2365</v>
      </c>
      <c r="B1576" t="s">
        <v>99</v>
      </c>
      <c r="C1576" t="s">
        <v>2058</v>
      </c>
      <c r="D1576" t="s">
        <v>148</v>
      </c>
      <c r="E1576">
        <v>7382.74</v>
      </c>
      <c r="F1576" s="2">
        <v>45180.666684444448</v>
      </c>
      <c r="G1576" t="s">
        <v>285</v>
      </c>
      <c r="H1576" t="s">
        <v>81</v>
      </c>
      <c r="I1576" t="s">
        <v>112</v>
      </c>
    </row>
    <row r="1577" spans="1:9" x14ac:dyDescent="0.45">
      <c r="A1577" t="s">
        <v>2366</v>
      </c>
      <c r="B1577" t="s">
        <v>72</v>
      </c>
      <c r="C1577" t="s">
        <v>755</v>
      </c>
      <c r="D1577" t="s">
        <v>74</v>
      </c>
      <c r="E1577">
        <v>7592.35</v>
      </c>
      <c r="F1577" s="2">
        <v>45422.666684444448</v>
      </c>
      <c r="G1577" t="s">
        <v>75</v>
      </c>
      <c r="H1577" t="s">
        <v>76</v>
      </c>
      <c r="I1577" t="s">
        <v>82</v>
      </c>
    </row>
    <row r="1578" spans="1:9" x14ac:dyDescent="0.45">
      <c r="A1578" t="s">
        <v>2367</v>
      </c>
      <c r="B1578" t="s">
        <v>95</v>
      </c>
      <c r="C1578" t="s">
        <v>966</v>
      </c>
      <c r="D1578" t="s">
        <v>92</v>
      </c>
      <c r="E1578">
        <v>958.28</v>
      </c>
      <c r="F1578" s="2">
        <v>45742.666684444448</v>
      </c>
      <c r="G1578" t="s">
        <v>97</v>
      </c>
      <c r="H1578" t="s">
        <v>145</v>
      </c>
      <c r="I1578" t="s">
        <v>112</v>
      </c>
    </row>
    <row r="1579" spans="1:9" x14ac:dyDescent="0.45">
      <c r="A1579" t="s">
        <v>2368</v>
      </c>
      <c r="B1579" t="s">
        <v>109</v>
      </c>
      <c r="C1579" t="s">
        <v>890</v>
      </c>
      <c r="D1579" t="s">
        <v>101</v>
      </c>
      <c r="E1579">
        <v>5916.35</v>
      </c>
      <c r="F1579" s="2">
        <v>45447.666684444448</v>
      </c>
      <c r="G1579" t="s">
        <v>307</v>
      </c>
      <c r="H1579" t="s">
        <v>116</v>
      </c>
      <c r="I1579" t="s">
        <v>112</v>
      </c>
    </row>
    <row r="1580" spans="1:9" x14ac:dyDescent="0.45">
      <c r="A1580" t="s">
        <v>2369</v>
      </c>
      <c r="B1580" t="s">
        <v>90</v>
      </c>
      <c r="C1580" t="s">
        <v>313</v>
      </c>
      <c r="D1580" t="s">
        <v>92</v>
      </c>
      <c r="E1580">
        <v>7847.18</v>
      </c>
      <c r="F1580" s="2">
        <v>45488.666684444448</v>
      </c>
      <c r="G1580" t="s">
        <v>93</v>
      </c>
      <c r="H1580" t="s">
        <v>87</v>
      </c>
      <c r="I1580" t="s">
        <v>77</v>
      </c>
    </row>
    <row r="1581" spans="1:9" x14ac:dyDescent="0.45">
      <c r="A1581" t="s">
        <v>2370</v>
      </c>
      <c r="B1581" t="s">
        <v>72</v>
      </c>
      <c r="C1581" t="s">
        <v>533</v>
      </c>
      <c r="D1581" t="s">
        <v>92</v>
      </c>
      <c r="E1581">
        <v>680.64</v>
      </c>
      <c r="F1581" s="2">
        <v>45234.666684444448</v>
      </c>
      <c r="G1581" t="s">
        <v>75</v>
      </c>
      <c r="H1581" t="s">
        <v>107</v>
      </c>
      <c r="I1581" t="s">
        <v>77</v>
      </c>
    </row>
    <row r="1582" spans="1:9" x14ac:dyDescent="0.45">
      <c r="A1582" t="s">
        <v>2371</v>
      </c>
      <c r="B1582" t="s">
        <v>72</v>
      </c>
      <c r="C1582" t="s">
        <v>1489</v>
      </c>
      <c r="D1582" t="s">
        <v>74</v>
      </c>
      <c r="E1582">
        <v>0</v>
      </c>
      <c r="F1582" s="2">
        <v>45719.666684444448</v>
      </c>
      <c r="G1582" t="s">
        <v>521</v>
      </c>
      <c r="H1582" t="s">
        <v>145</v>
      </c>
      <c r="I1582" t="s">
        <v>82</v>
      </c>
    </row>
    <row r="1583" spans="1:9" x14ac:dyDescent="0.45">
      <c r="A1583" t="s">
        <v>2372</v>
      </c>
      <c r="B1583" t="s">
        <v>138</v>
      </c>
      <c r="C1583" t="s">
        <v>908</v>
      </c>
      <c r="D1583" t="s">
        <v>85</v>
      </c>
      <c r="E1583">
        <v>11837.37</v>
      </c>
      <c r="F1583" s="2">
        <v>45647.666684444448</v>
      </c>
      <c r="G1583" t="s">
        <v>140</v>
      </c>
      <c r="H1583" t="s">
        <v>145</v>
      </c>
      <c r="I1583" t="s">
        <v>163</v>
      </c>
    </row>
    <row r="1584" spans="1:9" x14ac:dyDescent="0.45">
      <c r="A1584" t="s">
        <v>2373</v>
      </c>
      <c r="B1584" t="s">
        <v>109</v>
      </c>
      <c r="C1584" t="s">
        <v>1904</v>
      </c>
      <c r="D1584" t="s">
        <v>74</v>
      </c>
      <c r="E1584">
        <v>7375.69</v>
      </c>
      <c r="F1584" s="2">
        <v>45345.666684444448</v>
      </c>
      <c r="G1584" t="s">
        <v>111</v>
      </c>
      <c r="H1584" t="s">
        <v>107</v>
      </c>
      <c r="I1584" t="s">
        <v>119</v>
      </c>
    </row>
    <row r="1585" spans="1:9" x14ac:dyDescent="0.45">
      <c r="A1585" t="s">
        <v>2374</v>
      </c>
      <c r="B1585" t="s">
        <v>172</v>
      </c>
      <c r="C1585" t="s">
        <v>809</v>
      </c>
      <c r="D1585" t="s">
        <v>148</v>
      </c>
      <c r="E1585">
        <v>0</v>
      </c>
      <c r="F1585" s="2">
        <v>45286.666684444448</v>
      </c>
      <c r="G1585" t="s">
        <v>174</v>
      </c>
      <c r="H1585" t="s">
        <v>136</v>
      </c>
      <c r="I1585" t="s">
        <v>88</v>
      </c>
    </row>
    <row r="1586" spans="1:9" x14ac:dyDescent="0.45">
      <c r="A1586" t="s">
        <v>2375</v>
      </c>
      <c r="B1586" t="s">
        <v>90</v>
      </c>
      <c r="C1586" t="s">
        <v>2212</v>
      </c>
      <c r="D1586" t="s">
        <v>148</v>
      </c>
      <c r="E1586">
        <v>9753.08</v>
      </c>
      <c r="F1586" s="2">
        <v>45800.666684444448</v>
      </c>
      <c r="G1586" t="s">
        <v>296</v>
      </c>
      <c r="H1586" t="s">
        <v>128</v>
      </c>
      <c r="I1586" t="s">
        <v>88</v>
      </c>
    </row>
    <row r="1587" spans="1:9" x14ac:dyDescent="0.45">
      <c r="A1587" t="s">
        <v>2376</v>
      </c>
      <c r="B1587" t="s">
        <v>72</v>
      </c>
      <c r="C1587" t="s">
        <v>794</v>
      </c>
      <c r="D1587" t="s">
        <v>101</v>
      </c>
      <c r="E1587">
        <v>4069.57</v>
      </c>
      <c r="F1587" s="2">
        <v>45621.666684444448</v>
      </c>
      <c r="G1587" t="s">
        <v>75</v>
      </c>
      <c r="H1587" t="s">
        <v>116</v>
      </c>
      <c r="I1587" t="s">
        <v>82</v>
      </c>
    </row>
    <row r="1588" spans="1:9" x14ac:dyDescent="0.45">
      <c r="A1588" t="s">
        <v>2377</v>
      </c>
      <c r="B1588" t="s">
        <v>104</v>
      </c>
      <c r="C1588" t="s">
        <v>511</v>
      </c>
      <c r="D1588" t="s">
        <v>101</v>
      </c>
      <c r="E1588">
        <v>0</v>
      </c>
      <c r="F1588" s="2">
        <v>45357.666684444448</v>
      </c>
      <c r="G1588" t="s">
        <v>115</v>
      </c>
      <c r="H1588" t="s">
        <v>133</v>
      </c>
      <c r="I1588" t="s">
        <v>112</v>
      </c>
    </row>
    <row r="1589" spans="1:9" x14ac:dyDescent="0.45">
      <c r="A1589" t="s">
        <v>2378</v>
      </c>
      <c r="B1589" t="s">
        <v>90</v>
      </c>
      <c r="C1589" t="s">
        <v>373</v>
      </c>
      <c r="D1589" t="s">
        <v>101</v>
      </c>
      <c r="E1589">
        <v>8636.33</v>
      </c>
      <c r="F1589" s="2">
        <v>45238.666684444448</v>
      </c>
      <c r="G1589" t="s">
        <v>93</v>
      </c>
      <c r="H1589" t="s">
        <v>81</v>
      </c>
      <c r="I1589" t="s">
        <v>112</v>
      </c>
    </row>
    <row r="1590" spans="1:9" x14ac:dyDescent="0.45">
      <c r="A1590" t="s">
        <v>2379</v>
      </c>
      <c r="B1590" t="s">
        <v>104</v>
      </c>
      <c r="C1590" t="s">
        <v>436</v>
      </c>
      <c r="D1590" t="s">
        <v>92</v>
      </c>
      <c r="E1590">
        <v>0</v>
      </c>
      <c r="F1590" s="2">
        <v>45486.666684444448</v>
      </c>
      <c r="G1590" t="s">
        <v>115</v>
      </c>
      <c r="H1590" t="s">
        <v>118</v>
      </c>
      <c r="I1590" t="s">
        <v>77</v>
      </c>
    </row>
    <row r="1591" spans="1:9" x14ac:dyDescent="0.45">
      <c r="A1591" t="s">
        <v>2380</v>
      </c>
      <c r="B1591" t="s">
        <v>99</v>
      </c>
      <c r="C1591" t="s">
        <v>1698</v>
      </c>
      <c r="D1591" t="s">
        <v>101</v>
      </c>
      <c r="E1591">
        <v>3436.39</v>
      </c>
      <c r="F1591" s="2">
        <v>45697.666684444448</v>
      </c>
      <c r="G1591" t="s">
        <v>102</v>
      </c>
      <c r="H1591" t="s">
        <v>128</v>
      </c>
      <c r="I1591" t="s">
        <v>163</v>
      </c>
    </row>
    <row r="1592" spans="1:9" x14ac:dyDescent="0.45">
      <c r="A1592" t="s">
        <v>2381</v>
      </c>
      <c r="B1592" t="s">
        <v>172</v>
      </c>
      <c r="C1592" t="s">
        <v>2058</v>
      </c>
      <c r="D1592" t="s">
        <v>101</v>
      </c>
      <c r="E1592">
        <v>6475.39</v>
      </c>
      <c r="F1592" s="2">
        <v>45504.666684444448</v>
      </c>
      <c r="G1592" t="s">
        <v>174</v>
      </c>
      <c r="H1592" t="s">
        <v>81</v>
      </c>
      <c r="I1592" t="s">
        <v>163</v>
      </c>
    </row>
    <row r="1593" spans="1:9" x14ac:dyDescent="0.45">
      <c r="A1593" t="s">
        <v>2382</v>
      </c>
      <c r="B1593" t="s">
        <v>99</v>
      </c>
      <c r="C1593" t="s">
        <v>1429</v>
      </c>
      <c r="D1593" t="s">
        <v>101</v>
      </c>
      <c r="E1593">
        <v>6318.23</v>
      </c>
      <c r="F1593" s="2">
        <v>45245.666684444448</v>
      </c>
      <c r="G1593" t="s">
        <v>102</v>
      </c>
      <c r="H1593" t="s">
        <v>76</v>
      </c>
      <c r="I1593" t="s">
        <v>163</v>
      </c>
    </row>
    <row r="1594" spans="1:9" x14ac:dyDescent="0.45">
      <c r="A1594" t="s">
        <v>2383</v>
      </c>
      <c r="B1594" t="s">
        <v>72</v>
      </c>
      <c r="D1594" t="s">
        <v>74</v>
      </c>
      <c r="E1594">
        <v>2164.27</v>
      </c>
      <c r="F1594" s="2">
        <v>45413.666684444448</v>
      </c>
      <c r="G1594" t="s">
        <v>75</v>
      </c>
      <c r="H1594" t="s">
        <v>118</v>
      </c>
      <c r="I1594" t="s">
        <v>163</v>
      </c>
    </row>
    <row r="1595" spans="1:9" x14ac:dyDescent="0.45">
      <c r="A1595" t="s">
        <v>2384</v>
      </c>
      <c r="B1595" t="s">
        <v>138</v>
      </c>
      <c r="C1595" t="s">
        <v>2385</v>
      </c>
      <c r="D1595" t="s">
        <v>92</v>
      </c>
      <c r="E1595">
        <v>132.34</v>
      </c>
      <c r="F1595" s="2">
        <v>45715.666684444448</v>
      </c>
      <c r="H1595" t="s">
        <v>87</v>
      </c>
      <c r="I1595" t="s">
        <v>88</v>
      </c>
    </row>
    <row r="1596" spans="1:9" x14ac:dyDescent="0.45">
      <c r="A1596" t="s">
        <v>2386</v>
      </c>
      <c r="B1596" t="s">
        <v>172</v>
      </c>
      <c r="C1596" t="s">
        <v>1446</v>
      </c>
      <c r="D1596" t="s">
        <v>74</v>
      </c>
      <c r="E1596">
        <v>151.13999999999999</v>
      </c>
      <c r="F1596" s="2">
        <v>45359.666684444448</v>
      </c>
      <c r="G1596" t="s">
        <v>174</v>
      </c>
      <c r="H1596" t="s">
        <v>87</v>
      </c>
      <c r="I1596" t="s">
        <v>77</v>
      </c>
    </row>
    <row r="1597" spans="1:9" x14ac:dyDescent="0.45">
      <c r="A1597" t="s">
        <v>2387</v>
      </c>
      <c r="B1597" t="s">
        <v>138</v>
      </c>
      <c r="C1597" t="s">
        <v>1338</v>
      </c>
      <c r="D1597" t="s">
        <v>85</v>
      </c>
      <c r="E1597">
        <v>0</v>
      </c>
      <c r="F1597" s="2">
        <v>45567.666684444448</v>
      </c>
      <c r="G1597" t="s">
        <v>140</v>
      </c>
      <c r="H1597" t="s">
        <v>76</v>
      </c>
      <c r="I1597" t="s">
        <v>82</v>
      </c>
    </row>
    <row r="1598" spans="1:9" x14ac:dyDescent="0.45">
      <c r="A1598" t="s">
        <v>2388</v>
      </c>
      <c r="B1598" t="s">
        <v>95</v>
      </c>
      <c r="C1598" t="s">
        <v>997</v>
      </c>
      <c r="D1598" t="s">
        <v>74</v>
      </c>
      <c r="E1598">
        <v>651.25</v>
      </c>
      <c r="F1598" s="2">
        <v>45702.666684444448</v>
      </c>
      <c r="G1598" t="s">
        <v>336</v>
      </c>
      <c r="H1598" t="s">
        <v>116</v>
      </c>
      <c r="I1598" t="s">
        <v>82</v>
      </c>
    </row>
    <row r="1599" spans="1:9" x14ac:dyDescent="0.45">
      <c r="A1599" t="s">
        <v>2389</v>
      </c>
      <c r="B1599" t="s">
        <v>109</v>
      </c>
      <c r="C1599" t="s">
        <v>1532</v>
      </c>
      <c r="D1599" t="s">
        <v>74</v>
      </c>
      <c r="E1599">
        <v>1042.3499999999999</v>
      </c>
      <c r="F1599" s="2">
        <v>45764.666684444448</v>
      </c>
      <c r="G1599" t="s">
        <v>111</v>
      </c>
      <c r="H1599" t="s">
        <v>76</v>
      </c>
      <c r="I1599" t="s">
        <v>88</v>
      </c>
    </row>
    <row r="1600" spans="1:9" x14ac:dyDescent="0.45">
      <c r="A1600" t="s">
        <v>2390</v>
      </c>
      <c r="B1600" t="s">
        <v>95</v>
      </c>
      <c r="C1600" t="s">
        <v>1323</v>
      </c>
      <c r="D1600" t="s">
        <v>85</v>
      </c>
      <c r="E1600">
        <v>631.71</v>
      </c>
      <c r="F1600" s="2">
        <v>45756.666684444448</v>
      </c>
      <c r="G1600" t="s">
        <v>97</v>
      </c>
      <c r="H1600" t="s">
        <v>128</v>
      </c>
      <c r="I1600" t="s">
        <v>119</v>
      </c>
    </row>
    <row r="1601" spans="1:9" x14ac:dyDescent="0.45">
      <c r="A1601" t="s">
        <v>2391</v>
      </c>
      <c r="B1601" t="s">
        <v>99</v>
      </c>
      <c r="C1601" t="s">
        <v>1736</v>
      </c>
      <c r="D1601" t="s">
        <v>106</v>
      </c>
      <c r="E1601">
        <v>0</v>
      </c>
      <c r="F1601" s="2">
        <v>45819.666684444448</v>
      </c>
      <c r="G1601" t="s">
        <v>102</v>
      </c>
      <c r="H1601" t="s">
        <v>87</v>
      </c>
      <c r="I1601" t="s">
        <v>88</v>
      </c>
    </row>
    <row r="1602" spans="1:9" x14ac:dyDescent="0.45">
      <c r="A1602" t="s">
        <v>2392</v>
      </c>
      <c r="B1602" t="s">
        <v>104</v>
      </c>
      <c r="C1602" t="s">
        <v>450</v>
      </c>
      <c r="D1602" t="s">
        <v>92</v>
      </c>
      <c r="E1602">
        <v>10758.86</v>
      </c>
      <c r="F1602" s="2">
        <v>45786.666684444448</v>
      </c>
      <c r="G1602" t="s">
        <v>115</v>
      </c>
      <c r="H1602" t="s">
        <v>133</v>
      </c>
      <c r="I1602" t="s">
        <v>163</v>
      </c>
    </row>
    <row r="1603" spans="1:9" x14ac:dyDescent="0.45">
      <c r="A1603" t="s">
        <v>2393</v>
      </c>
      <c r="B1603" t="s">
        <v>99</v>
      </c>
      <c r="C1603" t="s">
        <v>814</v>
      </c>
      <c r="D1603" t="s">
        <v>74</v>
      </c>
      <c r="E1603">
        <v>9241.58</v>
      </c>
      <c r="F1603" s="2">
        <v>45698.666684444448</v>
      </c>
      <c r="G1603" t="s">
        <v>102</v>
      </c>
      <c r="H1603" t="s">
        <v>116</v>
      </c>
      <c r="I1603" t="s">
        <v>163</v>
      </c>
    </row>
    <row r="1604" spans="1:9" x14ac:dyDescent="0.45">
      <c r="A1604" t="s">
        <v>2394</v>
      </c>
      <c r="B1604" t="s">
        <v>172</v>
      </c>
      <c r="C1604" t="s">
        <v>388</v>
      </c>
      <c r="D1604" t="s">
        <v>74</v>
      </c>
      <c r="E1604">
        <v>10009.51</v>
      </c>
      <c r="F1604" s="2">
        <v>45154.666684444448</v>
      </c>
      <c r="G1604" t="s">
        <v>174</v>
      </c>
      <c r="H1604" t="s">
        <v>87</v>
      </c>
      <c r="I1604" t="s">
        <v>112</v>
      </c>
    </row>
    <row r="1605" spans="1:9" x14ac:dyDescent="0.45">
      <c r="A1605" t="s">
        <v>2395</v>
      </c>
      <c r="B1605" t="s">
        <v>172</v>
      </c>
      <c r="C1605" t="s">
        <v>1652</v>
      </c>
      <c r="D1605" t="s">
        <v>148</v>
      </c>
      <c r="E1605">
        <v>0</v>
      </c>
      <c r="F1605" s="2">
        <v>45751.666684444448</v>
      </c>
      <c r="G1605" t="s">
        <v>174</v>
      </c>
      <c r="H1605" t="s">
        <v>145</v>
      </c>
      <c r="I1605" t="s">
        <v>88</v>
      </c>
    </row>
    <row r="1606" spans="1:9" x14ac:dyDescent="0.45">
      <c r="A1606" t="s">
        <v>2396</v>
      </c>
      <c r="B1606" t="s">
        <v>99</v>
      </c>
      <c r="C1606" t="s">
        <v>480</v>
      </c>
      <c r="D1606" t="s">
        <v>101</v>
      </c>
      <c r="E1606">
        <v>7393.11</v>
      </c>
      <c r="F1606" s="2">
        <v>45801.666684444448</v>
      </c>
      <c r="G1606" t="s">
        <v>102</v>
      </c>
      <c r="H1606" t="s">
        <v>76</v>
      </c>
      <c r="I1606" t="s">
        <v>82</v>
      </c>
    </row>
    <row r="1607" spans="1:9" x14ac:dyDescent="0.45">
      <c r="A1607" t="s">
        <v>2397</v>
      </c>
      <c r="B1607" t="s">
        <v>72</v>
      </c>
      <c r="C1607" t="s">
        <v>1500</v>
      </c>
      <c r="D1607" t="s">
        <v>74</v>
      </c>
      <c r="E1607">
        <v>11810.32</v>
      </c>
      <c r="F1607" s="2">
        <v>45838.666684444448</v>
      </c>
      <c r="G1607" t="s">
        <v>75</v>
      </c>
      <c r="H1607" t="s">
        <v>145</v>
      </c>
      <c r="I1607" t="s">
        <v>82</v>
      </c>
    </row>
    <row r="1608" spans="1:9" x14ac:dyDescent="0.45">
      <c r="A1608" t="s">
        <v>2398</v>
      </c>
      <c r="B1608" t="s">
        <v>99</v>
      </c>
      <c r="C1608" t="s">
        <v>1198</v>
      </c>
      <c r="D1608" t="s">
        <v>148</v>
      </c>
      <c r="E1608">
        <v>0</v>
      </c>
      <c r="F1608" s="2">
        <v>45401.666684444448</v>
      </c>
      <c r="G1608" t="s">
        <v>102</v>
      </c>
      <c r="H1608" t="s">
        <v>107</v>
      </c>
      <c r="I1608" t="s">
        <v>77</v>
      </c>
    </row>
    <row r="1609" spans="1:9" x14ac:dyDescent="0.45">
      <c r="A1609" t="s">
        <v>2399</v>
      </c>
      <c r="B1609" t="s">
        <v>172</v>
      </c>
      <c r="C1609" t="s">
        <v>838</v>
      </c>
      <c r="E1609">
        <v>7483.53</v>
      </c>
      <c r="F1609" s="2">
        <v>45157.666684444448</v>
      </c>
      <c r="G1609" t="s">
        <v>174</v>
      </c>
      <c r="H1609" t="s">
        <v>87</v>
      </c>
      <c r="I1609" t="s">
        <v>119</v>
      </c>
    </row>
    <row r="1610" spans="1:9" x14ac:dyDescent="0.45">
      <c r="A1610" t="s">
        <v>1255</v>
      </c>
      <c r="B1610" t="s">
        <v>172</v>
      </c>
      <c r="C1610" t="s">
        <v>2400</v>
      </c>
      <c r="D1610" t="s">
        <v>106</v>
      </c>
      <c r="E1610">
        <v>714.15</v>
      </c>
      <c r="F1610" s="2">
        <v>45312.666684444448</v>
      </c>
      <c r="G1610" t="s">
        <v>174</v>
      </c>
      <c r="H1610" t="s">
        <v>136</v>
      </c>
      <c r="I1610" t="s">
        <v>163</v>
      </c>
    </row>
    <row r="1611" spans="1:9" x14ac:dyDescent="0.45">
      <c r="A1611" t="s">
        <v>2401</v>
      </c>
      <c r="B1611" t="s">
        <v>90</v>
      </c>
      <c r="C1611" t="s">
        <v>2402</v>
      </c>
      <c r="D1611" t="s">
        <v>155</v>
      </c>
      <c r="E1611">
        <v>11095.95</v>
      </c>
      <c r="F1611" s="2">
        <v>45407.666684444448</v>
      </c>
      <c r="G1611" t="s">
        <v>93</v>
      </c>
      <c r="H1611" t="s">
        <v>133</v>
      </c>
      <c r="I1611" t="s">
        <v>112</v>
      </c>
    </row>
    <row r="1612" spans="1:9" x14ac:dyDescent="0.45">
      <c r="A1612" t="s">
        <v>2403</v>
      </c>
      <c r="B1612" t="s">
        <v>79</v>
      </c>
      <c r="C1612" t="s">
        <v>547</v>
      </c>
      <c r="D1612" t="s">
        <v>148</v>
      </c>
      <c r="E1612">
        <v>7939.84</v>
      </c>
      <c r="F1612" s="2">
        <v>45847.666684444448</v>
      </c>
      <c r="G1612" t="s">
        <v>86</v>
      </c>
      <c r="H1612" t="s">
        <v>76</v>
      </c>
      <c r="I1612" t="s">
        <v>119</v>
      </c>
    </row>
    <row r="1613" spans="1:9" x14ac:dyDescent="0.45">
      <c r="A1613" t="s">
        <v>1384</v>
      </c>
      <c r="B1613" t="s">
        <v>138</v>
      </c>
      <c r="C1613" t="s">
        <v>1848</v>
      </c>
      <c r="D1613" t="s">
        <v>74</v>
      </c>
      <c r="E1613">
        <v>3156.84</v>
      </c>
      <c r="F1613" s="2">
        <v>45444.666684444448</v>
      </c>
      <c r="G1613" t="s">
        <v>140</v>
      </c>
      <c r="I1613" t="s">
        <v>88</v>
      </c>
    </row>
    <row r="1614" spans="1:9" x14ac:dyDescent="0.45">
      <c r="A1614" t="s">
        <v>2404</v>
      </c>
      <c r="B1614" t="s">
        <v>95</v>
      </c>
      <c r="C1614" t="s">
        <v>135</v>
      </c>
      <c r="D1614" t="s">
        <v>74</v>
      </c>
      <c r="E1614">
        <v>8357.25</v>
      </c>
      <c r="F1614" s="2">
        <v>45475.666684444448</v>
      </c>
      <c r="G1614" t="s">
        <v>97</v>
      </c>
      <c r="I1614" t="s">
        <v>82</v>
      </c>
    </row>
    <row r="1615" spans="1:9" x14ac:dyDescent="0.45">
      <c r="A1615" t="s">
        <v>2405</v>
      </c>
      <c r="B1615" t="s">
        <v>99</v>
      </c>
      <c r="C1615" t="s">
        <v>1832</v>
      </c>
      <c r="D1615" t="s">
        <v>85</v>
      </c>
      <c r="E1615">
        <v>1784.07</v>
      </c>
      <c r="F1615" s="2">
        <v>45487.666684444448</v>
      </c>
      <c r="G1615" t="s">
        <v>102</v>
      </c>
      <c r="H1615" t="s">
        <v>107</v>
      </c>
      <c r="I1615" t="s">
        <v>88</v>
      </c>
    </row>
    <row r="1616" spans="1:9" x14ac:dyDescent="0.45">
      <c r="A1616" t="s">
        <v>2406</v>
      </c>
      <c r="B1616" t="s">
        <v>90</v>
      </c>
      <c r="C1616" t="s">
        <v>1420</v>
      </c>
      <c r="D1616" t="s">
        <v>85</v>
      </c>
      <c r="E1616">
        <v>4629.75</v>
      </c>
      <c r="F1616" s="2">
        <v>45134.666684444448</v>
      </c>
      <c r="G1616" t="s">
        <v>93</v>
      </c>
      <c r="I1616" t="s">
        <v>163</v>
      </c>
    </row>
    <row r="1617" spans="1:9" x14ac:dyDescent="0.45">
      <c r="A1617" t="s">
        <v>2407</v>
      </c>
      <c r="B1617" t="s">
        <v>72</v>
      </c>
      <c r="C1617" t="s">
        <v>930</v>
      </c>
      <c r="D1617" t="s">
        <v>85</v>
      </c>
      <c r="E1617">
        <v>834.11</v>
      </c>
      <c r="F1617" s="2">
        <v>45313.666684444448</v>
      </c>
      <c r="G1617" t="s">
        <v>75</v>
      </c>
      <c r="H1617" t="s">
        <v>145</v>
      </c>
      <c r="I1617" t="s">
        <v>82</v>
      </c>
    </row>
    <row r="1618" spans="1:9" x14ac:dyDescent="0.45">
      <c r="A1618" t="s">
        <v>2408</v>
      </c>
      <c r="B1618" t="s">
        <v>172</v>
      </c>
      <c r="C1618" t="s">
        <v>1057</v>
      </c>
      <c r="D1618" t="s">
        <v>101</v>
      </c>
      <c r="E1618">
        <v>171.32</v>
      </c>
      <c r="F1618" s="2">
        <v>45274.666684444448</v>
      </c>
      <c r="G1618" t="s">
        <v>174</v>
      </c>
      <c r="H1618" t="s">
        <v>128</v>
      </c>
      <c r="I1618" t="s">
        <v>88</v>
      </c>
    </row>
    <row r="1619" spans="1:9" x14ac:dyDescent="0.45">
      <c r="A1619" t="s">
        <v>2409</v>
      </c>
      <c r="B1619" t="s">
        <v>99</v>
      </c>
      <c r="C1619" t="s">
        <v>1536</v>
      </c>
      <c r="D1619" t="s">
        <v>101</v>
      </c>
      <c r="E1619">
        <v>6751.59</v>
      </c>
      <c r="F1619" s="2">
        <v>45707.666684444448</v>
      </c>
      <c r="G1619" t="s">
        <v>102</v>
      </c>
      <c r="H1619" t="s">
        <v>136</v>
      </c>
      <c r="I1619" t="s">
        <v>77</v>
      </c>
    </row>
    <row r="1620" spans="1:9" x14ac:dyDescent="0.45">
      <c r="A1620" t="s">
        <v>2410</v>
      </c>
      <c r="B1620" t="s">
        <v>172</v>
      </c>
      <c r="C1620" t="s">
        <v>1114</v>
      </c>
      <c r="D1620" t="s">
        <v>85</v>
      </c>
      <c r="E1620">
        <v>1810.99</v>
      </c>
      <c r="F1620" s="2">
        <v>45801.666684444448</v>
      </c>
      <c r="G1620" t="s">
        <v>174</v>
      </c>
      <c r="H1620" t="s">
        <v>133</v>
      </c>
      <c r="I1620" t="s">
        <v>88</v>
      </c>
    </row>
    <row r="1621" spans="1:9" x14ac:dyDescent="0.45">
      <c r="A1621" t="s">
        <v>2411</v>
      </c>
      <c r="B1621" t="s">
        <v>104</v>
      </c>
      <c r="C1621" t="s">
        <v>427</v>
      </c>
      <c r="D1621" t="s">
        <v>74</v>
      </c>
      <c r="E1621">
        <v>10650.75</v>
      </c>
      <c r="F1621" s="2">
        <v>45538.666684444448</v>
      </c>
      <c r="G1621" t="s">
        <v>115</v>
      </c>
      <c r="H1621" t="s">
        <v>107</v>
      </c>
      <c r="I1621" t="s">
        <v>82</v>
      </c>
    </row>
    <row r="1622" spans="1:9" x14ac:dyDescent="0.45">
      <c r="A1622" t="s">
        <v>2412</v>
      </c>
      <c r="B1622" t="s">
        <v>90</v>
      </c>
      <c r="C1622" t="s">
        <v>2413</v>
      </c>
      <c r="D1622" t="s">
        <v>101</v>
      </c>
      <c r="E1622">
        <v>5255.57</v>
      </c>
      <c r="F1622" s="2">
        <v>45199.666684444448</v>
      </c>
      <c r="G1622" t="s">
        <v>93</v>
      </c>
      <c r="H1622" t="s">
        <v>145</v>
      </c>
      <c r="I1622" t="s">
        <v>163</v>
      </c>
    </row>
    <row r="1623" spans="1:9" x14ac:dyDescent="0.45">
      <c r="A1623" t="s">
        <v>2414</v>
      </c>
      <c r="B1623" t="s">
        <v>99</v>
      </c>
      <c r="C1623" t="s">
        <v>1061</v>
      </c>
      <c r="D1623" t="s">
        <v>85</v>
      </c>
      <c r="E1623">
        <v>870.56</v>
      </c>
      <c r="F1623" s="2">
        <v>45273.666684444448</v>
      </c>
      <c r="G1623" t="s">
        <v>102</v>
      </c>
      <c r="H1623" t="s">
        <v>81</v>
      </c>
      <c r="I1623" t="s">
        <v>119</v>
      </c>
    </row>
    <row r="1624" spans="1:9" x14ac:dyDescent="0.45">
      <c r="A1624" t="s">
        <v>2415</v>
      </c>
      <c r="B1624" t="s">
        <v>104</v>
      </c>
      <c r="C1624" t="s">
        <v>187</v>
      </c>
      <c r="D1624" t="s">
        <v>92</v>
      </c>
      <c r="E1624">
        <v>9902.32</v>
      </c>
      <c r="F1624" s="2">
        <v>45776.666684444448</v>
      </c>
      <c r="G1624" t="s">
        <v>115</v>
      </c>
      <c r="H1624" t="s">
        <v>76</v>
      </c>
      <c r="I1624" t="s">
        <v>119</v>
      </c>
    </row>
    <row r="1625" spans="1:9" x14ac:dyDescent="0.45">
      <c r="A1625" t="s">
        <v>2416</v>
      </c>
      <c r="B1625" t="s">
        <v>90</v>
      </c>
      <c r="C1625" t="s">
        <v>123</v>
      </c>
      <c r="D1625" t="s">
        <v>74</v>
      </c>
      <c r="E1625">
        <v>11882.11</v>
      </c>
      <c r="F1625" s="2">
        <v>45159.666684444448</v>
      </c>
      <c r="G1625" t="s">
        <v>93</v>
      </c>
      <c r="H1625" t="s">
        <v>133</v>
      </c>
      <c r="I1625" t="s">
        <v>112</v>
      </c>
    </row>
    <row r="1626" spans="1:9" x14ac:dyDescent="0.45">
      <c r="A1626" t="s">
        <v>242</v>
      </c>
      <c r="B1626" t="s">
        <v>99</v>
      </c>
      <c r="C1626" t="s">
        <v>1013</v>
      </c>
      <c r="D1626" t="s">
        <v>85</v>
      </c>
      <c r="E1626">
        <v>0</v>
      </c>
      <c r="F1626" s="2">
        <v>45221.666684444448</v>
      </c>
      <c r="G1626" t="s">
        <v>102</v>
      </c>
      <c r="H1626" t="s">
        <v>116</v>
      </c>
      <c r="I1626" t="s">
        <v>82</v>
      </c>
    </row>
    <row r="1627" spans="1:9" x14ac:dyDescent="0.45">
      <c r="A1627" t="s">
        <v>2417</v>
      </c>
      <c r="B1627" t="s">
        <v>99</v>
      </c>
      <c r="C1627" t="s">
        <v>2418</v>
      </c>
      <c r="D1627" t="s">
        <v>92</v>
      </c>
      <c r="E1627">
        <v>5378.74</v>
      </c>
      <c r="F1627" s="2">
        <v>45671.666684444448</v>
      </c>
      <c r="G1627" t="s">
        <v>102</v>
      </c>
      <c r="H1627" t="s">
        <v>87</v>
      </c>
      <c r="I1627" t="s">
        <v>163</v>
      </c>
    </row>
    <row r="1628" spans="1:9" x14ac:dyDescent="0.45">
      <c r="A1628" t="s">
        <v>2419</v>
      </c>
      <c r="B1628" t="s">
        <v>109</v>
      </c>
      <c r="C1628" t="s">
        <v>397</v>
      </c>
      <c r="D1628" t="s">
        <v>101</v>
      </c>
      <c r="E1628">
        <v>5491.75</v>
      </c>
      <c r="F1628" s="2">
        <v>45348.666684444448</v>
      </c>
      <c r="G1628" t="s">
        <v>111</v>
      </c>
      <c r="I1628" t="s">
        <v>112</v>
      </c>
    </row>
    <row r="1629" spans="1:9" x14ac:dyDescent="0.45">
      <c r="A1629" t="s">
        <v>2420</v>
      </c>
      <c r="B1629" t="s">
        <v>90</v>
      </c>
      <c r="C1629" t="s">
        <v>1076</v>
      </c>
      <c r="D1629" t="s">
        <v>74</v>
      </c>
      <c r="E1629">
        <v>8586.75</v>
      </c>
      <c r="F1629" s="2">
        <v>45513.666684444448</v>
      </c>
      <c r="G1629" t="s">
        <v>93</v>
      </c>
      <c r="H1629" t="s">
        <v>145</v>
      </c>
      <c r="I1629" t="s">
        <v>82</v>
      </c>
    </row>
    <row r="1630" spans="1:9" x14ac:dyDescent="0.45">
      <c r="A1630" t="s">
        <v>2421</v>
      </c>
      <c r="B1630" t="s">
        <v>90</v>
      </c>
      <c r="C1630" t="s">
        <v>223</v>
      </c>
      <c r="D1630" t="s">
        <v>101</v>
      </c>
      <c r="E1630">
        <v>3388.77</v>
      </c>
      <c r="F1630" s="2">
        <v>45557.666684444448</v>
      </c>
      <c r="H1630" t="s">
        <v>128</v>
      </c>
      <c r="I1630" t="s">
        <v>112</v>
      </c>
    </row>
    <row r="1631" spans="1:9" x14ac:dyDescent="0.45">
      <c r="A1631" t="s">
        <v>2422</v>
      </c>
      <c r="B1631" t="s">
        <v>172</v>
      </c>
      <c r="C1631" t="s">
        <v>2423</v>
      </c>
      <c r="D1631" t="s">
        <v>101</v>
      </c>
      <c r="E1631">
        <v>3802.14</v>
      </c>
      <c r="F1631" s="2">
        <v>45592.666684444448</v>
      </c>
      <c r="G1631" t="s">
        <v>236</v>
      </c>
      <c r="H1631" t="s">
        <v>118</v>
      </c>
      <c r="I1631" t="s">
        <v>119</v>
      </c>
    </row>
    <row r="1632" spans="1:9" x14ac:dyDescent="0.45">
      <c r="A1632" t="s">
        <v>2424</v>
      </c>
      <c r="B1632" t="s">
        <v>99</v>
      </c>
      <c r="C1632" t="s">
        <v>1420</v>
      </c>
      <c r="D1632" t="s">
        <v>155</v>
      </c>
      <c r="E1632">
        <v>1452</v>
      </c>
      <c r="F1632" s="2">
        <v>45477.666684444448</v>
      </c>
      <c r="G1632" t="s">
        <v>102</v>
      </c>
      <c r="I1632" t="s">
        <v>112</v>
      </c>
    </row>
    <row r="1633" spans="1:9" x14ac:dyDescent="0.45">
      <c r="A1633" t="s">
        <v>2425</v>
      </c>
      <c r="B1633" t="s">
        <v>138</v>
      </c>
      <c r="C1633" t="s">
        <v>1100</v>
      </c>
      <c r="D1633" t="s">
        <v>74</v>
      </c>
      <c r="E1633">
        <v>3789.55</v>
      </c>
      <c r="F1633" s="2">
        <v>45289.666684444448</v>
      </c>
      <c r="G1633" t="s">
        <v>140</v>
      </c>
      <c r="H1633" t="s">
        <v>133</v>
      </c>
      <c r="I1633" t="s">
        <v>77</v>
      </c>
    </row>
    <row r="1634" spans="1:9" x14ac:dyDescent="0.45">
      <c r="A1634" t="s">
        <v>2426</v>
      </c>
      <c r="B1634" t="s">
        <v>138</v>
      </c>
      <c r="C1634" t="s">
        <v>2427</v>
      </c>
      <c r="D1634" t="s">
        <v>92</v>
      </c>
      <c r="E1634">
        <v>7746.14</v>
      </c>
      <c r="F1634" s="2">
        <v>45506.666684444448</v>
      </c>
      <c r="G1634" t="s">
        <v>194</v>
      </c>
      <c r="H1634" t="s">
        <v>133</v>
      </c>
      <c r="I1634" t="s">
        <v>82</v>
      </c>
    </row>
    <row r="1635" spans="1:9" x14ac:dyDescent="0.45">
      <c r="A1635" t="s">
        <v>2428</v>
      </c>
      <c r="B1635" t="s">
        <v>138</v>
      </c>
      <c r="C1635" t="s">
        <v>1931</v>
      </c>
      <c r="D1635" t="s">
        <v>74</v>
      </c>
      <c r="E1635">
        <v>934.07</v>
      </c>
      <c r="F1635" s="2">
        <v>45447.666684444448</v>
      </c>
      <c r="G1635" t="s">
        <v>140</v>
      </c>
      <c r="H1635" t="s">
        <v>133</v>
      </c>
      <c r="I1635" t="s">
        <v>82</v>
      </c>
    </row>
    <row r="1636" spans="1:9" x14ac:dyDescent="0.45">
      <c r="A1636" t="s">
        <v>2429</v>
      </c>
      <c r="B1636" t="s">
        <v>99</v>
      </c>
      <c r="D1636" t="s">
        <v>101</v>
      </c>
      <c r="E1636">
        <v>8265.2099999999991</v>
      </c>
      <c r="F1636" s="2">
        <v>45460.666684444448</v>
      </c>
      <c r="G1636" t="s">
        <v>102</v>
      </c>
      <c r="I1636" t="s">
        <v>112</v>
      </c>
    </row>
    <row r="1637" spans="1:9" x14ac:dyDescent="0.45">
      <c r="A1637" t="s">
        <v>2430</v>
      </c>
      <c r="B1637" t="s">
        <v>99</v>
      </c>
      <c r="C1637" t="s">
        <v>2357</v>
      </c>
      <c r="D1637" t="s">
        <v>85</v>
      </c>
      <c r="E1637">
        <v>1922.36</v>
      </c>
      <c r="F1637" s="2">
        <v>45709.666684444448</v>
      </c>
      <c r="G1637" t="s">
        <v>102</v>
      </c>
      <c r="H1637" t="s">
        <v>81</v>
      </c>
      <c r="I1637" t="s">
        <v>82</v>
      </c>
    </row>
    <row r="1638" spans="1:9" x14ac:dyDescent="0.45">
      <c r="A1638" t="s">
        <v>2431</v>
      </c>
      <c r="B1638" t="s">
        <v>104</v>
      </c>
      <c r="C1638" t="s">
        <v>2357</v>
      </c>
      <c r="D1638" t="s">
        <v>101</v>
      </c>
      <c r="E1638">
        <v>0</v>
      </c>
      <c r="F1638" s="2">
        <v>45738.666684444448</v>
      </c>
      <c r="G1638" t="s">
        <v>115</v>
      </c>
      <c r="H1638" t="s">
        <v>116</v>
      </c>
      <c r="I1638" t="s">
        <v>119</v>
      </c>
    </row>
    <row r="1639" spans="1:9" x14ac:dyDescent="0.45">
      <c r="A1639" t="s">
        <v>2432</v>
      </c>
      <c r="B1639" t="s">
        <v>109</v>
      </c>
      <c r="D1639" t="s">
        <v>85</v>
      </c>
      <c r="E1639">
        <v>1276.42</v>
      </c>
      <c r="F1639" s="2">
        <v>45214.666684444448</v>
      </c>
      <c r="H1639" t="s">
        <v>107</v>
      </c>
      <c r="I1639" t="s">
        <v>119</v>
      </c>
    </row>
    <row r="1640" spans="1:9" x14ac:dyDescent="0.45">
      <c r="A1640" t="s">
        <v>2433</v>
      </c>
      <c r="B1640" t="s">
        <v>90</v>
      </c>
      <c r="C1640" t="s">
        <v>2434</v>
      </c>
      <c r="D1640" t="s">
        <v>74</v>
      </c>
      <c r="E1640">
        <v>0</v>
      </c>
      <c r="F1640" s="2">
        <v>45181.666684444448</v>
      </c>
      <c r="G1640" t="s">
        <v>93</v>
      </c>
      <c r="H1640" t="s">
        <v>136</v>
      </c>
      <c r="I1640" t="s">
        <v>82</v>
      </c>
    </row>
    <row r="1641" spans="1:9" x14ac:dyDescent="0.45">
      <c r="A1641" t="s">
        <v>2435</v>
      </c>
      <c r="B1641" t="s">
        <v>172</v>
      </c>
      <c r="C1641" t="s">
        <v>1493</v>
      </c>
      <c r="D1641" t="s">
        <v>101</v>
      </c>
      <c r="E1641">
        <v>0</v>
      </c>
      <c r="F1641" s="2">
        <v>45287.666684444448</v>
      </c>
      <c r="G1641" t="s">
        <v>174</v>
      </c>
      <c r="H1641" t="s">
        <v>133</v>
      </c>
      <c r="I1641" t="s">
        <v>77</v>
      </c>
    </row>
    <row r="1642" spans="1:9" x14ac:dyDescent="0.45">
      <c r="A1642" t="s">
        <v>2436</v>
      </c>
      <c r="B1642" t="s">
        <v>109</v>
      </c>
      <c r="C1642" t="s">
        <v>223</v>
      </c>
      <c r="D1642" t="s">
        <v>85</v>
      </c>
      <c r="E1642">
        <v>6039.17</v>
      </c>
      <c r="F1642" s="2">
        <v>45289.666684444448</v>
      </c>
      <c r="G1642" t="s">
        <v>111</v>
      </c>
      <c r="H1642" t="s">
        <v>118</v>
      </c>
      <c r="I1642" t="s">
        <v>119</v>
      </c>
    </row>
    <row r="1643" spans="1:9" x14ac:dyDescent="0.45">
      <c r="A1643" t="s">
        <v>2437</v>
      </c>
      <c r="B1643" t="s">
        <v>104</v>
      </c>
      <c r="C1643" t="s">
        <v>436</v>
      </c>
      <c r="D1643" t="s">
        <v>101</v>
      </c>
      <c r="E1643">
        <v>3552.77</v>
      </c>
      <c r="F1643" s="2">
        <v>45760.666684444448</v>
      </c>
      <c r="G1643" t="s">
        <v>115</v>
      </c>
      <c r="H1643" t="s">
        <v>107</v>
      </c>
      <c r="I1643" t="s">
        <v>77</v>
      </c>
    </row>
    <row r="1644" spans="1:9" x14ac:dyDescent="0.45">
      <c r="A1644" t="s">
        <v>2438</v>
      </c>
      <c r="B1644" t="s">
        <v>99</v>
      </c>
      <c r="C1644" t="s">
        <v>1667</v>
      </c>
      <c r="D1644" t="s">
        <v>148</v>
      </c>
      <c r="E1644">
        <v>2031.98</v>
      </c>
      <c r="F1644" s="2">
        <v>45178.666684444448</v>
      </c>
      <c r="G1644" t="s">
        <v>102</v>
      </c>
      <c r="H1644" t="s">
        <v>87</v>
      </c>
      <c r="I1644" t="s">
        <v>82</v>
      </c>
    </row>
    <row r="1645" spans="1:9" x14ac:dyDescent="0.45">
      <c r="A1645" t="s">
        <v>2439</v>
      </c>
      <c r="B1645" t="s">
        <v>95</v>
      </c>
      <c r="C1645" t="s">
        <v>599</v>
      </c>
      <c r="D1645" t="s">
        <v>85</v>
      </c>
      <c r="E1645">
        <v>6862.18</v>
      </c>
      <c r="F1645" s="2">
        <v>45818.666684444448</v>
      </c>
      <c r="G1645" t="s">
        <v>97</v>
      </c>
      <c r="I1645" t="s">
        <v>112</v>
      </c>
    </row>
    <row r="1646" spans="1:9" x14ac:dyDescent="0.45">
      <c r="A1646" t="s">
        <v>2440</v>
      </c>
      <c r="B1646" t="s">
        <v>90</v>
      </c>
      <c r="C1646" t="s">
        <v>1603</v>
      </c>
      <c r="D1646" t="s">
        <v>101</v>
      </c>
      <c r="E1646">
        <v>2517.3000000000002</v>
      </c>
      <c r="F1646" s="2">
        <v>45211.666684444448</v>
      </c>
      <c r="H1646" t="s">
        <v>76</v>
      </c>
      <c r="I1646" t="s">
        <v>163</v>
      </c>
    </row>
    <row r="1647" spans="1:9" x14ac:dyDescent="0.45">
      <c r="A1647" t="s">
        <v>2441</v>
      </c>
      <c r="B1647" t="s">
        <v>138</v>
      </c>
      <c r="C1647" t="s">
        <v>1425</v>
      </c>
      <c r="D1647" t="s">
        <v>74</v>
      </c>
      <c r="E1647">
        <v>0</v>
      </c>
      <c r="F1647" s="2">
        <v>45406.666684444448</v>
      </c>
      <c r="G1647" t="s">
        <v>140</v>
      </c>
      <c r="H1647" t="s">
        <v>87</v>
      </c>
      <c r="I1647" t="s">
        <v>88</v>
      </c>
    </row>
    <row r="1648" spans="1:9" x14ac:dyDescent="0.45">
      <c r="A1648" t="s">
        <v>2442</v>
      </c>
      <c r="B1648" t="s">
        <v>99</v>
      </c>
      <c r="C1648" t="s">
        <v>2434</v>
      </c>
      <c r="D1648" t="s">
        <v>85</v>
      </c>
      <c r="E1648">
        <v>7387.34</v>
      </c>
      <c r="F1648" s="2">
        <v>45581.666684444448</v>
      </c>
      <c r="G1648" t="s">
        <v>102</v>
      </c>
      <c r="H1648" t="s">
        <v>145</v>
      </c>
      <c r="I1648" t="s">
        <v>82</v>
      </c>
    </row>
    <row r="1649" spans="1:9" x14ac:dyDescent="0.45">
      <c r="A1649" t="s">
        <v>2443</v>
      </c>
      <c r="B1649" t="s">
        <v>104</v>
      </c>
      <c r="C1649" t="s">
        <v>2444</v>
      </c>
      <c r="D1649" t="s">
        <v>92</v>
      </c>
      <c r="E1649">
        <v>0</v>
      </c>
      <c r="F1649" s="2">
        <v>45805.666684444448</v>
      </c>
      <c r="G1649" t="s">
        <v>115</v>
      </c>
      <c r="H1649" t="s">
        <v>76</v>
      </c>
      <c r="I1649" t="s">
        <v>112</v>
      </c>
    </row>
    <row r="1650" spans="1:9" x14ac:dyDescent="0.45">
      <c r="A1650" t="s">
        <v>2445</v>
      </c>
      <c r="B1650" t="s">
        <v>95</v>
      </c>
      <c r="D1650" t="s">
        <v>101</v>
      </c>
      <c r="E1650">
        <v>11764.97</v>
      </c>
      <c r="F1650" s="2">
        <v>45562.666684444448</v>
      </c>
      <c r="G1650" t="s">
        <v>336</v>
      </c>
      <c r="I1650" t="s">
        <v>88</v>
      </c>
    </row>
    <row r="1651" spans="1:9" x14ac:dyDescent="0.45">
      <c r="A1651" t="s">
        <v>2446</v>
      </c>
      <c r="B1651" t="s">
        <v>72</v>
      </c>
      <c r="C1651" t="s">
        <v>1603</v>
      </c>
      <c r="E1651">
        <v>11400.83</v>
      </c>
      <c r="F1651" s="2">
        <v>45625.666684444448</v>
      </c>
      <c r="G1651" t="s">
        <v>75</v>
      </c>
      <c r="H1651" t="s">
        <v>87</v>
      </c>
      <c r="I1651" t="s">
        <v>119</v>
      </c>
    </row>
    <row r="1652" spans="1:9" x14ac:dyDescent="0.45">
      <c r="A1652" t="s">
        <v>2447</v>
      </c>
      <c r="B1652" t="s">
        <v>138</v>
      </c>
      <c r="C1652" t="s">
        <v>1427</v>
      </c>
      <c r="D1652" t="s">
        <v>101</v>
      </c>
      <c r="E1652">
        <v>305.05</v>
      </c>
      <c r="F1652" s="2">
        <v>45749.666684444448</v>
      </c>
      <c r="G1652" t="s">
        <v>140</v>
      </c>
      <c r="H1652" t="s">
        <v>133</v>
      </c>
      <c r="I1652" t="s">
        <v>163</v>
      </c>
    </row>
    <row r="1653" spans="1:9" x14ac:dyDescent="0.45">
      <c r="A1653" t="s">
        <v>2448</v>
      </c>
      <c r="B1653" t="s">
        <v>172</v>
      </c>
      <c r="C1653" t="s">
        <v>2449</v>
      </c>
      <c r="E1653">
        <v>0</v>
      </c>
      <c r="F1653" s="2">
        <v>45580.666684444448</v>
      </c>
      <c r="G1653" t="s">
        <v>174</v>
      </c>
      <c r="H1653" t="s">
        <v>87</v>
      </c>
      <c r="I1653" t="s">
        <v>82</v>
      </c>
    </row>
    <row r="1654" spans="1:9" x14ac:dyDescent="0.45">
      <c r="A1654" t="s">
        <v>2450</v>
      </c>
      <c r="B1654" t="s">
        <v>99</v>
      </c>
      <c r="C1654" t="s">
        <v>1603</v>
      </c>
      <c r="D1654" t="s">
        <v>74</v>
      </c>
      <c r="E1654">
        <v>739.7</v>
      </c>
      <c r="F1654" s="2">
        <v>45552.666684444448</v>
      </c>
      <c r="G1654" t="s">
        <v>285</v>
      </c>
      <c r="H1654" t="s">
        <v>136</v>
      </c>
      <c r="I1654" t="s">
        <v>88</v>
      </c>
    </row>
    <row r="1655" spans="1:9" x14ac:dyDescent="0.45">
      <c r="A1655" t="s">
        <v>2451</v>
      </c>
      <c r="B1655" t="s">
        <v>79</v>
      </c>
      <c r="C1655" t="s">
        <v>712</v>
      </c>
      <c r="D1655" t="s">
        <v>148</v>
      </c>
      <c r="E1655">
        <v>1703.2</v>
      </c>
      <c r="F1655" s="2">
        <v>45407.666684444448</v>
      </c>
      <c r="G1655" t="s">
        <v>86</v>
      </c>
      <c r="H1655" t="s">
        <v>76</v>
      </c>
      <c r="I1655" t="s">
        <v>112</v>
      </c>
    </row>
    <row r="1656" spans="1:9" x14ac:dyDescent="0.45">
      <c r="A1656" t="s">
        <v>2452</v>
      </c>
      <c r="B1656" t="s">
        <v>95</v>
      </c>
      <c r="C1656" t="s">
        <v>785</v>
      </c>
      <c r="D1656" t="s">
        <v>85</v>
      </c>
      <c r="E1656">
        <v>9870.2099999999991</v>
      </c>
      <c r="F1656" s="2">
        <v>45348.666684444448</v>
      </c>
      <c r="G1656" t="s">
        <v>97</v>
      </c>
      <c r="I1656" t="s">
        <v>88</v>
      </c>
    </row>
    <row r="1657" spans="1:9" x14ac:dyDescent="0.45">
      <c r="A1657" t="s">
        <v>2453</v>
      </c>
      <c r="B1657" t="s">
        <v>95</v>
      </c>
      <c r="C1657" t="s">
        <v>847</v>
      </c>
      <c r="D1657" t="s">
        <v>101</v>
      </c>
      <c r="E1657">
        <v>2915.62</v>
      </c>
      <c r="F1657" s="2">
        <v>45652.666684444448</v>
      </c>
      <c r="G1657" t="s">
        <v>97</v>
      </c>
      <c r="H1657" t="s">
        <v>116</v>
      </c>
      <c r="I1657" t="s">
        <v>112</v>
      </c>
    </row>
    <row r="1658" spans="1:9" x14ac:dyDescent="0.45">
      <c r="A1658" t="s">
        <v>2454</v>
      </c>
      <c r="B1658" t="s">
        <v>90</v>
      </c>
      <c r="C1658" t="s">
        <v>2321</v>
      </c>
      <c r="D1658" t="s">
        <v>101</v>
      </c>
      <c r="E1658">
        <v>3313.03</v>
      </c>
      <c r="F1658" s="2">
        <v>45244.666684444448</v>
      </c>
      <c r="G1658" t="s">
        <v>93</v>
      </c>
      <c r="H1658" t="s">
        <v>87</v>
      </c>
      <c r="I1658" t="s">
        <v>119</v>
      </c>
    </row>
    <row r="1659" spans="1:9" x14ac:dyDescent="0.45">
      <c r="A1659" t="s">
        <v>2416</v>
      </c>
      <c r="B1659" t="s">
        <v>138</v>
      </c>
      <c r="C1659" t="s">
        <v>1134</v>
      </c>
      <c r="D1659" t="s">
        <v>101</v>
      </c>
      <c r="E1659">
        <v>3050.13</v>
      </c>
      <c r="F1659" s="2">
        <v>45481.666684444448</v>
      </c>
      <c r="G1659" t="s">
        <v>140</v>
      </c>
      <c r="H1659" t="s">
        <v>81</v>
      </c>
      <c r="I1659" t="s">
        <v>88</v>
      </c>
    </row>
    <row r="1660" spans="1:9" x14ac:dyDescent="0.45">
      <c r="A1660" t="s">
        <v>2455</v>
      </c>
      <c r="B1660" t="s">
        <v>99</v>
      </c>
      <c r="C1660" t="s">
        <v>1161</v>
      </c>
      <c r="D1660" t="s">
        <v>106</v>
      </c>
      <c r="E1660">
        <v>11593.2</v>
      </c>
      <c r="F1660" s="2">
        <v>45568.666684444448</v>
      </c>
      <c r="G1660" t="s">
        <v>102</v>
      </c>
      <c r="H1660" t="s">
        <v>145</v>
      </c>
      <c r="I1660" t="s">
        <v>82</v>
      </c>
    </row>
    <row r="1661" spans="1:9" x14ac:dyDescent="0.45">
      <c r="A1661" t="s">
        <v>2456</v>
      </c>
      <c r="B1661" t="s">
        <v>79</v>
      </c>
      <c r="D1661" t="s">
        <v>74</v>
      </c>
      <c r="E1661">
        <v>3415.32</v>
      </c>
      <c r="F1661" s="2">
        <v>45241.666684444448</v>
      </c>
      <c r="G1661" t="s">
        <v>86</v>
      </c>
      <c r="H1661" t="s">
        <v>76</v>
      </c>
      <c r="I1661" t="s">
        <v>77</v>
      </c>
    </row>
    <row r="1662" spans="1:9" x14ac:dyDescent="0.45">
      <c r="A1662" t="s">
        <v>2457</v>
      </c>
      <c r="B1662" t="s">
        <v>138</v>
      </c>
      <c r="C1662" t="s">
        <v>2458</v>
      </c>
      <c r="D1662" t="s">
        <v>74</v>
      </c>
      <c r="E1662">
        <v>5574.15</v>
      </c>
      <c r="F1662" s="2">
        <v>45418.666684444448</v>
      </c>
      <c r="G1662" t="s">
        <v>140</v>
      </c>
      <c r="H1662" t="s">
        <v>107</v>
      </c>
      <c r="I1662" t="s">
        <v>88</v>
      </c>
    </row>
    <row r="1663" spans="1:9" x14ac:dyDescent="0.45">
      <c r="A1663" t="s">
        <v>2459</v>
      </c>
      <c r="B1663" t="s">
        <v>104</v>
      </c>
      <c r="C1663" t="s">
        <v>678</v>
      </c>
      <c r="D1663" t="s">
        <v>85</v>
      </c>
      <c r="E1663">
        <v>2068.69</v>
      </c>
      <c r="F1663" s="2">
        <v>45822.666684444448</v>
      </c>
      <c r="G1663" t="s">
        <v>115</v>
      </c>
      <c r="H1663" t="s">
        <v>136</v>
      </c>
      <c r="I1663" t="s">
        <v>77</v>
      </c>
    </row>
    <row r="1664" spans="1:9" x14ac:dyDescent="0.45">
      <c r="A1664" t="s">
        <v>2460</v>
      </c>
      <c r="B1664" t="s">
        <v>79</v>
      </c>
      <c r="C1664" t="s">
        <v>1626</v>
      </c>
      <c r="D1664" t="s">
        <v>85</v>
      </c>
      <c r="E1664">
        <v>8753.11</v>
      </c>
      <c r="F1664" s="2">
        <v>45822.666684444448</v>
      </c>
      <c r="G1664" t="s">
        <v>86</v>
      </c>
      <c r="H1664" t="s">
        <v>128</v>
      </c>
      <c r="I1664" t="s">
        <v>119</v>
      </c>
    </row>
    <row r="1665" spans="1:9" x14ac:dyDescent="0.45">
      <c r="A1665" t="s">
        <v>2461</v>
      </c>
      <c r="B1665" t="s">
        <v>109</v>
      </c>
      <c r="C1665" t="s">
        <v>472</v>
      </c>
      <c r="D1665" t="s">
        <v>85</v>
      </c>
      <c r="E1665">
        <v>1868.1</v>
      </c>
      <c r="F1665" s="2">
        <v>45735.666684444448</v>
      </c>
      <c r="G1665" t="s">
        <v>111</v>
      </c>
      <c r="H1665" t="s">
        <v>107</v>
      </c>
      <c r="I1665" t="s">
        <v>88</v>
      </c>
    </row>
    <row r="1666" spans="1:9" x14ac:dyDescent="0.45">
      <c r="A1666" t="s">
        <v>2462</v>
      </c>
      <c r="B1666" t="s">
        <v>109</v>
      </c>
      <c r="C1666" t="s">
        <v>801</v>
      </c>
      <c r="D1666" t="s">
        <v>92</v>
      </c>
      <c r="E1666">
        <v>2708.34</v>
      </c>
      <c r="F1666" s="2">
        <v>45626.666684444448</v>
      </c>
      <c r="G1666" t="s">
        <v>111</v>
      </c>
      <c r="H1666" t="s">
        <v>136</v>
      </c>
      <c r="I1666" t="s">
        <v>77</v>
      </c>
    </row>
    <row r="1667" spans="1:9" x14ac:dyDescent="0.45">
      <c r="A1667" t="s">
        <v>2463</v>
      </c>
      <c r="B1667" t="s">
        <v>95</v>
      </c>
      <c r="C1667" t="s">
        <v>2464</v>
      </c>
      <c r="D1667" t="s">
        <v>101</v>
      </c>
      <c r="E1667">
        <v>0</v>
      </c>
      <c r="F1667" s="2">
        <v>45667.666684444448</v>
      </c>
      <c r="G1667" t="s">
        <v>97</v>
      </c>
      <c r="H1667" t="s">
        <v>116</v>
      </c>
      <c r="I1667" t="s">
        <v>163</v>
      </c>
    </row>
    <row r="1668" spans="1:9" x14ac:dyDescent="0.45">
      <c r="A1668" t="s">
        <v>2465</v>
      </c>
      <c r="B1668" t="s">
        <v>104</v>
      </c>
      <c r="C1668" t="s">
        <v>1452</v>
      </c>
      <c r="D1668" t="s">
        <v>155</v>
      </c>
      <c r="E1668">
        <v>8048.44</v>
      </c>
      <c r="F1668" s="2">
        <v>45811.666684444448</v>
      </c>
      <c r="G1668" t="s">
        <v>115</v>
      </c>
      <c r="H1668" t="s">
        <v>145</v>
      </c>
      <c r="I1668" t="s">
        <v>77</v>
      </c>
    </row>
    <row r="1669" spans="1:9" x14ac:dyDescent="0.45">
      <c r="A1669" t="s">
        <v>2466</v>
      </c>
      <c r="B1669" t="s">
        <v>109</v>
      </c>
      <c r="C1669" t="s">
        <v>1561</v>
      </c>
      <c r="D1669" t="s">
        <v>101</v>
      </c>
      <c r="E1669">
        <v>855.88</v>
      </c>
      <c r="F1669" s="2">
        <v>45443.666684444448</v>
      </c>
      <c r="G1669" t="s">
        <v>111</v>
      </c>
      <c r="H1669" t="s">
        <v>133</v>
      </c>
      <c r="I1669" t="s">
        <v>163</v>
      </c>
    </row>
    <row r="1670" spans="1:9" x14ac:dyDescent="0.45">
      <c r="A1670" t="s">
        <v>2467</v>
      </c>
      <c r="B1670" t="s">
        <v>95</v>
      </c>
      <c r="C1670" t="s">
        <v>170</v>
      </c>
      <c r="D1670" t="s">
        <v>74</v>
      </c>
      <c r="E1670">
        <v>0</v>
      </c>
      <c r="F1670" s="2">
        <v>45174.666684444448</v>
      </c>
      <c r="G1670" t="s">
        <v>97</v>
      </c>
      <c r="H1670" t="s">
        <v>87</v>
      </c>
      <c r="I1670" t="s">
        <v>82</v>
      </c>
    </row>
    <row r="1671" spans="1:9" x14ac:dyDescent="0.45">
      <c r="A1671" t="s">
        <v>2468</v>
      </c>
      <c r="B1671" t="s">
        <v>99</v>
      </c>
      <c r="C1671" t="s">
        <v>251</v>
      </c>
      <c r="D1671" t="s">
        <v>92</v>
      </c>
      <c r="E1671">
        <v>3483.53</v>
      </c>
      <c r="F1671" s="2">
        <v>45353.666684444448</v>
      </c>
      <c r="G1671" t="s">
        <v>102</v>
      </c>
      <c r="H1671" t="s">
        <v>128</v>
      </c>
      <c r="I1671" t="s">
        <v>82</v>
      </c>
    </row>
    <row r="1672" spans="1:9" x14ac:dyDescent="0.45">
      <c r="A1672" t="s">
        <v>453</v>
      </c>
      <c r="B1672" t="s">
        <v>95</v>
      </c>
      <c r="C1672" t="s">
        <v>2066</v>
      </c>
      <c r="D1672" t="s">
        <v>85</v>
      </c>
      <c r="E1672">
        <v>1912.68</v>
      </c>
      <c r="F1672" s="2">
        <v>45532.666684444448</v>
      </c>
      <c r="G1672" t="s">
        <v>97</v>
      </c>
      <c r="H1672" t="s">
        <v>116</v>
      </c>
      <c r="I1672" t="s">
        <v>112</v>
      </c>
    </row>
    <row r="1673" spans="1:9" x14ac:dyDescent="0.45">
      <c r="A1673" t="s">
        <v>2469</v>
      </c>
      <c r="B1673" t="s">
        <v>99</v>
      </c>
      <c r="C1673" t="s">
        <v>472</v>
      </c>
      <c r="D1673" t="s">
        <v>101</v>
      </c>
      <c r="E1673">
        <v>0</v>
      </c>
      <c r="F1673" s="2">
        <v>45741.666684444448</v>
      </c>
      <c r="G1673" t="s">
        <v>102</v>
      </c>
      <c r="H1673" t="s">
        <v>118</v>
      </c>
      <c r="I1673" t="s">
        <v>112</v>
      </c>
    </row>
    <row r="1674" spans="1:9" x14ac:dyDescent="0.45">
      <c r="A1674" t="s">
        <v>2470</v>
      </c>
      <c r="B1674" t="s">
        <v>104</v>
      </c>
      <c r="C1674" t="s">
        <v>123</v>
      </c>
      <c r="D1674" t="s">
        <v>85</v>
      </c>
      <c r="E1674">
        <v>4996.71</v>
      </c>
      <c r="F1674" s="2">
        <v>45184.666684444448</v>
      </c>
      <c r="G1674" t="s">
        <v>115</v>
      </c>
      <c r="H1674" t="s">
        <v>116</v>
      </c>
      <c r="I1674" t="s">
        <v>119</v>
      </c>
    </row>
    <row r="1675" spans="1:9" x14ac:dyDescent="0.45">
      <c r="A1675" t="s">
        <v>2471</v>
      </c>
      <c r="B1675" t="s">
        <v>90</v>
      </c>
      <c r="C1675" t="s">
        <v>2136</v>
      </c>
      <c r="D1675" t="s">
        <v>74</v>
      </c>
      <c r="E1675">
        <v>9922.84</v>
      </c>
      <c r="F1675" s="2">
        <v>45135.666684444448</v>
      </c>
      <c r="G1675" t="s">
        <v>93</v>
      </c>
      <c r="H1675" t="s">
        <v>116</v>
      </c>
      <c r="I1675" t="s">
        <v>163</v>
      </c>
    </row>
    <row r="1676" spans="1:9" x14ac:dyDescent="0.45">
      <c r="A1676" t="s">
        <v>2472</v>
      </c>
      <c r="B1676" t="s">
        <v>138</v>
      </c>
      <c r="C1676" t="s">
        <v>456</v>
      </c>
      <c r="D1676" t="s">
        <v>101</v>
      </c>
      <c r="E1676">
        <v>0</v>
      </c>
      <c r="F1676" s="2">
        <v>45337.666684444448</v>
      </c>
      <c r="G1676" t="s">
        <v>140</v>
      </c>
      <c r="H1676" t="s">
        <v>128</v>
      </c>
      <c r="I1676" t="s">
        <v>163</v>
      </c>
    </row>
    <row r="1677" spans="1:9" x14ac:dyDescent="0.45">
      <c r="A1677" t="s">
        <v>2473</v>
      </c>
      <c r="B1677" t="s">
        <v>95</v>
      </c>
      <c r="C1677" t="s">
        <v>685</v>
      </c>
      <c r="D1677" t="s">
        <v>148</v>
      </c>
      <c r="E1677">
        <v>4055.35</v>
      </c>
      <c r="F1677" s="2">
        <v>45436.666684444448</v>
      </c>
      <c r="G1677" t="s">
        <v>97</v>
      </c>
      <c r="H1677" t="s">
        <v>118</v>
      </c>
      <c r="I1677" t="s">
        <v>119</v>
      </c>
    </row>
    <row r="1678" spans="1:9" x14ac:dyDescent="0.45">
      <c r="A1678" t="s">
        <v>2474</v>
      </c>
      <c r="B1678" t="s">
        <v>95</v>
      </c>
      <c r="C1678" t="s">
        <v>2444</v>
      </c>
      <c r="D1678" t="s">
        <v>74</v>
      </c>
      <c r="E1678">
        <v>11190.52</v>
      </c>
      <c r="F1678" s="2">
        <v>45344.666684444448</v>
      </c>
      <c r="G1678" t="s">
        <v>97</v>
      </c>
      <c r="H1678" t="s">
        <v>87</v>
      </c>
      <c r="I1678" t="s">
        <v>82</v>
      </c>
    </row>
    <row r="1679" spans="1:9" x14ac:dyDescent="0.45">
      <c r="A1679" t="s">
        <v>2475</v>
      </c>
      <c r="B1679" t="s">
        <v>99</v>
      </c>
      <c r="C1679" t="s">
        <v>1746</v>
      </c>
      <c r="D1679" t="s">
        <v>101</v>
      </c>
      <c r="E1679">
        <v>7710.38</v>
      </c>
      <c r="F1679" s="2">
        <v>45268.666684444448</v>
      </c>
      <c r="G1679" t="s">
        <v>102</v>
      </c>
      <c r="H1679" t="s">
        <v>133</v>
      </c>
      <c r="I1679" t="s">
        <v>163</v>
      </c>
    </row>
    <row r="1680" spans="1:9" x14ac:dyDescent="0.45">
      <c r="A1680" t="s">
        <v>2476</v>
      </c>
      <c r="B1680" t="s">
        <v>109</v>
      </c>
      <c r="C1680" t="s">
        <v>2477</v>
      </c>
      <c r="E1680">
        <v>6085.73</v>
      </c>
      <c r="F1680" s="2">
        <v>45389.666684444448</v>
      </c>
      <c r="G1680" t="s">
        <v>111</v>
      </c>
      <c r="H1680" t="s">
        <v>76</v>
      </c>
      <c r="I1680" t="s">
        <v>119</v>
      </c>
    </row>
    <row r="1681" spans="1:9" x14ac:dyDescent="0.45">
      <c r="A1681" t="s">
        <v>2478</v>
      </c>
      <c r="B1681" t="s">
        <v>109</v>
      </c>
      <c r="C1681" t="s">
        <v>2479</v>
      </c>
      <c r="D1681" t="s">
        <v>106</v>
      </c>
      <c r="E1681">
        <v>10580.67</v>
      </c>
      <c r="F1681" s="2">
        <v>45424.666684444448</v>
      </c>
      <c r="G1681" t="s">
        <v>111</v>
      </c>
      <c r="H1681" t="s">
        <v>107</v>
      </c>
      <c r="I1681" t="s">
        <v>119</v>
      </c>
    </row>
    <row r="1682" spans="1:9" x14ac:dyDescent="0.45">
      <c r="A1682" t="s">
        <v>2480</v>
      </c>
      <c r="B1682" t="s">
        <v>95</v>
      </c>
      <c r="C1682" t="s">
        <v>241</v>
      </c>
      <c r="D1682" t="s">
        <v>85</v>
      </c>
      <c r="E1682">
        <v>6986.17</v>
      </c>
      <c r="F1682" s="2">
        <v>45463.666684444448</v>
      </c>
      <c r="H1682" t="s">
        <v>145</v>
      </c>
      <c r="I1682" t="s">
        <v>163</v>
      </c>
    </row>
    <row r="1683" spans="1:9" x14ac:dyDescent="0.45">
      <c r="A1683" t="s">
        <v>2481</v>
      </c>
      <c r="B1683" t="s">
        <v>109</v>
      </c>
      <c r="C1683" t="s">
        <v>1977</v>
      </c>
      <c r="D1683" t="s">
        <v>85</v>
      </c>
      <c r="E1683">
        <v>7934.8</v>
      </c>
      <c r="F1683" s="2">
        <v>45250.666684444448</v>
      </c>
      <c r="G1683" t="s">
        <v>111</v>
      </c>
      <c r="H1683" t="s">
        <v>128</v>
      </c>
      <c r="I1683" t="s">
        <v>112</v>
      </c>
    </row>
    <row r="1684" spans="1:9" x14ac:dyDescent="0.45">
      <c r="A1684" t="s">
        <v>2482</v>
      </c>
      <c r="B1684" t="s">
        <v>109</v>
      </c>
      <c r="C1684" t="s">
        <v>834</v>
      </c>
      <c r="D1684" t="s">
        <v>85</v>
      </c>
      <c r="E1684">
        <v>128.30000000000001</v>
      </c>
      <c r="F1684" s="2">
        <v>45135.666684444448</v>
      </c>
      <c r="G1684" t="s">
        <v>111</v>
      </c>
      <c r="H1684" t="s">
        <v>81</v>
      </c>
      <c r="I1684" t="s">
        <v>88</v>
      </c>
    </row>
    <row r="1685" spans="1:9" x14ac:dyDescent="0.45">
      <c r="A1685" t="s">
        <v>2483</v>
      </c>
      <c r="B1685" t="s">
        <v>95</v>
      </c>
      <c r="C1685" t="s">
        <v>2284</v>
      </c>
      <c r="D1685" t="s">
        <v>155</v>
      </c>
      <c r="E1685">
        <v>10119.14</v>
      </c>
      <c r="F1685" s="2">
        <v>45637.666684444448</v>
      </c>
      <c r="G1685" t="s">
        <v>336</v>
      </c>
      <c r="H1685" t="s">
        <v>133</v>
      </c>
      <c r="I1685" t="s">
        <v>82</v>
      </c>
    </row>
    <row r="1686" spans="1:9" x14ac:dyDescent="0.45">
      <c r="A1686" t="s">
        <v>2484</v>
      </c>
      <c r="B1686" t="s">
        <v>72</v>
      </c>
      <c r="C1686" t="s">
        <v>162</v>
      </c>
      <c r="D1686" t="s">
        <v>148</v>
      </c>
      <c r="E1686">
        <v>3736.51</v>
      </c>
      <c r="F1686" s="2">
        <v>45568.666684444448</v>
      </c>
      <c r="G1686" t="s">
        <v>75</v>
      </c>
      <c r="H1686" t="s">
        <v>81</v>
      </c>
      <c r="I1686" t="s">
        <v>88</v>
      </c>
    </row>
    <row r="1687" spans="1:9" x14ac:dyDescent="0.45">
      <c r="A1687" t="s">
        <v>2485</v>
      </c>
      <c r="B1687" t="s">
        <v>72</v>
      </c>
      <c r="D1687" t="s">
        <v>74</v>
      </c>
      <c r="E1687">
        <v>1870.57</v>
      </c>
      <c r="F1687" s="2">
        <v>45307.666684444448</v>
      </c>
      <c r="G1687" t="s">
        <v>75</v>
      </c>
      <c r="H1687" t="s">
        <v>116</v>
      </c>
      <c r="I1687" t="s">
        <v>163</v>
      </c>
    </row>
    <row r="1688" spans="1:9" x14ac:dyDescent="0.45">
      <c r="A1688" t="s">
        <v>677</v>
      </c>
      <c r="B1688" t="s">
        <v>104</v>
      </c>
      <c r="C1688" t="s">
        <v>1277</v>
      </c>
      <c r="D1688" t="s">
        <v>101</v>
      </c>
      <c r="E1688">
        <v>8248.4699999999993</v>
      </c>
      <c r="F1688" s="2">
        <v>45260.666684444448</v>
      </c>
      <c r="G1688" t="s">
        <v>115</v>
      </c>
      <c r="H1688" t="s">
        <v>136</v>
      </c>
      <c r="I1688" t="s">
        <v>112</v>
      </c>
    </row>
    <row r="1689" spans="1:9" x14ac:dyDescent="0.45">
      <c r="A1689" t="s">
        <v>2486</v>
      </c>
      <c r="B1689" t="s">
        <v>172</v>
      </c>
      <c r="C1689" t="s">
        <v>2329</v>
      </c>
      <c r="D1689" t="s">
        <v>85</v>
      </c>
      <c r="E1689">
        <v>8556.2000000000007</v>
      </c>
      <c r="F1689" s="2">
        <v>45517.666684444448</v>
      </c>
      <c r="H1689" t="s">
        <v>136</v>
      </c>
      <c r="I1689" t="s">
        <v>88</v>
      </c>
    </row>
    <row r="1690" spans="1:9" x14ac:dyDescent="0.45">
      <c r="A1690" t="s">
        <v>2487</v>
      </c>
      <c r="B1690" t="s">
        <v>138</v>
      </c>
      <c r="C1690" t="s">
        <v>1263</v>
      </c>
      <c r="D1690" t="s">
        <v>92</v>
      </c>
      <c r="E1690">
        <v>3027.23</v>
      </c>
      <c r="F1690" s="2">
        <v>45673.666684444448</v>
      </c>
      <c r="G1690" t="s">
        <v>140</v>
      </c>
      <c r="H1690" t="s">
        <v>133</v>
      </c>
      <c r="I1690" t="s">
        <v>119</v>
      </c>
    </row>
    <row r="1691" spans="1:9" x14ac:dyDescent="0.45">
      <c r="A1691" t="s">
        <v>2488</v>
      </c>
      <c r="B1691" t="s">
        <v>172</v>
      </c>
      <c r="C1691" t="s">
        <v>939</v>
      </c>
      <c r="D1691" t="s">
        <v>85</v>
      </c>
      <c r="E1691">
        <v>11434.92</v>
      </c>
      <c r="F1691" s="2">
        <v>45848.666684444448</v>
      </c>
      <c r="H1691" t="s">
        <v>87</v>
      </c>
      <c r="I1691" t="s">
        <v>82</v>
      </c>
    </row>
    <row r="1692" spans="1:9" x14ac:dyDescent="0.45">
      <c r="A1692" t="s">
        <v>2489</v>
      </c>
      <c r="B1692" t="s">
        <v>109</v>
      </c>
      <c r="C1692" t="s">
        <v>1594</v>
      </c>
      <c r="D1692" t="s">
        <v>92</v>
      </c>
      <c r="E1692">
        <v>4046.64</v>
      </c>
      <c r="F1692" s="2">
        <v>45363.666684444448</v>
      </c>
      <c r="G1692" t="s">
        <v>111</v>
      </c>
      <c r="H1692" t="s">
        <v>118</v>
      </c>
      <c r="I1692" t="s">
        <v>119</v>
      </c>
    </row>
    <row r="1693" spans="1:9" x14ac:dyDescent="0.45">
      <c r="A1693" t="s">
        <v>2490</v>
      </c>
      <c r="B1693" t="s">
        <v>79</v>
      </c>
      <c r="C1693" t="s">
        <v>1307</v>
      </c>
      <c r="D1693" t="s">
        <v>106</v>
      </c>
      <c r="E1693">
        <v>0</v>
      </c>
      <c r="F1693" s="2">
        <v>45640.666684444448</v>
      </c>
      <c r="G1693" t="s">
        <v>86</v>
      </c>
      <c r="H1693" t="s">
        <v>87</v>
      </c>
      <c r="I1693" t="s">
        <v>77</v>
      </c>
    </row>
    <row r="1694" spans="1:9" x14ac:dyDescent="0.45">
      <c r="A1694" t="s">
        <v>2491</v>
      </c>
      <c r="B1694" t="s">
        <v>109</v>
      </c>
      <c r="C1694" t="s">
        <v>1064</v>
      </c>
      <c r="D1694" t="s">
        <v>74</v>
      </c>
      <c r="E1694">
        <v>5053.63</v>
      </c>
      <c r="F1694" s="2">
        <v>45700.666684444448</v>
      </c>
      <c r="G1694" t="s">
        <v>307</v>
      </c>
      <c r="H1694" t="s">
        <v>145</v>
      </c>
      <c r="I1694" t="s">
        <v>88</v>
      </c>
    </row>
    <row r="1695" spans="1:9" x14ac:dyDescent="0.45">
      <c r="A1695" t="s">
        <v>2492</v>
      </c>
      <c r="B1695" t="s">
        <v>95</v>
      </c>
      <c r="C1695" t="s">
        <v>1585</v>
      </c>
      <c r="D1695" t="s">
        <v>74</v>
      </c>
      <c r="E1695">
        <v>0</v>
      </c>
      <c r="F1695" s="2">
        <v>45812.666684444448</v>
      </c>
      <c r="G1695" t="s">
        <v>97</v>
      </c>
      <c r="H1695" t="s">
        <v>87</v>
      </c>
      <c r="I1695" t="s">
        <v>119</v>
      </c>
    </row>
    <row r="1696" spans="1:9" x14ac:dyDescent="0.45">
      <c r="A1696" t="s">
        <v>2493</v>
      </c>
      <c r="B1696" t="s">
        <v>95</v>
      </c>
      <c r="C1696" t="s">
        <v>547</v>
      </c>
      <c r="D1696" t="s">
        <v>101</v>
      </c>
      <c r="E1696">
        <v>5460.19</v>
      </c>
      <c r="F1696" s="2">
        <v>45490.666684444448</v>
      </c>
      <c r="G1696" t="s">
        <v>97</v>
      </c>
      <c r="H1696" t="s">
        <v>81</v>
      </c>
      <c r="I1696" t="s">
        <v>163</v>
      </c>
    </row>
    <row r="1697" spans="1:9" x14ac:dyDescent="0.45">
      <c r="A1697" t="s">
        <v>2494</v>
      </c>
      <c r="B1697" t="s">
        <v>138</v>
      </c>
      <c r="C1697" t="s">
        <v>462</v>
      </c>
      <c r="D1697" t="s">
        <v>101</v>
      </c>
      <c r="E1697">
        <v>7917.63</v>
      </c>
      <c r="F1697" s="2">
        <v>45201.666684444448</v>
      </c>
      <c r="G1697" t="s">
        <v>140</v>
      </c>
      <c r="H1697" t="s">
        <v>81</v>
      </c>
      <c r="I1697" t="s">
        <v>82</v>
      </c>
    </row>
    <row r="1698" spans="1:9" x14ac:dyDescent="0.45">
      <c r="A1698" t="s">
        <v>2495</v>
      </c>
      <c r="B1698" t="s">
        <v>90</v>
      </c>
      <c r="D1698" t="s">
        <v>74</v>
      </c>
      <c r="E1698">
        <v>2695.93</v>
      </c>
      <c r="F1698" s="2">
        <v>45534.666684444448</v>
      </c>
      <c r="G1698" t="s">
        <v>93</v>
      </c>
      <c r="H1698" t="s">
        <v>107</v>
      </c>
      <c r="I1698" t="s">
        <v>112</v>
      </c>
    </row>
    <row r="1699" spans="1:9" x14ac:dyDescent="0.45">
      <c r="A1699" t="s">
        <v>2496</v>
      </c>
      <c r="B1699" t="s">
        <v>90</v>
      </c>
      <c r="C1699" t="s">
        <v>1545</v>
      </c>
      <c r="D1699" t="s">
        <v>74</v>
      </c>
      <c r="E1699">
        <v>8494.35</v>
      </c>
      <c r="F1699" s="2">
        <v>45171.666684444448</v>
      </c>
      <c r="G1699" t="s">
        <v>93</v>
      </c>
      <c r="H1699" t="s">
        <v>116</v>
      </c>
      <c r="I1699" t="s">
        <v>163</v>
      </c>
    </row>
    <row r="1700" spans="1:9" x14ac:dyDescent="0.45">
      <c r="A1700" t="s">
        <v>2497</v>
      </c>
      <c r="B1700" t="s">
        <v>90</v>
      </c>
      <c r="C1700" t="s">
        <v>1134</v>
      </c>
      <c r="D1700" t="s">
        <v>92</v>
      </c>
      <c r="E1700">
        <v>10977.02</v>
      </c>
      <c r="F1700" s="2">
        <v>45574.666684444448</v>
      </c>
      <c r="G1700" t="s">
        <v>296</v>
      </c>
      <c r="H1700" t="s">
        <v>76</v>
      </c>
      <c r="I1700" t="s">
        <v>119</v>
      </c>
    </row>
    <row r="1701" spans="1:9" x14ac:dyDescent="0.45">
      <c r="A1701" t="s">
        <v>2498</v>
      </c>
      <c r="B1701" t="s">
        <v>104</v>
      </c>
      <c r="C1701" t="s">
        <v>2499</v>
      </c>
      <c r="D1701" t="s">
        <v>148</v>
      </c>
      <c r="E1701">
        <v>0</v>
      </c>
      <c r="F1701" s="2">
        <v>45147.666684444448</v>
      </c>
      <c r="G1701" t="s">
        <v>115</v>
      </c>
      <c r="H1701" t="s">
        <v>118</v>
      </c>
      <c r="I1701" t="s">
        <v>88</v>
      </c>
    </row>
    <row r="1702" spans="1:9" x14ac:dyDescent="0.45">
      <c r="A1702" t="s">
        <v>2500</v>
      </c>
      <c r="B1702" t="s">
        <v>109</v>
      </c>
      <c r="C1702" t="s">
        <v>2501</v>
      </c>
      <c r="D1702" t="s">
        <v>85</v>
      </c>
      <c r="E1702">
        <v>0</v>
      </c>
      <c r="F1702" s="2">
        <v>45598.666684444448</v>
      </c>
      <c r="G1702" t="s">
        <v>307</v>
      </c>
      <c r="H1702" t="s">
        <v>136</v>
      </c>
      <c r="I1702" t="s">
        <v>88</v>
      </c>
    </row>
    <row r="1703" spans="1:9" x14ac:dyDescent="0.45">
      <c r="A1703" t="s">
        <v>2502</v>
      </c>
      <c r="B1703" t="s">
        <v>95</v>
      </c>
      <c r="C1703" t="s">
        <v>1975</v>
      </c>
      <c r="D1703" t="s">
        <v>85</v>
      </c>
      <c r="E1703">
        <v>10913.53</v>
      </c>
      <c r="F1703" s="2">
        <v>45207.666684444448</v>
      </c>
      <c r="G1703" t="s">
        <v>97</v>
      </c>
      <c r="H1703" t="s">
        <v>133</v>
      </c>
      <c r="I1703" t="s">
        <v>119</v>
      </c>
    </row>
    <row r="1704" spans="1:9" x14ac:dyDescent="0.45">
      <c r="A1704" t="s">
        <v>2156</v>
      </c>
      <c r="B1704" t="s">
        <v>79</v>
      </c>
      <c r="C1704" t="s">
        <v>787</v>
      </c>
      <c r="D1704" t="s">
        <v>101</v>
      </c>
      <c r="E1704">
        <v>9455.2900000000009</v>
      </c>
      <c r="F1704" s="2">
        <v>45448.666684444448</v>
      </c>
      <c r="G1704" t="s">
        <v>86</v>
      </c>
      <c r="H1704" t="s">
        <v>133</v>
      </c>
      <c r="I1704" t="s">
        <v>82</v>
      </c>
    </row>
    <row r="1705" spans="1:9" x14ac:dyDescent="0.45">
      <c r="A1705" t="s">
        <v>2503</v>
      </c>
      <c r="B1705" t="s">
        <v>79</v>
      </c>
      <c r="C1705" t="s">
        <v>1799</v>
      </c>
      <c r="D1705" t="s">
        <v>92</v>
      </c>
      <c r="E1705">
        <v>5882.66</v>
      </c>
      <c r="F1705" s="2">
        <v>45717.666684444448</v>
      </c>
      <c r="G1705" t="s">
        <v>86</v>
      </c>
      <c r="H1705" t="s">
        <v>133</v>
      </c>
      <c r="I1705" t="s">
        <v>77</v>
      </c>
    </row>
    <row r="1706" spans="1:9" x14ac:dyDescent="0.45">
      <c r="A1706" t="s">
        <v>2504</v>
      </c>
      <c r="B1706" t="s">
        <v>79</v>
      </c>
      <c r="C1706" t="s">
        <v>2050</v>
      </c>
      <c r="D1706" t="s">
        <v>92</v>
      </c>
      <c r="E1706">
        <v>9933.94</v>
      </c>
      <c r="F1706" s="2">
        <v>45567.666684444448</v>
      </c>
      <c r="G1706" t="s">
        <v>86</v>
      </c>
      <c r="H1706" t="s">
        <v>116</v>
      </c>
      <c r="I1706" t="s">
        <v>119</v>
      </c>
    </row>
    <row r="1707" spans="1:9" x14ac:dyDescent="0.45">
      <c r="A1707" t="s">
        <v>2505</v>
      </c>
      <c r="B1707" t="s">
        <v>90</v>
      </c>
      <c r="C1707" t="s">
        <v>1067</v>
      </c>
      <c r="D1707" t="s">
        <v>85</v>
      </c>
      <c r="E1707">
        <v>0</v>
      </c>
      <c r="F1707" s="2">
        <v>45715.666684444448</v>
      </c>
      <c r="G1707" t="s">
        <v>93</v>
      </c>
      <c r="H1707" t="s">
        <v>116</v>
      </c>
      <c r="I1707" t="s">
        <v>119</v>
      </c>
    </row>
    <row r="1708" spans="1:9" x14ac:dyDescent="0.45">
      <c r="A1708" t="s">
        <v>2506</v>
      </c>
      <c r="B1708" t="s">
        <v>138</v>
      </c>
      <c r="C1708" t="s">
        <v>2418</v>
      </c>
      <c r="D1708" t="s">
        <v>74</v>
      </c>
      <c r="E1708">
        <v>1830.89</v>
      </c>
      <c r="F1708" s="2">
        <v>45542.666684444448</v>
      </c>
      <c r="G1708" t="s">
        <v>140</v>
      </c>
      <c r="H1708" t="s">
        <v>128</v>
      </c>
      <c r="I1708" t="s">
        <v>163</v>
      </c>
    </row>
    <row r="1709" spans="1:9" x14ac:dyDescent="0.45">
      <c r="A1709" t="s">
        <v>2507</v>
      </c>
      <c r="B1709" t="s">
        <v>90</v>
      </c>
      <c r="C1709" t="s">
        <v>699</v>
      </c>
      <c r="D1709" t="s">
        <v>74</v>
      </c>
      <c r="E1709">
        <v>5610.53</v>
      </c>
      <c r="F1709" s="2">
        <v>45854.666684444448</v>
      </c>
      <c r="G1709" t="s">
        <v>93</v>
      </c>
      <c r="H1709" t="s">
        <v>136</v>
      </c>
      <c r="I1709" t="s">
        <v>119</v>
      </c>
    </row>
    <row r="1710" spans="1:9" x14ac:dyDescent="0.45">
      <c r="A1710" t="s">
        <v>2508</v>
      </c>
      <c r="B1710" t="s">
        <v>95</v>
      </c>
      <c r="C1710" t="s">
        <v>696</v>
      </c>
      <c r="D1710" t="s">
        <v>74</v>
      </c>
      <c r="E1710">
        <v>5393.79</v>
      </c>
      <c r="F1710" s="2">
        <v>45783.666684444448</v>
      </c>
      <c r="G1710" t="s">
        <v>97</v>
      </c>
      <c r="H1710" t="s">
        <v>145</v>
      </c>
      <c r="I1710" t="s">
        <v>163</v>
      </c>
    </row>
    <row r="1711" spans="1:9" x14ac:dyDescent="0.45">
      <c r="A1711" t="s">
        <v>520</v>
      </c>
      <c r="B1711" t="s">
        <v>109</v>
      </c>
      <c r="C1711" t="s">
        <v>2509</v>
      </c>
      <c r="D1711" t="s">
        <v>85</v>
      </c>
      <c r="E1711">
        <v>10203.209999999999</v>
      </c>
      <c r="F1711" s="2">
        <v>45555.666684444448</v>
      </c>
      <c r="G1711" t="s">
        <v>111</v>
      </c>
      <c r="H1711" t="s">
        <v>133</v>
      </c>
      <c r="I1711" t="s">
        <v>77</v>
      </c>
    </row>
    <row r="1712" spans="1:9" x14ac:dyDescent="0.45">
      <c r="A1712" t="s">
        <v>2510</v>
      </c>
      <c r="B1712" t="s">
        <v>109</v>
      </c>
      <c r="C1712" t="s">
        <v>619</v>
      </c>
      <c r="E1712">
        <v>3485.75</v>
      </c>
      <c r="F1712" s="2">
        <v>45424.666684444448</v>
      </c>
      <c r="G1712" t="s">
        <v>111</v>
      </c>
      <c r="H1712" t="s">
        <v>76</v>
      </c>
      <c r="I1712" t="s">
        <v>82</v>
      </c>
    </row>
    <row r="1713" spans="1:9" x14ac:dyDescent="0.45">
      <c r="A1713" t="s">
        <v>2511</v>
      </c>
      <c r="B1713" t="s">
        <v>138</v>
      </c>
      <c r="C1713" t="s">
        <v>674</v>
      </c>
      <c r="D1713" t="s">
        <v>148</v>
      </c>
      <c r="E1713">
        <v>11057.2</v>
      </c>
      <c r="F1713" s="2">
        <v>45245.666684444448</v>
      </c>
      <c r="G1713" t="s">
        <v>140</v>
      </c>
      <c r="H1713" t="s">
        <v>133</v>
      </c>
      <c r="I1713" t="s">
        <v>82</v>
      </c>
    </row>
    <row r="1714" spans="1:9" x14ac:dyDescent="0.45">
      <c r="A1714" t="s">
        <v>2512</v>
      </c>
      <c r="B1714" t="s">
        <v>104</v>
      </c>
      <c r="C1714" t="s">
        <v>414</v>
      </c>
      <c r="D1714" t="s">
        <v>85</v>
      </c>
      <c r="E1714">
        <v>3345.07</v>
      </c>
      <c r="F1714" s="2">
        <v>45542.666684444448</v>
      </c>
      <c r="G1714" t="s">
        <v>115</v>
      </c>
      <c r="H1714" t="s">
        <v>107</v>
      </c>
      <c r="I1714" t="s">
        <v>82</v>
      </c>
    </row>
    <row r="1715" spans="1:9" x14ac:dyDescent="0.45">
      <c r="A1715" t="s">
        <v>2513</v>
      </c>
      <c r="B1715" t="s">
        <v>79</v>
      </c>
      <c r="C1715" t="s">
        <v>2413</v>
      </c>
      <c r="D1715" t="s">
        <v>92</v>
      </c>
      <c r="E1715">
        <v>11014.17</v>
      </c>
      <c r="F1715" s="2">
        <v>45149.666684444448</v>
      </c>
      <c r="G1715" t="s">
        <v>86</v>
      </c>
      <c r="H1715" t="s">
        <v>76</v>
      </c>
      <c r="I1715" t="s">
        <v>82</v>
      </c>
    </row>
    <row r="1716" spans="1:9" x14ac:dyDescent="0.45">
      <c r="A1716" t="s">
        <v>2514</v>
      </c>
      <c r="B1716" t="s">
        <v>109</v>
      </c>
      <c r="C1716" t="s">
        <v>554</v>
      </c>
      <c r="D1716" t="s">
        <v>155</v>
      </c>
      <c r="E1716">
        <v>6751.69</v>
      </c>
      <c r="F1716" s="2">
        <v>45460.666684444448</v>
      </c>
      <c r="G1716" t="s">
        <v>111</v>
      </c>
      <c r="H1716" t="s">
        <v>76</v>
      </c>
      <c r="I1716" t="s">
        <v>163</v>
      </c>
    </row>
    <row r="1717" spans="1:9" x14ac:dyDescent="0.45">
      <c r="A1717" t="s">
        <v>2515</v>
      </c>
      <c r="B1717" t="s">
        <v>138</v>
      </c>
      <c r="C1717" t="s">
        <v>2516</v>
      </c>
      <c r="D1717" t="s">
        <v>101</v>
      </c>
      <c r="E1717">
        <v>5125.59</v>
      </c>
      <c r="F1717" s="2">
        <v>45303.666684444448</v>
      </c>
      <c r="G1717" t="s">
        <v>140</v>
      </c>
      <c r="H1717" t="s">
        <v>81</v>
      </c>
      <c r="I1717" t="s">
        <v>119</v>
      </c>
    </row>
    <row r="1718" spans="1:9" x14ac:dyDescent="0.45">
      <c r="A1718" t="s">
        <v>2517</v>
      </c>
      <c r="B1718" t="s">
        <v>79</v>
      </c>
      <c r="C1718" t="s">
        <v>930</v>
      </c>
      <c r="D1718" t="s">
        <v>101</v>
      </c>
      <c r="E1718">
        <v>11934.31</v>
      </c>
      <c r="F1718" s="2">
        <v>45760.666684444448</v>
      </c>
      <c r="G1718" t="s">
        <v>86</v>
      </c>
      <c r="I1718" t="s">
        <v>88</v>
      </c>
    </row>
    <row r="1719" spans="1:9" x14ac:dyDescent="0.45">
      <c r="A1719" t="s">
        <v>2518</v>
      </c>
      <c r="B1719" t="s">
        <v>90</v>
      </c>
      <c r="C1719" t="s">
        <v>173</v>
      </c>
      <c r="D1719" t="s">
        <v>155</v>
      </c>
      <c r="E1719">
        <v>10121.75</v>
      </c>
      <c r="F1719" s="2">
        <v>45599.666684444448</v>
      </c>
      <c r="G1719" t="s">
        <v>296</v>
      </c>
      <c r="H1719" t="s">
        <v>116</v>
      </c>
      <c r="I1719" t="s">
        <v>82</v>
      </c>
    </row>
    <row r="1720" spans="1:9" x14ac:dyDescent="0.45">
      <c r="A1720" t="s">
        <v>2519</v>
      </c>
      <c r="B1720" t="s">
        <v>99</v>
      </c>
      <c r="C1720" t="s">
        <v>530</v>
      </c>
      <c r="D1720" t="s">
        <v>101</v>
      </c>
      <c r="E1720">
        <v>3538.39</v>
      </c>
      <c r="F1720" s="2">
        <v>45834.666684444448</v>
      </c>
      <c r="H1720" t="s">
        <v>76</v>
      </c>
      <c r="I1720" t="s">
        <v>163</v>
      </c>
    </row>
    <row r="1721" spans="1:9" x14ac:dyDescent="0.45">
      <c r="A1721" t="s">
        <v>2520</v>
      </c>
      <c r="B1721" t="s">
        <v>172</v>
      </c>
      <c r="C1721" t="s">
        <v>668</v>
      </c>
      <c r="D1721" t="s">
        <v>155</v>
      </c>
      <c r="E1721">
        <v>3306.68</v>
      </c>
      <c r="F1721" s="2">
        <v>45498.666684444448</v>
      </c>
      <c r="G1721" t="s">
        <v>174</v>
      </c>
      <c r="H1721" t="s">
        <v>107</v>
      </c>
      <c r="I1721" t="s">
        <v>88</v>
      </c>
    </row>
    <row r="1722" spans="1:9" x14ac:dyDescent="0.45">
      <c r="A1722" t="s">
        <v>2521</v>
      </c>
      <c r="B1722" t="s">
        <v>109</v>
      </c>
      <c r="D1722" t="s">
        <v>106</v>
      </c>
      <c r="E1722">
        <v>11019.1</v>
      </c>
      <c r="F1722" s="2">
        <v>45218.666684444448</v>
      </c>
      <c r="G1722" t="s">
        <v>111</v>
      </c>
      <c r="H1722" t="s">
        <v>116</v>
      </c>
      <c r="I1722" t="s">
        <v>119</v>
      </c>
    </row>
    <row r="1723" spans="1:9" x14ac:dyDescent="0.45">
      <c r="A1723" t="s">
        <v>2522</v>
      </c>
      <c r="B1723" t="s">
        <v>104</v>
      </c>
      <c r="C1723" t="s">
        <v>162</v>
      </c>
      <c r="D1723" t="s">
        <v>92</v>
      </c>
      <c r="E1723">
        <v>9636.67</v>
      </c>
      <c r="F1723" s="2">
        <v>45575.666684444448</v>
      </c>
      <c r="G1723" t="s">
        <v>115</v>
      </c>
      <c r="H1723" t="s">
        <v>128</v>
      </c>
      <c r="I1723" t="s">
        <v>163</v>
      </c>
    </row>
    <row r="1724" spans="1:9" x14ac:dyDescent="0.45">
      <c r="A1724" t="s">
        <v>2523</v>
      </c>
      <c r="B1724" t="s">
        <v>138</v>
      </c>
      <c r="C1724" t="s">
        <v>150</v>
      </c>
      <c r="E1724">
        <v>2317.89</v>
      </c>
      <c r="F1724" s="2">
        <v>45236.666684444448</v>
      </c>
      <c r="G1724" t="s">
        <v>140</v>
      </c>
      <c r="H1724" t="s">
        <v>87</v>
      </c>
      <c r="I1724" t="s">
        <v>82</v>
      </c>
    </row>
    <row r="1725" spans="1:9" x14ac:dyDescent="0.45">
      <c r="A1725" t="s">
        <v>2524</v>
      </c>
      <c r="B1725" t="s">
        <v>104</v>
      </c>
      <c r="C1725" t="s">
        <v>1656</v>
      </c>
      <c r="D1725" t="s">
        <v>92</v>
      </c>
      <c r="E1725">
        <v>1121.6199999999999</v>
      </c>
      <c r="F1725" s="2">
        <v>45377.666684444448</v>
      </c>
      <c r="G1725" t="s">
        <v>247</v>
      </c>
      <c r="H1725" t="s">
        <v>76</v>
      </c>
      <c r="I1725" t="s">
        <v>77</v>
      </c>
    </row>
    <row r="1726" spans="1:9" x14ac:dyDescent="0.45">
      <c r="A1726" t="s">
        <v>2525</v>
      </c>
      <c r="B1726" t="s">
        <v>90</v>
      </c>
      <c r="C1726" t="s">
        <v>1827</v>
      </c>
      <c r="D1726" t="s">
        <v>92</v>
      </c>
      <c r="E1726">
        <v>1946.83</v>
      </c>
      <c r="F1726" s="2">
        <v>45574.666684444448</v>
      </c>
      <c r="G1726" t="s">
        <v>93</v>
      </c>
      <c r="H1726" t="s">
        <v>116</v>
      </c>
      <c r="I1726" t="s">
        <v>163</v>
      </c>
    </row>
    <row r="1727" spans="1:9" x14ac:dyDescent="0.45">
      <c r="A1727" t="s">
        <v>2526</v>
      </c>
      <c r="B1727" t="s">
        <v>109</v>
      </c>
      <c r="C1727" t="s">
        <v>173</v>
      </c>
      <c r="D1727" t="s">
        <v>101</v>
      </c>
      <c r="E1727">
        <v>9995.7800000000007</v>
      </c>
      <c r="F1727" s="2">
        <v>45731.666684444448</v>
      </c>
      <c r="G1727" t="s">
        <v>111</v>
      </c>
      <c r="H1727" t="s">
        <v>136</v>
      </c>
      <c r="I1727" t="s">
        <v>163</v>
      </c>
    </row>
    <row r="1728" spans="1:9" x14ac:dyDescent="0.45">
      <c r="A1728" t="s">
        <v>2527</v>
      </c>
      <c r="B1728" t="s">
        <v>95</v>
      </c>
      <c r="C1728" t="s">
        <v>1015</v>
      </c>
      <c r="D1728" t="s">
        <v>74</v>
      </c>
      <c r="E1728">
        <v>3815.52</v>
      </c>
      <c r="F1728" s="2">
        <v>45538.666684444448</v>
      </c>
      <c r="G1728" t="s">
        <v>97</v>
      </c>
      <c r="H1728" t="s">
        <v>81</v>
      </c>
      <c r="I1728" t="s">
        <v>77</v>
      </c>
    </row>
    <row r="1729" spans="1:9" x14ac:dyDescent="0.45">
      <c r="A1729" t="s">
        <v>2528</v>
      </c>
      <c r="B1729" t="s">
        <v>90</v>
      </c>
      <c r="C1729" t="s">
        <v>2501</v>
      </c>
      <c r="D1729" t="s">
        <v>101</v>
      </c>
      <c r="E1729">
        <v>6135.58</v>
      </c>
      <c r="F1729" s="2">
        <v>45664.666684444448</v>
      </c>
      <c r="H1729" t="s">
        <v>136</v>
      </c>
      <c r="I1729" t="s">
        <v>119</v>
      </c>
    </row>
    <row r="1730" spans="1:9" x14ac:dyDescent="0.45">
      <c r="A1730" t="s">
        <v>2529</v>
      </c>
      <c r="B1730" t="s">
        <v>90</v>
      </c>
      <c r="C1730" t="s">
        <v>1092</v>
      </c>
      <c r="D1730" t="s">
        <v>92</v>
      </c>
      <c r="E1730">
        <v>5743</v>
      </c>
      <c r="F1730" s="2">
        <v>45208.666684444448</v>
      </c>
      <c r="G1730" t="s">
        <v>93</v>
      </c>
      <c r="H1730" t="s">
        <v>107</v>
      </c>
      <c r="I1730" t="s">
        <v>82</v>
      </c>
    </row>
    <row r="1731" spans="1:9" x14ac:dyDescent="0.45">
      <c r="A1731" t="s">
        <v>2530</v>
      </c>
      <c r="B1731" t="s">
        <v>138</v>
      </c>
      <c r="C1731" t="s">
        <v>363</v>
      </c>
      <c r="D1731" t="s">
        <v>74</v>
      </c>
      <c r="E1731">
        <v>11061.47</v>
      </c>
      <c r="F1731" s="2">
        <v>45533.666684444448</v>
      </c>
      <c r="G1731" t="s">
        <v>140</v>
      </c>
      <c r="H1731" t="s">
        <v>76</v>
      </c>
      <c r="I1731" t="s">
        <v>88</v>
      </c>
    </row>
    <row r="1732" spans="1:9" x14ac:dyDescent="0.45">
      <c r="A1732" t="s">
        <v>2531</v>
      </c>
      <c r="B1732" t="s">
        <v>104</v>
      </c>
      <c r="C1732" t="s">
        <v>2104</v>
      </c>
      <c r="D1732" t="s">
        <v>74</v>
      </c>
      <c r="E1732">
        <v>10825.47</v>
      </c>
      <c r="F1732" s="2">
        <v>45445.666684444448</v>
      </c>
      <c r="H1732" t="s">
        <v>133</v>
      </c>
      <c r="I1732" t="s">
        <v>119</v>
      </c>
    </row>
    <row r="1733" spans="1:9" x14ac:dyDescent="0.45">
      <c r="A1733" t="s">
        <v>2532</v>
      </c>
      <c r="B1733" t="s">
        <v>138</v>
      </c>
      <c r="C1733" t="s">
        <v>1369</v>
      </c>
      <c r="D1733" t="s">
        <v>74</v>
      </c>
      <c r="E1733">
        <v>11167.95</v>
      </c>
      <c r="F1733" s="2">
        <v>45475.666684444448</v>
      </c>
      <c r="G1733" t="s">
        <v>140</v>
      </c>
      <c r="H1733" t="s">
        <v>118</v>
      </c>
      <c r="I1733" t="s">
        <v>119</v>
      </c>
    </row>
    <row r="1734" spans="1:9" x14ac:dyDescent="0.45">
      <c r="A1734" t="s">
        <v>2533</v>
      </c>
      <c r="B1734" t="s">
        <v>79</v>
      </c>
      <c r="D1734" t="s">
        <v>92</v>
      </c>
      <c r="E1734">
        <v>4804.2700000000004</v>
      </c>
      <c r="F1734" s="2">
        <v>45354.666684444448</v>
      </c>
      <c r="G1734" t="s">
        <v>86</v>
      </c>
      <c r="H1734" t="s">
        <v>76</v>
      </c>
      <c r="I1734" t="s">
        <v>112</v>
      </c>
    </row>
    <row r="1735" spans="1:9" x14ac:dyDescent="0.45">
      <c r="A1735" t="s">
        <v>2534</v>
      </c>
      <c r="B1735" t="s">
        <v>99</v>
      </c>
      <c r="C1735" t="s">
        <v>429</v>
      </c>
      <c r="D1735" t="s">
        <v>106</v>
      </c>
      <c r="E1735">
        <v>4309.9399999999996</v>
      </c>
      <c r="F1735" s="2">
        <v>45469.666684444448</v>
      </c>
      <c r="G1735" t="s">
        <v>102</v>
      </c>
      <c r="H1735" t="s">
        <v>145</v>
      </c>
      <c r="I1735" t="s">
        <v>119</v>
      </c>
    </row>
    <row r="1736" spans="1:9" x14ac:dyDescent="0.45">
      <c r="A1736" t="s">
        <v>2535</v>
      </c>
      <c r="B1736" t="s">
        <v>104</v>
      </c>
      <c r="C1736" t="s">
        <v>1057</v>
      </c>
      <c r="D1736" t="s">
        <v>106</v>
      </c>
      <c r="E1736">
        <v>1416.65</v>
      </c>
      <c r="F1736" s="2">
        <v>45300.666684444448</v>
      </c>
      <c r="G1736" t="s">
        <v>115</v>
      </c>
      <c r="H1736" t="s">
        <v>81</v>
      </c>
      <c r="I1736" t="s">
        <v>119</v>
      </c>
    </row>
    <row r="1737" spans="1:9" x14ac:dyDescent="0.45">
      <c r="A1737" t="s">
        <v>2536</v>
      </c>
      <c r="B1737" t="s">
        <v>99</v>
      </c>
      <c r="C1737" t="s">
        <v>1896</v>
      </c>
      <c r="D1737" t="s">
        <v>85</v>
      </c>
      <c r="E1737">
        <v>0</v>
      </c>
      <c r="F1737" s="2">
        <v>45206.666684444448</v>
      </c>
      <c r="G1737" t="s">
        <v>102</v>
      </c>
      <c r="H1737" t="s">
        <v>136</v>
      </c>
      <c r="I1737" t="s">
        <v>112</v>
      </c>
    </row>
    <row r="1738" spans="1:9" x14ac:dyDescent="0.45">
      <c r="A1738" t="s">
        <v>2537</v>
      </c>
      <c r="B1738" t="s">
        <v>138</v>
      </c>
      <c r="D1738" t="s">
        <v>148</v>
      </c>
      <c r="E1738">
        <v>6947</v>
      </c>
      <c r="F1738" s="2">
        <v>45650.666684444448</v>
      </c>
      <c r="G1738" t="s">
        <v>140</v>
      </c>
      <c r="H1738" t="s">
        <v>128</v>
      </c>
      <c r="I1738" t="s">
        <v>119</v>
      </c>
    </row>
    <row r="1739" spans="1:9" x14ac:dyDescent="0.45">
      <c r="A1739" t="s">
        <v>2538</v>
      </c>
      <c r="B1739" t="s">
        <v>95</v>
      </c>
      <c r="C1739" t="s">
        <v>1631</v>
      </c>
      <c r="D1739" t="s">
        <v>92</v>
      </c>
      <c r="E1739">
        <v>6932.83</v>
      </c>
      <c r="F1739" s="2">
        <v>45776.666684444448</v>
      </c>
      <c r="G1739" t="s">
        <v>97</v>
      </c>
      <c r="H1739" t="s">
        <v>145</v>
      </c>
      <c r="I1739" t="s">
        <v>82</v>
      </c>
    </row>
    <row r="1740" spans="1:9" x14ac:dyDescent="0.45">
      <c r="A1740" t="s">
        <v>2539</v>
      </c>
      <c r="B1740" t="s">
        <v>109</v>
      </c>
      <c r="C1740" t="s">
        <v>1028</v>
      </c>
      <c r="D1740" t="s">
        <v>85</v>
      </c>
      <c r="E1740">
        <v>8228.49</v>
      </c>
      <c r="F1740" s="2">
        <v>45244.666684444448</v>
      </c>
      <c r="G1740" t="s">
        <v>111</v>
      </c>
      <c r="H1740" t="s">
        <v>133</v>
      </c>
      <c r="I1740" t="s">
        <v>77</v>
      </c>
    </row>
    <row r="1741" spans="1:9" x14ac:dyDescent="0.45">
      <c r="A1741" t="s">
        <v>2540</v>
      </c>
      <c r="B1741" t="s">
        <v>90</v>
      </c>
      <c r="C1741" t="s">
        <v>249</v>
      </c>
      <c r="D1741" t="s">
        <v>85</v>
      </c>
      <c r="E1741">
        <v>5090.95</v>
      </c>
      <c r="F1741" s="2">
        <v>45671.666684444448</v>
      </c>
      <c r="G1741" t="s">
        <v>93</v>
      </c>
      <c r="H1741" t="s">
        <v>81</v>
      </c>
      <c r="I1741" t="s">
        <v>77</v>
      </c>
    </row>
    <row r="1742" spans="1:9" x14ac:dyDescent="0.45">
      <c r="A1742" t="s">
        <v>2541</v>
      </c>
      <c r="B1742" t="s">
        <v>90</v>
      </c>
      <c r="C1742" t="s">
        <v>2542</v>
      </c>
      <c r="D1742" t="s">
        <v>74</v>
      </c>
      <c r="E1742">
        <v>1689.34</v>
      </c>
      <c r="F1742" s="2">
        <v>45650.666684444448</v>
      </c>
      <c r="G1742" t="s">
        <v>93</v>
      </c>
      <c r="H1742" t="s">
        <v>136</v>
      </c>
      <c r="I1742" t="s">
        <v>163</v>
      </c>
    </row>
    <row r="1743" spans="1:9" x14ac:dyDescent="0.45">
      <c r="A1743" t="s">
        <v>2543</v>
      </c>
      <c r="B1743" t="s">
        <v>99</v>
      </c>
      <c r="D1743" t="s">
        <v>155</v>
      </c>
      <c r="E1743">
        <v>7046.15</v>
      </c>
      <c r="F1743" s="2">
        <v>45326.666684444448</v>
      </c>
      <c r="G1743" t="s">
        <v>102</v>
      </c>
      <c r="H1743" t="s">
        <v>128</v>
      </c>
      <c r="I1743" t="s">
        <v>112</v>
      </c>
    </row>
    <row r="1744" spans="1:9" x14ac:dyDescent="0.45">
      <c r="A1744" t="s">
        <v>2544</v>
      </c>
      <c r="B1744" t="s">
        <v>104</v>
      </c>
      <c r="C1744" t="s">
        <v>2309</v>
      </c>
      <c r="D1744" t="s">
        <v>101</v>
      </c>
      <c r="E1744">
        <v>3908.49</v>
      </c>
      <c r="F1744" s="2">
        <v>45485.666684444448</v>
      </c>
      <c r="G1744" t="s">
        <v>115</v>
      </c>
      <c r="H1744" t="s">
        <v>136</v>
      </c>
      <c r="I1744" t="s">
        <v>112</v>
      </c>
    </row>
    <row r="1745" spans="1:9" x14ac:dyDescent="0.45">
      <c r="A1745" t="s">
        <v>2545</v>
      </c>
      <c r="B1745" t="s">
        <v>109</v>
      </c>
      <c r="C1745" t="s">
        <v>1672</v>
      </c>
      <c r="D1745" t="s">
        <v>101</v>
      </c>
      <c r="E1745">
        <v>895.94</v>
      </c>
      <c r="F1745" s="2">
        <v>45487.666684444448</v>
      </c>
      <c r="G1745" t="s">
        <v>111</v>
      </c>
      <c r="H1745" t="s">
        <v>136</v>
      </c>
      <c r="I1745" t="s">
        <v>119</v>
      </c>
    </row>
    <row r="1746" spans="1:9" x14ac:dyDescent="0.45">
      <c r="A1746" t="s">
        <v>2546</v>
      </c>
      <c r="B1746" t="s">
        <v>172</v>
      </c>
      <c r="C1746" t="s">
        <v>2202</v>
      </c>
      <c r="D1746" t="s">
        <v>92</v>
      </c>
      <c r="E1746">
        <v>247.72</v>
      </c>
      <c r="F1746" s="2">
        <v>45788.666684444448</v>
      </c>
      <c r="G1746" t="s">
        <v>236</v>
      </c>
      <c r="H1746" t="s">
        <v>136</v>
      </c>
      <c r="I1746" t="s">
        <v>112</v>
      </c>
    </row>
    <row r="1747" spans="1:9" x14ac:dyDescent="0.45">
      <c r="A1747" t="s">
        <v>2547</v>
      </c>
      <c r="B1747" t="s">
        <v>99</v>
      </c>
      <c r="C1747" t="s">
        <v>462</v>
      </c>
      <c r="D1747" t="s">
        <v>101</v>
      </c>
      <c r="E1747">
        <v>5548.27</v>
      </c>
      <c r="F1747" s="2">
        <v>45279.666684444448</v>
      </c>
      <c r="G1747" t="s">
        <v>102</v>
      </c>
      <c r="H1747" t="s">
        <v>116</v>
      </c>
      <c r="I1747" t="s">
        <v>77</v>
      </c>
    </row>
    <row r="1748" spans="1:9" x14ac:dyDescent="0.45">
      <c r="A1748" t="s">
        <v>2548</v>
      </c>
      <c r="B1748" t="s">
        <v>104</v>
      </c>
      <c r="C1748" t="s">
        <v>699</v>
      </c>
      <c r="D1748" t="s">
        <v>101</v>
      </c>
      <c r="E1748">
        <v>3077.33</v>
      </c>
      <c r="F1748" s="2">
        <v>45369.666684444448</v>
      </c>
      <c r="G1748" t="s">
        <v>115</v>
      </c>
      <c r="H1748" t="s">
        <v>87</v>
      </c>
      <c r="I1748" t="s">
        <v>82</v>
      </c>
    </row>
    <row r="1749" spans="1:9" x14ac:dyDescent="0.45">
      <c r="A1749" t="s">
        <v>1886</v>
      </c>
      <c r="B1749" t="s">
        <v>104</v>
      </c>
      <c r="D1749" t="s">
        <v>85</v>
      </c>
      <c r="E1749">
        <v>0</v>
      </c>
      <c r="F1749" s="2">
        <v>45233.666684444448</v>
      </c>
      <c r="G1749" t="s">
        <v>115</v>
      </c>
      <c r="H1749" t="s">
        <v>107</v>
      </c>
      <c r="I1749" t="s">
        <v>88</v>
      </c>
    </row>
    <row r="1750" spans="1:9" x14ac:dyDescent="0.45">
      <c r="A1750" t="s">
        <v>2549</v>
      </c>
      <c r="B1750" t="s">
        <v>72</v>
      </c>
      <c r="C1750" t="s">
        <v>762</v>
      </c>
      <c r="D1750" t="s">
        <v>74</v>
      </c>
      <c r="E1750">
        <v>1312.8</v>
      </c>
      <c r="F1750" s="2">
        <v>45277.666684444448</v>
      </c>
      <c r="G1750" t="s">
        <v>75</v>
      </c>
      <c r="H1750" t="s">
        <v>133</v>
      </c>
      <c r="I1750" t="s">
        <v>119</v>
      </c>
    </row>
    <row r="1751" spans="1:9" x14ac:dyDescent="0.45">
      <c r="A1751" t="s">
        <v>1496</v>
      </c>
      <c r="B1751" t="s">
        <v>90</v>
      </c>
      <c r="C1751" t="s">
        <v>1945</v>
      </c>
      <c r="D1751" t="s">
        <v>92</v>
      </c>
      <c r="E1751">
        <v>3828.9</v>
      </c>
      <c r="F1751" s="2">
        <v>45390.666684444448</v>
      </c>
      <c r="G1751" t="s">
        <v>93</v>
      </c>
      <c r="H1751" t="s">
        <v>81</v>
      </c>
      <c r="I1751" t="s">
        <v>77</v>
      </c>
    </row>
    <row r="1752" spans="1:9" x14ac:dyDescent="0.45">
      <c r="A1752" t="s">
        <v>180</v>
      </c>
      <c r="B1752" t="s">
        <v>109</v>
      </c>
      <c r="C1752" t="s">
        <v>1933</v>
      </c>
      <c r="D1752" t="s">
        <v>85</v>
      </c>
      <c r="E1752">
        <v>2482.9899999999998</v>
      </c>
      <c r="F1752" s="2">
        <v>45330.666684444448</v>
      </c>
      <c r="I1752" t="s">
        <v>119</v>
      </c>
    </row>
    <row r="1753" spans="1:9" x14ac:dyDescent="0.45">
      <c r="A1753" t="s">
        <v>2550</v>
      </c>
      <c r="B1753" t="s">
        <v>79</v>
      </c>
      <c r="C1753" t="s">
        <v>216</v>
      </c>
      <c r="D1753" t="s">
        <v>85</v>
      </c>
      <c r="E1753">
        <v>6275.78</v>
      </c>
      <c r="F1753" s="2">
        <v>45305.666684444448</v>
      </c>
      <c r="G1753" t="s">
        <v>86</v>
      </c>
      <c r="H1753" t="s">
        <v>81</v>
      </c>
      <c r="I1753" t="s">
        <v>82</v>
      </c>
    </row>
    <row r="1754" spans="1:9" x14ac:dyDescent="0.45">
      <c r="A1754" t="s">
        <v>2551</v>
      </c>
      <c r="B1754" t="s">
        <v>99</v>
      </c>
      <c r="C1754" t="s">
        <v>1225</v>
      </c>
      <c r="D1754" t="s">
        <v>85</v>
      </c>
      <c r="E1754">
        <v>4810.1400000000003</v>
      </c>
      <c r="F1754" s="2">
        <v>45744.666684444448</v>
      </c>
      <c r="G1754" t="s">
        <v>102</v>
      </c>
      <c r="H1754" t="s">
        <v>81</v>
      </c>
      <c r="I1754" t="s">
        <v>119</v>
      </c>
    </row>
    <row r="1755" spans="1:9" x14ac:dyDescent="0.45">
      <c r="A1755" t="s">
        <v>2552</v>
      </c>
      <c r="B1755" t="s">
        <v>109</v>
      </c>
      <c r="C1755" t="s">
        <v>653</v>
      </c>
      <c r="D1755" t="s">
        <v>85</v>
      </c>
      <c r="E1755">
        <v>2396.23</v>
      </c>
      <c r="F1755" s="2">
        <v>45284.666684444448</v>
      </c>
      <c r="G1755" t="s">
        <v>111</v>
      </c>
      <c r="H1755" t="s">
        <v>87</v>
      </c>
      <c r="I1755" t="s">
        <v>119</v>
      </c>
    </row>
    <row r="1756" spans="1:9" x14ac:dyDescent="0.45">
      <c r="A1756" t="s">
        <v>2553</v>
      </c>
      <c r="B1756" t="s">
        <v>72</v>
      </c>
      <c r="C1756" t="s">
        <v>187</v>
      </c>
      <c r="D1756" t="s">
        <v>85</v>
      </c>
      <c r="E1756">
        <v>8062.7</v>
      </c>
      <c r="F1756" s="2">
        <v>45799.666684444448</v>
      </c>
      <c r="G1756" t="s">
        <v>75</v>
      </c>
      <c r="H1756" t="s">
        <v>145</v>
      </c>
      <c r="I1756" t="s">
        <v>119</v>
      </c>
    </row>
    <row r="1757" spans="1:9" x14ac:dyDescent="0.45">
      <c r="A1757" t="s">
        <v>2554</v>
      </c>
      <c r="B1757" t="s">
        <v>72</v>
      </c>
      <c r="C1757" t="s">
        <v>2555</v>
      </c>
      <c r="D1757" t="s">
        <v>92</v>
      </c>
      <c r="E1757">
        <v>6025.94</v>
      </c>
      <c r="F1757" s="2">
        <v>45205.666684444448</v>
      </c>
      <c r="G1757" t="s">
        <v>75</v>
      </c>
      <c r="H1757" t="s">
        <v>145</v>
      </c>
      <c r="I1757" t="s">
        <v>82</v>
      </c>
    </row>
    <row r="1758" spans="1:9" x14ac:dyDescent="0.45">
      <c r="A1758" t="s">
        <v>476</v>
      </c>
      <c r="B1758" t="s">
        <v>109</v>
      </c>
      <c r="C1758" t="s">
        <v>866</v>
      </c>
      <c r="D1758" t="s">
        <v>92</v>
      </c>
      <c r="E1758">
        <v>11299.62</v>
      </c>
      <c r="F1758" s="2">
        <v>45309.666684444448</v>
      </c>
      <c r="G1758" t="s">
        <v>111</v>
      </c>
      <c r="H1758" t="s">
        <v>118</v>
      </c>
      <c r="I1758" t="s">
        <v>119</v>
      </c>
    </row>
    <row r="1759" spans="1:9" x14ac:dyDescent="0.45">
      <c r="A1759" t="s">
        <v>2556</v>
      </c>
      <c r="B1759" t="s">
        <v>104</v>
      </c>
      <c r="C1759" t="s">
        <v>2557</v>
      </c>
      <c r="D1759" t="s">
        <v>92</v>
      </c>
      <c r="E1759">
        <v>5999.73</v>
      </c>
      <c r="F1759" s="2">
        <v>45771.666684444448</v>
      </c>
      <c r="H1759" t="s">
        <v>145</v>
      </c>
      <c r="I1759" t="s">
        <v>82</v>
      </c>
    </row>
    <row r="1760" spans="1:9" x14ac:dyDescent="0.45">
      <c r="A1760" t="s">
        <v>2558</v>
      </c>
      <c r="B1760" t="s">
        <v>172</v>
      </c>
      <c r="C1760" t="s">
        <v>162</v>
      </c>
      <c r="D1760" t="s">
        <v>148</v>
      </c>
      <c r="E1760">
        <v>2614.85</v>
      </c>
      <c r="F1760" s="2">
        <v>45633.666684444448</v>
      </c>
      <c r="G1760" t="s">
        <v>174</v>
      </c>
      <c r="H1760" t="s">
        <v>145</v>
      </c>
      <c r="I1760" t="s">
        <v>82</v>
      </c>
    </row>
    <row r="1761" spans="1:9" x14ac:dyDescent="0.45">
      <c r="A1761" t="s">
        <v>2559</v>
      </c>
      <c r="B1761" t="s">
        <v>109</v>
      </c>
      <c r="C1761" t="s">
        <v>1454</v>
      </c>
      <c r="D1761" t="s">
        <v>74</v>
      </c>
      <c r="E1761">
        <v>5061.0600000000004</v>
      </c>
      <c r="F1761" s="2">
        <v>45603.666684444448</v>
      </c>
      <c r="G1761" t="s">
        <v>111</v>
      </c>
      <c r="H1761" t="s">
        <v>116</v>
      </c>
      <c r="I1761" t="s">
        <v>77</v>
      </c>
    </row>
    <row r="1762" spans="1:9" x14ac:dyDescent="0.45">
      <c r="A1762" t="s">
        <v>2210</v>
      </c>
      <c r="B1762" t="s">
        <v>99</v>
      </c>
      <c r="C1762" t="s">
        <v>2560</v>
      </c>
      <c r="D1762" t="s">
        <v>101</v>
      </c>
      <c r="E1762">
        <v>5747.93</v>
      </c>
      <c r="F1762" s="2">
        <v>45705.666684444448</v>
      </c>
      <c r="G1762" t="s">
        <v>102</v>
      </c>
      <c r="H1762" t="s">
        <v>81</v>
      </c>
      <c r="I1762" t="s">
        <v>88</v>
      </c>
    </row>
    <row r="1763" spans="1:9" x14ac:dyDescent="0.45">
      <c r="A1763" t="s">
        <v>2561</v>
      </c>
      <c r="B1763" t="s">
        <v>79</v>
      </c>
      <c r="C1763" t="s">
        <v>1081</v>
      </c>
      <c r="D1763" t="s">
        <v>155</v>
      </c>
      <c r="E1763">
        <v>0</v>
      </c>
      <c r="F1763" s="2">
        <v>45721.666684444448</v>
      </c>
      <c r="G1763" t="s">
        <v>86</v>
      </c>
      <c r="H1763" t="s">
        <v>87</v>
      </c>
      <c r="I1763" t="s">
        <v>163</v>
      </c>
    </row>
    <row r="1764" spans="1:9" x14ac:dyDescent="0.45">
      <c r="A1764" t="s">
        <v>2562</v>
      </c>
      <c r="B1764" t="s">
        <v>90</v>
      </c>
      <c r="C1764" t="s">
        <v>338</v>
      </c>
      <c r="D1764" t="s">
        <v>101</v>
      </c>
      <c r="E1764">
        <v>882.98</v>
      </c>
      <c r="F1764" s="2">
        <v>45587.666684444448</v>
      </c>
      <c r="G1764" t="s">
        <v>93</v>
      </c>
      <c r="H1764" t="s">
        <v>81</v>
      </c>
      <c r="I1764" t="s">
        <v>82</v>
      </c>
    </row>
    <row r="1765" spans="1:9" x14ac:dyDescent="0.45">
      <c r="A1765" t="s">
        <v>2563</v>
      </c>
      <c r="B1765" t="s">
        <v>72</v>
      </c>
      <c r="C1765" t="s">
        <v>1129</v>
      </c>
      <c r="D1765" t="s">
        <v>74</v>
      </c>
      <c r="E1765">
        <v>9516.1200000000008</v>
      </c>
      <c r="F1765" s="2">
        <v>45825.666684444448</v>
      </c>
      <c r="G1765" t="s">
        <v>75</v>
      </c>
      <c r="H1765" t="s">
        <v>81</v>
      </c>
      <c r="I1765" t="s">
        <v>77</v>
      </c>
    </row>
    <row r="1766" spans="1:9" x14ac:dyDescent="0.45">
      <c r="A1766" t="s">
        <v>2564</v>
      </c>
      <c r="B1766" t="s">
        <v>95</v>
      </c>
      <c r="C1766" t="s">
        <v>1393</v>
      </c>
      <c r="D1766" t="s">
        <v>85</v>
      </c>
      <c r="E1766">
        <v>6223.66</v>
      </c>
      <c r="F1766" s="2">
        <v>45706.666684444448</v>
      </c>
      <c r="G1766" t="s">
        <v>97</v>
      </c>
      <c r="H1766" t="s">
        <v>118</v>
      </c>
      <c r="I1766" t="s">
        <v>112</v>
      </c>
    </row>
    <row r="1767" spans="1:9" x14ac:dyDescent="0.45">
      <c r="A1767" t="s">
        <v>2565</v>
      </c>
      <c r="B1767" t="s">
        <v>95</v>
      </c>
      <c r="C1767" t="s">
        <v>229</v>
      </c>
      <c r="D1767" t="s">
        <v>74</v>
      </c>
      <c r="E1767">
        <v>3127.6</v>
      </c>
      <c r="F1767" s="2">
        <v>45786.666684444448</v>
      </c>
      <c r="G1767" t="s">
        <v>97</v>
      </c>
      <c r="H1767" t="s">
        <v>145</v>
      </c>
      <c r="I1767" t="s">
        <v>112</v>
      </c>
    </row>
    <row r="1768" spans="1:9" x14ac:dyDescent="0.45">
      <c r="A1768" t="s">
        <v>2566</v>
      </c>
      <c r="B1768" t="s">
        <v>104</v>
      </c>
      <c r="C1768" t="s">
        <v>436</v>
      </c>
      <c r="D1768" t="s">
        <v>74</v>
      </c>
      <c r="E1768">
        <v>4041.83</v>
      </c>
      <c r="F1768" s="2">
        <v>45778.666684444448</v>
      </c>
      <c r="G1768" t="s">
        <v>247</v>
      </c>
      <c r="H1768" t="s">
        <v>136</v>
      </c>
      <c r="I1768" t="s">
        <v>88</v>
      </c>
    </row>
    <row r="1769" spans="1:9" x14ac:dyDescent="0.45">
      <c r="A1769" t="s">
        <v>2567</v>
      </c>
      <c r="B1769" t="s">
        <v>90</v>
      </c>
      <c r="C1769" t="s">
        <v>2146</v>
      </c>
      <c r="D1769" t="s">
        <v>106</v>
      </c>
      <c r="E1769">
        <v>6903.36</v>
      </c>
      <c r="F1769" s="2">
        <v>45767.666684444448</v>
      </c>
      <c r="G1769" t="s">
        <v>93</v>
      </c>
      <c r="H1769" t="s">
        <v>136</v>
      </c>
      <c r="I1769" t="s">
        <v>163</v>
      </c>
    </row>
    <row r="1770" spans="1:9" x14ac:dyDescent="0.45">
      <c r="A1770" t="s">
        <v>2238</v>
      </c>
      <c r="B1770" t="s">
        <v>72</v>
      </c>
      <c r="C1770" t="s">
        <v>2347</v>
      </c>
      <c r="D1770" t="s">
        <v>85</v>
      </c>
      <c r="E1770">
        <v>5490.83</v>
      </c>
      <c r="F1770" s="2">
        <v>45458.666684444448</v>
      </c>
      <c r="G1770" t="s">
        <v>521</v>
      </c>
      <c r="H1770" t="s">
        <v>116</v>
      </c>
      <c r="I1770" t="s">
        <v>119</v>
      </c>
    </row>
    <row r="1771" spans="1:9" x14ac:dyDescent="0.45">
      <c r="A1771" t="s">
        <v>2568</v>
      </c>
      <c r="B1771" t="s">
        <v>95</v>
      </c>
      <c r="C1771" t="s">
        <v>459</v>
      </c>
      <c r="D1771" t="s">
        <v>101</v>
      </c>
      <c r="E1771">
        <v>10104.290000000001</v>
      </c>
      <c r="F1771" s="2">
        <v>45770.666684444448</v>
      </c>
      <c r="G1771" t="s">
        <v>336</v>
      </c>
      <c r="H1771" t="s">
        <v>145</v>
      </c>
      <c r="I1771" t="s">
        <v>112</v>
      </c>
    </row>
    <row r="1772" spans="1:9" x14ac:dyDescent="0.45">
      <c r="A1772" t="s">
        <v>2569</v>
      </c>
      <c r="B1772" t="s">
        <v>95</v>
      </c>
      <c r="C1772" t="s">
        <v>678</v>
      </c>
      <c r="D1772" t="s">
        <v>106</v>
      </c>
      <c r="E1772">
        <v>10064.450000000001</v>
      </c>
      <c r="F1772" s="2">
        <v>45451.666684444448</v>
      </c>
      <c r="G1772" t="s">
        <v>97</v>
      </c>
      <c r="H1772" t="s">
        <v>116</v>
      </c>
      <c r="I1772" t="s">
        <v>82</v>
      </c>
    </row>
    <row r="1773" spans="1:9" x14ac:dyDescent="0.45">
      <c r="A1773" t="s">
        <v>2570</v>
      </c>
      <c r="B1773" t="s">
        <v>172</v>
      </c>
      <c r="C1773" t="s">
        <v>561</v>
      </c>
      <c r="D1773" t="s">
        <v>106</v>
      </c>
      <c r="E1773">
        <v>8719.0300000000007</v>
      </c>
      <c r="F1773" s="2">
        <v>45282.666684444448</v>
      </c>
      <c r="G1773" t="s">
        <v>174</v>
      </c>
      <c r="H1773" t="s">
        <v>136</v>
      </c>
      <c r="I1773" t="s">
        <v>112</v>
      </c>
    </row>
    <row r="1774" spans="1:9" x14ac:dyDescent="0.45">
      <c r="A1774" t="s">
        <v>2571</v>
      </c>
      <c r="B1774" t="s">
        <v>109</v>
      </c>
      <c r="C1774" t="s">
        <v>2572</v>
      </c>
      <c r="D1774" t="s">
        <v>101</v>
      </c>
      <c r="E1774">
        <v>7463.55</v>
      </c>
      <c r="F1774" s="2">
        <v>45578.666684444448</v>
      </c>
      <c r="G1774" t="s">
        <v>111</v>
      </c>
      <c r="H1774" t="s">
        <v>76</v>
      </c>
      <c r="I1774" t="s">
        <v>88</v>
      </c>
    </row>
    <row r="1775" spans="1:9" x14ac:dyDescent="0.45">
      <c r="A1775" t="s">
        <v>2573</v>
      </c>
      <c r="B1775" t="s">
        <v>138</v>
      </c>
      <c r="C1775" t="s">
        <v>1806</v>
      </c>
      <c r="D1775" t="s">
        <v>101</v>
      </c>
      <c r="E1775">
        <v>9218.48</v>
      </c>
      <c r="F1775" s="2">
        <v>45197.666684444448</v>
      </c>
      <c r="G1775" t="s">
        <v>140</v>
      </c>
      <c r="H1775" t="s">
        <v>76</v>
      </c>
      <c r="I1775" t="s">
        <v>163</v>
      </c>
    </row>
    <row r="1776" spans="1:9" x14ac:dyDescent="0.45">
      <c r="A1776" t="s">
        <v>2574</v>
      </c>
      <c r="B1776" t="s">
        <v>90</v>
      </c>
      <c r="C1776" t="s">
        <v>1334</v>
      </c>
      <c r="E1776">
        <v>5489.54</v>
      </c>
      <c r="F1776" s="2">
        <v>45608.666684444448</v>
      </c>
      <c r="G1776" t="s">
        <v>93</v>
      </c>
      <c r="H1776" t="s">
        <v>81</v>
      </c>
      <c r="I1776" t="s">
        <v>77</v>
      </c>
    </row>
    <row r="1777" spans="1:9" x14ac:dyDescent="0.45">
      <c r="A1777" t="s">
        <v>1843</v>
      </c>
      <c r="B1777" t="s">
        <v>138</v>
      </c>
      <c r="C1777" t="s">
        <v>1943</v>
      </c>
      <c r="D1777" t="s">
        <v>92</v>
      </c>
      <c r="E1777">
        <v>9981.89</v>
      </c>
      <c r="F1777" s="2">
        <v>45580.666684444448</v>
      </c>
      <c r="G1777" t="s">
        <v>140</v>
      </c>
      <c r="H1777" t="s">
        <v>87</v>
      </c>
      <c r="I1777" t="s">
        <v>163</v>
      </c>
    </row>
    <row r="1778" spans="1:9" x14ac:dyDescent="0.45">
      <c r="A1778" t="s">
        <v>2575</v>
      </c>
      <c r="B1778" t="s">
        <v>79</v>
      </c>
      <c r="C1778" t="s">
        <v>799</v>
      </c>
      <c r="D1778" t="s">
        <v>92</v>
      </c>
      <c r="E1778">
        <v>4189.92</v>
      </c>
      <c r="F1778" s="2">
        <v>45774.666684444448</v>
      </c>
      <c r="G1778" t="s">
        <v>86</v>
      </c>
      <c r="H1778" t="s">
        <v>128</v>
      </c>
      <c r="I1778" t="s">
        <v>77</v>
      </c>
    </row>
    <row r="1779" spans="1:9" x14ac:dyDescent="0.45">
      <c r="A1779" t="s">
        <v>2576</v>
      </c>
      <c r="B1779" t="s">
        <v>109</v>
      </c>
      <c r="C1779" t="s">
        <v>2577</v>
      </c>
      <c r="D1779" t="s">
        <v>148</v>
      </c>
      <c r="E1779">
        <v>7709.12</v>
      </c>
      <c r="F1779" s="2">
        <v>45438.666684444448</v>
      </c>
      <c r="H1779" t="s">
        <v>116</v>
      </c>
      <c r="I1779" t="s">
        <v>119</v>
      </c>
    </row>
    <row r="1780" spans="1:9" x14ac:dyDescent="0.45">
      <c r="A1780" t="s">
        <v>2578</v>
      </c>
      <c r="B1780" t="s">
        <v>79</v>
      </c>
      <c r="C1780" t="s">
        <v>1105</v>
      </c>
      <c r="D1780" t="s">
        <v>92</v>
      </c>
      <c r="E1780">
        <v>10097</v>
      </c>
      <c r="F1780" s="2">
        <v>45409.666684444448</v>
      </c>
      <c r="G1780" t="s">
        <v>86</v>
      </c>
      <c r="H1780" t="s">
        <v>118</v>
      </c>
      <c r="I1780" t="s">
        <v>88</v>
      </c>
    </row>
    <row r="1781" spans="1:9" x14ac:dyDescent="0.45">
      <c r="A1781" t="s">
        <v>2579</v>
      </c>
      <c r="B1781" t="s">
        <v>99</v>
      </c>
      <c r="C1781" t="s">
        <v>135</v>
      </c>
      <c r="D1781" t="s">
        <v>101</v>
      </c>
      <c r="E1781">
        <v>4098.09</v>
      </c>
      <c r="F1781" s="2">
        <v>45733.666684444448</v>
      </c>
      <c r="G1781" t="s">
        <v>102</v>
      </c>
      <c r="H1781" t="s">
        <v>118</v>
      </c>
      <c r="I1781" t="s">
        <v>88</v>
      </c>
    </row>
    <row r="1782" spans="1:9" x14ac:dyDescent="0.45">
      <c r="A1782" t="s">
        <v>2580</v>
      </c>
      <c r="B1782" t="s">
        <v>72</v>
      </c>
      <c r="C1782" t="s">
        <v>838</v>
      </c>
      <c r="D1782" t="s">
        <v>92</v>
      </c>
      <c r="E1782">
        <v>6902.5</v>
      </c>
      <c r="F1782" s="2">
        <v>45185.666684444448</v>
      </c>
      <c r="G1782" t="s">
        <v>75</v>
      </c>
      <c r="H1782" t="s">
        <v>128</v>
      </c>
      <c r="I1782" t="s">
        <v>112</v>
      </c>
    </row>
    <row r="1783" spans="1:9" x14ac:dyDescent="0.45">
      <c r="A1783" t="s">
        <v>2581</v>
      </c>
      <c r="B1783" t="s">
        <v>138</v>
      </c>
      <c r="C1783" t="s">
        <v>610</v>
      </c>
      <c r="D1783" t="s">
        <v>101</v>
      </c>
      <c r="E1783">
        <v>2970.07</v>
      </c>
      <c r="F1783" s="2">
        <v>45488.666684444448</v>
      </c>
      <c r="G1783" t="s">
        <v>140</v>
      </c>
      <c r="H1783" t="s">
        <v>136</v>
      </c>
      <c r="I1783" t="s">
        <v>88</v>
      </c>
    </row>
    <row r="1784" spans="1:9" x14ac:dyDescent="0.45">
      <c r="A1784" t="s">
        <v>2582</v>
      </c>
      <c r="B1784" t="s">
        <v>104</v>
      </c>
      <c r="C1784" t="s">
        <v>338</v>
      </c>
      <c r="D1784" t="s">
        <v>92</v>
      </c>
      <c r="E1784">
        <v>0</v>
      </c>
      <c r="F1784" s="2">
        <v>45647.666684444448</v>
      </c>
      <c r="G1784" t="s">
        <v>247</v>
      </c>
      <c r="H1784" t="s">
        <v>145</v>
      </c>
      <c r="I1784" t="s">
        <v>163</v>
      </c>
    </row>
    <row r="1785" spans="1:9" x14ac:dyDescent="0.45">
      <c r="A1785" t="s">
        <v>2583</v>
      </c>
      <c r="B1785" t="s">
        <v>99</v>
      </c>
      <c r="C1785" t="s">
        <v>1172</v>
      </c>
      <c r="D1785" t="s">
        <v>85</v>
      </c>
      <c r="E1785">
        <v>0</v>
      </c>
      <c r="F1785" s="2">
        <v>45203.666684444448</v>
      </c>
      <c r="G1785" t="s">
        <v>102</v>
      </c>
      <c r="I1785" t="s">
        <v>77</v>
      </c>
    </row>
    <row r="1786" spans="1:9" x14ac:dyDescent="0.45">
      <c r="A1786" t="s">
        <v>2584</v>
      </c>
      <c r="B1786" t="s">
        <v>90</v>
      </c>
      <c r="C1786" t="s">
        <v>949</v>
      </c>
      <c r="D1786" t="s">
        <v>74</v>
      </c>
      <c r="E1786">
        <v>11271.12</v>
      </c>
      <c r="F1786" s="2">
        <v>45445.666684444448</v>
      </c>
      <c r="G1786" t="s">
        <v>93</v>
      </c>
      <c r="H1786" t="s">
        <v>145</v>
      </c>
      <c r="I1786" t="s">
        <v>163</v>
      </c>
    </row>
    <row r="1787" spans="1:9" x14ac:dyDescent="0.45">
      <c r="A1787" t="s">
        <v>2585</v>
      </c>
      <c r="B1787" t="s">
        <v>72</v>
      </c>
      <c r="C1787" t="s">
        <v>1620</v>
      </c>
      <c r="D1787" t="s">
        <v>85</v>
      </c>
      <c r="E1787">
        <v>0</v>
      </c>
      <c r="F1787" s="2">
        <v>45600.666684444448</v>
      </c>
      <c r="G1787" t="s">
        <v>75</v>
      </c>
      <c r="H1787" t="s">
        <v>128</v>
      </c>
      <c r="I1787" t="s">
        <v>82</v>
      </c>
    </row>
    <row r="1788" spans="1:9" x14ac:dyDescent="0.45">
      <c r="A1788" t="s">
        <v>2586</v>
      </c>
      <c r="B1788" t="s">
        <v>95</v>
      </c>
      <c r="C1788" t="s">
        <v>170</v>
      </c>
      <c r="D1788" t="s">
        <v>101</v>
      </c>
      <c r="E1788">
        <v>7884.78</v>
      </c>
      <c r="F1788" s="2">
        <v>45590.666684444448</v>
      </c>
      <c r="G1788" t="s">
        <v>336</v>
      </c>
      <c r="H1788" t="s">
        <v>87</v>
      </c>
      <c r="I1788" t="s">
        <v>82</v>
      </c>
    </row>
    <row r="1789" spans="1:9" x14ac:dyDescent="0.45">
      <c r="A1789" t="s">
        <v>2587</v>
      </c>
      <c r="B1789" t="s">
        <v>138</v>
      </c>
      <c r="C1789" t="s">
        <v>1836</v>
      </c>
      <c r="D1789" t="s">
        <v>101</v>
      </c>
      <c r="E1789">
        <v>4264.8599999999997</v>
      </c>
      <c r="F1789" s="2">
        <v>45166.666684444448</v>
      </c>
      <c r="G1789" t="s">
        <v>140</v>
      </c>
      <c r="H1789" t="s">
        <v>87</v>
      </c>
      <c r="I1789" t="s">
        <v>77</v>
      </c>
    </row>
    <row r="1790" spans="1:9" x14ac:dyDescent="0.45">
      <c r="A1790" t="s">
        <v>2588</v>
      </c>
      <c r="B1790" t="s">
        <v>109</v>
      </c>
      <c r="C1790" t="s">
        <v>2589</v>
      </c>
      <c r="D1790" t="s">
        <v>85</v>
      </c>
      <c r="E1790">
        <v>536.48</v>
      </c>
      <c r="F1790" s="2">
        <v>45186.666684444448</v>
      </c>
      <c r="G1790" t="s">
        <v>111</v>
      </c>
      <c r="H1790" t="s">
        <v>116</v>
      </c>
      <c r="I1790" t="s">
        <v>163</v>
      </c>
    </row>
    <row r="1791" spans="1:9" x14ac:dyDescent="0.45">
      <c r="A1791" t="s">
        <v>2590</v>
      </c>
      <c r="B1791" t="s">
        <v>109</v>
      </c>
      <c r="C1791" t="s">
        <v>1473</v>
      </c>
      <c r="D1791" t="s">
        <v>101</v>
      </c>
      <c r="E1791">
        <v>3204.86</v>
      </c>
      <c r="F1791" s="2">
        <v>45505.666684444448</v>
      </c>
      <c r="G1791" t="s">
        <v>111</v>
      </c>
      <c r="H1791" t="s">
        <v>145</v>
      </c>
      <c r="I1791" t="s">
        <v>112</v>
      </c>
    </row>
    <row r="1792" spans="1:9" x14ac:dyDescent="0.45">
      <c r="A1792" t="s">
        <v>2591</v>
      </c>
      <c r="B1792" t="s">
        <v>99</v>
      </c>
      <c r="C1792" t="s">
        <v>519</v>
      </c>
      <c r="D1792" t="s">
        <v>92</v>
      </c>
      <c r="E1792">
        <v>9871.64</v>
      </c>
      <c r="F1792" s="2">
        <v>45421.666684444448</v>
      </c>
      <c r="G1792" t="s">
        <v>102</v>
      </c>
      <c r="H1792" t="s">
        <v>145</v>
      </c>
      <c r="I1792" t="s">
        <v>119</v>
      </c>
    </row>
    <row r="1793" spans="1:9" x14ac:dyDescent="0.45">
      <c r="A1793" t="s">
        <v>2592</v>
      </c>
      <c r="B1793" t="s">
        <v>99</v>
      </c>
      <c r="C1793" t="s">
        <v>257</v>
      </c>
      <c r="D1793" t="s">
        <v>74</v>
      </c>
      <c r="E1793">
        <v>2222.4899999999998</v>
      </c>
      <c r="F1793" s="2">
        <v>45206.666684444448</v>
      </c>
      <c r="G1793" t="s">
        <v>102</v>
      </c>
      <c r="H1793" t="s">
        <v>116</v>
      </c>
      <c r="I1793" t="s">
        <v>82</v>
      </c>
    </row>
    <row r="1794" spans="1:9" x14ac:dyDescent="0.45">
      <c r="A1794" t="s">
        <v>2593</v>
      </c>
      <c r="B1794" t="s">
        <v>95</v>
      </c>
      <c r="C1794" t="s">
        <v>2594</v>
      </c>
      <c r="D1794" t="s">
        <v>92</v>
      </c>
      <c r="E1794">
        <v>6400.74</v>
      </c>
      <c r="F1794" s="2">
        <v>45788.666684444448</v>
      </c>
      <c r="G1794" t="s">
        <v>97</v>
      </c>
      <c r="H1794" t="s">
        <v>118</v>
      </c>
      <c r="I1794" t="s">
        <v>82</v>
      </c>
    </row>
    <row r="1795" spans="1:9" x14ac:dyDescent="0.45">
      <c r="A1795" t="s">
        <v>2595</v>
      </c>
      <c r="B1795" t="s">
        <v>172</v>
      </c>
      <c r="C1795" t="s">
        <v>556</v>
      </c>
      <c r="E1795">
        <v>3081.23</v>
      </c>
      <c r="F1795" s="2">
        <v>45220.666684444448</v>
      </c>
      <c r="G1795" t="s">
        <v>174</v>
      </c>
      <c r="H1795" t="s">
        <v>118</v>
      </c>
      <c r="I1795" t="s">
        <v>77</v>
      </c>
    </row>
    <row r="1796" spans="1:9" x14ac:dyDescent="0.45">
      <c r="A1796" t="s">
        <v>2596</v>
      </c>
      <c r="B1796" t="s">
        <v>138</v>
      </c>
      <c r="C1796" t="s">
        <v>762</v>
      </c>
      <c r="D1796" t="s">
        <v>92</v>
      </c>
      <c r="E1796">
        <v>0</v>
      </c>
      <c r="F1796" s="2">
        <v>45757.666684444448</v>
      </c>
      <c r="G1796" t="s">
        <v>140</v>
      </c>
      <c r="H1796" t="s">
        <v>76</v>
      </c>
      <c r="I1796" t="s">
        <v>119</v>
      </c>
    </row>
    <row r="1797" spans="1:9" x14ac:dyDescent="0.45">
      <c r="A1797" t="s">
        <v>2597</v>
      </c>
      <c r="B1797" t="s">
        <v>79</v>
      </c>
      <c r="C1797" t="s">
        <v>733</v>
      </c>
      <c r="D1797" t="s">
        <v>85</v>
      </c>
      <c r="E1797">
        <v>1278.71</v>
      </c>
      <c r="F1797" s="2">
        <v>45736.666684444448</v>
      </c>
      <c r="G1797" t="s">
        <v>86</v>
      </c>
      <c r="H1797" t="s">
        <v>81</v>
      </c>
      <c r="I1797" t="s">
        <v>82</v>
      </c>
    </row>
    <row r="1798" spans="1:9" x14ac:dyDescent="0.45">
      <c r="A1798" t="s">
        <v>2598</v>
      </c>
      <c r="B1798" t="s">
        <v>90</v>
      </c>
      <c r="C1798" t="s">
        <v>1594</v>
      </c>
      <c r="D1798" t="s">
        <v>106</v>
      </c>
      <c r="E1798">
        <v>495</v>
      </c>
      <c r="F1798" s="2">
        <v>45647.666684444448</v>
      </c>
      <c r="G1798" t="s">
        <v>93</v>
      </c>
      <c r="H1798" t="s">
        <v>87</v>
      </c>
      <c r="I1798" t="s">
        <v>88</v>
      </c>
    </row>
    <row r="1799" spans="1:9" x14ac:dyDescent="0.45">
      <c r="A1799" t="s">
        <v>2599</v>
      </c>
      <c r="B1799" t="s">
        <v>138</v>
      </c>
      <c r="C1799" t="s">
        <v>261</v>
      </c>
      <c r="D1799" t="s">
        <v>101</v>
      </c>
      <c r="E1799">
        <v>626.95000000000005</v>
      </c>
      <c r="F1799" s="2">
        <v>45521.666684444448</v>
      </c>
      <c r="G1799" t="s">
        <v>140</v>
      </c>
      <c r="H1799" t="s">
        <v>136</v>
      </c>
      <c r="I1799" t="s">
        <v>112</v>
      </c>
    </row>
    <row r="1800" spans="1:9" x14ac:dyDescent="0.45">
      <c r="A1800" t="s">
        <v>2600</v>
      </c>
      <c r="B1800" t="s">
        <v>138</v>
      </c>
      <c r="C1800" t="s">
        <v>704</v>
      </c>
      <c r="D1800" t="s">
        <v>74</v>
      </c>
      <c r="E1800">
        <v>0</v>
      </c>
      <c r="F1800" s="2">
        <v>45601.666684444448</v>
      </c>
      <c r="G1800" t="s">
        <v>140</v>
      </c>
      <c r="H1800" t="s">
        <v>118</v>
      </c>
      <c r="I1800" t="s">
        <v>77</v>
      </c>
    </row>
    <row r="1801" spans="1:9" x14ac:dyDescent="0.45">
      <c r="A1801" t="s">
        <v>2601</v>
      </c>
      <c r="B1801" t="s">
        <v>95</v>
      </c>
      <c r="C1801" t="s">
        <v>2018</v>
      </c>
      <c r="D1801" t="s">
        <v>101</v>
      </c>
      <c r="E1801">
        <v>7765.34</v>
      </c>
      <c r="F1801" s="2">
        <v>45722.666684444448</v>
      </c>
      <c r="G1801" t="s">
        <v>97</v>
      </c>
      <c r="H1801" t="s">
        <v>81</v>
      </c>
      <c r="I1801" t="s">
        <v>77</v>
      </c>
    </row>
    <row r="1802" spans="1:9" x14ac:dyDescent="0.45">
      <c r="A1802" t="s">
        <v>2602</v>
      </c>
      <c r="B1802" t="s">
        <v>138</v>
      </c>
      <c r="C1802" t="s">
        <v>2329</v>
      </c>
      <c r="D1802" t="s">
        <v>74</v>
      </c>
      <c r="E1802">
        <v>0</v>
      </c>
      <c r="F1802" s="2">
        <v>45695.666684444448</v>
      </c>
      <c r="G1802" t="s">
        <v>140</v>
      </c>
      <c r="H1802" t="s">
        <v>87</v>
      </c>
      <c r="I1802" t="s">
        <v>77</v>
      </c>
    </row>
    <row r="1803" spans="1:9" x14ac:dyDescent="0.45">
      <c r="A1803" t="s">
        <v>2603</v>
      </c>
      <c r="B1803" t="s">
        <v>138</v>
      </c>
      <c r="C1803" t="s">
        <v>1344</v>
      </c>
      <c r="D1803" t="s">
        <v>106</v>
      </c>
      <c r="E1803">
        <v>0</v>
      </c>
      <c r="F1803" s="2">
        <v>45170.666684444448</v>
      </c>
      <c r="G1803" t="s">
        <v>140</v>
      </c>
      <c r="H1803" t="s">
        <v>145</v>
      </c>
      <c r="I1803" t="s">
        <v>112</v>
      </c>
    </row>
    <row r="1804" spans="1:9" x14ac:dyDescent="0.45">
      <c r="A1804" t="s">
        <v>2604</v>
      </c>
      <c r="B1804" t="s">
        <v>104</v>
      </c>
      <c r="C1804" t="s">
        <v>478</v>
      </c>
      <c r="D1804" t="s">
        <v>74</v>
      </c>
      <c r="E1804">
        <v>0</v>
      </c>
      <c r="F1804" s="2">
        <v>45588.666684444448</v>
      </c>
      <c r="G1804" t="s">
        <v>115</v>
      </c>
      <c r="H1804" t="s">
        <v>133</v>
      </c>
      <c r="I1804" t="s">
        <v>77</v>
      </c>
    </row>
    <row r="1805" spans="1:9" x14ac:dyDescent="0.45">
      <c r="A1805" t="s">
        <v>2605</v>
      </c>
      <c r="B1805" t="s">
        <v>104</v>
      </c>
      <c r="C1805" t="s">
        <v>992</v>
      </c>
      <c r="D1805" t="s">
        <v>92</v>
      </c>
      <c r="E1805">
        <v>7014.92</v>
      </c>
      <c r="F1805" s="2">
        <v>45713.666684444448</v>
      </c>
      <c r="G1805" t="s">
        <v>115</v>
      </c>
      <c r="H1805" t="s">
        <v>145</v>
      </c>
      <c r="I1805" t="s">
        <v>119</v>
      </c>
    </row>
    <row r="1806" spans="1:9" x14ac:dyDescent="0.45">
      <c r="A1806" t="s">
        <v>2606</v>
      </c>
      <c r="B1806" t="s">
        <v>72</v>
      </c>
      <c r="C1806" t="s">
        <v>561</v>
      </c>
      <c r="D1806" t="s">
        <v>92</v>
      </c>
      <c r="E1806">
        <v>0</v>
      </c>
      <c r="F1806" s="2">
        <v>45795.666684444448</v>
      </c>
      <c r="H1806" t="s">
        <v>116</v>
      </c>
      <c r="I1806" t="s">
        <v>119</v>
      </c>
    </row>
    <row r="1807" spans="1:9" x14ac:dyDescent="0.45">
      <c r="A1807" t="s">
        <v>2349</v>
      </c>
      <c r="B1807" t="s">
        <v>90</v>
      </c>
      <c r="C1807" t="s">
        <v>1512</v>
      </c>
      <c r="D1807" t="s">
        <v>74</v>
      </c>
      <c r="E1807">
        <v>8544.35</v>
      </c>
      <c r="F1807" s="2">
        <v>45320.666684444448</v>
      </c>
      <c r="G1807" t="s">
        <v>93</v>
      </c>
      <c r="H1807" t="s">
        <v>136</v>
      </c>
      <c r="I1807" t="s">
        <v>163</v>
      </c>
    </row>
    <row r="1808" spans="1:9" x14ac:dyDescent="0.45">
      <c r="A1808" t="s">
        <v>2607</v>
      </c>
      <c r="B1808" t="s">
        <v>104</v>
      </c>
      <c r="C1808" t="s">
        <v>2608</v>
      </c>
      <c r="D1808" t="s">
        <v>85</v>
      </c>
      <c r="E1808">
        <v>11208.44</v>
      </c>
      <c r="F1808" s="2">
        <v>45457.666684444448</v>
      </c>
      <c r="G1808" t="s">
        <v>115</v>
      </c>
      <c r="H1808" t="s">
        <v>107</v>
      </c>
      <c r="I1808" t="s">
        <v>119</v>
      </c>
    </row>
    <row r="1809" spans="1:9" x14ac:dyDescent="0.45">
      <c r="A1809" t="s">
        <v>2609</v>
      </c>
      <c r="B1809" t="s">
        <v>90</v>
      </c>
      <c r="C1809" t="s">
        <v>1249</v>
      </c>
      <c r="D1809" t="s">
        <v>74</v>
      </c>
      <c r="E1809">
        <v>1629.99</v>
      </c>
      <c r="F1809" s="2">
        <v>45747.666684444448</v>
      </c>
      <c r="G1809" t="s">
        <v>93</v>
      </c>
      <c r="H1809" t="s">
        <v>136</v>
      </c>
      <c r="I1809" t="s">
        <v>112</v>
      </c>
    </row>
    <row r="1810" spans="1:9" x14ac:dyDescent="0.45">
      <c r="A1810" t="s">
        <v>2610</v>
      </c>
      <c r="B1810" t="s">
        <v>109</v>
      </c>
      <c r="C1810" t="s">
        <v>1977</v>
      </c>
      <c r="D1810" t="s">
        <v>85</v>
      </c>
      <c r="E1810">
        <v>9314.06</v>
      </c>
      <c r="F1810" s="2">
        <v>45615.666684444448</v>
      </c>
      <c r="G1810" t="s">
        <v>111</v>
      </c>
      <c r="I1810" t="s">
        <v>119</v>
      </c>
    </row>
    <row r="1811" spans="1:9" x14ac:dyDescent="0.45">
      <c r="A1811" t="s">
        <v>2611</v>
      </c>
      <c r="B1811" t="s">
        <v>95</v>
      </c>
      <c r="D1811" t="s">
        <v>74</v>
      </c>
      <c r="E1811">
        <v>5596.72</v>
      </c>
      <c r="F1811" s="2">
        <v>45641.666684444448</v>
      </c>
      <c r="G1811" t="s">
        <v>97</v>
      </c>
      <c r="H1811" t="s">
        <v>118</v>
      </c>
      <c r="I1811" t="s">
        <v>77</v>
      </c>
    </row>
    <row r="1812" spans="1:9" x14ac:dyDescent="0.45">
      <c r="A1812" t="s">
        <v>2612</v>
      </c>
      <c r="B1812" t="s">
        <v>95</v>
      </c>
      <c r="C1812" t="s">
        <v>784</v>
      </c>
      <c r="D1812" t="s">
        <v>155</v>
      </c>
      <c r="E1812">
        <v>5150.29</v>
      </c>
      <c r="F1812" s="2">
        <v>45282.666684444448</v>
      </c>
      <c r="G1812" t="s">
        <v>97</v>
      </c>
      <c r="H1812" t="s">
        <v>81</v>
      </c>
      <c r="I1812" t="s">
        <v>112</v>
      </c>
    </row>
    <row r="1813" spans="1:9" x14ac:dyDescent="0.45">
      <c r="A1813" t="s">
        <v>2613</v>
      </c>
      <c r="B1813" t="s">
        <v>104</v>
      </c>
      <c r="C1813" t="s">
        <v>1746</v>
      </c>
      <c r="D1813" t="s">
        <v>106</v>
      </c>
      <c r="E1813">
        <v>3077.85</v>
      </c>
      <c r="F1813" s="2">
        <v>45191.666684444448</v>
      </c>
      <c r="G1813" t="s">
        <v>115</v>
      </c>
      <c r="H1813" t="s">
        <v>116</v>
      </c>
      <c r="I1813" t="s">
        <v>163</v>
      </c>
    </row>
    <row r="1814" spans="1:9" x14ac:dyDescent="0.45">
      <c r="A1814" t="s">
        <v>2614</v>
      </c>
      <c r="B1814" t="s">
        <v>109</v>
      </c>
      <c r="C1814" t="s">
        <v>438</v>
      </c>
      <c r="D1814" t="s">
        <v>74</v>
      </c>
      <c r="E1814">
        <v>188.83</v>
      </c>
      <c r="F1814" s="2">
        <v>45589.666684444448</v>
      </c>
      <c r="G1814" t="s">
        <v>111</v>
      </c>
      <c r="H1814" t="s">
        <v>145</v>
      </c>
      <c r="I1814" t="s">
        <v>163</v>
      </c>
    </row>
    <row r="1815" spans="1:9" x14ac:dyDescent="0.45">
      <c r="A1815" t="s">
        <v>122</v>
      </c>
      <c r="B1815" t="s">
        <v>79</v>
      </c>
      <c r="C1815" t="s">
        <v>712</v>
      </c>
      <c r="D1815" t="s">
        <v>74</v>
      </c>
      <c r="E1815">
        <v>7936.58</v>
      </c>
      <c r="F1815" s="2">
        <v>45233.666684444448</v>
      </c>
      <c r="G1815" t="s">
        <v>86</v>
      </c>
      <c r="H1815" t="s">
        <v>87</v>
      </c>
      <c r="I1815" t="s">
        <v>112</v>
      </c>
    </row>
    <row r="1816" spans="1:9" x14ac:dyDescent="0.45">
      <c r="A1816" t="s">
        <v>2615</v>
      </c>
      <c r="B1816" t="s">
        <v>72</v>
      </c>
      <c r="C1816" t="s">
        <v>1429</v>
      </c>
      <c r="D1816" t="s">
        <v>92</v>
      </c>
      <c r="E1816">
        <v>0</v>
      </c>
      <c r="F1816" s="2">
        <v>45479.666684444448</v>
      </c>
      <c r="G1816" t="s">
        <v>75</v>
      </c>
      <c r="H1816" t="s">
        <v>107</v>
      </c>
      <c r="I1816" t="s">
        <v>163</v>
      </c>
    </row>
    <row r="1817" spans="1:9" x14ac:dyDescent="0.45">
      <c r="A1817" t="s">
        <v>1654</v>
      </c>
      <c r="B1817" t="s">
        <v>95</v>
      </c>
      <c r="C1817" t="s">
        <v>691</v>
      </c>
      <c r="D1817" t="s">
        <v>101</v>
      </c>
      <c r="E1817">
        <v>0</v>
      </c>
      <c r="F1817" s="2">
        <v>45214.666684444448</v>
      </c>
      <c r="G1817" t="s">
        <v>97</v>
      </c>
      <c r="I1817" t="s">
        <v>119</v>
      </c>
    </row>
    <row r="1818" spans="1:9" x14ac:dyDescent="0.45">
      <c r="A1818" t="s">
        <v>2616</v>
      </c>
      <c r="B1818" t="s">
        <v>72</v>
      </c>
      <c r="C1818" t="s">
        <v>1450</v>
      </c>
      <c r="D1818" t="s">
        <v>148</v>
      </c>
      <c r="E1818">
        <v>10533.66</v>
      </c>
      <c r="F1818" s="2">
        <v>45644.666684444448</v>
      </c>
      <c r="G1818" t="s">
        <v>75</v>
      </c>
      <c r="H1818" t="s">
        <v>133</v>
      </c>
      <c r="I1818" t="s">
        <v>82</v>
      </c>
    </row>
    <row r="1819" spans="1:9" x14ac:dyDescent="0.45">
      <c r="A1819" t="s">
        <v>2617</v>
      </c>
      <c r="B1819" t="s">
        <v>95</v>
      </c>
      <c r="C1819" t="s">
        <v>2618</v>
      </c>
      <c r="D1819" t="s">
        <v>85</v>
      </c>
      <c r="E1819">
        <v>265.88</v>
      </c>
      <c r="F1819" s="2">
        <v>45789.666684444448</v>
      </c>
      <c r="G1819" t="s">
        <v>97</v>
      </c>
      <c r="H1819" t="s">
        <v>116</v>
      </c>
      <c r="I1819" t="s">
        <v>112</v>
      </c>
    </row>
    <row r="1820" spans="1:9" x14ac:dyDescent="0.45">
      <c r="A1820" t="s">
        <v>2619</v>
      </c>
      <c r="B1820" t="s">
        <v>109</v>
      </c>
      <c r="C1820" t="s">
        <v>326</v>
      </c>
      <c r="D1820" t="s">
        <v>101</v>
      </c>
      <c r="E1820">
        <v>3296.25</v>
      </c>
      <c r="F1820" s="2">
        <v>45304.666684444448</v>
      </c>
      <c r="G1820" t="s">
        <v>111</v>
      </c>
      <c r="H1820" t="s">
        <v>128</v>
      </c>
      <c r="I1820" t="s">
        <v>88</v>
      </c>
    </row>
    <row r="1821" spans="1:9" x14ac:dyDescent="0.45">
      <c r="A1821" t="s">
        <v>2620</v>
      </c>
      <c r="B1821" t="s">
        <v>138</v>
      </c>
      <c r="C1821" t="s">
        <v>2621</v>
      </c>
      <c r="E1821">
        <v>8658.65</v>
      </c>
      <c r="F1821" s="2">
        <v>45168.666684444448</v>
      </c>
      <c r="G1821" t="s">
        <v>194</v>
      </c>
      <c r="I1821" t="s">
        <v>88</v>
      </c>
    </row>
    <row r="1822" spans="1:9" x14ac:dyDescent="0.45">
      <c r="A1822" t="s">
        <v>2622</v>
      </c>
      <c r="B1822" t="s">
        <v>172</v>
      </c>
      <c r="C1822" t="s">
        <v>1221</v>
      </c>
      <c r="D1822" t="s">
        <v>85</v>
      </c>
      <c r="E1822">
        <v>5704.99</v>
      </c>
      <c r="F1822" s="2">
        <v>45381.666684444448</v>
      </c>
      <c r="G1822" t="s">
        <v>174</v>
      </c>
      <c r="H1822" t="s">
        <v>76</v>
      </c>
      <c r="I1822" t="s">
        <v>88</v>
      </c>
    </row>
    <row r="1823" spans="1:9" x14ac:dyDescent="0.45">
      <c r="A1823" t="s">
        <v>2623</v>
      </c>
      <c r="B1823" t="s">
        <v>138</v>
      </c>
      <c r="C1823" t="s">
        <v>1945</v>
      </c>
      <c r="D1823" t="s">
        <v>155</v>
      </c>
      <c r="E1823">
        <v>11759.83</v>
      </c>
      <c r="F1823" s="2">
        <v>45852.666684444448</v>
      </c>
      <c r="G1823" t="s">
        <v>140</v>
      </c>
      <c r="H1823" t="s">
        <v>107</v>
      </c>
      <c r="I1823" t="s">
        <v>82</v>
      </c>
    </row>
    <row r="1824" spans="1:9" x14ac:dyDescent="0.45">
      <c r="A1824" t="s">
        <v>2624</v>
      </c>
      <c r="B1824" t="s">
        <v>79</v>
      </c>
      <c r="D1824" t="s">
        <v>155</v>
      </c>
      <c r="E1824">
        <v>6898.43</v>
      </c>
      <c r="F1824" s="2">
        <v>45576.666684444448</v>
      </c>
      <c r="G1824" t="s">
        <v>86</v>
      </c>
      <c r="H1824" t="s">
        <v>116</v>
      </c>
      <c r="I1824" t="s">
        <v>82</v>
      </c>
    </row>
    <row r="1825" spans="1:9" x14ac:dyDescent="0.45">
      <c r="A1825" t="s">
        <v>2625</v>
      </c>
      <c r="B1825" t="s">
        <v>95</v>
      </c>
      <c r="C1825" t="s">
        <v>452</v>
      </c>
      <c r="D1825" t="s">
        <v>74</v>
      </c>
      <c r="E1825">
        <v>4372.6400000000003</v>
      </c>
      <c r="F1825" s="2">
        <v>45577.666684444448</v>
      </c>
      <c r="G1825" t="s">
        <v>97</v>
      </c>
      <c r="I1825" t="s">
        <v>77</v>
      </c>
    </row>
    <row r="1826" spans="1:9" x14ac:dyDescent="0.45">
      <c r="A1826" t="s">
        <v>2626</v>
      </c>
      <c r="B1826" t="s">
        <v>79</v>
      </c>
      <c r="C1826" t="s">
        <v>2627</v>
      </c>
      <c r="D1826" t="s">
        <v>74</v>
      </c>
      <c r="E1826">
        <v>0</v>
      </c>
      <c r="F1826" s="2">
        <v>45664.666684444448</v>
      </c>
      <c r="G1826" t="s">
        <v>278</v>
      </c>
      <c r="H1826" t="s">
        <v>118</v>
      </c>
      <c r="I1826" t="s">
        <v>163</v>
      </c>
    </row>
    <row r="1827" spans="1:9" x14ac:dyDescent="0.45">
      <c r="A1827" t="s">
        <v>2628</v>
      </c>
      <c r="B1827" t="s">
        <v>104</v>
      </c>
      <c r="C1827" t="s">
        <v>2629</v>
      </c>
      <c r="D1827" t="s">
        <v>106</v>
      </c>
      <c r="E1827">
        <v>8625.7000000000007</v>
      </c>
      <c r="F1827" s="2">
        <v>45663.666684444448</v>
      </c>
      <c r="G1827" t="s">
        <v>115</v>
      </c>
      <c r="H1827" t="s">
        <v>136</v>
      </c>
      <c r="I1827" t="s">
        <v>77</v>
      </c>
    </row>
    <row r="1828" spans="1:9" x14ac:dyDescent="0.45">
      <c r="A1828" t="s">
        <v>2630</v>
      </c>
      <c r="B1828" t="s">
        <v>104</v>
      </c>
      <c r="C1828" t="s">
        <v>100</v>
      </c>
      <c r="D1828" t="s">
        <v>155</v>
      </c>
      <c r="E1828">
        <v>10997.07</v>
      </c>
      <c r="F1828" s="2">
        <v>45752.666684444448</v>
      </c>
      <c r="G1828" t="s">
        <v>115</v>
      </c>
      <c r="H1828" t="s">
        <v>87</v>
      </c>
      <c r="I1828" t="s">
        <v>112</v>
      </c>
    </row>
    <row r="1829" spans="1:9" x14ac:dyDescent="0.45">
      <c r="A1829" t="s">
        <v>701</v>
      </c>
      <c r="B1829" t="s">
        <v>99</v>
      </c>
      <c r="C1829" t="s">
        <v>1767</v>
      </c>
      <c r="D1829" t="s">
        <v>74</v>
      </c>
      <c r="E1829">
        <v>0</v>
      </c>
      <c r="F1829" s="2">
        <v>45290.666684444448</v>
      </c>
      <c r="G1829" t="s">
        <v>102</v>
      </c>
      <c r="H1829" t="s">
        <v>136</v>
      </c>
      <c r="I1829" t="s">
        <v>88</v>
      </c>
    </row>
    <row r="1830" spans="1:9" x14ac:dyDescent="0.45">
      <c r="A1830" t="s">
        <v>2631</v>
      </c>
      <c r="B1830" t="s">
        <v>90</v>
      </c>
      <c r="C1830" t="s">
        <v>507</v>
      </c>
      <c r="E1830">
        <v>9470.93</v>
      </c>
      <c r="F1830" s="2">
        <v>45500.666684444448</v>
      </c>
      <c r="H1830" t="s">
        <v>76</v>
      </c>
      <c r="I1830" t="s">
        <v>119</v>
      </c>
    </row>
    <row r="1831" spans="1:9" x14ac:dyDescent="0.45">
      <c r="A1831" t="s">
        <v>2632</v>
      </c>
      <c r="B1831" t="s">
        <v>104</v>
      </c>
      <c r="C1831" t="s">
        <v>1277</v>
      </c>
      <c r="D1831" t="s">
        <v>85</v>
      </c>
      <c r="E1831">
        <v>1420.14</v>
      </c>
      <c r="F1831" s="2">
        <v>45509.666684444448</v>
      </c>
      <c r="G1831" t="s">
        <v>115</v>
      </c>
      <c r="H1831" t="s">
        <v>118</v>
      </c>
      <c r="I1831" t="s">
        <v>112</v>
      </c>
    </row>
    <row r="1832" spans="1:9" x14ac:dyDescent="0.45">
      <c r="A1832" t="s">
        <v>2633</v>
      </c>
      <c r="B1832" t="s">
        <v>104</v>
      </c>
      <c r="C1832" t="s">
        <v>139</v>
      </c>
      <c r="D1832" t="s">
        <v>101</v>
      </c>
      <c r="E1832">
        <v>9447</v>
      </c>
      <c r="F1832" s="2">
        <v>45417.666684444448</v>
      </c>
      <c r="G1832" t="s">
        <v>115</v>
      </c>
      <c r="H1832" t="s">
        <v>76</v>
      </c>
      <c r="I1832" t="s">
        <v>112</v>
      </c>
    </row>
    <row r="1833" spans="1:9" x14ac:dyDescent="0.45">
      <c r="A1833" t="s">
        <v>2634</v>
      </c>
      <c r="B1833" t="s">
        <v>95</v>
      </c>
      <c r="C1833" t="s">
        <v>1561</v>
      </c>
      <c r="D1833" t="s">
        <v>148</v>
      </c>
      <c r="E1833">
        <v>9880.17</v>
      </c>
      <c r="F1833" s="2">
        <v>45524.666684444448</v>
      </c>
      <c r="H1833" t="s">
        <v>136</v>
      </c>
      <c r="I1833" t="s">
        <v>82</v>
      </c>
    </row>
    <row r="1834" spans="1:9" x14ac:dyDescent="0.45">
      <c r="A1834" t="s">
        <v>2635</v>
      </c>
      <c r="B1834" t="s">
        <v>99</v>
      </c>
      <c r="C1834" t="s">
        <v>2315</v>
      </c>
      <c r="D1834" t="s">
        <v>74</v>
      </c>
      <c r="E1834">
        <v>9479.7000000000007</v>
      </c>
      <c r="F1834" s="2">
        <v>45546.666684444448</v>
      </c>
      <c r="G1834" t="s">
        <v>102</v>
      </c>
      <c r="H1834" t="s">
        <v>118</v>
      </c>
      <c r="I1834" t="s">
        <v>163</v>
      </c>
    </row>
    <row r="1835" spans="1:9" x14ac:dyDescent="0.45">
      <c r="A1835" t="s">
        <v>2636</v>
      </c>
      <c r="B1835" t="s">
        <v>95</v>
      </c>
      <c r="C1835" t="s">
        <v>1349</v>
      </c>
      <c r="D1835" t="s">
        <v>155</v>
      </c>
      <c r="E1835">
        <v>1016.74</v>
      </c>
      <c r="F1835" s="2">
        <v>45474.666684444448</v>
      </c>
      <c r="G1835" t="s">
        <v>97</v>
      </c>
      <c r="H1835" t="s">
        <v>136</v>
      </c>
      <c r="I1835" t="s">
        <v>163</v>
      </c>
    </row>
    <row r="1836" spans="1:9" x14ac:dyDescent="0.45">
      <c r="A1836" t="s">
        <v>2637</v>
      </c>
      <c r="B1836" t="s">
        <v>72</v>
      </c>
      <c r="C1836" t="s">
        <v>201</v>
      </c>
      <c r="D1836" t="s">
        <v>74</v>
      </c>
      <c r="E1836">
        <v>81.430000000000007</v>
      </c>
      <c r="F1836" s="2">
        <v>45823.666684444448</v>
      </c>
      <c r="G1836" t="s">
        <v>75</v>
      </c>
      <c r="H1836" t="s">
        <v>133</v>
      </c>
      <c r="I1836" t="s">
        <v>88</v>
      </c>
    </row>
    <row r="1837" spans="1:9" x14ac:dyDescent="0.45">
      <c r="A1837" t="s">
        <v>2638</v>
      </c>
      <c r="B1837" t="s">
        <v>79</v>
      </c>
      <c r="D1837" t="s">
        <v>85</v>
      </c>
      <c r="E1837">
        <v>0</v>
      </c>
      <c r="F1837" s="2">
        <v>45740.666684444448</v>
      </c>
      <c r="G1837" t="s">
        <v>86</v>
      </c>
      <c r="H1837" t="s">
        <v>116</v>
      </c>
      <c r="I1837" t="s">
        <v>88</v>
      </c>
    </row>
    <row r="1838" spans="1:9" x14ac:dyDescent="0.45">
      <c r="A1838" t="s">
        <v>2639</v>
      </c>
      <c r="B1838" t="s">
        <v>72</v>
      </c>
      <c r="C1838" t="s">
        <v>1297</v>
      </c>
      <c r="D1838" t="s">
        <v>74</v>
      </c>
      <c r="E1838">
        <v>6330.76</v>
      </c>
      <c r="F1838" s="2">
        <v>45181.666684444448</v>
      </c>
      <c r="G1838" t="s">
        <v>75</v>
      </c>
      <c r="H1838" t="s">
        <v>118</v>
      </c>
      <c r="I1838" t="s">
        <v>112</v>
      </c>
    </row>
    <row r="1839" spans="1:9" x14ac:dyDescent="0.45">
      <c r="A1839" t="s">
        <v>2640</v>
      </c>
      <c r="B1839" t="s">
        <v>109</v>
      </c>
      <c r="C1839" t="s">
        <v>2641</v>
      </c>
      <c r="D1839" t="s">
        <v>85</v>
      </c>
      <c r="E1839">
        <v>10062.01</v>
      </c>
      <c r="F1839" s="2">
        <v>45774.666684444448</v>
      </c>
      <c r="G1839" t="s">
        <v>111</v>
      </c>
      <c r="H1839" t="s">
        <v>81</v>
      </c>
      <c r="I1839" t="s">
        <v>163</v>
      </c>
    </row>
    <row r="1840" spans="1:9" x14ac:dyDescent="0.45">
      <c r="A1840" t="s">
        <v>2642</v>
      </c>
      <c r="B1840" t="s">
        <v>109</v>
      </c>
      <c r="C1840" t="s">
        <v>1367</v>
      </c>
      <c r="D1840" t="s">
        <v>92</v>
      </c>
      <c r="E1840">
        <v>10432.23</v>
      </c>
      <c r="F1840" s="2">
        <v>45790.666684444448</v>
      </c>
      <c r="G1840" t="s">
        <v>111</v>
      </c>
      <c r="I1840" t="s">
        <v>112</v>
      </c>
    </row>
    <row r="1841" spans="1:9" x14ac:dyDescent="0.45">
      <c r="A1841" t="s">
        <v>2643</v>
      </c>
      <c r="B1841" t="s">
        <v>95</v>
      </c>
      <c r="C1841" t="s">
        <v>1261</v>
      </c>
      <c r="D1841" t="s">
        <v>74</v>
      </c>
      <c r="E1841">
        <v>4031.64</v>
      </c>
      <c r="F1841" s="2">
        <v>45470.666684444448</v>
      </c>
      <c r="G1841" t="s">
        <v>336</v>
      </c>
      <c r="I1841" t="s">
        <v>119</v>
      </c>
    </row>
    <row r="1842" spans="1:9" x14ac:dyDescent="0.45">
      <c r="A1842" t="s">
        <v>2644</v>
      </c>
      <c r="B1842" t="s">
        <v>172</v>
      </c>
      <c r="C1842" t="s">
        <v>1358</v>
      </c>
      <c r="D1842" t="s">
        <v>85</v>
      </c>
      <c r="E1842">
        <v>4803.8599999999997</v>
      </c>
      <c r="F1842" s="2">
        <v>45195.666684444448</v>
      </c>
      <c r="H1842" t="s">
        <v>133</v>
      </c>
      <c r="I1842" t="s">
        <v>82</v>
      </c>
    </row>
    <row r="1843" spans="1:9" x14ac:dyDescent="0.45">
      <c r="A1843" t="s">
        <v>2645</v>
      </c>
      <c r="B1843" t="s">
        <v>172</v>
      </c>
      <c r="C1843" t="s">
        <v>997</v>
      </c>
      <c r="D1843" t="s">
        <v>85</v>
      </c>
      <c r="E1843">
        <v>6714.9</v>
      </c>
      <c r="F1843" s="2">
        <v>45465.666684444448</v>
      </c>
      <c r="G1843" t="s">
        <v>174</v>
      </c>
      <c r="H1843" t="s">
        <v>87</v>
      </c>
      <c r="I1843" t="s">
        <v>163</v>
      </c>
    </row>
    <row r="1844" spans="1:9" x14ac:dyDescent="0.45">
      <c r="A1844" t="s">
        <v>2646</v>
      </c>
      <c r="B1844" t="s">
        <v>72</v>
      </c>
      <c r="C1844" t="s">
        <v>612</v>
      </c>
      <c r="D1844" t="s">
        <v>74</v>
      </c>
      <c r="E1844">
        <v>11739.91</v>
      </c>
      <c r="F1844" s="2">
        <v>45224.666684444448</v>
      </c>
      <c r="G1844" t="s">
        <v>75</v>
      </c>
      <c r="H1844" t="s">
        <v>128</v>
      </c>
      <c r="I1844" t="s">
        <v>112</v>
      </c>
    </row>
    <row r="1845" spans="1:9" x14ac:dyDescent="0.45">
      <c r="A1845" t="s">
        <v>2647</v>
      </c>
      <c r="B1845" t="s">
        <v>104</v>
      </c>
      <c r="C1845" t="s">
        <v>1269</v>
      </c>
      <c r="E1845">
        <v>7724.98</v>
      </c>
      <c r="F1845" s="2">
        <v>45699.666684444448</v>
      </c>
      <c r="G1845" t="s">
        <v>115</v>
      </c>
      <c r="H1845" t="s">
        <v>136</v>
      </c>
      <c r="I1845" t="s">
        <v>77</v>
      </c>
    </row>
    <row r="1846" spans="1:9" x14ac:dyDescent="0.45">
      <c r="A1846" t="s">
        <v>2648</v>
      </c>
      <c r="B1846" t="s">
        <v>95</v>
      </c>
      <c r="C1846" t="s">
        <v>2245</v>
      </c>
      <c r="D1846" t="s">
        <v>101</v>
      </c>
      <c r="E1846">
        <v>414.05</v>
      </c>
      <c r="F1846" s="2">
        <v>45822.666684444448</v>
      </c>
      <c r="H1846" t="s">
        <v>145</v>
      </c>
      <c r="I1846" t="s">
        <v>82</v>
      </c>
    </row>
    <row r="1847" spans="1:9" x14ac:dyDescent="0.45">
      <c r="A1847" t="s">
        <v>2649</v>
      </c>
      <c r="B1847" t="s">
        <v>72</v>
      </c>
      <c r="C1847" t="s">
        <v>715</v>
      </c>
      <c r="D1847" t="s">
        <v>85</v>
      </c>
      <c r="E1847">
        <v>9221.3700000000008</v>
      </c>
      <c r="F1847" s="2">
        <v>45523.666684444448</v>
      </c>
      <c r="G1847" t="s">
        <v>75</v>
      </c>
      <c r="H1847" t="s">
        <v>128</v>
      </c>
      <c r="I1847" t="s">
        <v>88</v>
      </c>
    </row>
    <row r="1848" spans="1:9" x14ac:dyDescent="0.45">
      <c r="A1848" t="s">
        <v>2650</v>
      </c>
      <c r="B1848" t="s">
        <v>95</v>
      </c>
      <c r="C1848" t="s">
        <v>1878</v>
      </c>
      <c r="D1848" t="s">
        <v>85</v>
      </c>
      <c r="E1848">
        <v>8546.26</v>
      </c>
      <c r="F1848" s="2">
        <v>45418.666684444448</v>
      </c>
      <c r="G1848" t="s">
        <v>97</v>
      </c>
      <c r="I1848" t="s">
        <v>77</v>
      </c>
    </row>
    <row r="1849" spans="1:9" x14ac:dyDescent="0.45">
      <c r="A1849" t="s">
        <v>2651</v>
      </c>
      <c r="B1849" t="s">
        <v>72</v>
      </c>
      <c r="C1849" t="s">
        <v>2400</v>
      </c>
      <c r="D1849" t="s">
        <v>85</v>
      </c>
      <c r="E1849">
        <v>2062.2800000000002</v>
      </c>
      <c r="F1849" s="2">
        <v>45386.666684444448</v>
      </c>
      <c r="G1849" t="s">
        <v>75</v>
      </c>
      <c r="H1849" t="s">
        <v>81</v>
      </c>
      <c r="I1849" t="s">
        <v>119</v>
      </c>
    </row>
    <row r="1850" spans="1:9" x14ac:dyDescent="0.45">
      <c r="A1850" t="s">
        <v>2652</v>
      </c>
      <c r="B1850" t="s">
        <v>109</v>
      </c>
      <c r="C1850" t="s">
        <v>2653</v>
      </c>
      <c r="D1850" t="s">
        <v>74</v>
      </c>
      <c r="E1850">
        <v>5955.64</v>
      </c>
      <c r="F1850" s="2">
        <v>45800.666684444448</v>
      </c>
      <c r="G1850" t="s">
        <v>111</v>
      </c>
      <c r="H1850" t="s">
        <v>145</v>
      </c>
      <c r="I1850" t="s">
        <v>112</v>
      </c>
    </row>
    <row r="1851" spans="1:9" x14ac:dyDescent="0.45">
      <c r="A1851" t="s">
        <v>2654</v>
      </c>
      <c r="B1851" t="s">
        <v>99</v>
      </c>
      <c r="C1851" t="s">
        <v>1375</v>
      </c>
      <c r="D1851" t="s">
        <v>101</v>
      </c>
      <c r="E1851">
        <v>9342.77</v>
      </c>
      <c r="F1851" s="2">
        <v>45745.666684444448</v>
      </c>
      <c r="G1851" t="s">
        <v>102</v>
      </c>
      <c r="H1851" t="s">
        <v>81</v>
      </c>
      <c r="I1851" t="s">
        <v>163</v>
      </c>
    </row>
    <row r="1852" spans="1:9" x14ac:dyDescent="0.45">
      <c r="A1852" t="s">
        <v>2655</v>
      </c>
      <c r="B1852" t="s">
        <v>95</v>
      </c>
      <c r="C1852" t="s">
        <v>246</v>
      </c>
      <c r="D1852" t="s">
        <v>85</v>
      </c>
      <c r="E1852">
        <v>6894.89</v>
      </c>
      <c r="F1852" s="2">
        <v>45281.666684444448</v>
      </c>
      <c r="G1852" t="s">
        <v>97</v>
      </c>
      <c r="I1852" t="s">
        <v>119</v>
      </c>
    </row>
    <row r="1853" spans="1:9" x14ac:dyDescent="0.45">
      <c r="A1853" t="s">
        <v>2656</v>
      </c>
      <c r="B1853" t="s">
        <v>99</v>
      </c>
      <c r="C1853" t="s">
        <v>1722</v>
      </c>
      <c r="D1853" t="s">
        <v>92</v>
      </c>
      <c r="E1853">
        <v>6752.03</v>
      </c>
      <c r="F1853" s="2">
        <v>45469.666684444448</v>
      </c>
      <c r="G1853" t="s">
        <v>102</v>
      </c>
      <c r="H1853" t="s">
        <v>116</v>
      </c>
      <c r="I1853" t="s">
        <v>77</v>
      </c>
    </row>
    <row r="1854" spans="1:9" x14ac:dyDescent="0.45">
      <c r="A1854" t="s">
        <v>2657</v>
      </c>
      <c r="B1854" t="s">
        <v>109</v>
      </c>
      <c r="C1854" t="s">
        <v>2658</v>
      </c>
      <c r="E1854">
        <v>2606.69</v>
      </c>
      <c r="F1854" s="2">
        <v>45211.666684444448</v>
      </c>
      <c r="G1854" t="s">
        <v>111</v>
      </c>
      <c r="H1854" t="s">
        <v>107</v>
      </c>
      <c r="I1854" t="s">
        <v>119</v>
      </c>
    </row>
    <row r="1855" spans="1:9" x14ac:dyDescent="0.45">
      <c r="A1855" t="s">
        <v>2659</v>
      </c>
      <c r="B1855" t="s">
        <v>172</v>
      </c>
      <c r="C1855" t="s">
        <v>1032</v>
      </c>
      <c r="D1855" t="s">
        <v>85</v>
      </c>
      <c r="E1855">
        <v>4439.33</v>
      </c>
      <c r="F1855" s="2">
        <v>45724.666684444448</v>
      </c>
      <c r="G1855" t="s">
        <v>174</v>
      </c>
      <c r="H1855" t="s">
        <v>145</v>
      </c>
      <c r="I1855" t="s">
        <v>112</v>
      </c>
    </row>
    <row r="1856" spans="1:9" x14ac:dyDescent="0.45">
      <c r="A1856" t="s">
        <v>2660</v>
      </c>
      <c r="B1856" t="s">
        <v>138</v>
      </c>
      <c r="C1856" t="s">
        <v>723</v>
      </c>
      <c r="D1856" t="s">
        <v>74</v>
      </c>
      <c r="E1856">
        <v>2164.65</v>
      </c>
      <c r="F1856" s="2">
        <v>45807.666684444448</v>
      </c>
      <c r="G1856" t="s">
        <v>140</v>
      </c>
      <c r="H1856" t="s">
        <v>87</v>
      </c>
      <c r="I1856" t="s">
        <v>119</v>
      </c>
    </row>
    <row r="1857" spans="1:9" x14ac:dyDescent="0.45">
      <c r="A1857" t="s">
        <v>2661</v>
      </c>
      <c r="B1857" t="s">
        <v>79</v>
      </c>
      <c r="C1857" t="s">
        <v>864</v>
      </c>
      <c r="D1857" t="s">
        <v>74</v>
      </c>
      <c r="E1857">
        <v>2585.63</v>
      </c>
      <c r="F1857" s="2">
        <v>45272.666684444448</v>
      </c>
      <c r="G1857" t="s">
        <v>86</v>
      </c>
      <c r="H1857" t="s">
        <v>145</v>
      </c>
      <c r="I1857" t="s">
        <v>163</v>
      </c>
    </row>
    <row r="1858" spans="1:9" x14ac:dyDescent="0.45">
      <c r="A1858" t="s">
        <v>1424</v>
      </c>
      <c r="B1858" t="s">
        <v>79</v>
      </c>
      <c r="C1858" t="s">
        <v>766</v>
      </c>
      <c r="D1858" t="s">
        <v>74</v>
      </c>
      <c r="E1858">
        <v>11886.38</v>
      </c>
      <c r="F1858" s="2">
        <v>45486.666684444448</v>
      </c>
      <c r="I1858" t="s">
        <v>112</v>
      </c>
    </row>
    <row r="1859" spans="1:9" x14ac:dyDescent="0.45">
      <c r="A1859" t="s">
        <v>2662</v>
      </c>
      <c r="B1859" t="s">
        <v>79</v>
      </c>
      <c r="C1859" t="s">
        <v>1977</v>
      </c>
      <c r="D1859" t="s">
        <v>74</v>
      </c>
      <c r="E1859">
        <v>8979.32</v>
      </c>
      <c r="F1859" s="2">
        <v>45445.666684444448</v>
      </c>
      <c r="H1859" t="s">
        <v>116</v>
      </c>
      <c r="I1859" t="s">
        <v>82</v>
      </c>
    </row>
    <row r="1860" spans="1:9" x14ac:dyDescent="0.45">
      <c r="A1860" t="s">
        <v>2663</v>
      </c>
      <c r="B1860" t="s">
        <v>109</v>
      </c>
      <c r="C1860" t="s">
        <v>731</v>
      </c>
      <c r="D1860" t="s">
        <v>101</v>
      </c>
      <c r="E1860">
        <v>11627.07</v>
      </c>
      <c r="F1860" s="2">
        <v>45799.666684444448</v>
      </c>
      <c r="G1860" t="s">
        <v>111</v>
      </c>
      <c r="H1860" t="s">
        <v>81</v>
      </c>
      <c r="I1860" t="s">
        <v>119</v>
      </c>
    </row>
    <row r="1861" spans="1:9" x14ac:dyDescent="0.45">
      <c r="A1861" t="s">
        <v>2664</v>
      </c>
      <c r="B1861" t="s">
        <v>109</v>
      </c>
      <c r="C1861" t="s">
        <v>492</v>
      </c>
      <c r="D1861" t="s">
        <v>74</v>
      </c>
      <c r="E1861">
        <v>2642.93</v>
      </c>
      <c r="F1861" s="2">
        <v>45843.666684444448</v>
      </c>
      <c r="G1861" t="s">
        <v>111</v>
      </c>
      <c r="H1861" t="s">
        <v>76</v>
      </c>
      <c r="I1861" t="s">
        <v>163</v>
      </c>
    </row>
    <row r="1862" spans="1:9" x14ac:dyDescent="0.45">
      <c r="A1862" t="s">
        <v>2665</v>
      </c>
      <c r="B1862" t="s">
        <v>172</v>
      </c>
      <c r="C1862" t="s">
        <v>2011</v>
      </c>
      <c r="D1862" t="s">
        <v>74</v>
      </c>
      <c r="E1862">
        <v>8912.77</v>
      </c>
      <c r="F1862" s="2">
        <v>45806.666684444448</v>
      </c>
      <c r="H1862" t="s">
        <v>118</v>
      </c>
      <c r="I1862" t="s">
        <v>77</v>
      </c>
    </row>
    <row r="1863" spans="1:9" x14ac:dyDescent="0.45">
      <c r="A1863" t="s">
        <v>2666</v>
      </c>
      <c r="B1863" t="s">
        <v>138</v>
      </c>
      <c r="C1863" t="s">
        <v>864</v>
      </c>
      <c r="D1863" t="s">
        <v>74</v>
      </c>
      <c r="E1863">
        <v>5682.83</v>
      </c>
      <c r="F1863" s="2">
        <v>45529.666684444448</v>
      </c>
      <c r="G1863" t="s">
        <v>140</v>
      </c>
      <c r="H1863" t="s">
        <v>133</v>
      </c>
      <c r="I1863" t="s">
        <v>88</v>
      </c>
    </row>
    <row r="1864" spans="1:9" x14ac:dyDescent="0.45">
      <c r="A1864" t="s">
        <v>2667</v>
      </c>
      <c r="B1864" t="s">
        <v>90</v>
      </c>
      <c r="C1864" t="s">
        <v>1483</v>
      </c>
      <c r="D1864" t="s">
        <v>74</v>
      </c>
      <c r="E1864">
        <v>11159.31</v>
      </c>
      <c r="F1864" s="2">
        <v>45260.666684444448</v>
      </c>
      <c r="G1864" t="s">
        <v>93</v>
      </c>
      <c r="H1864" t="s">
        <v>107</v>
      </c>
      <c r="I1864" t="s">
        <v>163</v>
      </c>
    </row>
    <row r="1865" spans="1:9" x14ac:dyDescent="0.45">
      <c r="A1865" t="s">
        <v>2668</v>
      </c>
      <c r="B1865" t="s">
        <v>79</v>
      </c>
      <c r="C1865" t="s">
        <v>371</v>
      </c>
      <c r="D1865" t="s">
        <v>74</v>
      </c>
      <c r="E1865">
        <v>11561.81</v>
      </c>
      <c r="F1865" s="2">
        <v>45737.666684444448</v>
      </c>
      <c r="G1865" t="s">
        <v>86</v>
      </c>
      <c r="H1865" t="s">
        <v>145</v>
      </c>
      <c r="I1865" t="s">
        <v>82</v>
      </c>
    </row>
    <row r="1866" spans="1:9" x14ac:dyDescent="0.45">
      <c r="A1866" t="s">
        <v>2669</v>
      </c>
      <c r="B1866" t="s">
        <v>104</v>
      </c>
      <c r="C1866" t="s">
        <v>1146</v>
      </c>
      <c r="D1866" t="s">
        <v>74</v>
      </c>
      <c r="E1866">
        <v>7566.25</v>
      </c>
      <c r="F1866" s="2">
        <v>45853.666684444448</v>
      </c>
      <c r="G1866" t="s">
        <v>115</v>
      </c>
      <c r="H1866" t="s">
        <v>76</v>
      </c>
      <c r="I1866" t="s">
        <v>82</v>
      </c>
    </row>
    <row r="1867" spans="1:9" x14ac:dyDescent="0.45">
      <c r="A1867" t="s">
        <v>2670</v>
      </c>
      <c r="B1867" t="s">
        <v>79</v>
      </c>
      <c r="C1867" t="s">
        <v>1904</v>
      </c>
      <c r="D1867" t="s">
        <v>101</v>
      </c>
      <c r="E1867">
        <v>4441.07</v>
      </c>
      <c r="F1867" s="2">
        <v>45214.666684444448</v>
      </c>
      <c r="G1867" t="s">
        <v>86</v>
      </c>
      <c r="H1867" t="s">
        <v>87</v>
      </c>
      <c r="I1867" t="s">
        <v>119</v>
      </c>
    </row>
    <row r="1868" spans="1:9" x14ac:dyDescent="0.45">
      <c r="A1868" t="s">
        <v>2671</v>
      </c>
      <c r="B1868" t="s">
        <v>90</v>
      </c>
      <c r="C1868" t="s">
        <v>1945</v>
      </c>
      <c r="D1868" t="s">
        <v>85</v>
      </c>
      <c r="E1868">
        <v>0</v>
      </c>
      <c r="F1868" s="2">
        <v>45445.666684444448</v>
      </c>
      <c r="G1868" t="s">
        <v>93</v>
      </c>
      <c r="H1868" t="s">
        <v>145</v>
      </c>
      <c r="I1868" t="s">
        <v>88</v>
      </c>
    </row>
    <row r="1869" spans="1:9" x14ac:dyDescent="0.45">
      <c r="A1869" t="s">
        <v>2672</v>
      </c>
      <c r="B1869" t="s">
        <v>95</v>
      </c>
      <c r="C1869" t="s">
        <v>2673</v>
      </c>
      <c r="D1869" t="s">
        <v>74</v>
      </c>
      <c r="E1869">
        <v>9050.7800000000007</v>
      </c>
      <c r="F1869" s="2">
        <v>45700.666684444448</v>
      </c>
      <c r="G1869" t="s">
        <v>97</v>
      </c>
      <c r="H1869" t="s">
        <v>136</v>
      </c>
      <c r="I1869" t="s">
        <v>119</v>
      </c>
    </row>
    <row r="1870" spans="1:9" x14ac:dyDescent="0.45">
      <c r="A1870" t="s">
        <v>2674</v>
      </c>
      <c r="B1870" t="s">
        <v>172</v>
      </c>
      <c r="C1870" t="s">
        <v>892</v>
      </c>
      <c r="D1870" t="s">
        <v>101</v>
      </c>
      <c r="E1870">
        <v>1798.06</v>
      </c>
      <c r="F1870" s="2">
        <v>45513.666684444448</v>
      </c>
      <c r="G1870" t="s">
        <v>174</v>
      </c>
      <c r="H1870" t="s">
        <v>81</v>
      </c>
      <c r="I1870" t="s">
        <v>82</v>
      </c>
    </row>
    <row r="1871" spans="1:9" x14ac:dyDescent="0.45">
      <c r="A1871" t="s">
        <v>2675</v>
      </c>
      <c r="B1871" t="s">
        <v>99</v>
      </c>
      <c r="D1871" t="s">
        <v>101</v>
      </c>
      <c r="E1871">
        <v>11374.04</v>
      </c>
      <c r="F1871" s="2">
        <v>45786.666684444448</v>
      </c>
      <c r="G1871" t="s">
        <v>102</v>
      </c>
      <c r="H1871" t="s">
        <v>145</v>
      </c>
      <c r="I1871" t="s">
        <v>163</v>
      </c>
    </row>
    <row r="1872" spans="1:9" x14ac:dyDescent="0.45">
      <c r="A1872" t="s">
        <v>2676</v>
      </c>
      <c r="B1872" t="s">
        <v>99</v>
      </c>
      <c r="C1872" t="s">
        <v>1975</v>
      </c>
      <c r="D1872" t="s">
        <v>74</v>
      </c>
      <c r="E1872">
        <v>10892.18</v>
      </c>
      <c r="F1872" s="2">
        <v>45464.666684444448</v>
      </c>
      <c r="G1872" t="s">
        <v>102</v>
      </c>
      <c r="I1872" t="s">
        <v>112</v>
      </c>
    </row>
    <row r="1873" spans="1:9" x14ac:dyDescent="0.45">
      <c r="A1873" t="s">
        <v>2677</v>
      </c>
      <c r="B1873" t="s">
        <v>90</v>
      </c>
      <c r="C1873" t="s">
        <v>898</v>
      </c>
      <c r="D1873" t="s">
        <v>74</v>
      </c>
      <c r="E1873">
        <v>6518.64</v>
      </c>
      <c r="F1873" s="2">
        <v>45258.666684444448</v>
      </c>
      <c r="G1873" t="s">
        <v>93</v>
      </c>
      <c r="H1873" t="s">
        <v>133</v>
      </c>
      <c r="I1873" t="s">
        <v>112</v>
      </c>
    </row>
    <row r="1874" spans="1:9" x14ac:dyDescent="0.45">
      <c r="A1874" t="s">
        <v>2678</v>
      </c>
      <c r="B1874" t="s">
        <v>79</v>
      </c>
      <c r="C1874" t="s">
        <v>2679</v>
      </c>
      <c r="D1874" t="s">
        <v>85</v>
      </c>
      <c r="E1874">
        <v>0</v>
      </c>
      <c r="F1874" s="2">
        <v>45814.666684444448</v>
      </c>
      <c r="G1874" t="s">
        <v>86</v>
      </c>
      <c r="H1874" t="s">
        <v>118</v>
      </c>
      <c r="I1874" t="s">
        <v>163</v>
      </c>
    </row>
    <row r="1875" spans="1:9" x14ac:dyDescent="0.45">
      <c r="A1875" t="s">
        <v>2680</v>
      </c>
      <c r="B1875" t="s">
        <v>99</v>
      </c>
      <c r="C1875" t="s">
        <v>1764</v>
      </c>
      <c r="D1875" t="s">
        <v>92</v>
      </c>
      <c r="E1875">
        <v>7643.3</v>
      </c>
      <c r="F1875" s="2">
        <v>45847.666684444448</v>
      </c>
      <c r="G1875" t="s">
        <v>102</v>
      </c>
      <c r="H1875" t="s">
        <v>76</v>
      </c>
      <c r="I1875" t="s">
        <v>88</v>
      </c>
    </row>
    <row r="1876" spans="1:9" x14ac:dyDescent="0.45">
      <c r="A1876" t="s">
        <v>2681</v>
      </c>
      <c r="B1876" t="s">
        <v>90</v>
      </c>
      <c r="C1876" t="s">
        <v>715</v>
      </c>
      <c r="D1876" t="s">
        <v>74</v>
      </c>
      <c r="E1876">
        <v>6947.25</v>
      </c>
      <c r="F1876" s="2">
        <v>45829.666684444448</v>
      </c>
      <c r="G1876" t="s">
        <v>93</v>
      </c>
      <c r="H1876" t="s">
        <v>107</v>
      </c>
      <c r="I1876" t="s">
        <v>163</v>
      </c>
    </row>
    <row r="1877" spans="1:9" x14ac:dyDescent="0.45">
      <c r="A1877" t="s">
        <v>2682</v>
      </c>
      <c r="B1877" t="s">
        <v>109</v>
      </c>
      <c r="D1877" t="s">
        <v>74</v>
      </c>
      <c r="E1877">
        <v>8242.6299999999992</v>
      </c>
      <c r="F1877" s="2">
        <v>45667.666684444448</v>
      </c>
      <c r="G1877" t="s">
        <v>111</v>
      </c>
      <c r="H1877" t="s">
        <v>118</v>
      </c>
      <c r="I1877" t="s">
        <v>88</v>
      </c>
    </row>
    <row r="1878" spans="1:9" x14ac:dyDescent="0.45">
      <c r="A1878" t="s">
        <v>2683</v>
      </c>
      <c r="B1878" t="s">
        <v>72</v>
      </c>
      <c r="C1878" t="s">
        <v>2684</v>
      </c>
      <c r="D1878" t="s">
        <v>148</v>
      </c>
      <c r="E1878">
        <v>3736.07</v>
      </c>
      <c r="F1878" s="2">
        <v>45223.666684444448</v>
      </c>
      <c r="G1878" t="s">
        <v>75</v>
      </c>
      <c r="H1878" t="s">
        <v>136</v>
      </c>
      <c r="I1878" t="s">
        <v>82</v>
      </c>
    </row>
    <row r="1879" spans="1:9" x14ac:dyDescent="0.45">
      <c r="A1879" t="s">
        <v>2685</v>
      </c>
      <c r="B1879" t="s">
        <v>109</v>
      </c>
      <c r="C1879" t="s">
        <v>2686</v>
      </c>
      <c r="D1879" t="s">
        <v>101</v>
      </c>
      <c r="E1879">
        <v>11778.95</v>
      </c>
      <c r="F1879" s="2">
        <v>45789.666684444448</v>
      </c>
      <c r="H1879" t="s">
        <v>81</v>
      </c>
      <c r="I1879" t="s">
        <v>119</v>
      </c>
    </row>
    <row r="1880" spans="1:9" x14ac:dyDescent="0.45">
      <c r="A1880" t="s">
        <v>2687</v>
      </c>
      <c r="B1880" t="s">
        <v>79</v>
      </c>
      <c r="C1880" t="s">
        <v>170</v>
      </c>
      <c r="D1880" t="s">
        <v>74</v>
      </c>
      <c r="E1880">
        <v>11431.99</v>
      </c>
      <c r="F1880" s="2">
        <v>45814.666684444448</v>
      </c>
      <c r="G1880" t="s">
        <v>278</v>
      </c>
      <c r="H1880" t="s">
        <v>128</v>
      </c>
      <c r="I1880" t="s">
        <v>163</v>
      </c>
    </row>
    <row r="1881" spans="1:9" x14ac:dyDescent="0.45">
      <c r="A1881" t="s">
        <v>2688</v>
      </c>
      <c r="B1881" t="s">
        <v>90</v>
      </c>
      <c r="C1881" t="s">
        <v>448</v>
      </c>
      <c r="D1881" t="s">
        <v>148</v>
      </c>
      <c r="E1881">
        <v>9443.14</v>
      </c>
      <c r="F1881" s="2">
        <v>45561.666684444448</v>
      </c>
      <c r="G1881" t="s">
        <v>93</v>
      </c>
      <c r="H1881" t="s">
        <v>87</v>
      </c>
      <c r="I1881" t="s">
        <v>82</v>
      </c>
    </row>
    <row r="1882" spans="1:9" x14ac:dyDescent="0.45">
      <c r="A1882" t="s">
        <v>2689</v>
      </c>
      <c r="B1882" t="s">
        <v>95</v>
      </c>
      <c r="C1882" t="s">
        <v>1891</v>
      </c>
      <c r="E1882">
        <v>992.82</v>
      </c>
      <c r="F1882" s="2">
        <v>45648.666684444448</v>
      </c>
      <c r="G1882" t="s">
        <v>336</v>
      </c>
      <c r="H1882" t="s">
        <v>136</v>
      </c>
      <c r="I1882" t="s">
        <v>82</v>
      </c>
    </row>
    <row r="1883" spans="1:9" x14ac:dyDescent="0.45">
      <c r="A1883" t="s">
        <v>2690</v>
      </c>
      <c r="B1883" t="s">
        <v>99</v>
      </c>
      <c r="C1883" t="s">
        <v>2691</v>
      </c>
      <c r="D1883" t="s">
        <v>101</v>
      </c>
      <c r="E1883">
        <v>8125.22</v>
      </c>
      <c r="F1883" s="2">
        <v>45498.666684444448</v>
      </c>
      <c r="G1883" t="s">
        <v>102</v>
      </c>
      <c r="H1883" t="s">
        <v>107</v>
      </c>
      <c r="I1883" t="s">
        <v>119</v>
      </c>
    </row>
    <row r="1884" spans="1:9" x14ac:dyDescent="0.45">
      <c r="A1884" t="s">
        <v>2692</v>
      </c>
      <c r="B1884" t="s">
        <v>99</v>
      </c>
      <c r="C1884" t="s">
        <v>2693</v>
      </c>
      <c r="D1884" t="s">
        <v>85</v>
      </c>
      <c r="E1884">
        <v>956.86</v>
      </c>
      <c r="F1884" s="2">
        <v>45146.666684444448</v>
      </c>
      <c r="G1884" t="s">
        <v>285</v>
      </c>
      <c r="H1884" t="s">
        <v>81</v>
      </c>
      <c r="I1884" t="s">
        <v>119</v>
      </c>
    </row>
    <row r="1885" spans="1:9" x14ac:dyDescent="0.45">
      <c r="A1885" t="s">
        <v>2694</v>
      </c>
      <c r="B1885" t="s">
        <v>99</v>
      </c>
      <c r="C1885" t="s">
        <v>590</v>
      </c>
      <c r="D1885" t="s">
        <v>74</v>
      </c>
      <c r="E1885">
        <v>946.82</v>
      </c>
      <c r="F1885" s="2">
        <v>45499.666684444448</v>
      </c>
      <c r="G1885" t="s">
        <v>102</v>
      </c>
      <c r="H1885" t="s">
        <v>145</v>
      </c>
      <c r="I1885" t="s">
        <v>77</v>
      </c>
    </row>
    <row r="1886" spans="1:9" x14ac:dyDescent="0.45">
      <c r="A1886" t="s">
        <v>2695</v>
      </c>
      <c r="B1886" t="s">
        <v>90</v>
      </c>
      <c r="C1886" t="s">
        <v>2696</v>
      </c>
      <c r="D1886" t="s">
        <v>74</v>
      </c>
      <c r="E1886">
        <v>0</v>
      </c>
      <c r="F1886" s="2">
        <v>45444.666684444448</v>
      </c>
      <c r="G1886" t="s">
        <v>93</v>
      </c>
      <c r="H1886" t="s">
        <v>118</v>
      </c>
      <c r="I1886" t="s">
        <v>163</v>
      </c>
    </row>
    <row r="1887" spans="1:9" x14ac:dyDescent="0.45">
      <c r="A1887" t="s">
        <v>2697</v>
      </c>
      <c r="B1887" t="s">
        <v>109</v>
      </c>
      <c r="C1887" t="s">
        <v>127</v>
      </c>
      <c r="D1887" t="s">
        <v>85</v>
      </c>
      <c r="E1887">
        <v>1617.57</v>
      </c>
      <c r="F1887" s="2">
        <v>45312.666684444448</v>
      </c>
      <c r="G1887" t="s">
        <v>111</v>
      </c>
      <c r="H1887" t="s">
        <v>118</v>
      </c>
      <c r="I1887" t="s">
        <v>77</v>
      </c>
    </row>
    <row r="1888" spans="1:9" x14ac:dyDescent="0.45">
      <c r="A1888" t="s">
        <v>2698</v>
      </c>
      <c r="B1888" t="s">
        <v>95</v>
      </c>
      <c r="C1888" t="s">
        <v>1906</v>
      </c>
      <c r="D1888" t="s">
        <v>74</v>
      </c>
      <c r="E1888">
        <v>5643.41</v>
      </c>
      <c r="F1888" s="2">
        <v>45347.666684444448</v>
      </c>
      <c r="G1888" t="s">
        <v>97</v>
      </c>
      <c r="H1888" t="s">
        <v>145</v>
      </c>
      <c r="I1888" t="s">
        <v>163</v>
      </c>
    </row>
    <row r="1889" spans="1:9" x14ac:dyDescent="0.45">
      <c r="A1889" t="s">
        <v>2699</v>
      </c>
      <c r="B1889" t="s">
        <v>90</v>
      </c>
      <c r="C1889" t="s">
        <v>2284</v>
      </c>
      <c r="D1889" t="s">
        <v>101</v>
      </c>
      <c r="E1889">
        <v>11137.27</v>
      </c>
      <c r="F1889" s="2">
        <v>45477.666684444448</v>
      </c>
      <c r="G1889" t="s">
        <v>93</v>
      </c>
      <c r="H1889" t="s">
        <v>145</v>
      </c>
      <c r="I1889" t="s">
        <v>112</v>
      </c>
    </row>
    <row r="1890" spans="1:9" x14ac:dyDescent="0.45">
      <c r="A1890" t="s">
        <v>2700</v>
      </c>
      <c r="B1890" t="s">
        <v>79</v>
      </c>
      <c r="C1890" t="s">
        <v>781</v>
      </c>
      <c r="D1890" t="s">
        <v>155</v>
      </c>
      <c r="E1890">
        <v>4243.09</v>
      </c>
      <c r="F1890" s="2">
        <v>45625.666684444448</v>
      </c>
      <c r="H1890" t="s">
        <v>128</v>
      </c>
      <c r="I1890" t="s">
        <v>82</v>
      </c>
    </row>
    <row r="1891" spans="1:9" x14ac:dyDescent="0.45">
      <c r="A1891" t="s">
        <v>2701</v>
      </c>
      <c r="B1891" t="s">
        <v>172</v>
      </c>
      <c r="C1891" t="s">
        <v>858</v>
      </c>
      <c r="D1891" t="s">
        <v>106</v>
      </c>
      <c r="E1891">
        <v>5314.2</v>
      </c>
      <c r="F1891" s="2">
        <v>45324.666684444448</v>
      </c>
      <c r="G1891" t="s">
        <v>174</v>
      </c>
      <c r="H1891" t="s">
        <v>81</v>
      </c>
      <c r="I1891" t="s">
        <v>112</v>
      </c>
    </row>
    <row r="1892" spans="1:9" x14ac:dyDescent="0.45">
      <c r="A1892" t="s">
        <v>636</v>
      </c>
      <c r="B1892" t="s">
        <v>79</v>
      </c>
      <c r="C1892" t="s">
        <v>2702</v>
      </c>
      <c r="D1892" t="s">
        <v>74</v>
      </c>
      <c r="E1892">
        <v>8678.75</v>
      </c>
      <c r="F1892" s="2">
        <v>45359.666684444448</v>
      </c>
      <c r="G1892" t="s">
        <v>86</v>
      </c>
      <c r="H1892" t="s">
        <v>136</v>
      </c>
      <c r="I1892" t="s">
        <v>163</v>
      </c>
    </row>
    <row r="1893" spans="1:9" x14ac:dyDescent="0.45">
      <c r="A1893" t="s">
        <v>2703</v>
      </c>
      <c r="B1893" t="s">
        <v>72</v>
      </c>
      <c r="C1893" t="s">
        <v>2704</v>
      </c>
      <c r="D1893" t="s">
        <v>85</v>
      </c>
      <c r="E1893">
        <v>9500.59</v>
      </c>
      <c r="F1893" s="2">
        <v>45268.666684444448</v>
      </c>
      <c r="H1893" t="s">
        <v>145</v>
      </c>
      <c r="I1893" t="s">
        <v>112</v>
      </c>
    </row>
    <row r="1894" spans="1:9" x14ac:dyDescent="0.45">
      <c r="A1894" t="s">
        <v>2705</v>
      </c>
      <c r="B1894" t="s">
        <v>172</v>
      </c>
      <c r="C1894" t="s">
        <v>671</v>
      </c>
      <c r="D1894" t="s">
        <v>85</v>
      </c>
      <c r="E1894">
        <v>9440</v>
      </c>
      <c r="F1894" s="2">
        <v>45286.666684444448</v>
      </c>
      <c r="G1894" t="s">
        <v>174</v>
      </c>
      <c r="H1894" t="s">
        <v>136</v>
      </c>
      <c r="I1894" t="s">
        <v>88</v>
      </c>
    </row>
    <row r="1895" spans="1:9" x14ac:dyDescent="0.45">
      <c r="A1895" t="s">
        <v>2706</v>
      </c>
      <c r="B1895" t="s">
        <v>79</v>
      </c>
      <c r="C1895" t="s">
        <v>2707</v>
      </c>
      <c r="D1895" t="s">
        <v>148</v>
      </c>
      <c r="E1895">
        <v>10289.82</v>
      </c>
      <c r="F1895" s="2">
        <v>45207.666684444448</v>
      </c>
      <c r="H1895" t="s">
        <v>145</v>
      </c>
      <c r="I1895" t="s">
        <v>82</v>
      </c>
    </row>
    <row r="1896" spans="1:9" x14ac:dyDescent="0.45">
      <c r="A1896" t="s">
        <v>2708</v>
      </c>
      <c r="B1896" t="s">
        <v>95</v>
      </c>
      <c r="C1896" t="s">
        <v>2709</v>
      </c>
      <c r="D1896" t="s">
        <v>101</v>
      </c>
      <c r="E1896">
        <v>0</v>
      </c>
      <c r="F1896" s="2">
        <v>45430.666684444448</v>
      </c>
      <c r="G1896" t="s">
        <v>97</v>
      </c>
      <c r="I1896" t="s">
        <v>88</v>
      </c>
    </row>
    <row r="1897" spans="1:9" x14ac:dyDescent="0.45">
      <c r="A1897" t="s">
        <v>2710</v>
      </c>
      <c r="B1897" t="s">
        <v>138</v>
      </c>
      <c r="C1897" t="s">
        <v>1297</v>
      </c>
      <c r="D1897" t="s">
        <v>74</v>
      </c>
      <c r="E1897">
        <v>8851.24</v>
      </c>
      <c r="F1897" s="2">
        <v>45231.666684444448</v>
      </c>
      <c r="G1897" t="s">
        <v>140</v>
      </c>
      <c r="H1897" t="s">
        <v>87</v>
      </c>
      <c r="I1897" t="s">
        <v>88</v>
      </c>
    </row>
    <row r="1898" spans="1:9" x14ac:dyDescent="0.45">
      <c r="A1898" t="s">
        <v>2711</v>
      </c>
      <c r="B1898" t="s">
        <v>138</v>
      </c>
      <c r="C1898" t="s">
        <v>2712</v>
      </c>
      <c r="D1898" t="s">
        <v>74</v>
      </c>
      <c r="E1898">
        <v>2130.86</v>
      </c>
      <c r="F1898" s="2">
        <v>45647.666684444448</v>
      </c>
      <c r="H1898" t="s">
        <v>128</v>
      </c>
      <c r="I1898" t="s">
        <v>163</v>
      </c>
    </row>
    <row r="1899" spans="1:9" x14ac:dyDescent="0.45">
      <c r="A1899" t="s">
        <v>2713</v>
      </c>
      <c r="B1899" t="s">
        <v>138</v>
      </c>
      <c r="C1899" t="s">
        <v>2087</v>
      </c>
      <c r="D1899" t="s">
        <v>101</v>
      </c>
      <c r="E1899">
        <v>4041.51</v>
      </c>
      <c r="F1899" s="2">
        <v>45680.666684444448</v>
      </c>
      <c r="G1899" t="s">
        <v>140</v>
      </c>
      <c r="H1899" t="s">
        <v>118</v>
      </c>
      <c r="I1899" t="s">
        <v>88</v>
      </c>
    </row>
    <row r="1900" spans="1:9" x14ac:dyDescent="0.45">
      <c r="A1900" t="s">
        <v>2714</v>
      </c>
      <c r="B1900" t="s">
        <v>72</v>
      </c>
      <c r="C1900" t="s">
        <v>2715</v>
      </c>
      <c r="D1900" t="s">
        <v>101</v>
      </c>
      <c r="E1900">
        <v>9979.18</v>
      </c>
      <c r="F1900" s="2">
        <v>45667.666684444448</v>
      </c>
      <c r="G1900" t="s">
        <v>75</v>
      </c>
      <c r="H1900" t="s">
        <v>76</v>
      </c>
      <c r="I1900" t="s">
        <v>163</v>
      </c>
    </row>
    <row r="1901" spans="1:9" x14ac:dyDescent="0.45">
      <c r="A1901" t="s">
        <v>2716</v>
      </c>
      <c r="B1901" t="s">
        <v>72</v>
      </c>
      <c r="C1901" t="s">
        <v>2658</v>
      </c>
      <c r="D1901" t="s">
        <v>92</v>
      </c>
      <c r="E1901">
        <v>9001.11</v>
      </c>
      <c r="F1901" s="2">
        <v>45166.666684444448</v>
      </c>
      <c r="G1901" t="s">
        <v>75</v>
      </c>
      <c r="H1901" t="s">
        <v>133</v>
      </c>
      <c r="I1901" t="s">
        <v>119</v>
      </c>
    </row>
    <row r="1902" spans="1:9" x14ac:dyDescent="0.45">
      <c r="A1902" t="s">
        <v>2717</v>
      </c>
      <c r="B1902" t="s">
        <v>138</v>
      </c>
      <c r="C1902" t="s">
        <v>834</v>
      </c>
      <c r="D1902" t="s">
        <v>92</v>
      </c>
      <c r="E1902">
        <v>5641.15</v>
      </c>
      <c r="F1902" s="2">
        <v>45805.666684444448</v>
      </c>
      <c r="H1902" t="s">
        <v>136</v>
      </c>
      <c r="I1902" t="s">
        <v>77</v>
      </c>
    </row>
    <row r="1903" spans="1:9" x14ac:dyDescent="0.45">
      <c r="A1903" t="s">
        <v>2718</v>
      </c>
      <c r="B1903" t="s">
        <v>99</v>
      </c>
      <c r="C1903" t="s">
        <v>1904</v>
      </c>
      <c r="D1903" t="s">
        <v>101</v>
      </c>
      <c r="E1903">
        <v>4712.5</v>
      </c>
      <c r="F1903" s="2">
        <v>45472.666684444448</v>
      </c>
      <c r="G1903" t="s">
        <v>102</v>
      </c>
      <c r="H1903" t="s">
        <v>81</v>
      </c>
      <c r="I1903" t="s">
        <v>119</v>
      </c>
    </row>
    <row r="1904" spans="1:9" x14ac:dyDescent="0.45">
      <c r="A1904" t="s">
        <v>2719</v>
      </c>
      <c r="B1904" t="s">
        <v>172</v>
      </c>
      <c r="C1904" t="s">
        <v>794</v>
      </c>
      <c r="D1904" t="s">
        <v>85</v>
      </c>
      <c r="E1904">
        <v>1490.84</v>
      </c>
      <c r="F1904" s="2">
        <v>45760.666684444448</v>
      </c>
      <c r="G1904" t="s">
        <v>174</v>
      </c>
      <c r="H1904" t="s">
        <v>116</v>
      </c>
      <c r="I1904" t="s">
        <v>77</v>
      </c>
    </row>
    <row r="1905" spans="1:9" x14ac:dyDescent="0.45">
      <c r="A1905" t="s">
        <v>2720</v>
      </c>
      <c r="B1905" t="s">
        <v>172</v>
      </c>
      <c r="C1905" t="s">
        <v>575</v>
      </c>
      <c r="D1905" t="s">
        <v>74</v>
      </c>
      <c r="E1905">
        <v>7981.59</v>
      </c>
      <c r="F1905" s="2">
        <v>45262.666684444448</v>
      </c>
      <c r="G1905" t="s">
        <v>174</v>
      </c>
      <c r="H1905" t="s">
        <v>133</v>
      </c>
      <c r="I1905" t="s">
        <v>112</v>
      </c>
    </row>
    <row r="1906" spans="1:9" x14ac:dyDescent="0.45">
      <c r="A1906" t="s">
        <v>2721</v>
      </c>
      <c r="B1906" t="s">
        <v>99</v>
      </c>
      <c r="C1906" t="s">
        <v>2309</v>
      </c>
      <c r="D1906" t="s">
        <v>148</v>
      </c>
      <c r="E1906">
        <v>11438.01</v>
      </c>
      <c r="F1906" s="2">
        <v>45739.666684444448</v>
      </c>
      <c r="G1906" t="s">
        <v>102</v>
      </c>
      <c r="H1906" t="s">
        <v>116</v>
      </c>
      <c r="I1906" t="s">
        <v>119</v>
      </c>
    </row>
    <row r="1907" spans="1:9" x14ac:dyDescent="0.45">
      <c r="A1907" t="s">
        <v>2722</v>
      </c>
      <c r="B1907" t="s">
        <v>109</v>
      </c>
      <c r="C1907" t="s">
        <v>393</v>
      </c>
      <c r="D1907" t="s">
        <v>155</v>
      </c>
      <c r="E1907">
        <v>2639.99</v>
      </c>
      <c r="F1907" s="2">
        <v>45513.666684444448</v>
      </c>
      <c r="G1907" t="s">
        <v>111</v>
      </c>
      <c r="H1907" t="s">
        <v>145</v>
      </c>
      <c r="I1907" t="s">
        <v>112</v>
      </c>
    </row>
    <row r="1908" spans="1:9" x14ac:dyDescent="0.45">
      <c r="A1908" t="s">
        <v>2723</v>
      </c>
      <c r="B1908" t="s">
        <v>138</v>
      </c>
      <c r="C1908" t="s">
        <v>338</v>
      </c>
      <c r="D1908" t="s">
        <v>106</v>
      </c>
      <c r="E1908">
        <v>8104.85</v>
      </c>
      <c r="F1908" s="2">
        <v>45285.666684444448</v>
      </c>
      <c r="G1908" t="s">
        <v>140</v>
      </c>
      <c r="H1908" t="s">
        <v>81</v>
      </c>
      <c r="I1908" t="s">
        <v>119</v>
      </c>
    </row>
    <row r="1909" spans="1:9" x14ac:dyDescent="0.45">
      <c r="A1909" t="s">
        <v>2302</v>
      </c>
      <c r="B1909" t="s">
        <v>99</v>
      </c>
      <c r="C1909" t="s">
        <v>1076</v>
      </c>
      <c r="D1909" t="s">
        <v>148</v>
      </c>
      <c r="E1909">
        <v>955.7</v>
      </c>
      <c r="F1909" s="2">
        <v>45294.666684444448</v>
      </c>
      <c r="H1909" t="s">
        <v>136</v>
      </c>
      <c r="I1909" t="s">
        <v>119</v>
      </c>
    </row>
    <row r="1910" spans="1:9" x14ac:dyDescent="0.45">
      <c r="A1910" t="s">
        <v>2724</v>
      </c>
      <c r="B1910" t="s">
        <v>90</v>
      </c>
      <c r="C1910" t="s">
        <v>243</v>
      </c>
      <c r="D1910" t="s">
        <v>74</v>
      </c>
      <c r="E1910">
        <v>11374.44</v>
      </c>
      <c r="F1910" s="2">
        <v>45313.666684444448</v>
      </c>
      <c r="G1910" t="s">
        <v>93</v>
      </c>
      <c r="H1910" t="s">
        <v>76</v>
      </c>
      <c r="I1910" t="s">
        <v>119</v>
      </c>
    </row>
    <row r="1911" spans="1:9" x14ac:dyDescent="0.45">
      <c r="A1911" t="s">
        <v>2725</v>
      </c>
      <c r="B1911" t="s">
        <v>172</v>
      </c>
      <c r="C1911" t="s">
        <v>1585</v>
      </c>
      <c r="D1911" t="s">
        <v>74</v>
      </c>
      <c r="E1911">
        <v>10873.31</v>
      </c>
      <c r="F1911" s="2">
        <v>45837.666684444448</v>
      </c>
      <c r="G1911" t="s">
        <v>174</v>
      </c>
      <c r="H1911" t="s">
        <v>145</v>
      </c>
      <c r="I1911" t="s">
        <v>88</v>
      </c>
    </row>
    <row r="1912" spans="1:9" x14ac:dyDescent="0.45">
      <c r="A1912" t="s">
        <v>2726</v>
      </c>
      <c r="B1912" t="s">
        <v>90</v>
      </c>
      <c r="C1912" t="s">
        <v>218</v>
      </c>
      <c r="D1912" t="s">
        <v>85</v>
      </c>
      <c r="E1912">
        <v>1768.95</v>
      </c>
      <c r="F1912" s="2">
        <v>45767.666684444448</v>
      </c>
      <c r="G1912" t="s">
        <v>93</v>
      </c>
      <c r="H1912" t="s">
        <v>76</v>
      </c>
      <c r="I1912" t="s">
        <v>82</v>
      </c>
    </row>
    <row r="1913" spans="1:9" x14ac:dyDescent="0.45">
      <c r="A1913" t="s">
        <v>2727</v>
      </c>
      <c r="B1913" t="s">
        <v>99</v>
      </c>
      <c r="C1913" t="s">
        <v>2686</v>
      </c>
      <c r="D1913" t="s">
        <v>155</v>
      </c>
      <c r="E1913">
        <v>5225.59</v>
      </c>
      <c r="F1913" s="2">
        <v>45297.666684444448</v>
      </c>
      <c r="G1913" t="s">
        <v>102</v>
      </c>
      <c r="H1913" t="s">
        <v>116</v>
      </c>
      <c r="I1913" t="s">
        <v>112</v>
      </c>
    </row>
    <row r="1914" spans="1:9" x14ac:dyDescent="0.45">
      <c r="A1914" t="s">
        <v>2599</v>
      </c>
      <c r="B1914" t="s">
        <v>99</v>
      </c>
      <c r="C1914" t="s">
        <v>1132</v>
      </c>
      <c r="D1914" t="s">
        <v>74</v>
      </c>
      <c r="E1914">
        <v>8243.26</v>
      </c>
      <c r="F1914" s="2">
        <v>45576.666684444448</v>
      </c>
      <c r="G1914" t="s">
        <v>102</v>
      </c>
      <c r="H1914" t="s">
        <v>76</v>
      </c>
      <c r="I1914" t="s">
        <v>119</v>
      </c>
    </row>
    <row r="1915" spans="1:9" x14ac:dyDescent="0.45">
      <c r="A1915" t="s">
        <v>2728</v>
      </c>
      <c r="B1915" t="s">
        <v>79</v>
      </c>
      <c r="D1915" t="s">
        <v>74</v>
      </c>
      <c r="E1915">
        <v>2158.7600000000002</v>
      </c>
      <c r="F1915" s="2">
        <v>45172.666684444448</v>
      </c>
      <c r="G1915" t="s">
        <v>86</v>
      </c>
      <c r="I1915" t="s">
        <v>88</v>
      </c>
    </row>
    <row r="1916" spans="1:9" x14ac:dyDescent="0.45">
      <c r="A1916" t="s">
        <v>2729</v>
      </c>
      <c r="B1916" t="s">
        <v>79</v>
      </c>
      <c r="C1916" t="s">
        <v>819</v>
      </c>
      <c r="E1916">
        <v>9013.77</v>
      </c>
      <c r="F1916" s="2">
        <v>45548.666684444448</v>
      </c>
      <c r="G1916" t="s">
        <v>86</v>
      </c>
      <c r="H1916" t="s">
        <v>128</v>
      </c>
      <c r="I1916" t="s">
        <v>119</v>
      </c>
    </row>
    <row r="1917" spans="1:9" x14ac:dyDescent="0.45">
      <c r="A1917" t="s">
        <v>2730</v>
      </c>
      <c r="B1917" t="s">
        <v>95</v>
      </c>
      <c r="C1917" t="s">
        <v>1780</v>
      </c>
      <c r="D1917" t="s">
        <v>74</v>
      </c>
      <c r="E1917">
        <v>3804.88</v>
      </c>
      <c r="F1917" s="2">
        <v>45501.666684444448</v>
      </c>
      <c r="G1917" t="s">
        <v>97</v>
      </c>
      <c r="H1917" t="s">
        <v>145</v>
      </c>
      <c r="I1917" t="s">
        <v>82</v>
      </c>
    </row>
    <row r="1918" spans="1:9" x14ac:dyDescent="0.45">
      <c r="A1918" t="s">
        <v>2731</v>
      </c>
      <c r="B1918" t="s">
        <v>95</v>
      </c>
      <c r="C1918" t="s">
        <v>2354</v>
      </c>
      <c r="D1918" t="s">
        <v>101</v>
      </c>
      <c r="E1918">
        <v>4422.21</v>
      </c>
      <c r="F1918" s="2">
        <v>45820.666684444448</v>
      </c>
      <c r="G1918" t="s">
        <v>97</v>
      </c>
      <c r="H1918" t="s">
        <v>145</v>
      </c>
      <c r="I1918" t="s">
        <v>112</v>
      </c>
    </row>
    <row r="1919" spans="1:9" x14ac:dyDescent="0.45">
      <c r="A1919" t="s">
        <v>2732</v>
      </c>
      <c r="B1919" t="s">
        <v>72</v>
      </c>
      <c r="C1919" t="s">
        <v>239</v>
      </c>
      <c r="D1919" t="s">
        <v>92</v>
      </c>
      <c r="E1919">
        <v>0</v>
      </c>
      <c r="F1919" s="2">
        <v>45371.666684444448</v>
      </c>
      <c r="G1919" t="s">
        <v>75</v>
      </c>
      <c r="H1919" t="s">
        <v>128</v>
      </c>
      <c r="I1919" t="s">
        <v>88</v>
      </c>
    </row>
    <row r="1920" spans="1:9" x14ac:dyDescent="0.45">
      <c r="A1920" t="s">
        <v>2733</v>
      </c>
      <c r="B1920" t="s">
        <v>72</v>
      </c>
      <c r="C1920" t="s">
        <v>2079</v>
      </c>
      <c r="D1920" t="s">
        <v>74</v>
      </c>
      <c r="E1920">
        <v>8442.1</v>
      </c>
      <c r="F1920" s="2">
        <v>45582.666684444448</v>
      </c>
      <c r="G1920" t="s">
        <v>75</v>
      </c>
      <c r="H1920" t="s">
        <v>116</v>
      </c>
      <c r="I1920" t="s">
        <v>77</v>
      </c>
    </row>
    <row r="1921" spans="1:9" x14ac:dyDescent="0.45">
      <c r="A1921" t="s">
        <v>2734</v>
      </c>
      <c r="B1921" t="s">
        <v>138</v>
      </c>
      <c r="C1921" t="s">
        <v>796</v>
      </c>
      <c r="D1921" t="s">
        <v>74</v>
      </c>
      <c r="E1921">
        <v>5878.72</v>
      </c>
      <c r="F1921" s="2">
        <v>45753.666684444448</v>
      </c>
      <c r="G1921" t="s">
        <v>140</v>
      </c>
      <c r="H1921" t="s">
        <v>87</v>
      </c>
      <c r="I1921" t="s">
        <v>77</v>
      </c>
    </row>
    <row r="1922" spans="1:9" x14ac:dyDescent="0.45">
      <c r="A1922" t="s">
        <v>2735</v>
      </c>
      <c r="B1922" t="s">
        <v>79</v>
      </c>
      <c r="C1922" t="s">
        <v>1057</v>
      </c>
      <c r="D1922" t="s">
        <v>92</v>
      </c>
      <c r="E1922">
        <v>0</v>
      </c>
      <c r="F1922" s="2">
        <v>45419.666684444448</v>
      </c>
      <c r="G1922" t="s">
        <v>86</v>
      </c>
      <c r="H1922" t="s">
        <v>133</v>
      </c>
      <c r="I1922" t="s">
        <v>163</v>
      </c>
    </row>
    <row r="1923" spans="1:9" x14ac:dyDescent="0.45">
      <c r="A1923" t="s">
        <v>2736</v>
      </c>
      <c r="B1923" t="s">
        <v>138</v>
      </c>
      <c r="C1923" t="s">
        <v>132</v>
      </c>
      <c r="D1923" t="s">
        <v>85</v>
      </c>
      <c r="E1923">
        <v>5002.0200000000004</v>
      </c>
      <c r="F1923" s="2">
        <v>45587.666684444448</v>
      </c>
      <c r="H1923" t="s">
        <v>107</v>
      </c>
      <c r="I1923" t="s">
        <v>163</v>
      </c>
    </row>
    <row r="1924" spans="1:9" x14ac:dyDescent="0.45">
      <c r="A1924" t="s">
        <v>2737</v>
      </c>
      <c r="B1924" t="s">
        <v>99</v>
      </c>
      <c r="C1924" t="s">
        <v>335</v>
      </c>
      <c r="D1924" t="s">
        <v>106</v>
      </c>
      <c r="E1924">
        <v>5151.8599999999997</v>
      </c>
      <c r="F1924" s="2">
        <v>45367.666684444448</v>
      </c>
      <c r="G1924" t="s">
        <v>102</v>
      </c>
      <c r="H1924" t="s">
        <v>76</v>
      </c>
      <c r="I1924" t="s">
        <v>163</v>
      </c>
    </row>
    <row r="1925" spans="1:9" x14ac:dyDescent="0.45">
      <c r="A1925" t="s">
        <v>2738</v>
      </c>
      <c r="B1925" t="s">
        <v>138</v>
      </c>
      <c r="C1925" t="s">
        <v>870</v>
      </c>
      <c r="D1925" t="s">
        <v>101</v>
      </c>
      <c r="E1925">
        <v>7249.31</v>
      </c>
      <c r="F1925" s="2">
        <v>45674.666684444448</v>
      </c>
      <c r="G1925" t="s">
        <v>140</v>
      </c>
      <c r="H1925" t="s">
        <v>145</v>
      </c>
      <c r="I1925" t="s">
        <v>119</v>
      </c>
    </row>
    <row r="1926" spans="1:9" x14ac:dyDescent="0.45">
      <c r="A1926" t="s">
        <v>2739</v>
      </c>
      <c r="B1926" t="s">
        <v>99</v>
      </c>
      <c r="D1926" t="s">
        <v>74</v>
      </c>
      <c r="E1926">
        <v>11236.16</v>
      </c>
      <c r="F1926" s="2">
        <v>45372.666684444448</v>
      </c>
      <c r="G1926" t="s">
        <v>285</v>
      </c>
      <c r="H1926" t="s">
        <v>145</v>
      </c>
      <c r="I1926" t="s">
        <v>112</v>
      </c>
    </row>
    <row r="1927" spans="1:9" x14ac:dyDescent="0.45">
      <c r="A1927" t="s">
        <v>2740</v>
      </c>
      <c r="B1927" t="s">
        <v>172</v>
      </c>
      <c r="C1927" t="s">
        <v>2427</v>
      </c>
      <c r="D1927" t="s">
        <v>92</v>
      </c>
      <c r="E1927">
        <v>144.75</v>
      </c>
      <c r="F1927" s="2">
        <v>45444.666684444448</v>
      </c>
      <c r="G1927" t="s">
        <v>174</v>
      </c>
      <c r="H1927" t="s">
        <v>87</v>
      </c>
      <c r="I1927" t="s">
        <v>77</v>
      </c>
    </row>
    <row r="1928" spans="1:9" x14ac:dyDescent="0.45">
      <c r="A1928" t="s">
        <v>2740</v>
      </c>
      <c r="B1928" t="s">
        <v>79</v>
      </c>
      <c r="C1928" t="s">
        <v>717</v>
      </c>
      <c r="D1928" t="s">
        <v>85</v>
      </c>
      <c r="E1928">
        <v>0</v>
      </c>
      <c r="F1928" s="2">
        <v>45608.666684444448</v>
      </c>
      <c r="G1928" t="s">
        <v>86</v>
      </c>
      <c r="H1928" t="s">
        <v>76</v>
      </c>
      <c r="I1928" t="s">
        <v>77</v>
      </c>
    </row>
    <row r="1929" spans="1:9" x14ac:dyDescent="0.45">
      <c r="A1929" t="s">
        <v>2741</v>
      </c>
      <c r="B1929" t="s">
        <v>95</v>
      </c>
      <c r="C1929" t="s">
        <v>1061</v>
      </c>
      <c r="D1929" t="s">
        <v>74</v>
      </c>
      <c r="E1929">
        <v>3349.02</v>
      </c>
      <c r="F1929" s="2">
        <v>45326.666684444448</v>
      </c>
      <c r="G1929" t="s">
        <v>97</v>
      </c>
      <c r="I1929" t="s">
        <v>82</v>
      </c>
    </row>
    <row r="1930" spans="1:9" x14ac:dyDescent="0.45">
      <c r="A1930" t="s">
        <v>2742</v>
      </c>
      <c r="B1930" t="s">
        <v>138</v>
      </c>
      <c r="C1930" t="s">
        <v>2629</v>
      </c>
      <c r="D1930" t="s">
        <v>92</v>
      </c>
      <c r="E1930">
        <v>2427.33</v>
      </c>
      <c r="F1930" s="2">
        <v>45504.666684444448</v>
      </c>
      <c r="G1930" t="s">
        <v>140</v>
      </c>
      <c r="H1930" t="s">
        <v>145</v>
      </c>
      <c r="I1930" t="s">
        <v>163</v>
      </c>
    </row>
    <row r="1931" spans="1:9" x14ac:dyDescent="0.45">
      <c r="A1931" t="s">
        <v>2743</v>
      </c>
      <c r="B1931" t="s">
        <v>79</v>
      </c>
      <c r="C1931" t="s">
        <v>2744</v>
      </c>
      <c r="D1931" t="s">
        <v>74</v>
      </c>
      <c r="E1931">
        <v>6055.69</v>
      </c>
      <c r="F1931" s="2">
        <v>45822.666684444448</v>
      </c>
      <c r="H1931" t="s">
        <v>107</v>
      </c>
      <c r="I1931" t="s">
        <v>112</v>
      </c>
    </row>
    <row r="1932" spans="1:9" x14ac:dyDescent="0.45">
      <c r="A1932" t="s">
        <v>270</v>
      </c>
      <c r="B1932" t="s">
        <v>172</v>
      </c>
      <c r="C1932" t="s">
        <v>926</v>
      </c>
      <c r="D1932" t="s">
        <v>101</v>
      </c>
      <c r="E1932">
        <v>7395.25</v>
      </c>
      <c r="F1932" s="2">
        <v>45712.666684444448</v>
      </c>
      <c r="G1932" t="s">
        <v>174</v>
      </c>
      <c r="H1932" t="s">
        <v>107</v>
      </c>
      <c r="I1932" t="s">
        <v>112</v>
      </c>
    </row>
    <row r="1933" spans="1:9" x14ac:dyDescent="0.45">
      <c r="A1933" t="s">
        <v>2745</v>
      </c>
      <c r="B1933" t="s">
        <v>90</v>
      </c>
      <c r="C1933" t="s">
        <v>1606</v>
      </c>
      <c r="D1933" t="s">
        <v>74</v>
      </c>
      <c r="E1933">
        <v>11512.56</v>
      </c>
      <c r="F1933" s="2">
        <v>45579.666684444448</v>
      </c>
      <c r="G1933" t="s">
        <v>93</v>
      </c>
      <c r="I1933" t="s">
        <v>112</v>
      </c>
    </row>
    <row r="1934" spans="1:9" x14ac:dyDescent="0.45">
      <c r="A1934" t="s">
        <v>2746</v>
      </c>
      <c r="B1934" t="s">
        <v>95</v>
      </c>
      <c r="C1934" t="s">
        <v>1599</v>
      </c>
      <c r="D1934" t="s">
        <v>101</v>
      </c>
      <c r="E1934">
        <v>3734.32</v>
      </c>
      <c r="F1934" s="2">
        <v>45600.666684444448</v>
      </c>
      <c r="G1934" t="s">
        <v>97</v>
      </c>
      <c r="H1934" t="s">
        <v>133</v>
      </c>
      <c r="I1934" t="s">
        <v>82</v>
      </c>
    </row>
    <row r="1935" spans="1:9" x14ac:dyDescent="0.45">
      <c r="A1935" t="s">
        <v>2747</v>
      </c>
      <c r="B1935" t="s">
        <v>104</v>
      </c>
      <c r="C1935" t="s">
        <v>446</v>
      </c>
      <c r="D1935" t="s">
        <v>101</v>
      </c>
      <c r="E1935">
        <v>10401.17</v>
      </c>
      <c r="F1935" s="2">
        <v>45416.666684444448</v>
      </c>
      <c r="G1935" t="s">
        <v>115</v>
      </c>
      <c r="H1935" t="s">
        <v>136</v>
      </c>
      <c r="I1935" t="s">
        <v>77</v>
      </c>
    </row>
    <row r="1936" spans="1:9" x14ac:dyDescent="0.45">
      <c r="A1936" t="s">
        <v>2677</v>
      </c>
      <c r="B1936" t="s">
        <v>79</v>
      </c>
      <c r="C1936" t="s">
        <v>1804</v>
      </c>
      <c r="D1936" t="s">
        <v>85</v>
      </c>
      <c r="E1936">
        <v>11918.71</v>
      </c>
      <c r="F1936" s="2">
        <v>45519.666684444448</v>
      </c>
      <c r="G1936" t="s">
        <v>86</v>
      </c>
      <c r="H1936" t="s">
        <v>145</v>
      </c>
      <c r="I1936" t="s">
        <v>82</v>
      </c>
    </row>
    <row r="1937" spans="1:9" x14ac:dyDescent="0.45">
      <c r="A1937" t="s">
        <v>2748</v>
      </c>
      <c r="B1937" t="s">
        <v>109</v>
      </c>
      <c r="C1937" t="s">
        <v>2749</v>
      </c>
      <c r="D1937" t="s">
        <v>92</v>
      </c>
      <c r="E1937">
        <v>0</v>
      </c>
      <c r="F1937" s="2">
        <v>45642.666684444448</v>
      </c>
      <c r="G1937" t="s">
        <v>111</v>
      </c>
      <c r="H1937" t="s">
        <v>107</v>
      </c>
      <c r="I1937" t="s">
        <v>77</v>
      </c>
    </row>
    <row r="1938" spans="1:9" x14ac:dyDescent="0.45">
      <c r="A1938" t="s">
        <v>2750</v>
      </c>
      <c r="B1938" t="s">
        <v>79</v>
      </c>
      <c r="C1938" t="s">
        <v>2751</v>
      </c>
      <c r="D1938" t="s">
        <v>155</v>
      </c>
      <c r="E1938">
        <v>7477.94</v>
      </c>
      <c r="F1938" s="2">
        <v>45668.666684444448</v>
      </c>
      <c r="G1938" t="s">
        <v>278</v>
      </c>
      <c r="H1938" t="s">
        <v>133</v>
      </c>
      <c r="I1938" t="s">
        <v>88</v>
      </c>
    </row>
    <row r="1939" spans="1:9" x14ac:dyDescent="0.45">
      <c r="A1939" t="s">
        <v>2752</v>
      </c>
      <c r="B1939" t="s">
        <v>99</v>
      </c>
      <c r="C1939" t="s">
        <v>999</v>
      </c>
      <c r="D1939" t="s">
        <v>74</v>
      </c>
      <c r="E1939">
        <v>1399.24</v>
      </c>
      <c r="F1939" s="2">
        <v>45556.666684444448</v>
      </c>
      <c r="H1939" t="s">
        <v>116</v>
      </c>
      <c r="I1939" t="s">
        <v>82</v>
      </c>
    </row>
    <row r="1940" spans="1:9" x14ac:dyDescent="0.45">
      <c r="A1940" t="s">
        <v>2363</v>
      </c>
      <c r="B1940" t="s">
        <v>109</v>
      </c>
      <c r="C1940" t="s">
        <v>1596</v>
      </c>
      <c r="D1940" t="s">
        <v>74</v>
      </c>
      <c r="E1940">
        <v>305.37</v>
      </c>
      <c r="F1940" s="2">
        <v>45293.666684444448</v>
      </c>
      <c r="G1940" t="s">
        <v>111</v>
      </c>
      <c r="H1940" t="s">
        <v>118</v>
      </c>
      <c r="I1940" t="s">
        <v>77</v>
      </c>
    </row>
    <row r="1941" spans="1:9" x14ac:dyDescent="0.45">
      <c r="A1941" t="s">
        <v>2753</v>
      </c>
      <c r="B1941" t="s">
        <v>138</v>
      </c>
      <c r="C1941" t="s">
        <v>123</v>
      </c>
      <c r="D1941" t="s">
        <v>74</v>
      </c>
      <c r="E1941">
        <v>10712.91</v>
      </c>
      <c r="F1941" s="2">
        <v>45332.666684444448</v>
      </c>
      <c r="G1941" t="s">
        <v>140</v>
      </c>
      <c r="H1941" t="s">
        <v>87</v>
      </c>
      <c r="I1941" t="s">
        <v>119</v>
      </c>
    </row>
    <row r="1942" spans="1:9" x14ac:dyDescent="0.45">
      <c r="A1942" t="s">
        <v>2754</v>
      </c>
      <c r="B1942" t="s">
        <v>172</v>
      </c>
      <c r="C1942" t="s">
        <v>1018</v>
      </c>
      <c r="D1942" t="s">
        <v>74</v>
      </c>
      <c r="E1942">
        <v>8394.5300000000007</v>
      </c>
      <c r="F1942" s="2">
        <v>45747.666684444448</v>
      </c>
      <c r="G1942" t="s">
        <v>236</v>
      </c>
      <c r="H1942" t="s">
        <v>87</v>
      </c>
      <c r="I1942" t="s">
        <v>119</v>
      </c>
    </row>
    <row r="1943" spans="1:9" x14ac:dyDescent="0.45">
      <c r="A1943" t="s">
        <v>2755</v>
      </c>
      <c r="B1943" t="s">
        <v>109</v>
      </c>
      <c r="C1943" t="s">
        <v>1542</v>
      </c>
      <c r="D1943" t="s">
        <v>92</v>
      </c>
      <c r="E1943">
        <v>6144.38</v>
      </c>
      <c r="F1943" s="2">
        <v>45269.666684444448</v>
      </c>
      <c r="H1943" t="s">
        <v>76</v>
      </c>
      <c r="I1943" t="s">
        <v>112</v>
      </c>
    </row>
    <row r="1944" spans="1:9" x14ac:dyDescent="0.45">
      <c r="A1944" t="s">
        <v>2756</v>
      </c>
      <c r="B1944" t="s">
        <v>138</v>
      </c>
      <c r="C1944" t="s">
        <v>687</v>
      </c>
      <c r="D1944" t="s">
        <v>92</v>
      </c>
      <c r="E1944">
        <v>4092.21</v>
      </c>
      <c r="F1944" s="2">
        <v>45384.666684444448</v>
      </c>
      <c r="G1944" t="s">
        <v>140</v>
      </c>
      <c r="H1944" t="s">
        <v>133</v>
      </c>
      <c r="I1944" t="s">
        <v>88</v>
      </c>
    </row>
    <row r="1945" spans="1:9" x14ac:dyDescent="0.45">
      <c r="A1945" t="s">
        <v>2757</v>
      </c>
      <c r="B1945" t="s">
        <v>138</v>
      </c>
      <c r="C1945" t="s">
        <v>970</v>
      </c>
      <c r="D1945" t="s">
        <v>92</v>
      </c>
      <c r="E1945">
        <v>9854.4</v>
      </c>
      <c r="F1945" s="2">
        <v>45181.666684444448</v>
      </c>
      <c r="G1945" t="s">
        <v>140</v>
      </c>
      <c r="H1945" t="s">
        <v>133</v>
      </c>
      <c r="I1945" t="s">
        <v>77</v>
      </c>
    </row>
    <row r="1946" spans="1:9" x14ac:dyDescent="0.45">
      <c r="A1946" t="s">
        <v>2758</v>
      </c>
      <c r="B1946" t="s">
        <v>138</v>
      </c>
      <c r="D1946" t="s">
        <v>74</v>
      </c>
      <c r="E1946">
        <v>6443.08</v>
      </c>
      <c r="F1946" s="2">
        <v>45784.666684444448</v>
      </c>
      <c r="G1946" t="s">
        <v>140</v>
      </c>
      <c r="H1946" t="s">
        <v>87</v>
      </c>
      <c r="I1946" t="s">
        <v>88</v>
      </c>
    </row>
    <row r="1947" spans="1:9" x14ac:dyDescent="0.45">
      <c r="A1947" t="s">
        <v>2759</v>
      </c>
      <c r="B1947" t="s">
        <v>99</v>
      </c>
      <c r="C1947" t="s">
        <v>1325</v>
      </c>
      <c r="D1947" t="s">
        <v>101</v>
      </c>
      <c r="E1947">
        <v>1457.58</v>
      </c>
      <c r="F1947" s="2">
        <v>45620.666684444448</v>
      </c>
      <c r="G1947" t="s">
        <v>102</v>
      </c>
      <c r="H1947" t="s">
        <v>128</v>
      </c>
      <c r="I1947" t="s">
        <v>163</v>
      </c>
    </row>
    <row r="1948" spans="1:9" x14ac:dyDescent="0.45">
      <c r="A1948" t="s">
        <v>2760</v>
      </c>
      <c r="B1948" t="s">
        <v>109</v>
      </c>
      <c r="C1948" t="s">
        <v>685</v>
      </c>
      <c r="D1948" t="s">
        <v>85</v>
      </c>
      <c r="E1948">
        <v>8433.49</v>
      </c>
      <c r="F1948" s="2">
        <v>45508.666684444448</v>
      </c>
      <c r="G1948" t="s">
        <v>111</v>
      </c>
      <c r="I1948" t="s">
        <v>77</v>
      </c>
    </row>
    <row r="1949" spans="1:9" x14ac:dyDescent="0.45">
      <c r="A1949" t="s">
        <v>242</v>
      </c>
      <c r="B1949" t="s">
        <v>72</v>
      </c>
      <c r="C1949" t="s">
        <v>1636</v>
      </c>
      <c r="D1949" t="s">
        <v>74</v>
      </c>
      <c r="E1949">
        <v>2919.28</v>
      </c>
      <c r="F1949" s="2">
        <v>45695.666684444448</v>
      </c>
      <c r="G1949" t="s">
        <v>75</v>
      </c>
      <c r="H1949" t="s">
        <v>87</v>
      </c>
      <c r="I1949" t="s">
        <v>82</v>
      </c>
    </row>
    <row r="1950" spans="1:9" x14ac:dyDescent="0.45">
      <c r="A1950" t="s">
        <v>2761</v>
      </c>
      <c r="B1950" t="s">
        <v>172</v>
      </c>
      <c r="C1950" t="s">
        <v>1279</v>
      </c>
      <c r="D1950" t="s">
        <v>85</v>
      </c>
      <c r="E1950">
        <v>8914.9</v>
      </c>
      <c r="F1950" s="2">
        <v>45233.666684444448</v>
      </c>
      <c r="G1950" t="s">
        <v>174</v>
      </c>
      <c r="H1950" t="s">
        <v>76</v>
      </c>
      <c r="I1950" t="s">
        <v>77</v>
      </c>
    </row>
    <row r="1951" spans="1:9" x14ac:dyDescent="0.45">
      <c r="A1951" t="s">
        <v>2762</v>
      </c>
      <c r="B1951" t="s">
        <v>90</v>
      </c>
      <c r="C1951" t="s">
        <v>2763</v>
      </c>
      <c r="D1951" t="s">
        <v>106</v>
      </c>
      <c r="E1951">
        <v>9820.83</v>
      </c>
      <c r="F1951" s="2">
        <v>45856.666684444448</v>
      </c>
      <c r="G1951" t="s">
        <v>93</v>
      </c>
      <c r="H1951" t="s">
        <v>133</v>
      </c>
      <c r="I1951" t="s">
        <v>112</v>
      </c>
    </row>
    <row r="1952" spans="1:9" x14ac:dyDescent="0.45">
      <c r="A1952" t="s">
        <v>2764</v>
      </c>
      <c r="B1952" t="s">
        <v>79</v>
      </c>
      <c r="C1952" t="s">
        <v>1813</v>
      </c>
      <c r="D1952" t="s">
        <v>101</v>
      </c>
      <c r="E1952">
        <v>2306.0700000000002</v>
      </c>
      <c r="F1952" s="2">
        <v>45656.666684444448</v>
      </c>
      <c r="G1952" t="s">
        <v>86</v>
      </c>
      <c r="H1952" t="s">
        <v>81</v>
      </c>
      <c r="I1952" t="s">
        <v>112</v>
      </c>
    </row>
    <row r="1953" spans="1:9" x14ac:dyDescent="0.45">
      <c r="A1953" t="s">
        <v>2765</v>
      </c>
      <c r="B1953" t="s">
        <v>99</v>
      </c>
      <c r="C1953" t="s">
        <v>1299</v>
      </c>
      <c r="D1953" t="s">
        <v>92</v>
      </c>
      <c r="E1953">
        <v>0</v>
      </c>
      <c r="F1953" s="2">
        <v>45255.666684444448</v>
      </c>
      <c r="G1953" t="s">
        <v>102</v>
      </c>
      <c r="H1953" t="s">
        <v>87</v>
      </c>
      <c r="I1953" t="s">
        <v>82</v>
      </c>
    </row>
    <row r="1954" spans="1:9" x14ac:dyDescent="0.45">
      <c r="A1954" t="s">
        <v>2766</v>
      </c>
      <c r="B1954" t="s">
        <v>95</v>
      </c>
      <c r="C1954" t="s">
        <v>1207</v>
      </c>
      <c r="D1954" t="s">
        <v>85</v>
      </c>
      <c r="E1954">
        <v>1548.05</v>
      </c>
      <c r="F1954" s="2">
        <v>45419.666684444448</v>
      </c>
      <c r="G1954" t="s">
        <v>97</v>
      </c>
      <c r="H1954" t="s">
        <v>87</v>
      </c>
      <c r="I1954" t="s">
        <v>77</v>
      </c>
    </row>
    <row r="1955" spans="1:9" x14ac:dyDescent="0.45">
      <c r="A1955" t="s">
        <v>2767</v>
      </c>
      <c r="B1955" t="s">
        <v>90</v>
      </c>
      <c r="C1955" t="s">
        <v>338</v>
      </c>
      <c r="D1955" t="s">
        <v>74</v>
      </c>
      <c r="E1955">
        <v>7596.35</v>
      </c>
      <c r="F1955" s="2">
        <v>45213.666684444448</v>
      </c>
      <c r="G1955" t="s">
        <v>93</v>
      </c>
      <c r="H1955" t="s">
        <v>116</v>
      </c>
      <c r="I1955" t="s">
        <v>119</v>
      </c>
    </row>
    <row r="1956" spans="1:9" x14ac:dyDescent="0.45">
      <c r="A1956" t="s">
        <v>2768</v>
      </c>
      <c r="B1956" t="s">
        <v>172</v>
      </c>
      <c r="C1956" t="s">
        <v>2769</v>
      </c>
      <c r="D1956" t="s">
        <v>85</v>
      </c>
      <c r="E1956">
        <v>3110.88</v>
      </c>
      <c r="F1956" s="2">
        <v>45292.666684444448</v>
      </c>
      <c r="G1956" t="s">
        <v>174</v>
      </c>
      <c r="H1956" t="s">
        <v>107</v>
      </c>
      <c r="I1956" t="s">
        <v>112</v>
      </c>
    </row>
    <row r="1957" spans="1:9" x14ac:dyDescent="0.45">
      <c r="A1957" t="s">
        <v>2770</v>
      </c>
      <c r="B1957" t="s">
        <v>99</v>
      </c>
      <c r="C1957" t="s">
        <v>915</v>
      </c>
      <c r="D1957" t="s">
        <v>101</v>
      </c>
      <c r="E1957">
        <v>254.07</v>
      </c>
      <c r="F1957" s="2">
        <v>45407.666684444448</v>
      </c>
      <c r="I1957" t="s">
        <v>112</v>
      </c>
    </row>
    <row r="1958" spans="1:9" x14ac:dyDescent="0.45">
      <c r="A1958" t="s">
        <v>2771</v>
      </c>
      <c r="B1958" t="s">
        <v>90</v>
      </c>
      <c r="C1958" t="s">
        <v>208</v>
      </c>
      <c r="D1958" t="s">
        <v>74</v>
      </c>
      <c r="E1958">
        <v>8627.91</v>
      </c>
      <c r="F1958" s="2">
        <v>45588.666684444448</v>
      </c>
      <c r="G1958" t="s">
        <v>93</v>
      </c>
      <c r="H1958" t="s">
        <v>128</v>
      </c>
      <c r="I1958" t="s">
        <v>82</v>
      </c>
    </row>
    <row r="1959" spans="1:9" x14ac:dyDescent="0.45">
      <c r="A1959" t="s">
        <v>2772</v>
      </c>
      <c r="B1959" t="s">
        <v>79</v>
      </c>
      <c r="C1959" t="s">
        <v>2773</v>
      </c>
      <c r="D1959" t="s">
        <v>85</v>
      </c>
      <c r="E1959">
        <v>4993.42</v>
      </c>
      <c r="F1959" s="2">
        <v>45653.666684444448</v>
      </c>
      <c r="G1959" t="s">
        <v>278</v>
      </c>
      <c r="H1959" t="s">
        <v>76</v>
      </c>
      <c r="I1959" t="s">
        <v>163</v>
      </c>
    </row>
    <row r="1960" spans="1:9" x14ac:dyDescent="0.45">
      <c r="A1960" t="s">
        <v>2774</v>
      </c>
      <c r="B1960" t="s">
        <v>138</v>
      </c>
      <c r="C1960" t="s">
        <v>91</v>
      </c>
      <c r="D1960" t="s">
        <v>148</v>
      </c>
      <c r="E1960">
        <v>0</v>
      </c>
      <c r="F1960" s="2">
        <v>45278.666684444448</v>
      </c>
      <c r="G1960" t="s">
        <v>140</v>
      </c>
      <c r="H1960" t="s">
        <v>128</v>
      </c>
      <c r="I1960" t="s">
        <v>112</v>
      </c>
    </row>
    <row r="1961" spans="1:9" x14ac:dyDescent="0.45">
      <c r="A1961" t="s">
        <v>2775</v>
      </c>
      <c r="B1961" t="s">
        <v>138</v>
      </c>
      <c r="C1961" t="s">
        <v>332</v>
      </c>
      <c r="D1961" t="s">
        <v>101</v>
      </c>
      <c r="E1961">
        <v>757.14</v>
      </c>
      <c r="F1961" s="2">
        <v>45575.666684444448</v>
      </c>
      <c r="G1961" t="s">
        <v>140</v>
      </c>
      <c r="H1961" t="s">
        <v>76</v>
      </c>
      <c r="I1961" t="s">
        <v>119</v>
      </c>
    </row>
    <row r="1962" spans="1:9" x14ac:dyDescent="0.45">
      <c r="A1962" t="s">
        <v>2776</v>
      </c>
      <c r="B1962" t="s">
        <v>172</v>
      </c>
      <c r="C1962" t="s">
        <v>1257</v>
      </c>
      <c r="D1962" t="s">
        <v>101</v>
      </c>
      <c r="E1962">
        <v>7803.01</v>
      </c>
      <c r="F1962" s="2">
        <v>45221.666684444448</v>
      </c>
      <c r="G1962" t="s">
        <v>174</v>
      </c>
      <c r="H1962" t="s">
        <v>107</v>
      </c>
      <c r="I1962" t="s">
        <v>77</v>
      </c>
    </row>
    <row r="1963" spans="1:9" x14ac:dyDescent="0.45">
      <c r="A1963" t="s">
        <v>2777</v>
      </c>
      <c r="B1963" t="s">
        <v>79</v>
      </c>
      <c r="C1963" t="s">
        <v>631</v>
      </c>
      <c r="D1963" t="s">
        <v>148</v>
      </c>
      <c r="E1963">
        <v>4176.3599999999997</v>
      </c>
      <c r="F1963" s="2">
        <v>45355.666684444448</v>
      </c>
      <c r="G1963" t="s">
        <v>86</v>
      </c>
      <c r="H1963" t="s">
        <v>87</v>
      </c>
      <c r="I1963" t="s">
        <v>163</v>
      </c>
    </row>
    <row r="1964" spans="1:9" x14ac:dyDescent="0.45">
      <c r="A1964" t="s">
        <v>2778</v>
      </c>
      <c r="B1964" t="s">
        <v>90</v>
      </c>
      <c r="C1964" t="s">
        <v>1371</v>
      </c>
      <c r="E1964">
        <v>11742.94</v>
      </c>
      <c r="F1964" s="2">
        <v>45589.666684444448</v>
      </c>
      <c r="G1964" t="s">
        <v>93</v>
      </c>
      <c r="H1964" t="s">
        <v>133</v>
      </c>
      <c r="I1964" t="s">
        <v>163</v>
      </c>
    </row>
    <row r="1965" spans="1:9" x14ac:dyDescent="0.45">
      <c r="A1965" t="s">
        <v>2779</v>
      </c>
      <c r="B1965" t="s">
        <v>104</v>
      </c>
      <c r="C1965" t="s">
        <v>610</v>
      </c>
      <c r="D1965" t="s">
        <v>92</v>
      </c>
      <c r="E1965">
        <v>4995.13</v>
      </c>
      <c r="F1965" s="2">
        <v>45485.666684444448</v>
      </c>
      <c r="G1965" t="s">
        <v>115</v>
      </c>
      <c r="H1965" t="s">
        <v>107</v>
      </c>
      <c r="I1965" t="s">
        <v>82</v>
      </c>
    </row>
    <row r="1966" spans="1:9" x14ac:dyDescent="0.45">
      <c r="A1966" t="s">
        <v>2780</v>
      </c>
      <c r="B1966" t="s">
        <v>138</v>
      </c>
      <c r="D1966" t="s">
        <v>74</v>
      </c>
      <c r="E1966">
        <v>3631.11</v>
      </c>
      <c r="F1966" s="2">
        <v>45155.666684444448</v>
      </c>
      <c r="G1966" t="s">
        <v>140</v>
      </c>
      <c r="H1966" t="s">
        <v>133</v>
      </c>
      <c r="I1966" t="s">
        <v>119</v>
      </c>
    </row>
    <row r="1967" spans="1:9" x14ac:dyDescent="0.45">
      <c r="A1967" t="s">
        <v>2781</v>
      </c>
      <c r="B1967" t="s">
        <v>72</v>
      </c>
      <c r="C1967" t="s">
        <v>1981</v>
      </c>
      <c r="D1967" t="s">
        <v>155</v>
      </c>
      <c r="E1967">
        <v>6386.95</v>
      </c>
      <c r="F1967" s="2">
        <v>45552.666684444448</v>
      </c>
      <c r="G1967" t="s">
        <v>521</v>
      </c>
      <c r="H1967" t="s">
        <v>107</v>
      </c>
      <c r="I1967" t="s">
        <v>112</v>
      </c>
    </row>
    <row r="1968" spans="1:9" x14ac:dyDescent="0.45">
      <c r="A1968" t="s">
        <v>2034</v>
      </c>
      <c r="B1968" t="s">
        <v>90</v>
      </c>
      <c r="C1968" t="s">
        <v>733</v>
      </c>
      <c r="D1968" t="s">
        <v>74</v>
      </c>
      <c r="E1968">
        <v>5865.35</v>
      </c>
      <c r="F1968" s="2">
        <v>45182.666684444448</v>
      </c>
      <c r="G1968" t="s">
        <v>93</v>
      </c>
      <c r="H1968" t="s">
        <v>87</v>
      </c>
      <c r="I1968" t="s">
        <v>82</v>
      </c>
    </row>
    <row r="1969" spans="1:9" x14ac:dyDescent="0.45">
      <c r="A1969" t="s">
        <v>2782</v>
      </c>
      <c r="B1969" t="s">
        <v>138</v>
      </c>
      <c r="C1969" t="s">
        <v>2783</v>
      </c>
      <c r="D1969" t="s">
        <v>85</v>
      </c>
      <c r="E1969">
        <v>2535.42</v>
      </c>
      <c r="F1969" s="2">
        <v>45533.666684444448</v>
      </c>
      <c r="G1969" t="s">
        <v>140</v>
      </c>
      <c r="H1969" t="s">
        <v>128</v>
      </c>
      <c r="I1969" t="s">
        <v>119</v>
      </c>
    </row>
    <row r="1970" spans="1:9" x14ac:dyDescent="0.45">
      <c r="A1970" t="s">
        <v>2784</v>
      </c>
      <c r="B1970" t="s">
        <v>90</v>
      </c>
      <c r="C1970" t="s">
        <v>1118</v>
      </c>
      <c r="D1970" t="s">
        <v>74</v>
      </c>
      <c r="E1970">
        <v>4093.23</v>
      </c>
      <c r="F1970" s="2">
        <v>45642.666684444448</v>
      </c>
      <c r="G1970" t="s">
        <v>93</v>
      </c>
      <c r="I1970" t="s">
        <v>112</v>
      </c>
    </row>
    <row r="1971" spans="1:9" x14ac:dyDescent="0.45">
      <c r="A1971" t="s">
        <v>2785</v>
      </c>
      <c r="B1971" t="s">
        <v>172</v>
      </c>
      <c r="C1971" t="s">
        <v>2786</v>
      </c>
      <c r="D1971" t="s">
        <v>85</v>
      </c>
      <c r="E1971">
        <v>8102.27</v>
      </c>
      <c r="F1971" s="2">
        <v>45510.666684444448</v>
      </c>
      <c r="G1971" t="s">
        <v>174</v>
      </c>
      <c r="H1971" t="s">
        <v>133</v>
      </c>
      <c r="I1971" t="s">
        <v>77</v>
      </c>
    </row>
    <row r="1972" spans="1:9" x14ac:dyDescent="0.45">
      <c r="A1972" t="s">
        <v>2787</v>
      </c>
      <c r="B1972" t="s">
        <v>95</v>
      </c>
      <c r="C1972" t="s">
        <v>726</v>
      </c>
      <c r="D1972" t="s">
        <v>101</v>
      </c>
      <c r="E1972">
        <v>5549.88</v>
      </c>
      <c r="F1972" s="2">
        <v>45369.666684444448</v>
      </c>
      <c r="G1972" t="s">
        <v>97</v>
      </c>
      <c r="H1972" t="s">
        <v>116</v>
      </c>
      <c r="I1972" t="s">
        <v>119</v>
      </c>
    </row>
    <row r="1973" spans="1:9" x14ac:dyDescent="0.45">
      <c r="A1973" t="s">
        <v>2788</v>
      </c>
      <c r="B1973" t="s">
        <v>138</v>
      </c>
      <c r="C1973" t="s">
        <v>2789</v>
      </c>
      <c r="D1973" t="s">
        <v>101</v>
      </c>
      <c r="E1973">
        <v>3418.27</v>
      </c>
      <c r="F1973" s="2">
        <v>45523.666684444448</v>
      </c>
      <c r="G1973" t="s">
        <v>140</v>
      </c>
      <c r="H1973" t="s">
        <v>118</v>
      </c>
      <c r="I1973" t="s">
        <v>88</v>
      </c>
    </row>
    <row r="1974" spans="1:9" x14ac:dyDescent="0.45">
      <c r="A1974" t="s">
        <v>2790</v>
      </c>
      <c r="B1974" t="s">
        <v>90</v>
      </c>
      <c r="C1974" t="s">
        <v>1614</v>
      </c>
      <c r="D1974" t="s">
        <v>101</v>
      </c>
      <c r="E1974">
        <v>0</v>
      </c>
      <c r="F1974" s="2">
        <v>45211.666684444448</v>
      </c>
      <c r="G1974" t="s">
        <v>93</v>
      </c>
      <c r="H1974" t="s">
        <v>76</v>
      </c>
      <c r="I1974" t="s">
        <v>82</v>
      </c>
    </row>
    <row r="1975" spans="1:9" x14ac:dyDescent="0.45">
      <c r="A1975" t="s">
        <v>2791</v>
      </c>
      <c r="B1975" t="s">
        <v>95</v>
      </c>
      <c r="C1975" t="s">
        <v>2792</v>
      </c>
      <c r="D1975" t="s">
        <v>74</v>
      </c>
      <c r="E1975">
        <v>3030.82</v>
      </c>
      <c r="F1975" s="2">
        <v>45511.666684444448</v>
      </c>
      <c r="G1975" t="s">
        <v>97</v>
      </c>
      <c r="H1975" t="s">
        <v>133</v>
      </c>
      <c r="I1975" t="s">
        <v>163</v>
      </c>
    </row>
    <row r="1976" spans="1:9" x14ac:dyDescent="0.45">
      <c r="A1976" t="s">
        <v>2793</v>
      </c>
      <c r="B1976" t="s">
        <v>95</v>
      </c>
      <c r="C1976" t="s">
        <v>1369</v>
      </c>
      <c r="D1976" t="s">
        <v>85</v>
      </c>
      <c r="E1976">
        <v>8964.1</v>
      </c>
      <c r="F1976" s="2">
        <v>45357.666684444448</v>
      </c>
      <c r="G1976" t="s">
        <v>97</v>
      </c>
      <c r="H1976" t="s">
        <v>145</v>
      </c>
      <c r="I1976" t="s">
        <v>88</v>
      </c>
    </row>
    <row r="1977" spans="1:9" x14ac:dyDescent="0.45">
      <c r="A1977" t="s">
        <v>2794</v>
      </c>
      <c r="B1977" t="s">
        <v>72</v>
      </c>
      <c r="C1977" t="s">
        <v>1977</v>
      </c>
      <c r="D1977" t="s">
        <v>148</v>
      </c>
      <c r="E1977">
        <v>11497.47</v>
      </c>
      <c r="F1977" s="2">
        <v>45156.666684444448</v>
      </c>
      <c r="G1977" t="s">
        <v>75</v>
      </c>
      <c r="H1977" t="s">
        <v>76</v>
      </c>
      <c r="I1977" t="s">
        <v>119</v>
      </c>
    </row>
    <row r="1978" spans="1:9" x14ac:dyDescent="0.45">
      <c r="A1978" t="s">
        <v>2795</v>
      </c>
      <c r="B1978" t="s">
        <v>95</v>
      </c>
      <c r="C1978" t="s">
        <v>2796</v>
      </c>
      <c r="D1978" t="s">
        <v>106</v>
      </c>
      <c r="E1978">
        <v>0</v>
      </c>
      <c r="F1978" s="2">
        <v>45454.666684444448</v>
      </c>
      <c r="H1978" t="s">
        <v>145</v>
      </c>
      <c r="I1978" t="s">
        <v>163</v>
      </c>
    </row>
    <row r="1979" spans="1:9" x14ac:dyDescent="0.45">
      <c r="A1979" t="s">
        <v>2797</v>
      </c>
      <c r="B1979" t="s">
        <v>79</v>
      </c>
      <c r="C1979" t="s">
        <v>1450</v>
      </c>
      <c r="D1979" t="s">
        <v>74</v>
      </c>
      <c r="E1979">
        <v>8196.2199999999993</v>
      </c>
      <c r="F1979" s="2">
        <v>45229.666684444448</v>
      </c>
      <c r="G1979" t="s">
        <v>86</v>
      </c>
      <c r="H1979" t="s">
        <v>81</v>
      </c>
      <c r="I1979" t="s">
        <v>112</v>
      </c>
    </row>
    <row r="1980" spans="1:9" x14ac:dyDescent="0.45">
      <c r="A1980" t="s">
        <v>2798</v>
      </c>
      <c r="B1980" t="s">
        <v>95</v>
      </c>
      <c r="C1980" t="s">
        <v>1483</v>
      </c>
      <c r="D1980" t="s">
        <v>92</v>
      </c>
      <c r="E1980">
        <v>182.56</v>
      </c>
      <c r="F1980" s="2">
        <v>45793.666684444448</v>
      </c>
      <c r="G1980" t="s">
        <v>97</v>
      </c>
      <c r="H1980" t="s">
        <v>81</v>
      </c>
      <c r="I1980" t="s">
        <v>163</v>
      </c>
    </row>
    <row r="1981" spans="1:9" x14ac:dyDescent="0.45">
      <c r="A1981" t="s">
        <v>2799</v>
      </c>
      <c r="B1981" t="s">
        <v>104</v>
      </c>
      <c r="C1981" t="s">
        <v>1247</v>
      </c>
      <c r="D1981" t="s">
        <v>92</v>
      </c>
      <c r="E1981">
        <v>1745.9</v>
      </c>
      <c r="F1981" s="2">
        <v>45471.666684444448</v>
      </c>
      <c r="G1981" t="s">
        <v>115</v>
      </c>
      <c r="H1981" t="s">
        <v>128</v>
      </c>
      <c r="I1981" t="s">
        <v>119</v>
      </c>
    </row>
    <row r="1982" spans="1:9" x14ac:dyDescent="0.45">
      <c r="A1982" t="s">
        <v>2800</v>
      </c>
      <c r="B1982" t="s">
        <v>90</v>
      </c>
      <c r="C1982" t="s">
        <v>1804</v>
      </c>
      <c r="D1982" t="s">
        <v>101</v>
      </c>
      <c r="E1982">
        <v>186.75</v>
      </c>
      <c r="F1982" s="2">
        <v>45277.666684444448</v>
      </c>
      <c r="G1982" t="s">
        <v>93</v>
      </c>
      <c r="H1982" t="s">
        <v>118</v>
      </c>
      <c r="I1982" t="s">
        <v>119</v>
      </c>
    </row>
    <row r="1983" spans="1:9" x14ac:dyDescent="0.45">
      <c r="A1983" t="s">
        <v>2242</v>
      </c>
      <c r="B1983" t="s">
        <v>95</v>
      </c>
      <c r="C1983" t="s">
        <v>1609</v>
      </c>
      <c r="D1983" t="s">
        <v>74</v>
      </c>
      <c r="E1983">
        <v>5217.62</v>
      </c>
      <c r="F1983" s="2">
        <v>45268.666684444448</v>
      </c>
      <c r="G1983" t="s">
        <v>97</v>
      </c>
      <c r="H1983" t="s">
        <v>133</v>
      </c>
      <c r="I1983" t="s">
        <v>119</v>
      </c>
    </row>
    <row r="1984" spans="1:9" x14ac:dyDescent="0.45">
      <c r="A1984" t="s">
        <v>2801</v>
      </c>
      <c r="B1984" t="s">
        <v>109</v>
      </c>
      <c r="C1984" t="s">
        <v>2802</v>
      </c>
      <c r="D1984" t="s">
        <v>92</v>
      </c>
      <c r="E1984">
        <v>1290.74</v>
      </c>
      <c r="F1984" s="2">
        <v>45167.666684444448</v>
      </c>
      <c r="H1984" t="s">
        <v>87</v>
      </c>
      <c r="I1984" t="s">
        <v>88</v>
      </c>
    </row>
    <row r="1985" spans="1:9" x14ac:dyDescent="0.45">
      <c r="A1985" t="s">
        <v>2803</v>
      </c>
      <c r="B1985" t="s">
        <v>79</v>
      </c>
      <c r="C1985" t="s">
        <v>395</v>
      </c>
      <c r="D1985" t="s">
        <v>155</v>
      </c>
      <c r="E1985">
        <v>1479.67</v>
      </c>
      <c r="F1985" s="2">
        <v>45421.666684444448</v>
      </c>
      <c r="G1985" t="s">
        <v>86</v>
      </c>
      <c r="H1985" t="s">
        <v>87</v>
      </c>
      <c r="I1985" t="s">
        <v>77</v>
      </c>
    </row>
    <row r="1986" spans="1:9" x14ac:dyDescent="0.45">
      <c r="A1986" t="s">
        <v>2804</v>
      </c>
      <c r="B1986" t="s">
        <v>99</v>
      </c>
      <c r="C1986" t="s">
        <v>401</v>
      </c>
      <c r="D1986" t="s">
        <v>85</v>
      </c>
      <c r="E1986">
        <v>7502.6</v>
      </c>
      <c r="F1986" s="2">
        <v>45611.666684444448</v>
      </c>
      <c r="H1986" t="s">
        <v>87</v>
      </c>
      <c r="I1986" t="s">
        <v>82</v>
      </c>
    </row>
    <row r="1987" spans="1:9" x14ac:dyDescent="0.45">
      <c r="A1987" t="s">
        <v>2805</v>
      </c>
      <c r="B1987" t="s">
        <v>79</v>
      </c>
      <c r="C1987" t="s">
        <v>1656</v>
      </c>
      <c r="D1987" t="s">
        <v>101</v>
      </c>
      <c r="E1987">
        <v>8143.79</v>
      </c>
      <c r="F1987" s="2">
        <v>45840.666684444448</v>
      </c>
      <c r="G1987" t="s">
        <v>86</v>
      </c>
      <c r="H1987" t="s">
        <v>118</v>
      </c>
      <c r="I1987" t="s">
        <v>112</v>
      </c>
    </row>
    <row r="1988" spans="1:9" x14ac:dyDescent="0.45">
      <c r="A1988" t="s">
        <v>2806</v>
      </c>
      <c r="B1988" t="s">
        <v>172</v>
      </c>
      <c r="C1988" t="s">
        <v>530</v>
      </c>
      <c r="D1988" t="s">
        <v>85</v>
      </c>
      <c r="E1988">
        <v>0</v>
      </c>
      <c r="F1988" s="2">
        <v>45270.666684444448</v>
      </c>
      <c r="G1988" t="s">
        <v>174</v>
      </c>
      <c r="H1988" t="s">
        <v>87</v>
      </c>
      <c r="I1988" t="s">
        <v>88</v>
      </c>
    </row>
    <row r="1989" spans="1:9" x14ac:dyDescent="0.45">
      <c r="A1989" t="s">
        <v>2807</v>
      </c>
      <c r="B1989" t="s">
        <v>99</v>
      </c>
      <c r="C1989" t="s">
        <v>2808</v>
      </c>
      <c r="D1989" t="s">
        <v>74</v>
      </c>
      <c r="E1989">
        <v>3455.74</v>
      </c>
      <c r="F1989" s="2">
        <v>45850.666684444448</v>
      </c>
      <c r="H1989" t="s">
        <v>133</v>
      </c>
      <c r="I1989" t="s">
        <v>88</v>
      </c>
    </row>
    <row r="1990" spans="1:9" x14ac:dyDescent="0.45">
      <c r="A1990" t="s">
        <v>2809</v>
      </c>
      <c r="B1990" t="s">
        <v>72</v>
      </c>
      <c r="C1990" t="s">
        <v>198</v>
      </c>
      <c r="D1990" t="s">
        <v>92</v>
      </c>
      <c r="E1990">
        <v>10413.379999999999</v>
      </c>
      <c r="F1990" s="2">
        <v>45608.666684444448</v>
      </c>
      <c r="G1990" t="s">
        <v>75</v>
      </c>
      <c r="H1990" t="s">
        <v>107</v>
      </c>
      <c r="I1990" t="s">
        <v>112</v>
      </c>
    </row>
    <row r="1991" spans="1:9" x14ac:dyDescent="0.45">
      <c r="A1991" t="s">
        <v>2810</v>
      </c>
      <c r="B1991" t="s">
        <v>79</v>
      </c>
      <c r="C1991" t="s">
        <v>2299</v>
      </c>
      <c r="D1991" t="s">
        <v>92</v>
      </c>
      <c r="E1991">
        <v>853.86</v>
      </c>
      <c r="F1991" s="2">
        <v>45587.666684444448</v>
      </c>
      <c r="G1991" t="s">
        <v>86</v>
      </c>
      <c r="H1991" t="s">
        <v>136</v>
      </c>
      <c r="I1991" t="s">
        <v>112</v>
      </c>
    </row>
    <row r="1992" spans="1:9" x14ac:dyDescent="0.45">
      <c r="A1992" t="s">
        <v>2811</v>
      </c>
      <c r="B1992" t="s">
        <v>172</v>
      </c>
      <c r="C1992" t="s">
        <v>877</v>
      </c>
      <c r="D1992" t="s">
        <v>74</v>
      </c>
      <c r="E1992">
        <v>10658.28</v>
      </c>
      <c r="F1992" s="2">
        <v>45758.666684444448</v>
      </c>
      <c r="G1992" t="s">
        <v>174</v>
      </c>
      <c r="I1992" t="s">
        <v>119</v>
      </c>
    </row>
    <row r="1993" spans="1:9" x14ac:dyDescent="0.45">
      <c r="A1993" t="s">
        <v>2812</v>
      </c>
      <c r="B1993" t="s">
        <v>79</v>
      </c>
      <c r="C1993" t="s">
        <v>499</v>
      </c>
      <c r="D1993" t="s">
        <v>148</v>
      </c>
      <c r="E1993">
        <v>10140.98</v>
      </c>
      <c r="F1993" s="2">
        <v>45133.666684444448</v>
      </c>
      <c r="H1993" t="s">
        <v>116</v>
      </c>
      <c r="I1993" t="s">
        <v>119</v>
      </c>
    </row>
    <row r="1994" spans="1:9" x14ac:dyDescent="0.45">
      <c r="A1994" t="s">
        <v>2813</v>
      </c>
      <c r="B1994" t="s">
        <v>95</v>
      </c>
      <c r="D1994" t="s">
        <v>101</v>
      </c>
      <c r="E1994">
        <v>2129.1799999999998</v>
      </c>
      <c r="F1994" s="2">
        <v>45209.666684444448</v>
      </c>
      <c r="G1994" t="s">
        <v>97</v>
      </c>
      <c r="H1994" t="s">
        <v>87</v>
      </c>
      <c r="I1994" t="s">
        <v>82</v>
      </c>
    </row>
    <row r="1995" spans="1:9" x14ac:dyDescent="0.45">
      <c r="A1995" t="s">
        <v>2814</v>
      </c>
      <c r="B1995" t="s">
        <v>138</v>
      </c>
      <c r="C1995" t="s">
        <v>2815</v>
      </c>
      <c r="D1995" t="s">
        <v>106</v>
      </c>
      <c r="E1995">
        <v>5935.17</v>
      </c>
      <c r="F1995" s="2">
        <v>45147.666684444448</v>
      </c>
      <c r="G1995" t="s">
        <v>140</v>
      </c>
      <c r="H1995" t="s">
        <v>81</v>
      </c>
      <c r="I1995" t="s">
        <v>77</v>
      </c>
    </row>
    <row r="1996" spans="1:9" x14ac:dyDescent="0.45">
      <c r="A1996" t="s">
        <v>2816</v>
      </c>
      <c r="B1996" t="s">
        <v>138</v>
      </c>
      <c r="C1996" t="s">
        <v>1806</v>
      </c>
      <c r="D1996" t="s">
        <v>101</v>
      </c>
      <c r="E1996">
        <v>6465.27</v>
      </c>
      <c r="F1996" s="2">
        <v>45390.666684444448</v>
      </c>
      <c r="G1996" t="s">
        <v>140</v>
      </c>
      <c r="H1996" t="s">
        <v>116</v>
      </c>
      <c r="I1996" t="s">
        <v>82</v>
      </c>
    </row>
    <row r="1997" spans="1:9" x14ac:dyDescent="0.45">
      <c r="A1997" t="s">
        <v>2817</v>
      </c>
      <c r="B1997" t="s">
        <v>172</v>
      </c>
      <c r="C1997" t="s">
        <v>749</v>
      </c>
      <c r="D1997" t="s">
        <v>74</v>
      </c>
      <c r="E1997">
        <v>4394.8900000000003</v>
      </c>
      <c r="F1997" s="2">
        <v>45348.666684444448</v>
      </c>
      <c r="G1997" t="s">
        <v>236</v>
      </c>
      <c r="H1997" t="s">
        <v>87</v>
      </c>
      <c r="I1997" t="s">
        <v>163</v>
      </c>
    </row>
    <row r="1998" spans="1:9" x14ac:dyDescent="0.45">
      <c r="A1998" t="s">
        <v>2818</v>
      </c>
      <c r="B1998" t="s">
        <v>79</v>
      </c>
      <c r="D1998" t="s">
        <v>101</v>
      </c>
      <c r="E1998">
        <v>1573.45</v>
      </c>
      <c r="F1998" s="2">
        <v>45281.666684444448</v>
      </c>
      <c r="G1998" t="s">
        <v>86</v>
      </c>
      <c r="I1998" t="s">
        <v>163</v>
      </c>
    </row>
    <row r="1999" spans="1:9" x14ac:dyDescent="0.45">
      <c r="A1999" t="s">
        <v>2819</v>
      </c>
      <c r="B1999" t="s">
        <v>172</v>
      </c>
      <c r="C1999" t="s">
        <v>1202</v>
      </c>
      <c r="D1999" t="s">
        <v>101</v>
      </c>
      <c r="E1999">
        <v>9725.64</v>
      </c>
      <c r="F1999" s="2">
        <v>45689.666684444448</v>
      </c>
      <c r="G1999" t="s">
        <v>174</v>
      </c>
      <c r="H1999" t="s">
        <v>76</v>
      </c>
      <c r="I1999" t="s">
        <v>77</v>
      </c>
    </row>
    <row r="2000" spans="1:9" x14ac:dyDescent="0.45">
      <c r="A2000" t="s">
        <v>2820</v>
      </c>
      <c r="B2000" t="s">
        <v>72</v>
      </c>
      <c r="C2000" t="s">
        <v>743</v>
      </c>
      <c r="D2000" t="s">
        <v>74</v>
      </c>
      <c r="E2000">
        <v>4938.7700000000004</v>
      </c>
      <c r="F2000" s="2">
        <v>45751.666684444448</v>
      </c>
      <c r="G2000" t="s">
        <v>75</v>
      </c>
      <c r="H2000" t="s">
        <v>145</v>
      </c>
      <c r="I2000" t="s">
        <v>82</v>
      </c>
    </row>
    <row r="2001" spans="1:9" x14ac:dyDescent="0.45">
      <c r="A2001" t="s">
        <v>2821</v>
      </c>
      <c r="B2001" t="s">
        <v>138</v>
      </c>
      <c r="C2001" t="s">
        <v>367</v>
      </c>
      <c r="D2001" t="s">
        <v>85</v>
      </c>
      <c r="E2001">
        <v>403.8</v>
      </c>
      <c r="F2001" s="2">
        <v>45668.666684444448</v>
      </c>
      <c r="H2001" t="s">
        <v>87</v>
      </c>
      <c r="I2001" t="s">
        <v>88</v>
      </c>
    </row>
    <row r="2002" spans="1:9" x14ac:dyDescent="0.45">
      <c r="A2002" t="s">
        <v>2126</v>
      </c>
      <c r="B2002" t="s">
        <v>109</v>
      </c>
      <c r="C2002" t="s">
        <v>1362</v>
      </c>
      <c r="D2002" t="s">
        <v>85</v>
      </c>
      <c r="E2002">
        <v>4855.2700000000004</v>
      </c>
      <c r="F2002" s="2">
        <v>45561.666684444448</v>
      </c>
      <c r="H2002" t="s">
        <v>107</v>
      </c>
      <c r="I2002" t="s">
        <v>82</v>
      </c>
    </row>
    <row r="2003" spans="1:9" x14ac:dyDescent="0.45">
      <c r="A2003" t="s">
        <v>2822</v>
      </c>
      <c r="B2003" t="s">
        <v>99</v>
      </c>
      <c r="C2003" t="s">
        <v>459</v>
      </c>
      <c r="D2003" t="s">
        <v>92</v>
      </c>
      <c r="E2003">
        <v>10484.07</v>
      </c>
      <c r="F2003" s="2">
        <v>45241.666684444448</v>
      </c>
      <c r="G2003" t="s">
        <v>285</v>
      </c>
      <c r="H2003" t="s">
        <v>118</v>
      </c>
      <c r="I2003" t="s">
        <v>77</v>
      </c>
    </row>
    <row r="2004" spans="1:9" x14ac:dyDescent="0.45">
      <c r="A2004" t="s">
        <v>2823</v>
      </c>
      <c r="B2004" t="s">
        <v>95</v>
      </c>
      <c r="C2004" t="s">
        <v>2824</v>
      </c>
      <c r="D2004" t="s">
        <v>74</v>
      </c>
      <c r="E2004">
        <v>254.31</v>
      </c>
      <c r="F2004" s="2">
        <v>45423.666684444448</v>
      </c>
      <c r="G2004" t="s">
        <v>97</v>
      </c>
      <c r="H2004" t="s">
        <v>128</v>
      </c>
      <c r="I2004" t="s">
        <v>163</v>
      </c>
    </row>
    <row r="2005" spans="1:9" x14ac:dyDescent="0.45">
      <c r="A2005" t="s">
        <v>2825</v>
      </c>
      <c r="B2005" t="s">
        <v>109</v>
      </c>
      <c r="C2005" t="s">
        <v>482</v>
      </c>
      <c r="D2005" t="s">
        <v>85</v>
      </c>
      <c r="E2005">
        <v>5707.45</v>
      </c>
      <c r="F2005" s="2">
        <v>45371.666684444448</v>
      </c>
      <c r="G2005" t="s">
        <v>111</v>
      </c>
      <c r="H2005" t="s">
        <v>133</v>
      </c>
      <c r="I2005" t="s">
        <v>82</v>
      </c>
    </row>
    <row r="2006" spans="1:9" x14ac:dyDescent="0.45">
      <c r="A2006" t="s">
        <v>2826</v>
      </c>
      <c r="B2006" t="s">
        <v>109</v>
      </c>
      <c r="C2006" t="s">
        <v>543</v>
      </c>
      <c r="D2006" t="s">
        <v>74</v>
      </c>
      <c r="E2006">
        <v>10324.44</v>
      </c>
      <c r="F2006" s="2">
        <v>45436.666684444448</v>
      </c>
      <c r="G2006" t="s">
        <v>111</v>
      </c>
      <c r="H2006" t="s">
        <v>136</v>
      </c>
      <c r="I2006" t="s">
        <v>82</v>
      </c>
    </row>
    <row r="2007" spans="1:9" x14ac:dyDescent="0.45">
      <c r="A2007" t="s">
        <v>2827</v>
      </c>
      <c r="B2007" t="s">
        <v>90</v>
      </c>
      <c r="C2007" t="s">
        <v>1186</v>
      </c>
      <c r="D2007" t="s">
        <v>92</v>
      </c>
      <c r="E2007">
        <v>8275.6299999999992</v>
      </c>
      <c r="F2007" s="2">
        <v>45252.666684444448</v>
      </c>
      <c r="G2007" t="s">
        <v>93</v>
      </c>
      <c r="H2007" t="s">
        <v>118</v>
      </c>
      <c r="I2007" t="s">
        <v>163</v>
      </c>
    </row>
    <row r="2008" spans="1:9" x14ac:dyDescent="0.45">
      <c r="A2008" t="s">
        <v>2828</v>
      </c>
      <c r="B2008" t="s">
        <v>109</v>
      </c>
      <c r="C2008" t="s">
        <v>663</v>
      </c>
      <c r="D2008" t="s">
        <v>74</v>
      </c>
      <c r="E2008">
        <v>5275.87</v>
      </c>
      <c r="F2008" s="2">
        <v>45176.666684444448</v>
      </c>
      <c r="G2008" t="s">
        <v>307</v>
      </c>
      <c r="H2008" t="s">
        <v>81</v>
      </c>
      <c r="I2008" t="s">
        <v>119</v>
      </c>
    </row>
    <row r="2009" spans="1:9" x14ac:dyDescent="0.45">
      <c r="A2009" t="s">
        <v>2829</v>
      </c>
      <c r="B2009" t="s">
        <v>99</v>
      </c>
      <c r="C2009" t="s">
        <v>181</v>
      </c>
      <c r="D2009" t="s">
        <v>155</v>
      </c>
      <c r="E2009">
        <v>4931.0600000000004</v>
      </c>
      <c r="F2009" s="2">
        <v>45372.666684444448</v>
      </c>
      <c r="G2009" t="s">
        <v>102</v>
      </c>
      <c r="H2009" t="s">
        <v>136</v>
      </c>
      <c r="I2009" t="s">
        <v>82</v>
      </c>
    </row>
    <row r="2010" spans="1:9" x14ac:dyDescent="0.45">
      <c r="A2010" t="s">
        <v>2830</v>
      </c>
      <c r="B2010" t="s">
        <v>99</v>
      </c>
      <c r="C2010" t="s">
        <v>2108</v>
      </c>
      <c r="D2010" t="s">
        <v>92</v>
      </c>
      <c r="E2010">
        <v>3005.32</v>
      </c>
      <c r="F2010" s="2">
        <v>45557.666684444448</v>
      </c>
      <c r="G2010" t="s">
        <v>102</v>
      </c>
      <c r="H2010" t="s">
        <v>87</v>
      </c>
      <c r="I2010" t="s">
        <v>82</v>
      </c>
    </row>
    <row r="2011" spans="1:9" x14ac:dyDescent="0.45">
      <c r="A2011" t="s">
        <v>2831</v>
      </c>
      <c r="B2011" t="s">
        <v>95</v>
      </c>
      <c r="C2011" t="s">
        <v>1764</v>
      </c>
      <c r="D2011" t="s">
        <v>85</v>
      </c>
      <c r="E2011">
        <v>3997.03</v>
      </c>
      <c r="F2011" s="2">
        <v>45782.666684444448</v>
      </c>
      <c r="H2011" t="s">
        <v>87</v>
      </c>
      <c r="I2011" t="s">
        <v>77</v>
      </c>
    </row>
    <row r="2012" spans="1:9" x14ac:dyDescent="0.45">
      <c r="A2012" t="s">
        <v>2832</v>
      </c>
      <c r="B2012" t="s">
        <v>172</v>
      </c>
      <c r="C2012" t="s">
        <v>552</v>
      </c>
      <c r="D2012" t="s">
        <v>101</v>
      </c>
      <c r="E2012">
        <v>1158.6099999999999</v>
      </c>
      <c r="F2012" s="2">
        <v>45765.666684444448</v>
      </c>
      <c r="G2012" t="s">
        <v>174</v>
      </c>
      <c r="H2012" t="s">
        <v>145</v>
      </c>
      <c r="I2012" t="s">
        <v>82</v>
      </c>
    </row>
    <row r="2013" spans="1:9" x14ac:dyDescent="0.45">
      <c r="A2013" t="s">
        <v>2833</v>
      </c>
      <c r="B2013" t="s">
        <v>104</v>
      </c>
      <c r="C2013" t="s">
        <v>1320</v>
      </c>
      <c r="D2013" t="s">
        <v>74</v>
      </c>
      <c r="E2013">
        <v>0</v>
      </c>
      <c r="F2013" s="2">
        <v>45596.666684444448</v>
      </c>
      <c r="G2013" t="s">
        <v>247</v>
      </c>
      <c r="H2013" t="s">
        <v>145</v>
      </c>
      <c r="I2013" t="s">
        <v>88</v>
      </c>
    </row>
    <row r="2014" spans="1:9" x14ac:dyDescent="0.45">
      <c r="A2014" t="s">
        <v>2834</v>
      </c>
      <c r="B2014" t="s">
        <v>104</v>
      </c>
      <c r="C2014" t="s">
        <v>2835</v>
      </c>
      <c r="D2014" t="s">
        <v>101</v>
      </c>
      <c r="E2014">
        <v>2251.33</v>
      </c>
      <c r="F2014" s="2">
        <v>45192.666684444448</v>
      </c>
      <c r="G2014" t="s">
        <v>115</v>
      </c>
      <c r="H2014" t="s">
        <v>133</v>
      </c>
      <c r="I2014" t="s">
        <v>77</v>
      </c>
    </row>
    <row r="2015" spans="1:9" x14ac:dyDescent="0.45">
      <c r="A2015" t="s">
        <v>2836</v>
      </c>
      <c r="B2015" t="s">
        <v>79</v>
      </c>
      <c r="C2015" t="s">
        <v>870</v>
      </c>
      <c r="D2015" t="s">
        <v>148</v>
      </c>
      <c r="E2015">
        <v>0</v>
      </c>
      <c r="F2015" s="2">
        <v>45241.666684444448</v>
      </c>
      <c r="G2015" t="s">
        <v>86</v>
      </c>
      <c r="H2015" t="s">
        <v>81</v>
      </c>
      <c r="I2015" t="s">
        <v>88</v>
      </c>
    </row>
    <row r="2016" spans="1:9" x14ac:dyDescent="0.45">
      <c r="A2016" t="s">
        <v>1798</v>
      </c>
      <c r="B2016" t="s">
        <v>79</v>
      </c>
      <c r="C2016" t="s">
        <v>794</v>
      </c>
      <c r="D2016" t="s">
        <v>155</v>
      </c>
      <c r="E2016">
        <v>8159.74</v>
      </c>
      <c r="F2016" s="2">
        <v>45639.666684444448</v>
      </c>
      <c r="G2016" t="s">
        <v>86</v>
      </c>
      <c r="H2016" t="s">
        <v>118</v>
      </c>
      <c r="I2016" t="s">
        <v>163</v>
      </c>
    </row>
    <row r="2017" spans="1:9" x14ac:dyDescent="0.45">
      <c r="A2017" t="s">
        <v>2837</v>
      </c>
      <c r="B2017" t="s">
        <v>99</v>
      </c>
      <c r="C2017" t="s">
        <v>821</v>
      </c>
      <c r="D2017" t="s">
        <v>74</v>
      </c>
      <c r="E2017">
        <v>0</v>
      </c>
      <c r="F2017" s="2">
        <v>45739.666684444448</v>
      </c>
      <c r="G2017" t="s">
        <v>102</v>
      </c>
      <c r="H2017" t="s">
        <v>136</v>
      </c>
      <c r="I2017" t="s">
        <v>119</v>
      </c>
    </row>
    <row r="2018" spans="1:9" x14ac:dyDescent="0.45">
      <c r="A2018" t="s">
        <v>2838</v>
      </c>
      <c r="B2018" t="s">
        <v>79</v>
      </c>
      <c r="D2018" t="s">
        <v>85</v>
      </c>
      <c r="E2018">
        <v>8923.5400000000009</v>
      </c>
      <c r="F2018" s="2">
        <v>45676.666684444448</v>
      </c>
      <c r="G2018" t="s">
        <v>86</v>
      </c>
      <c r="H2018" t="s">
        <v>136</v>
      </c>
      <c r="I2018" t="s">
        <v>82</v>
      </c>
    </row>
    <row r="2019" spans="1:9" x14ac:dyDescent="0.45">
      <c r="A2019" t="s">
        <v>2839</v>
      </c>
      <c r="B2019" t="s">
        <v>90</v>
      </c>
      <c r="C2019" t="s">
        <v>1294</v>
      </c>
      <c r="D2019" t="s">
        <v>92</v>
      </c>
      <c r="E2019">
        <v>8006.28</v>
      </c>
      <c r="F2019" s="2">
        <v>45144.666684444448</v>
      </c>
      <c r="G2019" t="s">
        <v>93</v>
      </c>
      <c r="H2019" t="s">
        <v>81</v>
      </c>
      <c r="I2019" t="s">
        <v>77</v>
      </c>
    </row>
    <row r="2020" spans="1:9" x14ac:dyDescent="0.45">
      <c r="A2020" t="s">
        <v>2840</v>
      </c>
      <c r="B2020" t="s">
        <v>79</v>
      </c>
      <c r="C2020" t="s">
        <v>1667</v>
      </c>
      <c r="D2020" t="s">
        <v>85</v>
      </c>
      <c r="E2020">
        <v>8598.64</v>
      </c>
      <c r="F2020" s="2">
        <v>45775.666684444448</v>
      </c>
      <c r="G2020" t="s">
        <v>86</v>
      </c>
      <c r="H2020" t="s">
        <v>136</v>
      </c>
      <c r="I2020" t="s">
        <v>88</v>
      </c>
    </row>
    <row r="2021" spans="1:9" x14ac:dyDescent="0.45">
      <c r="A2021" t="s">
        <v>2841</v>
      </c>
      <c r="B2021" t="s">
        <v>72</v>
      </c>
      <c r="C2021" t="s">
        <v>2842</v>
      </c>
      <c r="D2021" t="s">
        <v>74</v>
      </c>
      <c r="E2021">
        <v>2541.59</v>
      </c>
      <c r="F2021" s="2">
        <v>45655.666684444448</v>
      </c>
      <c r="G2021" t="s">
        <v>75</v>
      </c>
      <c r="H2021" t="s">
        <v>136</v>
      </c>
      <c r="I2021" t="s">
        <v>77</v>
      </c>
    </row>
    <row r="2022" spans="1:9" x14ac:dyDescent="0.45">
      <c r="A2022" t="s">
        <v>2843</v>
      </c>
      <c r="B2022" t="s">
        <v>72</v>
      </c>
      <c r="C2022" t="s">
        <v>2684</v>
      </c>
      <c r="D2022" t="s">
        <v>74</v>
      </c>
      <c r="E2022">
        <v>5128.8500000000004</v>
      </c>
      <c r="F2022" s="2">
        <v>45716.666684444448</v>
      </c>
      <c r="G2022" t="s">
        <v>75</v>
      </c>
      <c r="H2022" t="s">
        <v>76</v>
      </c>
      <c r="I2022" t="s">
        <v>77</v>
      </c>
    </row>
    <row r="2023" spans="1:9" x14ac:dyDescent="0.45">
      <c r="A2023" t="s">
        <v>2844</v>
      </c>
      <c r="B2023" t="s">
        <v>90</v>
      </c>
      <c r="C2023" t="s">
        <v>1636</v>
      </c>
      <c r="D2023" t="s">
        <v>101</v>
      </c>
      <c r="E2023">
        <v>8674.81</v>
      </c>
      <c r="F2023" s="2">
        <v>45375.666684444448</v>
      </c>
      <c r="G2023" t="s">
        <v>93</v>
      </c>
      <c r="H2023" t="s">
        <v>107</v>
      </c>
      <c r="I2023" t="s">
        <v>119</v>
      </c>
    </row>
    <row r="2024" spans="1:9" x14ac:dyDescent="0.45">
      <c r="A2024" t="s">
        <v>2845</v>
      </c>
      <c r="B2024" t="s">
        <v>109</v>
      </c>
      <c r="C2024" t="s">
        <v>901</v>
      </c>
      <c r="E2024">
        <v>8740.23</v>
      </c>
      <c r="F2024" s="2">
        <v>45275.666684444448</v>
      </c>
      <c r="G2024" t="s">
        <v>111</v>
      </c>
      <c r="I2024" t="s">
        <v>112</v>
      </c>
    </row>
    <row r="2025" spans="1:9" x14ac:dyDescent="0.45">
      <c r="A2025" t="s">
        <v>2846</v>
      </c>
      <c r="B2025" t="s">
        <v>72</v>
      </c>
      <c r="C2025" t="s">
        <v>1711</v>
      </c>
      <c r="D2025" t="s">
        <v>85</v>
      </c>
      <c r="E2025">
        <v>6062.72</v>
      </c>
      <c r="F2025" s="2">
        <v>45426.666684444448</v>
      </c>
      <c r="G2025" t="s">
        <v>75</v>
      </c>
      <c r="H2025" t="s">
        <v>133</v>
      </c>
      <c r="I2025" t="s">
        <v>163</v>
      </c>
    </row>
    <row r="2026" spans="1:9" x14ac:dyDescent="0.45">
      <c r="A2026" t="s">
        <v>2847</v>
      </c>
      <c r="B2026" t="s">
        <v>104</v>
      </c>
      <c r="C2026" t="s">
        <v>433</v>
      </c>
      <c r="D2026" t="s">
        <v>85</v>
      </c>
      <c r="E2026">
        <v>8171.14</v>
      </c>
      <c r="F2026" s="2">
        <v>45567.666684444448</v>
      </c>
      <c r="G2026" t="s">
        <v>115</v>
      </c>
      <c r="H2026" t="s">
        <v>136</v>
      </c>
      <c r="I2026" t="s">
        <v>112</v>
      </c>
    </row>
    <row r="2027" spans="1:9" x14ac:dyDescent="0.45">
      <c r="A2027" t="s">
        <v>2848</v>
      </c>
      <c r="B2027" t="s">
        <v>104</v>
      </c>
      <c r="C2027" t="s">
        <v>1094</v>
      </c>
      <c r="D2027" t="s">
        <v>155</v>
      </c>
      <c r="E2027">
        <v>10689.92</v>
      </c>
      <c r="F2027" s="2">
        <v>45129.666684444448</v>
      </c>
      <c r="G2027" t="s">
        <v>115</v>
      </c>
      <c r="H2027" t="s">
        <v>76</v>
      </c>
      <c r="I2027" t="s">
        <v>77</v>
      </c>
    </row>
    <row r="2028" spans="1:9" x14ac:dyDescent="0.45">
      <c r="A2028" t="s">
        <v>2849</v>
      </c>
      <c r="B2028" t="s">
        <v>72</v>
      </c>
      <c r="C2028" t="s">
        <v>2111</v>
      </c>
      <c r="D2028" t="s">
        <v>85</v>
      </c>
      <c r="E2028">
        <v>8402.58</v>
      </c>
      <c r="F2028" s="2">
        <v>45757.666684444448</v>
      </c>
      <c r="G2028" t="s">
        <v>75</v>
      </c>
      <c r="H2028" t="s">
        <v>107</v>
      </c>
      <c r="I2028" t="s">
        <v>112</v>
      </c>
    </row>
    <row r="2029" spans="1:9" x14ac:dyDescent="0.45">
      <c r="A2029" t="s">
        <v>1152</v>
      </c>
      <c r="B2029" t="s">
        <v>79</v>
      </c>
      <c r="C2029" t="s">
        <v>737</v>
      </c>
      <c r="D2029" t="s">
        <v>148</v>
      </c>
      <c r="E2029">
        <v>1995.74</v>
      </c>
      <c r="F2029" s="2">
        <v>45489.666684444448</v>
      </c>
      <c r="G2029" t="s">
        <v>278</v>
      </c>
      <c r="H2029" t="s">
        <v>145</v>
      </c>
      <c r="I2029" t="s">
        <v>82</v>
      </c>
    </row>
    <row r="2030" spans="1:9" x14ac:dyDescent="0.45">
      <c r="A2030" t="s">
        <v>2850</v>
      </c>
      <c r="B2030" t="s">
        <v>104</v>
      </c>
      <c r="C2030" t="s">
        <v>1299</v>
      </c>
      <c r="D2030" t="s">
        <v>85</v>
      </c>
      <c r="E2030">
        <v>3498.93</v>
      </c>
      <c r="F2030" s="2">
        <v>45374.666684444448</v>
      </c>
      <c r="I2030" t="s">
        <v>163</v>
      </c>
    </row>
    <row r="2031" spans="1:9" x14ac:dyDescent="0.45">
      <c r="A2031" t="s">
        <v>2851</v>
      </c>
      <c r="B2031" t="s">
        <v>72</v>
      </c>
      <c r="C2031" t="s">
        <v>162</v>
      </c>
      <c r="D2031" t="s">
        <v>74</v>
      </c>
      <c r="E2031">
        <v>2859.45</v>
      </c>
      <c r="F2031" s="2">
        <v>45712.666684444448</v>
      </c>
      <c r="G2031" t="s">
        <v>75</v>
      </c>
      <c r="I2031" t="s">
        <v>119</v>
      </c>
    </row>
    <row r="2032" spans="1:9" x14ac:dyDescent="0.45">
      <c r="A2032" t="s">
        <v>2852</v>
      </c>
      <c r="B2032" t="s">
        <v>109</v>
      </c>
      <c r="C2032" t="s">
        <v>210</v>
      </c>
      <c r="D2032" t="s">
        <v>155</v>
      </c>
      <c r="E2032">
        <v>10415.57</v>
      </c>
      <c r="F2032" s="2">
        <v>45554.666684444448</v>
      </c>
      <c r="G2032" t="s">
        <v>307</v>
      </c>
      <c r="H2032" t="s">
        <v>136</v>
      </c>
      <c r="I2032" t="s">
        <v>112</v>
      </c>
    </row>
    <row r="2033" spans="1:9" x14ac:dyDescent="0.45">
      <c r="A2033" t="s">
        <v>2853</v>
      </c>
      <c r="B2033" t="s">
        <v>95</v>
      </c>
      <c r="C2033" t="s">
        <v>2686</v>
      </c>
      <c r="D2033" t="s">
        <v>85</v>
      </c>
      <c r="E2033">
        <v>5675.77</v>
      </c>
      <c r="F2033" s="2">
        <v>45319.666684444448</v>
      </c>
      <c r="G2033" t="s">
        <v>336</v>
      </c>
      <c r="H2033" t="s">
        <v>76</v>
      </c>
      <c r="I2033" t="s">
        <v>88</v>
      </c>
    </row>
    <row r="2034" spans="1:9" x14ac:dyDescent="0.45">
      <c r="A2034" t="s">
        <v>1147</v>
      </c>
      <c r="B2034" t="s">
        <v>79</v>
      </c>
      <c r="C2034" t="s">
        <v>1552</v>
      </c>
      <c r="D2034" t="s">
        <v>74</v>
      </c>
      <c r="E2034">
        <v>7286.75</v>
      </c>
      <c r="F2034" s="2">
        <v>45808.666684444448</v>
      </c>
      <c r="G2034" t="s">
        <v>278</v>
      </c>
      <c r="H2034" t="s">
        <v>81</v>
      </c>
      <c r="I2034" t="s">
        <v>77</v>
      </c>
    </row>
    <row r="2035" spans="1:9" x14ac:dyDescent="0.45">
      <c r="A2035" t="s">
        <v>2854</v>
      </c>
      <c r="B2035" t="s">
        <v>79</v>
      </c>
      <c r="C2035" t="s">
        <v>597</v>
      </c>
      <c r="D2035" t="s">
        <v>101</v>
      </c>
      <c r="E2035">
        <v>4555.57</v>
      </c>
      <c r="F2035" s="2">
        <v>45812.666684444448</v>
      </c>
      <c r="G2035" t="s">
        <v>86</v>
      </c>
      <c r="H2035" t="s">
        <v>116</v>
      </c>
      <c r="I2035" t="s">
        <v>77</v>
      </c>
    </row>
    <row r="2036" spans="1:9" x14ac:dyDescent="0.45">
      <c r="A2036" t="s">
        <v>2855</v>
      </c>
      <c r="B2036" t="s">
        <v>72</v>
      </c>
      <c r="C2036" t="s">
        <v>2357</v>
      </c>
      <c r="D2036" t="s">
        <v>74</v>
      </c>
      <c r="E2036">
        <v>7069.6</v>
      </c>
      <c r="F2036" s="2">
        <v>45215.666684444448</v>
      </c>
      <c r="G2036" t="s">
        <v>75</v>
      </c>
      <c r="H2036" t="s">
        <v>116</v>
      </c>
      <c r="I2036" t="s">
        <v>163</v>
      </c>
    </row>
    <row r="2037" spans="1:9" x14ac:dyDescent="0.45">
      <c r="A2037" t="s">
        <v>2856</v>
      </c>
      <c r="B2037" t="s">
        <v>172</v>
      </c>
      <c r="C2037" t="s">
        <v>2857</v>
      </c>
      <c r="D2037" t="s">
        <v>85</v>
      </c>
      <c r="E2037">
        <v>5420.9</v>
      </c>
      <c r="F2037" s="2">
        <v>45664.666684444448</v>
      </c>
      <c r="G2037" t="s">
        <v>174</v>
      </c>
      <c r="H2037" t="s">
        <v>136</v>
      </c>
      <c r="I2037" t="s">
        <v>82</v>
      </c>
    </row>
    <row r="2038" spans="1:9" x14ac:dyDescent="0.45">
      <c r="A2038" t="s">
        <v>2858</v>
      </c>
      <c r="B2038" t="s">
        <v>138</v>
      </c>
      <c r="C2038" t="s">
        <v>1938</v>
      </c>
      <c r="D2038" t="s">
        <v>148</v>
      </c>
      <c r="E2038">
        <v>1006.15</v>
      </c>
      <c r="F2038" s="2">
        <v>45497.666684444448</v>
      </c>
      <c r="G2038" t="s">
        <v>140</v>
      </c>
      <c r="H2038" t="s">
        <v>87</v>
      </c>
      <c r="I2038" t="s">
        <v>112</v>
      </c>
    </row>
    <row r="2039" spans="1:9" x14ac:dyDescent="0.45">
      <c r="A2039" t="s">
        <v>2852</v>
      </c>
      <c r="B2039" t="s">
        <v>72</v>
      </c>
      <c r="C2039" t="s">
        <v>1169</v>
      </c>
      <c r="D2039" t="s">
        <v>155</v>
      </c>
      <c r="E2039">
        <v>5028.8999999999996</v>
      </c>
      <c r="F2039" s="2">
        <v>45197.666684444448</v>
      </c>
      <c r="G2039" t="s">
        <v>75</v>
      </c>
      <c r="H2039" t="s">
        <v>87</v>
      </c>
      <c r="I2039" t="s">
        <v>77</v>
      </c>
    </row>
    <row r="2040" spans="1:9" x14ac:dyDescent="0.45">
      <c r="A2040" t="s">
        <v>2859</v>
      </c>
      <c r="B2040" t="s">
        <v>90</v>
      </c>
      <c r="C2040" t="s">
        <v>1850</v>
      </c>
      <c r="D2040" t="s">
        <v>155</v>
      </c>
      <c r="E2040">
        <v>0</v>
      </c>
      <c r="F2040" s="2">
        <v>45666.666684444448</v>
      </c>
      <c r="G2040" t="s">
        <v>93</v>
      </c>
      <c r="I2040" t="s">
        <v>119</v>
      </c>
    </row>
    <row r="2041" spans="1:9" x14ac:dyDescent="0.45">
      <c r="A2041" t="s">
        <v>998</v>
      </c>
      <c r="B2041" t="s">
        <v>72</v>
      </c>
      <c r="C2041" t="s">
        <v>367</v>
      </c>
      <c r="D2041" t="s">
        <v>74</v>
      </c>
      <c r="E2041">
        <v>3284.52</v>
      </c>
      <c r="F2041" s="2">
        <v>45685.666684444448</v>
      </c>
      <c r="H2041" t="s">
        <v>116</v>
      </c>
      <c r="I2041" t="s">
        <v>112</v>
      </c>
    </row>
    <row r="2042" spans="1:9" x14ac:dyDescent="0.45">
      <c r="A2042" t="s">
        <v>2860</v>
      </c>
      <c r="B2042" t="s">
        <v>79</v>
      </c>
      <c r="C2042" t="s">
        <v>2020</v>
      </c>
      <c r="D2042" t="s">
        <v>101</v>
      </c>
      <c r="E2042">
        <v>4036.93</v>
      </c>
      <c r="F2042" s="2">
        <v>45647.666684444448</v>
      </c>
      <c r="G2042" t="s">
        <v>86</v>
      </c>
      <c r="H2042" t="s">
        <v>128</v>
      </c>
      <c r="I2042" t="s">
        <v>163</v>
      </c>
    </row>
    <row r="2043" spans="1:9" x14ac:dyDescent="0.45">
      <c r="A2043" t="s">
        <v>2861</v>
      </c>
      <c r="B2043" t="s">
        <v>95</v>
      </c>
      <c r="C2043" t="s">
        <v>158</v>
      </c>
      <c r="D2043" t="s">
        <v>74</v>
      </c>
      <c r="E2043">
        <v>6119.19</v>
      </c>
      <c r="F2043" s="2">
        <v>45647.666684444448</v>
      </c>
      <c r="G2043" t="s">
        <v>97</v>
      </c>
      <c r="H2043" t="s">
        <v>145</v>
      </c>
      <c r="I2043" t="s">
        <v>77</v>
      </c>
    </row>
    <row r="2044" spans="1:9" x14ac:dyDescent="0.45">
      <c r="A2044" t="s">
        <v>2862</v>
      </c>
      <c r="B2044" t="s">
        <v>90</v>
      </c>
      <c r="C2044" t="s">
        <v>1838</v>
      </c>
      <c r="D2044" t="s">
        <v>148</v>
      </c>
      <c r="E2044">
        <v>9000.74</v>
      </c>
      <c r="F2044" s="2">
        <v>45695.666684444448</v>
      </c>
      <c r="G2044" t="s">
        <v>93</v>
      </c>
      <c r="H2044" t="s">
        <v>87</v>
      </c>
      <c r="I2044" t="s">
        <v>119</v>
      </c>
    </row>
    <row r="2045" spans="1:9" x14ac:dyDescent="0.45">
      <c r="A2045" t="s">
        <v>2863</v>
      </c>
      <c r="B2045" t="s">
        <v>99</v>
      </c>
      <c r="C2045" t="s">
        <v>2864</v>
      </c>
      <c r="D2045" t="s">
        <v>101</v>
      </c>
      <c r="E2045">
        <v>0</v>
      </c>
      <c r="F2045" s="2">
        <v>45148.666684444448</v>
      </c>
      <c r="H2045" t="s">
        <v>76</v>
      </c>
      <c r="I2045" t="s">
        <v>82</v>
      </c>
    </row>
    <row r="2046" spans="1:9" x14ac:dyDescent="0.45">
      <c r="A2046" t="s">
        <v>2865</v>
      </c>
      <c r="B2046" t="s">
        <v>99</v>
      </c>
      <c r="C2046" t="s">
        <v>2866</v>
      </c>
      <c r="D2046" t="s">
        <v>85</v>
      </c>
      <c r="E2046">
        <v>11177.07</v>
      </c>
      <c r="F2046" s="2">
        <v>45527.666684444448</v>
      </c>
      <c r="G2046" t="s">
        <v>102</v>
      </c>
      <c r="H2046" t="s">
        <v>87</v>
      </c>
      <c r="I2046" t="s">
        <v>77</v>
      </c>
    </row>
    <row r="2047" spans="1:9" x14ac:dyDescent="0.45">
      <c r="A2047" t="s">
        <v>2867</v>
      </c>
      <c r="B2047" t="s">
        <v>172</v>
      </c>
      <c r="C2047" t="s">
        <v>710</v>
      </c>
      <c r="D2047" t="s">
        <v>92</v>
      </c>
      <c r="E2047">
        <v>11113.71</v>
      </c>
      <c r="F2047" s="2">
        <v>45609.666684444448</v>
      </c>
      <c r="G2047" t="s">
        <v>236</v>
      </c>
      <c r="H2047" t="s">
        <v>107</v>
      </c>
      <c r="I2047" t="s">
        <v>77</v>
      </c>
    </row>
    <row r="2048" spans="1:9" x14ac:dyDescent="0.45">
      <c r="A2048" t="s">
        <v>2719</v>
      </c>
      <c r="B2048" t="s">
        <v>109</v>
      </c>
      <c r="C2048" t="s">
        <v>2868</v>
      </c>
      <c r="D2048" t="s">
        <v>101</v>
      </c>
      <c r="E2048">
        <v>11069.23</v>
      </c>
      <c r="F2048" s="2">
        <v>45172.666684444448</v>
      </c>
      <c r="G2048" t="s">
        <v>111</v>
      </c>
      <c r="H2048" t="s">
        <v>107</v>
      </c>
      <c r="I2048" t="s">
        <v>88</v>
      </c>
    </row>
    <row r="2049" spans="1:9" x14ac:dyDescent="0.45">
      <c r="A2049" t="s">
        <v>2869</v>
      </c>
      <c r="B2049" t="s">
        <v>104</v>
      </c>
      <c r="C2049" t="s">
        <v>1904</v>
      </c>
      <c r="D2049" t="s">
        <v>101</v>
      </c>
      <c r="E2049">
        <v>2827.73</v>
      </c>
      <c r="F2049" s="2">
        <v>45778.666684444448</v>
      </c>
      <c r="G2049" t="s">
        <v>115</v>
      </c>
      <c r="H2049" t="s">
        <v>128</v>
      </c>
      <c r="I2049" t="s">
        <v>163</v>
      </c>
    </row>
    <row r="2050" spans="1:9" x14ac:dyDescent="0.45">
      <c r="A2050" t="s">
        <v>2870</v>
      </c>
      <c r="B2050" t="s">
        <v>172</v>
      </c>
      <c r="C2050" t="s">
        <v>201</v>
      </c>
      <c r="D2050" t="s">
        <v>106</v>
      </c>
      <c r="E2050">
        <v>2211.1799999999998</v>
      </c>
      <c r="F2050" s="2">
        <v>45524.666684444448</v>
      </c>
      <c r="G2050" t="s">
        <v>174</v>
      </c>
      <c r="H2050" t="s">
        <v>128</v>
      </c>
      <c r="I2050" t="s">
        <v>88</v>
      </c>
    </row>
    <row r="2051" spans="1:9" x14ac:dyDescent="0.45">
      <c r="A2051" t="s">
        <v>2871</v>
      </c>
      <c r="B2051" t="s">
        <v>99</v>
      </c>
      <c r="C2051" t="s">
        <v>2621</v>
      </c>
      <c r="D2051" t="s">
        <v>106</v>
      </c>
      <c r="E2051">
        <v>3252.76</v>
      </c>
      <c r="F2051" s="2">
        <v>45510.666684444448</v>
      </c>
      <c r="G2051" t="s">
        <v>102</v>
      </c>
      <c r="H2051" t="s">
        <v>136</v>
      </c>
      <c r="I2051" t="s">
        <v>112</v>
      </c>
    </row>
    <row r="2052" spans="1:9" x14ac:dyDescent="0.45">
      <c r="A2052" t="s">
        <v>2872</v>
      </c>
      <c r="B2052" t="s">
        <v>104</v>
      </c>
      <c r="C2052" t="s">
        <v>1631</v>
      </c>
      <c r="D2052" t="s">
        <v>101</v>
      </c>
      <c r="E2052">
        <v>6173.76</v>
      </c>
      <c r="F2052" s="2">
        <v>45387.666684444448</v>
      </c>
      <c r="G2052" t="s">
        <v>115</v>
      </c>
      <c r="H2052" t="s">
        <v>87</v>
      </c>
      <c r="I2052" t="s">
        <v>82</v>
      </c>
    </row>
    <row r="2053" spans="1:9" x14ac:dyDescent="0.45">
      <c r="A2053" t="s">
        <v>2873</v>
      </c>
      <c r="B2053" t="s">
        <v>109</v>
      </c>
      <c r="C2053" t="s">
        <v>2146</v>
      </c>
      <c r="D2053" t="s">
        <v>85</v>
      </c>
      <c r="E2053">
        <v>11114.5</v>
      </c>
      <c r="F2053" s="2">
        <v>45144.666684444448</v>
      </c>
      <c r="G2053" t="s">
        <v>111</v>
      </c>
      <c r="I2053" t="s">
        <v>77</v>
      </c>
    </row>
    <row r="2054" spans="1:9" x14ac:dyDescent="0.45">
      <c r="A2054" t="s">
        <v>2467</v>
      </c>
      <c r="B2054" t="s">
        <v>104</v>
      </c>
      <c r="C2054" t="s">
        <v>1486</v>
      </c>
      <c r="D2054" t="s">
        <v>106</v>
      </c>
      <c r="E2054">
        <v>0</v>
      </c>
      <c r="F2054" s="2">
        <v>45493.666684444448</v>
      </c>
      <c r="G2054" t="s">
        <v>115</v>
      </c>
      <c r="H2054" t="s">
        <v>107</v>
      </c>
      <c r="I2054" t="s">
        <v>82</v>
      </c>
    </row>
    <row r="2055" spans="1:9" x14ac:dyDescent="0.45">
      <c r="A2055" t="s">
        <v>2874</v>
      </c>
      <c r="B2055" t="s">
        <v>109</v>
      </c>
      <c r="C2055" t="s">
        <v>160</v>
      </c>
      <c r="D2055" t="s">
        <v>74</v>
      </c>
      <c r="E2055">
        <v>11055.88</v>
      </c>
      <c r="F2055" s="2">
        <v>45197.666684444448</v>
      </c>
      <c r="H2055" t="s">
        <v>87</v>
      </c>
      <c r="I2055" t="s">
        <v>82</v>
      </c>
    </row>
    <row r="2056" spans="1:9" x14ac:dyDescent="0.45">
      <c r="A2056" t="s">
        <v>2875</v>
      </c>
      <c r="B2056" t="s">
        <v>138</v>
      </c>
      <c r="C2056" t="s">
        <v>766</v>
      </c>
      <c r="D2056" t="s">
        <v>101</v>
      </c>
      <c r="E2056">
        <v>0</v>
      </c>
      <c r="F2056" s="2">
        <v>45481.666684444448</v>
      </c>
      <c r="G2056" t="s">
        <v>140</v>
      </c>
      <c r="H2056" t="s">
        <v>116</v>
      </c>
      <c r="I2056" t="s">
        <v>163</v>
      </c>
    </row>
    <row r="2057" spans="1:9" x14ac:dyDescent="0.45">
      <c r="A2057" t="s">
        <v>2876</v>
      </c>
      <c r="B2057" t="s">
        <v>90</v>
      </c>
      <c r="C2057" t="s">
        <v>2877</v>
      </c>
      <c r="D2057" t="s">
        <v>74</v>
      </c>
      <c r="E2057">
        <v>9757.7199999999993</v>
      </c>
      <c r="F2057" s="2">
        <v>45374.666684444448</v>
      </c>
      <c r="G2057" t="s">
        <v>93</v>
      </c>
      <c r="H2057" t="s">
        <v>116</v>
      </c>
      <c r="I2057" t="s">
        <v>88</v>
      </c>
    </row>
    <row r="2058" spans="1:9" x14ac:dyDescent="0.45">
      <c r="A2058" t="s">
        <v>2878</v>
      </c>
      <c r="B2058" t="s">
        <v>104</v>
      </c>
      <c r="C2058" t="s">
        <v>201</v>
      </c>
      <c r="D2058" t="s">
        <v>85</v>
      </c>
      <c r="E2058">
        <v>9349.1299999999992</v>
      </c>
      <c r="F2058" s="2">
        <v>45800.666684444448</v>
      </c>
      <c r="G2058" t="s">
        <v>115</v>
      </c>
      <c r="H2058" t="s">
        <v>136</v>
      </c>
      <c r="I2058" t="s">
        <v>163</v>
      </c>
    </row>
    <row r="2059" spans="1:9" x14ac:dyDescent="0.45">
      <c r="A2059" t="s">
        <v>2879</v>
      </c>
      <c r="B2059" t="s">
        <v>104</v>
      </c>
      <c r="C2059" t="s">
        <v>2880</v>
      </c>
      <c r="D2059" t="s">
        <v>74</v>
      </c>
      <c r="E2059">
        <v>5961.24</v>
      </c>
      <c r="F2059" s="2">
        <v>45771.666684444448</v>
      </c>
      <c r="I2059" t="s">
        <v>82</v>
      </c>
    </row>
    <row r="2060" spans="1:9" x14ac:dyDescent="0.45">
      <c r="A2060" t="s">
        <v>2881</v>
      </c>
      <c r="B2060" t="s">
        <v>104</v>
      </c>
      <c r="C2060" t="s">
        <v>2449</v>
      </c>
      <c r="D2060" t="s">
        <v>101</v>
      </c>
      <c r="E2060">
        <v>0</v>
      </c>
      <c r="F2060" s="2">
        <v>45234.666684444448</v>
      </c>
      <c r="G2060" t="s">
        <v>115</v>
      </c>
      <c r="H2060" t="s">
        <v>118</v>
      </c>
      <c r="I2060" t="s">
        <v>82</v>
      </c>
    </row>
    <row r="2061" spans="1:9" x14ac:dyDescent="0.45">
      <c r="A2061" t="s">
        <v>2882</v>
      </c>
      <c r="B2061" t="s">
        <v>95</v>
      </c>
      <c r="C2061" t="s">
        <v>397</v>
      </c>
      <c r="D2061" t="s">
        <v>74</v>
      </c>
      <c r="E2061">
        <v>582.79999999999995</v>
      </c>
      <c r="F2061" s="2">
        <v>45723.666684444448</v>
      </c>
      <c r="G2061" t="s">
        <v>97</v>
      </c>
      <c r="H2061" t="s">
        <v>76</v>
      </c>
      <c r="I2061" t="s">
        <v>112</v>
      </c>
    </row>
    <row r="2062" spans="1:9" x14ac:dyDescent="0.45">
      <c r="A2062" t="s">
        <v>2883</v>
      </c>
      <c r="B2062" t="s">
        <v>95</v>
      </c>
      <c r="C2062" t="s">
        <v>2653</v>
      </c>
      <c r="D2062" t="s">
        <v>85</v>
      </c>
      <c r="E2062">
        <v>9604.93</v>
      </c>
      <c r="F2062" s="2">
        <v>45468.666684444448</v>
      </c>
      <c r="G2062" t="s">
        <v>97</v>
      </c>
      <c r="H2062" t="s">
        <v>107</v>
      </c>
      <c r="I2062" t="s">
        <v>119</v>
      </c>
    </row>
    <row r="2063" spans="1:9" x14ac:dyDescent="0.45">
      <c r="A2063" t="s">
        <v>2884</v>
      </c>
      <c r="B2063" t="s">
        <v>138</v>
      </c>
      <c r="C2063" t="s">
        <v>1155</v>
      </c>
      <c r="D2063" t="s">
        <v>106</v>
      </c>
      <c r="E2063">
        <v>11964.26</v>
      </c>
      <c r="F2063" s="2">
        <v>45264.666684444448</v>
      </c>
      <c r="G2063" t="s">
        <v>140</v>
      </c>
      <c r="H2063" t="s">
        <v>145</v>
      </c>
      <c r="I2063" t="s">
        <v>88</v>
      </c>
    </row>
    <row r="2064" spans="1:9" x14ac:dyDescent="0.45">
      <c r="A2064" t="s">
        <v>1851</v>
      </c>
      <c r="B2064" t="s">
        <v>138</v>
      </c>
      <c r="C2064" t="s">
        <v>1025</v>
      </c>
      <c r="E2064">
        <v>8985.93</v>
      </c>
      <c r="F2064" s="2">
        <v>45173.666684444448</v>
      </c>
      <c r="G2064" t="s">
        <v>140</v>
      </c>
      <c r="H2064" t="s">
        <v>87</v>
      </c>
      <c r="I2064" t="s">
        <v>88</v>
      </c>
    </row>
    <row r="2065" spans="1:9" x14ac:dyDescent="0.45">
      <c r="A2065" t="s">
        <v>2885</v>
      </c>
      <c r="B2065" t="s">
        <v>138</v>
      </c>
      <c r="C2065" t="s">
        <v>335</v>
      </c>
      <c r="E2065">
        <v>11897.18</v>
      </c>
      <c r="F2065" s="2">
        <v>45488.666684444448</v>
      </c>
      <c r="G2065" t="s">
        <v>140</v>
      </c>
      <c r="H2065" t="s">
        <v>107</v>
      </c>
      <c r="I2065" t="s">
        <v>77</v>
      </c>
    </row>
    <row r="2066" spans="1:9" x14ac:dyDescent="0.45">
      <c r="A2066" t="s">
        <v>2886</v>
      </c>
      <c r="B2066" t="s">
        <v>99</v>
      </c>
      <c r="C2066" t="s">
        <v>2887</v>
      </c>
      <c r="D2066" t="s">
        <v>85</v>
      </c>
      <c r="E2066">
        <v>1968.37</v>
      </c>
      <c r="F2066" s="2">
        <v>45687.666684444448</v>
      </c>
      <c r="G2066" t="s">
        <v>102</v>
      </c>
      <c r="H2066" t="s">
        <v>81</v>
      </c>
      <c r="I2066" t="s">
        <v>82</v>
      </c>
    </row>
    <row r="2067" spans="1:9" x14ac:dyDescent="0.45">
      <c r="A2067" t="s">
        <v>2888</v>
      </c>
      <c r="B2067" t="s">
        <v>99</v>
      </c>
      <c r="C2067" t="s">
        <v>2572</v>
      </c>
      <c r="D2067" t="s">
        <v>74</v>
      </c>
      <c r="E2067">
        <v>8013.33</v>
      </c>
      <c r="F2067" s="2">
        <v>45474.666684444448</v>
      </c>
      <c r="G2067" t="s">
        <v>285</v>
      </c>
      <c r="H2067" t="s">
        <v>76</v>
      </c>
      <c r="I2067" t="s">
        <v>88</v>
      </c>
    </row>
    <row r="2068" spans="1:9" x14ac:dyDescent="0.45">
      <c r="A2068" t="s">
        <v>2889</v>
      </c>
      <c r="B2068" t="s">
        <v>72</v>
      </c>
      <c r="C2068" t="s">
        <v>1791</v>
      </c>
      <c r="D2068" t="s">
        <v>74</v>
      </c>
      <c r="E2068">
        <v>0</v>
      </c>
      <c r="F2068" s="2">
        <v>45786.666684444448</v>
      </c>
      <c r="G2068" t="s">
        <v>75</v>
      </c>
      <c r="H2068" t="s">
        <v>133</v>
      </c>
      <c r="I2068" t="s">
        <v>119</v>
      </c>
    </row>
    <row r="2069" spans="1:9" x14ac:dyDescent="0.45">
      <c r="A2069" t="s">
        <v>2890</v>
      </c>
      <c r="B2069" t="s">
        <v>172</v>
      </c>
      <c r="C2069" t="s">
        <v>2709</v>
      </c>
      <c r="D2069" t="s">
        <v>155</v>
      </c>
      <c r="E2069">
        <v>10597.43</v>
      </c>
      <c r="F2069" s="2">
        <v>45307.666684444448</v>
      </c>
      <c r="G2069" t="s">
        <v>174</v>
      </c>
      <c r="H2069" t="s">
        <v>81</v>
      </c>
      <c r="I2069" t="s">
        <v>163</v>
      </c>
    </row>
    <row r="2070" spans="1:9" x14ac:dyDescent="0.45">
      <c r="A2070" t="s">
        <v>2891</v>
      </c>
      <c r="B2070" t="s">
        <v>90</v>
      </c>
      <c r="C2070" t="s">
        <v>2892</v>
      </c>
      <c r="D2070" t="s">
        <v>101</v>
      </c>
      <c r="E2070">
        <v>4248.24</v>
      </c>
      <c r="F2070" s="2">
        <v>45829.666684444448</v>
      </c>
      <c r="G2070" t="s">
        <v>93</v>
      </c>
      <c r="H2070" t="s">
        <v>116</v>
      </c>
      <c r="I2070" t="s">
        <v>163</v>
      </c>
    </row>
    <row r="2071" spans="1:9" x14ac:dyDescent="0.45">
      <c r="A2071" t="s">
        <v>2893</v>
      </c>
      <c r="B2071" t="s">
        <v>95</v>
      </c>
      <c r="C2071" t="s">
        <v>223</v>
      </c>
      <c r="D2071" t="s">
        <v>74</v>
      </c>
      <c r="E2071">
        <v>9390.14</v>
      </c>
      <c r="F2071" s="2">
        <v>45603.666684444448</v>
      </c>
      <c r="G2071" t="s">
        <v>97</v>
      </c>
      <c r="H2071" t="s">
        <v>116</v>
      </c>
      <c r="I2071" t="s">
        <v>88</v>
      </c>
    </row>
    <row r="2072" spans="1:9" x14ac:dyDescent="0.45">
      <c r="A2072" t="s">
        <v>2894</v>
      </c>
      <c r="B2072" t="s">
        <v>109</v>
      </c>
      <c r="C2072" t="s">
        <v>2786</v>
      </c>
      <c r="D2072" t="s">
        <v>92</v>
      </c>
      <c r="E2072">
        <v>1852.34</v>
      </c>
      <c r="F2072" s="2">
        <v>45840.666684444448</v>
      </c>
      <c r="G2072" t="s">
        <v>111</v>
      </c>
      <c r="H2072" t="s">
        <v>87</v>
      </c>
      <c r="I2072" t="s">
        <v>82</v>
      </c>
    </row>
    <row r="2073" spans="1:9" x14ac:dyDescent="0.45">
      <c r="A2073" t="s">
        <v>1886</v>
      </c>
      <c r="B2073" t="s">
        <v>90</v>
      </c>
      <c r="C2073" t="s">
        <v>2025</v>
      </c>
      <c r="D2073" t="s">
        <v>101</v>
      </c>
      <c r="E2073">
        <v>8861.81</v>
      </c>
      <c r="F2073" s="2">
        <v>45618.666684444448</v>
      </c>
      <c r="G2073" t="s">
        <v>93</v>
      </c>
      <c r="H2073" t="s">
        <v>128</v>
      </c>
      <c r="I2073" t="s">
        <v>82</v>
      </c>
    </row>
    <row r="2074" spans="1:9" x14ac:dyDescent="0.45">
      <c r="A2074" t="s">
        <v>2895</v>
      </c>
      <c r="B2074" t="s">
        <v>90</v>
      </c>
      <c r="C2074" t="s">
        <v>509</v>
      </c>
      <c r="D2074" t="s">
        <v>101</v>
      </c>
      <c r="E2074">
        <v>3351.18</v>
      </c>
      <c r="F2074" s="2">
        <v>45774.666684444448</v>
      </c>
      <c r="G2074" t="s">
        <v>93</v>
      </c>
      <c r="H2074" t="s">
        <v>87</v>
      </c>
      <c r="I2074" t="s">
        <v>119</v>
      </c>
    </row>
    <row r="2075" spans="1:9" x14ac:dyDescent="0.45">
      <c r="A2075" t="s">
        <v>2896</v>
      </c>
      <c r="B2075" t="s">
        <v>109</v>
      </c>
      <c r="C2075" t="s">
        <v>1609</v>
      </c>
      <c r="D2075" t="s">
        <v>106</v>
      </c>
      <c r="E2075">
        <v>931.58</v>
      </c>
      <c r="F2075" s="2">
        <v>45314.666684444448</v>
      </c>
      <c r="G2075" t="s">
        <v>111</v>
      </c>
      <c r="H2075" t="s">
        <v>136</v>
      </c>
      <c r="I2075" t="s">
        <v>119</v>
      </c>
    </row>
    <row r="2076" spans="1:9" x14ac:dyDescent="0.45">
      <c r="A2076" t="s">
        <v>2897</v>
      </c>
      <c r="B2076" t="s">
        <v>79</v>
      </c>
      <c r="C2076" t="s">
        <v>834</v>
      </c>
      <c r="D2076" t="s">
        <v>148</v>
      </c>
      <c r="E2076">
        <v>42.93</v>
      </c>
      <c r="F2076" s="2">
        <v>45266.666684444448</v>
      </c>
      <c r="G2076" t="s">
        <v>86</v>
      </c>
      <c r="H2076" t="s">
        <v>107</v>
      </c>
      <c r="I2076" t="s">
        <v>163</v>
      </c>
    </row>
    <row r="2077" spans="1:9" x14ac:dyDescent="0.45">
      <c r="A2077" t="s">
        <v>2898</v>
      </c>
      <c r="B2077" t="s">
        <v>104</v>
      </c>
      <c r="C2077" t="s">
        <v>823</v>
      </c>
      <c r="D2077" t="s">
        <v>101</v>
      </c>
      <c r="E2077">
        <v>0</v>
      </c>
      <c r="F2077" s="2">
        <v>45192.666684444448</v>
      </c>
      <c r="H2077" t="s">
        <v>87</v>
      </c>
      <c r="I2077" t="s">
        <v>77</v>
      </c>
    </row>
    <row r="2078" spans="1:9" x14ac:dyDescent="0.45">
      <c r="A2078" t="s">
        <v>2899</v>
      </c>
      <c r="B2078" t="s">
        <v>172</v>
      </c>
      <c r="C2078" t="s">
        <v>626</v>
      </c>
      <c r="D2078" t="s">
        <v>106</v>
      </c>
      <c r="E2078">
        <v>0</v>
      </c>
      <c r="F2078" s="2">
        <v>45596.666684444448</v>
      </c>
      <c r="G2078" t="s">
        <v>174</v>
      </c>
      <c r="H2078" t="s">
        <v>76</v>
      </c>
      <c r="I2078" t="s">
        <v>112</v>
      </c>
    </row>
    <row r="2079" spans="1:9" x14ac:dyDescent="0.45">
      <c r="A2079" t="s">
        <v>2900</v>
      </c>
      <c r="B2079" t="s">
        <v>72</v>
      </c>
      <c r="C2079" t="s">
        <v>1231</v>
      </c>
      <c r="D2079" t="s">
        <v>92</v>
      </c>
      <c r="E2079">
        <v>5008.6499999999996</v>
      </c>
      <c r="F2079" s="2">
        <v>45165.666684444448</v>
      </c>
      <c r="G2079" t="s">
        <v>75</v>
      </c>
      <c r="H2079" t="s">
        <v>76</v>
      </c>
      <c r="I2079" t="s">
        <v>163</v>
      </c>
    </row>
    <row r="2080" spans="1:9" x14ac:dyDescent="0.45">
      <c r="A2080" t="s">
        <v>1175</v>
      </c>
      <c r="B2080" t="s">
        <v>138</v>
      </c>
      <c r="C2080" t="s">
        <v>2560</v>
      </c>
      <c r="D2080" t="s">
        <v>92</v>
      </c>
      <c r="E2080">
        <v>10952.41</v>
      </c>
      <c r="F2080" s="2">
        <v>45428.666684444448</v>
      </c>
      <c r="G2080" t="s">
        <v>140</v>
      </c>
      <c r="H2080" t="s">
        <v>118</v>
      </c>
      <c r="I2080" t="s">
        <v>77</v>
      </c>
    </row>
    <row r="2081" spans="1:9" x14ac:dyDescent="0.45">
      <c r="A2081" t="s">
        <v>2901</v>
      </c>
      <c r="B2081" t="s">
        <v>109</v>
      </c>
      <c r="C2081" t="s">
        <v>957</v>
      </c>
      <c r="D2081" t="s">
        <v>74</v>
      </c>
      <c r="E2081">
        <v>4672.42</v>
      </c>
      <c r="F2081" s="2">
        <v>45334.666684444448</v>
      </c>
      <c r="G2081" t="s">
        <v>111</v>
      </c>
      <c r="H2081" t="s">
        <v>76</v>
      </c>
      <c r="I2081" t="s">
        <v>112</v>
      </c>
    </row>
    <row r="2082" spans="1:9" x14ac:dyDescent="0.45">
      <c r="A2082" t="s">
        <v>2902</v>
      </c>
      <c r="B2082" t="s">
        <v>99</v>
      </c>
      <c r="C2082" t="s">
        <v>144</v>
      </c>
      <c r="D2082" t="s">
        <v>74</v>
      </c>
      <c r="E2082">
        <v>5125.28</v>
      </c>
      <c r="F2082" s="2">
        <v>45172.666684444448</v>
      </c>
      <c r="G2082" t="s">
        <v>102</v>
      </c>
      <c r="H2082" t="s">
        <v>76</v>
      </c>
      <c r="I2082" t="s">
        <v>88</v>
      </c>
    </row>
    <row r="2083" spans="1:9" x14ac:dyDescent="0.45">
      <c r="A2083" t="s">
        <v>2903</v>
      </c>
      <c r="B2083" t="s">
        <v>138</v>
      </c>
      <c r="C2083" t="s">
        <v>1072</v>
      </c>
      <c r="D2083" t="s">
        <v>85</v>
      </c>
      <c r="E2083">
        <v>964.04</v>
      </c>
      <c r="F2083" s="2">
        <v>45332.666684444448</v>
      </c>
      <c r="G2083" t="s">
        <v>140</v>
      </c>
      <c r="H2083" t="s">
        <v>145</v>
      </c>
      <c r="I2083" t="s">
        <v>82</v>
      </c>
    </row>
    <row r="2084" spans="1:9" x14ac:dyDescent="0.45">
      <c r="A2084" t="s">
        <v>2904</v>
      </c>
      <c r="B2084" t="s">
        <v>109</v>
      </c>
      <c r="C2084" t="s">
        <v>1144</v>
      </c>
      <c r="D2084" t="s">
        <v>148</v>
      </c>
      <c r="E2084">
        <v>5073.1099999999997</v>
      </c>
      <c r="F2084" s="2">
        <v>45170.666684444448</v>
      </c>
      <c r="G2084" t="s">
        <v>307</v>
      </c>
      <c r="H2084" t="s">
        <v>133</v>
      </c>
      <c r="I2084" t="s">
        <v>88</v>
      </c>
    </row>
    <row r="2085" spans="1:9" x14ac:dyDescent="0.45">
      <c r="A2085" t="s">
        <v>2905</v>
      </c>
      <c r="B2085" t="s">
        <v>138</v>
      </c>
      <c r="C2085" t="s">
        <v>1137</v>
      </c>
      <c r="D2085" t="s">
        <v>85</v>
      </c>
      <c r="E2085">
        <v>3045.57</v>
      </c>
      <c r="F2085" s="2">
        <v>45451.666684444448</v>
      </c>
      <c r="G2085" t="s">
        <v>140</v>
      </c>
      <c r="H2085" t="s">
        <v>76</v>
      </c>
      <c r="I2085" t="s">
        <v>88</v>
      </c>
    </row>
    <row r="2086" spans="1:9" x14ac:dyDescent="0.45">
      <c r="A2086" t="s">
        <v>2906</v>
      </c>
      <c r="B2086" t="s">
        <v>104</v>
      </c>
      <c r="C2086" t="s">
        <v>313</v>
      </c>
      <c r="D2086" t="s">
        <v>74</v>
      </c>
      <c r="E2086">
        <v>9438.59</v>
      </c>
      <c r="F2086" s="2">
        <v>45445.666684444448</v>
      </c>
      <c r="G2086" t="s">
        <v>115</v>
      </c>
      <c r="H2086" t="s">
        <v>128</v>
      </c>
      <c r="I2086" t="s">
        <v>77</v>
      </c>
    </row>
    <row r="2087" spans="1:9" x14ac:dyDescent="0.45">
      <c r="A2087" t="s">
        <v>2907</v>
      </c>
      <c r="B2087" t="s">
        <v>104</v>
      </c>
      <c r="C2087" t="s">
        <v>629</v>
      </c>
      <c r="D2087" t="s">
        <v>74</v>
      </c>
      <c r="E2087">
        <v>715.51</v>
      </c>
      <c r="F2087" s="2">
        <v>45655.666684444448</v>
      </c>
      <c r="G2087" t="s">
        <v>115</v>
      </c>
      <c r="H2087" t="s">
        <v>116</v>
      </c>
      <c r="I2087" t="s">
        <v>112</v>
      </c>
    </row>
    <row r="2088" spans="1:9" x14ac:dyDescent="0.45">
      <c r="A2088" t="s">
        <v>2908</v>
      </c>
      <c r="B2088" t="s">
        <v>104</v>
      </c>
      <c r="C2088" t="s">
        <v>565</v>
      </c>
      <c r="E2088">
        <v>3608.27</v>
      </c>
      <c r="F2088" s="2">
        <v>45535.666684444448</v>
      </c>
      <c r="G2088" t="s">
        <v>115</v>
      </c>
      <c r="H2088" t="s">
        <v>133</v>
      </c>
      <c r="I2088" t="s">
        <v>82</v>
      </c>
    </row>
    <row r="2089" spans="1:9" x14ac:dyDescent="0.45">
      <c r="A2089" t="s">
        <v>2909</v>
      </c>
      <c r="B2089" t="s">
        <v>138</v>
      </c>
      <c r="C2089" t="s">
        <v>1191</v>
      </c>
      <c r="D2089" t="s">
        <v>74</v>
      </c>
      <c r="E2089">
        <v>3481.11</v>
      </c>
      <c r="F2089" s="2">
        <v>45684.666684444448</v>
      </c>
      <c r="G2089" t="s">
        <v>140</v>
      </c>
      <c r="I2089" t="s">
        <v>163</v>
      </c>
    </row>
    <row r="2090" spans="1:9" x14ac:dyDescent="0.45">
      <c r="A2090" t="s">
        <v>2910</v>
      </c>
      <c r="B2090" t="s">
        <v>104</v>
      </c>
      <c r="C2090" t="s">
        <v>1004</v>
      </c>
      <c r="D2090" t="s">
        <v>85</v>
      </c>
      <c r="E2090">
        <v>4245.63</v>
      </c>
      <c r="F2090" s="2">
        <v>45612.666684444448</v>
      </c>
      <c r="G2090" t="s">
        <v>115</v>
      </c>
      <c r="H2090" t="s">
        <v>145</v>
      </c>
      <c r="I2090" t="s">
        <v>82</v>
      </c>
    </row>
    <row r="2091" spans="1:9" x14ac:dyDescent="0.45">
      <c r="A2091" t="s">
        <v>2371</v>
      </c>
      <c r="B2091" t="s">
        <v>95</v>
      </c>
      <c r="C2091" t="s">
        <v>2139</v>
      </c>
      <c r="D2091" t="s">
        <v>74</v>
      </c>
      <c r="E2091">
        <v>455.26</v>
      </c>
      <c r="F2091" s="2">
        <v>45387.666684444448</v>
      </c>
      <c r="G2091" t="s">
        <v>97</v>
      </c>
      <c r="H2091" t="s">
        <v>76</v>
      </c>
      <c r="I2091" t="s">
        <v>119</v>
      </c>
    </row>
    <row r="2092" spans="1:9" x14ac:dyDescent="0.45">
      <c r="A2092" t="s">
        <v>2229</v>
      </c>
      <c r="B2092" t="s">
        <v>99</v>
      </c>
      <c r="C2092" t="s">
        <v>1493</v>
      </c>
      <c r="D2092" t="s">
        <v>74</v>
      </c>
      <c r="E2092">
        <v>11004.94</v>
      </c>
      <c r="F2092" s="2">
        <v>45165.666684444448</v>
      </c>
      <c r="G2092" t="s">
        <v>285</v>
      </c>
      <c r="H2092" t="s">
        <v>145</v>
      </c>
      <c r="I2092" t="s">
        <v>82</v>
      </c>
    </row>
    <row r="2093" spans="1:9" x14ac:dyDescent="0.45">
      <c r="A2093" t="s">
        <v>2911</v>
      </c>
      <c r="B2093" t="s">
        <v>72</v>
      </c>
      <c r="C2093" t="s">
        <v>1519</v>
      </c>
      <c r="D2093" t="s">
        <v>92</v>
      </c>
      <c r="E2093">
        <v>9366.25</v>
      </c>
      <c r="F2093" s="2">
        <v>45790.666684444448</v>
      </c>
      <c r="G2093" t="s">
        <v>521</v>
      </c>
      <c r="H2093" t="s">
        <v>81</v>
      </c>
      <c r="I2093" t="s">
        <v>119</v>
      </c>
    </row>
    <row r="2094" spans="1:9" x14ac:dyDescent="0.45">
      <c r="A2094" t="s">
        <v>2912</v>
      </c>
      <c r="B2094" t="s">
        <v>109</v>
      </c>
      <c r="C2094" t="s">
        <v>1425</v>
      </c>
      <c r="D2094" t="s">
        <v>92</v>
      </c>
      <c r="E2094">
        <v>4829.34</v>
      </c>
      <c r="F2094" s="2">
        <v>45323.666684444448</v>
      </c>
      <c r="G2094" t="s">
        <v>111</v>
      </c>
      <c r="H2094" t="s">
        <v>76</v>
      </c>
      <c r="I2094" t="s">
        <v>163</v>
      </c>
    </row>
    <row r="2095" spans="1:9" x14ac:dyDescent="0.45">
      <c r="A2095" t="s">
        <v>2913</v>
      </c>
      <c r="B2095" t="s">
        <v>90</v>
      </c>
      <c r="C2095" t="s">
        <v>939</v>
      </c>
      <c r="D2095" t="s">
        <v>101</v>
      </c>
      <c r="E2095">
        <v>11622.16</v>
      </c>
      <c r="F2095" s="2">
        <v>45420.666684444448</v>
      </c>
      <c r="H2095" t="s">
        <v>145</v>
      </c>
      <c r="I2095" t="s">
        <v>119</v>
      </c>
    </row>
    <row r="2096" spans="1:9" x14ac:dyDescent="0.45">
      <c r="A2096" t="s">
        <v>2914</v>
      </c>
      <c r="B2096" t="s">
        <v>138</v>
      </c>
      <c r="C2096" t="s">
        <v>401</v>
      </c>
      <c r="D2096" t="s">
        <v>74</v>
      </c>
      <c r="E2096">
        <v>9954.27</v>
      </c>
      <c r="F2096" s="2">
        <v>45493.666684444448</v>
      </c>
      <c r="G2096" t="s">
        <v>140</v>
      </c>
      <c r="H2096" t="s">
        <v>107</v>
      </c>
      <c r="I2096" t="s">
        <v>112</v>
      </c>
    </row>
    <row r="2097" spans="1:9" x14ac:dyDescent="0.45">
      <c r="A2097" t="s">
        <v>2915</v>
      </c>
      <c r="B2097" t="s">
        <v>138</v>
      </c>
      <c r="C2097" t="s">
        <v>1204</v>
      </c>
      <c r="E2097">
        <v>10481.68</v>
      </c>
      <c r="F2097" s="2">
        <v>45176.666684444448</v>
      </c>
      <c r="G2097" t="s">
        <v>140</v>
      </c>
      <c r="H2097" t="s">
        <v>87</v>
      </c>
      <c r="I2097" t="s">
        <v>82</v>
      </c>
    </row>
    <row r="2098" spans="1:9" x14ac:dyDescent="0.45">
      <c r="A2098" t="s">
        <v>2916</v>
      </c>
      <c r="B2098" t="s">
        <v>99</v>
      </c>
      <c r="C2098" t="s">
        <v>749</v>
      </c>
      <c r="D2098" t="s">
        <v>74</v>
      </c>
      <c r="E2098">
        <v>96.38</v>
      </c>
      <c r="F2098" s="2">
        <v>45799.666684444448</v>
      </c>
      <c r="G2098" t="s">
        <v>102</v>
      </c>
      <c r="H2098" t="s">
        <v>133</v>
      </c>
      <c r="I2098" t="s">
        <v>88</v>
      </c>
    </row>
    <row r="2099" spans="1:9" x14ac:dyDescent="0.45">
      <c r="A2099" t="s">
        <v>2917</v>
      </c>
      <c r="B2099" t="s">
        <v>79</v>
      </c>
      <c r="C2099" t="s">
        <v>1746</v>
      </c>
      <c r="D2099" t="s">
        <v>85</v>
      </c>
      <c r="E2099">
        <v>6376.33</v>
      </c>
      <c r="F2099" s="2">
        <v>45467.666684444448</v>
      </c>
      <c r="G2099" t="s">
        <v>278</v>
      </c>
      <c r="H2099" t="s">
        <v>136</v>
      </c>
      <c r="I2099" t="s">
        <v>119</v>
      </c>
    </row>
    <row r="2100" spans="1:9" x14ac:dyDescent="0.45">
      <c r="A2100" t="s">
        <v>2918</v>
      </c>
      <c r="B2100" t="s">
        <v>172</v>
      </c>
      <c r="C2100" t="s">
        <v>1144</v>
      </c>
      <c r="D2100" t="s">
        <v>106</v>
      </c>
      <c r="E2100">
        <v>3416.09</v>
      </c>
      <c r="F2100" s="2">
        <v>45407.666684444448</v>
      </c>
      <c r="G2100" t="s">
        <v>174</v>
      </c>
      <c r="I2100" t="s">
        <v>119</v>
      </c>
    </row>
    <row r="2101" spans="1:9" x14ac:dyDescent="0.45">
      <c r="A2101" t="s">
        <v>2919</v>
      </c>
      <c r="B2101" t="s">
        <v>109</v>
      </c>
      <c r="C2101" t="s">
        <v>2920</v>
      </c>
      <c r="D2101" t="s">
        <v>74</v>
      </c>
      <c r="E2101">
        <v>5644.17</v>
      </c>
      <c r="F2101" s="2">
        <v>45255.666684444448</v>
      </c>
      <c r="G2101" t="s">
        <v>111</v>
      </c>
      <c r="H2101" t="s">
        <v>116</v>
      </c>
      <c r="I2101" t="s">
        <v>163</v>
      </c>
    </row>
    <row r="2102" spans="1:9" x14ac:dyDescent="0.45">
      <c r="A2102" t="s">
        <v>2689</v>
      </c>
      <c r="B2102" t="s">
        <v>79</v>
      </c>
      <c r="C2102" t="s">
        <v>2866</v>
      </c>
      <c r="D2102" t="s">
        <v>155</v>
      </c>
      <c r="E2102">
        <v>7471.51</v>
      </c>
      <c r="F2102" s="2">
        <v>45504.666684444448</v>
      </c>
      <c r="G2102" t="s">
        <v>278</v>
      </c>
      <c r="H2102" t="s">
        <v>136</v>
      </c>
      <c r="I2102" t="s">
        <v>82</v>
      </c>
    </row>
    <row r="2103" spans="1:9" x14ac:dyDescent="0.45">
      <c r="A2103" t="s">
        <v>2921</v>
      </c>
      <c r="B2103" t="s">
        <v>172</v>
      </c>
      <c r="C2103" t="s">
        <v>2354</v>
      </c>
      <c r="D2103" t="s">
        <v>74</v>
      </c>
      <c r="E2103">
        <v>9232.75</v>
      </c>
      <c r="F2103" s="2">
        <v>45575.666684444448</v>
      </c>
      <c r="G2103" t="s">
        <v>174</v>
      </c>
      <c r="H2103" t="s">
        <v>76</v>
      </c>
      <c r="I2103" t="s">
        <v>119</v>
      </c>
    </row>
    <row r="2104" spans="1:9" x14ac:dyDescent="0.45">
      <c r="A2104" t="s">
        <v>2922</v>
      </c>
      <c r="B2104" t="s">
        <v>90</v>
      </c>
      <c r="C2104" t="s">
        <v>2796</v>
      </c>
      <c r="D2104" t="s">
        <v>85</v>
      </c>
      <c r="E2104">
        <v>8898.2099999999991</v>
      </c>
      <c r="F2104" s="2">
        <v>45537.666684444448</v>
      </c>
      <c r="G2104" t="s">
        <v>93</v>
      </c>
      <c r="H2104" t="s">
        <v>116</v>
      </c>
      <c r="I2104" t="s">
        <v>163</v>
      </c>
    </row>
    <row r="2105" spans="1:9" x14ac:dyDescent="0.45">
      <c r="A2105" t="s">
        <v>2923</v>
      </c>
      <c r="B2105" t="s">
        <v>138</v>
      </c>
      <c r="C2105" t="s">
        <v>723</v>
      </c>
      <c r="D2105" t="s">
        <v>101</v>
      </c>
      <c r="E2105">
        <v>690.86</v>
      </c>
      <c r="F2105" s="2">
        <v>45578.666684444448</v>
      </c>
      <c r="G2105" t="s">
        <v>194</v>
      </c>
      <c r="H2105" t="s">
        <v>107</v>
      </c>
      <c r="I2105" t="s">
        <v>82</v>
      </c>
    </row>
    <row r="2106" spans="1:9" x14ac:dyDescent="0.45">
      <c r="A2106" t="s">
        <v>2924</v>
      </c>
      <c r="B2106" t="s">
        <v>104</v>
      </c>
      <c r="C2106" t="s">
        <v>2925</v>
      </c>
      <c r="D2106" t="s">
        <v>106</v>
      </c>
      <c r="E2106">
        <v>4596.96</v>
      </c>
      <c r="F2106" s="2">
        <v>45523.666684444448</v>
      </c>
      <c r="G2106" t="s">
        <v>115</v>
      </c>
      <c r="H2106" t="s">
        <v>116</v>
      </c>
      <c r="I2106" t="s">
        <v>77</v>
      </c>
    </row>
    <row r="2107" spans="1:9" x14ac:dyDescent="0.45">
      <c r="A2107" t="s">
        <v>2926</v>
      </c>
      <c r="B2107" t="s">
        <v>99</v>
      </c>
      <c r="C2107" t="s">
        <v>1477</v>
      </c>
      <c r="D2107" t="s">
        <v>101</v>
      </c>
      <c r="E2107">
        <v>5376.9</v>
      </c>
      <c r="F2107" s="2">
        <v>45475.666684444448</v>
      </c>
      <c r="G2107" t="s">
        <v>102</v>
      </c>
      <c r="H2107" t="s">
        <v>87</v>
      </c>
      <c r="I2107" t="s">
        <v>119</v>
      </c>
    </row>
    <row r="2108" spans="1:9" x14ac:dyDescent="0.45">
      <c r="A2108" t="s">
        <v>2927</v>
      </c>
      <c r="B2108" t="s">
        <v>109</v>
      </c>
      <c r="C2108" t="s">
        <v>2928</v>
      </c>
      <c r="D2108" t="s">
        <v>101</v>
      </c>
      <c r="E2108">
        <v>4059.43</v>
      </c>
      <c r="F2108" s="2">
        <v>45319.666684444448</v>
      </c>
      <c r="G2108" t="s">
        <v>111</v>
      </c>
      <c r="H2108" t="s">
        <v>116</v>
      </c>
      <c r="I2108" t="s">
        <v>119</v>
      </c>
    </row>
    <row r="2109" spans="1:9" x14ac:dyDescent="0.45">
      <c r="A2109" t="s">
        <v>2929</v>
      </c>
      <c r="B2109" t="s">
        <v>99</v>
      </c>
      <c r="C2109" t="s">
        <v>966</v>
      </c>
      <c r="D2109" t="s">
        <v>106</v>
      </c>
      <c r="E2109">
        <v>1494.06</v>
      </c>
      <c r="F2109" s="2">
        <v>45636.666684444448</v>
      </c>
      <c r="G2109" t="s">
        <v>102</v>
      </c>
      <c r="H2109" t="s">
        <v>107</v>
      </c>
      <c r="I2109" t="s">
        <v>82</v>
      </c>
    </row>
    <row r="2110" spans="1:9" x14ac:dyDescent="0.45">
      <c r="A2110" t="s">
        <v>2930</v>
      </c>
      <c r="B2110" t="s">
        <v>72</v>
      </c>
      <c r="C2110" t="s">
        <v>257</v>
      </c>
      <c r="D2110" t="s">
        <v>85</v>
      </c>
      <c r="E2110">
        <v>6659.18</v>
      </c>
      <c r="F2110" s="2">
        <v>45836.666684444448</v>
      </c>
      <c r="G2110" t="s">
        <v>521</v>
      </c>
      <c r="H2110" t="s">
        <v>116</v>
      </c>
      <c r="I2110" t="s">
        <v>112</v>
      </c>
    </row>
    <row r="2111" spans="1:9" x14ac:dyDescent="0.45">
      <c r="A2111" t="s">
        <v>2355</v>
      </c>
      <c r="B2111" t="s">
        <v>90</v>
      </c>
      <c r="C2111" t="s">
        <v>858</v>
      </c>
      <c r="D2111" t="s">
        <v>85</v>
      </c>
      <c r="E2111">
        <v>1574.59</v>
      </c>
      <c r="F2111" s="2">
        <v>45637.666684444448</v>
      </c>
      <c r="G2111" t="s">
        <v>93</v>
      </c>
      <c r="H2111" t="s">
        <v>118</v>
      </c>
      <c r="I2111" t="s">
        <v>82</v>
      </c>
    </row>
    <row r="2112" spans="1:9" x14ac:dyDescent="0.45">
      <c r="A2112" t="s">
        <v>2931</v>
      </c>
      <c r="B2112" t="s">
        <v>72</v>
      </c>
      <c r="C2112" t="s">
        <v>2789</v>
      </c>
      <c r="D2112" t="s">
        <v>101</v>
      </c>
      <c r="E2112">
        <v>7595.99</v>
      </c>
      <c r="F2112" s="2">
        <v>45504.666684444448</v>
      </c>
      <c r="H2112" t="s">
        <v>81</v>
      </c>
      <c r="I2112" t="s">
        <v>82</v>
      </c>
    </row>
    <row r="2113" spans="1:9" x14ac:dyDescent="0.45">
      <c r="A2113" t="s">
        <v>2932</v>
      </c>
      <c r="B2113" t="s">
        <v>172</v>
      </c>
      <c r="C2113" t="s">
        <v>1649</v>
      </c>
      <c r="D2113" t="s">
        <v>92</v>
      </c>
      <c r="E2113">
        <v>0</v>
      </c>
      <c r="F2113" s="2">
        <v>45659.666684444448</v>
      </c>
      <c r="G2113" t="s">
        <v>174</v>
      </c>
      <c r="I2113" t="s">
        <v>88</v>
      </c>
    </row>
    <row r="2114" spans="1:9" x14ac:dyDescent="0.45">
      <c r="A2114" t="s">
        <v>2093</v>
      </c>
      <c r="B2114" t="s">
        <v>172</v>
      </c>
      <c r="C2114" t="s">
        <v>1172</v>
      </c>
      <c r="D2114" t="s">
        <v>74</v>
      </c>
      <c r="E2114">
        <v>9545.5400000000009</v>
      </c>
      <c r="F2114" s="2">
        <v>45401.666684444448</v>
      </c>
      <c r="G2114" t="s">
        <v>174</v>
      </c>
      <c r="H2114" t="s">
        <v>145</v>
      </c>
      <c r="I2114" t="s">
        <v>77</v>
      </c>
    </row>
    <row r="2115" spans="1:9" x14ac:dyDescent="0.45">
      <c r="A2115" t="s">
        <v>2933</v>
      </c>
      <c r="B2115" t="s">
        <v>95</v>
      </c>
      <c r="C2115" t="s">
        <v>1806</v>
      </c>
      <c r="D2115" t="s">
        <v>74</v>
      </c>
      <c r="E2115">
        <v>0</v>
      </c>
      <c r="F2115" s="2">
        <v>45212.666684444448</v>
      </c>
      <c r="G2115" t="s">
        <v>97</v>
      </c>
      <c r="H2115" t="s">
        <v>133</v>
      </c>
      <c r="I2115" t="s">
        <v>88</v>
      </c>
    </row>
    <row r="2116" spans="1:9" x14ac:dyDescent="0.45">
      <c r="A2116" t="s">
        <v>2934</v>
      </c>
      <c r="B2116" t="s">
        <v>172</v>
      </c>
      <c r="C2116" t="s">
        <v>819</v>
      </c>
      <c r="D2116" t="s">
        <v>85</v>
      </c>
      <c r="E2116">
        <v>7897.95</v>
      </c>
      <c r="F2116" s="2">
        <v>45562.666684444448</v>
      </c>
      <c r="H2116" t="s">
        <v>133</v>
      </c>
      <c r="I2116" t="s">
        <v>112</v>
      </c>
    </row>
    <row r="2117" spans="1:9" x14ac:dyDescent="0.45">
      <c r="A2117" t="s">
        <v>2935</v>
      </c>
      <c r="B2117" t="s">
        <v>79</v>
      </c>
      <c r="C2117" t="s">
        <v>2309</v>
      </c>
      <c r="D2117" t="s">
        <v>101</v>
      </c>
      <c r="E2117">
        <v>4157.1899999999996</v>
      </c>
      <c r="F2117" s="2">
        <v>45208.666684444448</v>
      </c>
      <c r="G2117" t="s">
        <v>86</v>
      </c>
      <c r="H2117" t="s">
        <v>136</v>
      </c>
      <c r="I2117" t="s">
        <v>119</v>
      </c>
    </row>
    <row r="2118" spans="1:9" x14ac:dyDescent="0.45">
      <c r="A2118" t="s">
        <v>1147</v>
      </c>
      <c r="B2118" t="s">
        <v>79</v>
      </c>
      <c r="C2118" t="s">
        <v>1845</v>
      </c>
      <c r="D2118" t="s">
        <v>106</v>
      </c>
      <c r="E2118">
        <v>0</v>
      </c>
      <c r="F2118" s="2">
        <v>45568.666684444448</v>
      </c>
      <c r="H2118" t="s">
        <v>116</v>
      </c>
      <c r="I2118" t="s">
        <v>77</v>
      </c>
    </row>
    <row r="2119" spans="1:9" x14ac:dyDescent="0.45">
      <c r="A2119" t="s">
        <v>2936</v>
      </c>
      <c r="B2119" t="s">
        <v>104</v>
      </c>
      <c r="C2119" t="s">
        <v>2402</v>
      </c>
      <c r="D2119" t="s">
        <v>155</v>
      </c>
      <c r="E2119">
        <v>1712.66</v>
      </c>
      <c r="F2119" s="2">
        <v>45744.666684444448</v>
      </c>
      <c r="G2119" t="s">
        <v>115</v>
      </c>
      <c r="H2119" t="s">
        <v>81</v>
      </c>
      <c r="I2119" t="s">
        <v>82</v>
      </c>
    </row>
    <row r="2120" spans="1:9" x14ac:dyDescent="0.45">
      <c r="A2120" t="s">
        <v>2937</v>
      </c>
      <c r="B2120" t="s">
        <v>138</v>
      </c>
      <c r="C2120" t="s">
        <v>1948</v>
      </c>
      <c r="D2120" t="s">
        <v>92</v>
      </c>
      <c r="E2120">
        <v>6829.28</v>
      </c>
      <c r="F2120" s="2">
        <v>45312.666684444448</v>
      </c>
      <c r="G2120" t="s">
        <v>140</v>
      </c>
      <c r="H2120" t="s">
        <v>81</v>
      </c>
      <c r="I2120" t="s">
        <v>112</v>
      </c>
    </row>
    <row r="2121" spans="1:9" x14ac:dyDescent="0.45">
      <c r="A2121" t="s">
        <v>2938</v>
      </c>
      <c r="B2121" t="s">
        <v>99</v>
      </c>
      <c r="C2121" t="s">
        <v>1358</v>
      </c>
      <c r="E2121">
        <v>5965.69</v>
      </c>
      <c r="F2121" s="2">
        <v>45686.666684444448</v>
      </c>
      <c r="G2121" t="s">
        <v>102</v>
      </c>
      <c r="H2121" t="s">
        <v>107</v>
      </c>
      <c r="I2121" t="s">
        <v>77</v>
      </c>
    </row>
    <row r="2122" spans="1:9" x14ac:dyDescent="0.45">
      <c r="A2122" t="s">
        <v>2939</v>
      </c>
      <c r="B2122" t="s">
        <v>138</v>
      </c>
      <c r="C2122" t="s">
        <v>359</v>
      </c>
      <c r="D2122" t="s">
        <v>92</v>
      </c>
      <c r="E2122">
        <v>5646.46</v>
      </c>
      <c r="F2122" s="2">
        <v>45428.666684444448</v>
      </c>
      <c r="G2122" t="s">
        <v>140</v>
      </c>
      <c r="H2122" t="s">
        <v>81</v>
      </c>
      <c r="I2122" t="s">
        <v>112</v>
      </c>
    </row>
    <row r="2123" spans="1:9" x14ac:dyDescent="0.45">
      <c r="A2123" t="s">
        <v>2940</v>
      </c>
      <c r="B2123" t="s">
        <v>138</v>
      </c>
      <c r="C2123" t="s">
        <v>1069</v>
      </c>
      <c r="D2123" t="s">
        <v>74</v>
      </c>
      <c r="E2123">
        <v>10170.01</v>
      </c>
      <c r="F2123" s="2">
        <v>45456.666684444448</v>
      </c>
      <c r="G2123" t="s">
        <v>194</v>
      </c>
      <c r="H2123" t="s">
        <v>136</v>
      </c>
      <c r="I2123" t="s">
        <v>163</v>
      </c>
    </row>
    <row r="2124" spans="1:9" x14ac:dyDescent="0.45">
      <c r="A2124" t="s">
        <v>2941</v>
      </c>
      <c r="B2124" t="s">
        <v>79</v>
      </c>
      <c r="C2124" t="s">
        <v>2864</v>
      </c>
      <c r="D2124" t="s">
        <v>92</v>
      </c>
      <c r="E2124">
        <v>4799.55</v>
      </c>
      <c r="F2124" s="2">
        <v>45233.666684444448</v>
      </c>
      <c r="G2124" t="s">
        <v>86</v>
      </c>
      <c r="I2124" t="s">
        <v>88</v>
      </c>
    </row>
    <row r="2125" spans="1:9" x14ac:dyDescent="0.45">
      <c r="A2125" t="s">
        <v>2942</v>
      </c>
      <c r="B2125" t="s">
        <v>99</v>
      </c>
      <c r="C2125" t="s">
        <v>781</v>
      </c>
      <c r="D2125" t="s">
        <v>74</v>
      </c>
      <c r="E2125">
        <v>7514.15</v>
      </c>
      <c r="F2125" s="2">
        <v>45209.666684444448</v>
      </c>
      <c r="G2125" t="s">
        <v>102</v>
      </c>
      <c r="H2125" t="s">
        <v>81</v>
      </c>
      <c r="I2125" t="s">
        <v>119</v>
      </c>
    </row>
    <row r="2126" spans="1:9" x14ac:dyDescent="0.45">
      <c r="A2126" t="s">
        <v>2943</v>
      </c>
      <c r="B2126" t="s">
        <v>104</v>
      </c>
      <c r="C2126" t="s">
        <v>619</v>
      </c>
      <c r="D2126" t="s">
        <v>101</v>
      </c>
      <c r="E2126">
        <v>11630.99</v>
      </c>
      <c r="F2126" s="2">
        <v>45463.666684444448</v>
      </c>
      <c r="G2126" t="s">
        <v>115</v>
      </c>
      <c r="H2126" t="s">
        <v>116</v>
      </c>
      <c r="I2126" t="s">
        <v>82</v>
      </c>
    </row>
    <row r="2127" spans="1:9" x14ac:dyDescent="0.45">
      <c r="A2127" t="s">
        <v>2944</v>
      </c>
      <c r="B2127" t="s">
        <v>90</v>
      </c>
      <c r="C2127" t="s">
        <v>499</v>
      </c>
      <c r="E2127">
        <v>4792.82</v>
      </c>
      <c r="F2127" s="2">
        <v>45804.666684444448</v>
      </c>
      <c r="G2127" t="s">
        <v>93</v>
      </c>
      <c r="H2127" t="s">
        <v>145</v>
      </c>
      <c r="I2127" t="s">
        <v>112</v>
      </c>
    </row>
    <row r="2128" spans="1:9" x14ac:dyDescent="0.45">
      <c r="A2128" t="s">
        <v>2945</v>
      </c>
      <c r="B2128" t="s">
        <v>95</v>
      </c>
      <c r="C2128" t="s">
        <v>994</v>
      </c>
      <c r="D2128" t="s">
        <v>85</v>
      </c>
      <c r="E2128">
        <v>4744.8599999999997</v>
      </c>
      <c r="F2128" s="2">
        <v>45430.666684444448</v>
      </c>
      <c r="G2128" t="s">
        <v>97</v>
      </c>
      <c r="H2128" t="s">
        <v>128</v>
      </c>
      <c r="I2128" t="s">
        <v>119</v>
      </c>
    </row>
    <row r="2129" spans="1:9" x14ac:dyDescent="0.45">
      <c r="A2129" t="s">
        <v>2946</v>
      </c>
      <c r="B2129" t="s">
        <v>79</v>
      </c>
      <c r="C2129" t="s">
        <v>1386</v>
      </c>
      <c r="D2129" t="s">
        <v>148</v>
      </c>
      <c r="E2129">
        <v>6814.09</v>
      </c>
      <c r="F2129" s="2">
        <v>45441.666684444448</v>
      </c>
      <c r="G2129" t="s">
        <v>86</v>
      </c>
      <c r="H2129" t="s">
        <v>81</v>
      </c>
      <c r="I2129" t="s">
        <v>163</v>
      </c>
    </row>
    <row r="2130" spans="1:9" x14ac:dyDescent="0.45">
      <c r="A2130" t="s">
        <v>2947</v>
      </c>
      <c r="B2130" t="s">
        <v>72</v>
      </c>
      <c r="C2130" t="s">
        <v>100</v>
      </c>
      <c r="D2130" t="s">
        <v>74</v>
      </c>
      <c r="E2130">
        <v>0</v>
      </c>
      <c r="F2130" s="2">
        <v>45584.666684444448</v>
      </c>
      <c r="G2130" t="s">
        <v>75</v>
      </c>
      <c r="H2130" t="s">
        <v>87</v>
      </c>
      <c r="I2130" t="s">
        <v>82</v>
      </c>
    </row>
    <row r="2131" spans="1:9" x14ac:dyDescent="0.45">
      <c r="A2131" t="s">
        <v>2948</v>
      </c>
      <c r="B2131" t="s">
        <v>95</v>
      </c>
      <c r="C2131" t="s">
        <v>2949</v>
      </c>
      <c r="D2131" t="s">
        <v>85</v>
      </c>
      <c r="E2131">
        <v>10379.93</v>
      </c>
      <c r="F2131" s="2">
        <v>45745.666684444448</v>
      </c>
      <c r="G2131" t="s">
        <v>97</v>
      </c>
      <c r="I2131" t="s">
        <v>112</v>
      </c>
    </row>
    <row r="2132" spans="1:9" x14ac:dyDescent="0.45">
      <c r="A2132" t="s">
        <v>2950</v>
      </c>
      <c r="B2132" t="s">
        <v>90</v>
      </c>
      <c r="C2132" t="s">
        <v>1696</v>
      </c>
      <c r="D2132" t="s">
        <v>74</v>
      </c>
      <c r="E2132">
        <v>11404.12</v>
      </c>
      <c r="F2132" s="2">
        <v>45564.666684444448</v>
      </c>
      <c r="H2132" t="s">
        <v>128</v>
      </c>
      <c r="I2132" t="s">
        <v>77</v>
      </c>
    </row>
    <row r="2133" spans="1:9" x14ac:dyDescent="0.45">
      <c r="A2133" t="s">
        <v>2951</v>
      </c>
      <c r="B2133" t="s">
        <v>172</v>
      </c>
      <c r="C2133" t="s">
        <v>983</v>
      </c>
      <c r="D2133" t="s">
        <v>85</v>
      </c>
      <c r="E2133">
        <v>0</v>
      </c>
      <c r="F2133" s="2">
        <v>45298.666684444448</v>
      </c>
      <c r="G2133" t="s">
        <v>174</v>
      </c>
      <c r="H2133" t="s">
        <v>107</v>
      </c>
      <c r="I2133" t="s">
        <v>77</v>
      </c>
    </row>
    <row r="2134" spans="1:9" x14ac:dyDescent="0.45">
      <c r="A2134" t="s">
        <v>2952</v>
      </c>
      <c r="B2134" t="s">
        <v>138</v>
      </c>
      <c r="C2134" t="s">
        <v>1373</v>
      </c>
      <c r="D2134" t="s">
        <v>92</v>
      </c>
      <c r="E2134">
        <v>2322.52</v>
      </c>
      <c r="F2134" s="2">
        <v>45834.666684444448</v>
      </c>
      <c r="G2134" t="s">
        <v>140</v>
      </c>
      <c r="H2134" t="s">
        <v>133</v>
      </c>
      <c r="I2134" t="s">
        <v>163</v>
      </c>
    </row>
    <row r="2135" spans="1:9" x14ac:dyDescent="0.45">
      <c r="A2135" t="s">
        <v>2953</v>
      </c>
      <c r="B2135" t="s">
        <v>109</v>
      </c>
      <c r="C2135" t="s">
        <v>2954</v>
      </c>
      <c r="D2135" t="s">
        <v>85</v>
      </c>
      <c r="E2135">
        <v>4593.51</v>
      </c>
      <c r="F2135" s="2">
        <v>45582.666684444448</v>
      </c>
      <c r="G2135" t="s">
        <v>111</v>
      </c>
      <c r="H2135" t="s">
        <v>133</v>
      </c>
      <c r="I2135" t="s">
        <v>163</v>
      </c>
    </row>
    <row r="2136" spans="1:9" x14ac:dyDescent="0.45">
      <c r="A2136" t="s">
        <v>2955</v>
      </c>
      <c r="B2136" t="s">
        <v>104</v>
      </c>
      <c r="C2136" t="s">
        <v>617</v>
      </c>
      <c r="D2136" t="s">
        <v>101</v>
      </c>
      <c r="E2136">
        <v>7713.02</v>
      </c>
      <c r="F2136" s="2">
        <v>45487.666684444448</v>
      </c>
      <c r="G2136" t="s">
        <v>115</v>
      </c>
      <c r="H2136" t="s">
        <v>118</v>
      </c>
      <c r="I2136" t="s">
        <v>163</v>
      </c>
    </row>
    <row r="2137" spans="1:9" x14ac:dyDescent="0.45">
      <c r="A2137" t="s">
        <v>2956</v>
      </c>
      <c r="B2137" t="s">
        <v>138</v>
      </c>
      <c r="C2137" t="s">
        <v>1265</v>
      </c>
      <c r="D2137" t="s">
        <v>74</v>
      </c>
      <c r="E2137">
        <v>3296.84</v>
      </c>
      <c r="F2137" s="2">
        <v>45585.666684444448</v>
      </c>
      <c r="G2137" t="s">
        <v>140</v>
      </c>
      <c r="I2137" t="s">
        <v>119</v>
      </c>
    </row>
    <row r="2138" spans="1:9" x14ac:dyDescent="0.45">
      <c r="A2138" t="s">
        <v>2957</v>
      </c>
      <c r="B2138" t="s">
        <v>172</v>
      </c>
      <c r="C2138" t="s">
        <v>142</v>
      </c>
      <c r="D2138" t="s">
        <v>74</v>
      </c>
      <c r="E2138">
        <v>8948.86</v>
      </c>
      <c r="F2138" s="2">
        <v>45171.666684444448</v>
      </c>
      <c r="G2138" t="s">
        <v>174</v>
      </c>
      <c r="H2138" t="s">
        <v>87</v>
      </c>
      <c r="I2138" t="s">
        <v>82</v>
      </c>
    </row>
    <row r="2139" spans="1:9" x14ac:dyDescent="0.45">
      <c r="A2139" t="s">
        <v>2958</v>
      </c>
      <c r="B2139" t="s">
        <v>90</v>
      </c>
      <c r="C2139" t="s">
        <v>257</v>
      </c>
      <c r="D2139" t="s">
        <v>85</v>
      </c>
      <c r="E2139">
        <v>3514.87</v>
      </c>
      <c r="F2139" s="2">
        <v>45489.666684444448</v>
      </c>
      <c r="G2139" t="s">
        <v>296</v>
      </c>
      <c r="H2139" t="s">
        <v>118</v>
      </c>
      <c r="I2139" t="s">
        <v>82</v>
      </c>
    </row>
    <row r="2140" spans="1:9" x14ac:dyDescent="0.45">
      <c r="A2140" t="s">
        <v>2959</v>
      </c>
      <c r="B2140" t="s">
        <v>72</v>
      </c>
      <c r="C2140" t="s">
        <v>350</v>
      </c>
      <c r="D2140" t="s">
        <v>155</v>
      </c>
      <c r="E2140">
        <v>8960.7199999999993</v>
      </c>
      <c r="F2140" s="2">
        <v>45757.666684444448</v>
      </c>
      <c r="G2140" t="s">
        <v>75</v>
      </c>
      <c r="H2140" t="s">
        <v>118</v>
      </c>
      <c r="I2140" t="s">
        <v>88</v>
      </c>
    </row>
    <row r="2141" spans="1:9" x14ac:dyDescent="0.45">
      <c r="A2141" t="s">
        <v>134</v>
      </c>
      <c r="B2141" t="s">
        <v>104</v>
      </c>
      <c r="C2141" t="s">
        <v>1473</v>
      </c>
      <c r="D2141" t="s">
        <v>74</v>
      </c>
      <c r="E2141">
        <v>4516.66</v>
      </c>
      <c r="F2141" s="2">
        <v>45573.666684444448</v>
      </c>
      <c r="H2141" t="s">
        <v>136</v>
      </c>
      <c r="I2141" t="s">
        <v>82</v>
      </c>
    </row>
    <row r="2142" spans="1:9" x14ac:dyDescent="0.45">
      <c r="A2142" t="s">
        <v>2960</v>
      </c>
      <c r="B2142" t="s">
        <v>104</v>
      </c>
      <c r="C2142" t="s">
        <v>243</v>
      </c>
      <c r="D2142" t="s">
        <v>92</v>
      </c>
      <c r="E2142">
        <v>10673.36</v>
      </c>
      <c r="F2142" s="2">
        <v>45409.666684444448</v>
      </c>
      <c r="G2142" t="s">
        <v>115</v>
      </c>
      <c r="H2142" t="s">
        <v>118</v>
      </c>
      <c r="I2142" t="s">
        <v>112</v>
      </c>
    </row>
    <row r="2143" spans="1:9" x14ac:dyDescent="0.45">
      <c r="A2143" t="s">
        <v>2961</v>
      </c>
      <c r="B2143" t="s">
        <v>90</v>
      </c>
      <c r="D2143" t="s">
        <v>148</v>
      </c>
      <c r="E2143">
        <v>8044.24</v>
      </c>
      <c r="F2143" s="2">
        <v>45782.666684444448</v>
      </c>
      <c r="G2143" t="s">
        <v>93</v>
      </c>
      <c r="H2143" t="s">
        <v>118</v>
      </c>
      <c r="I2143" t="s">
        <v>88</v>
      </c>
    </row>
    <row r="2144" spans="1:9" x14ac:dyDescent="0.45">
      <c r="A2144" t="s">
        <v>2962</v>
      </c>
      <c r="B2144" t="s">
        <v>95</v>
      </c>
      <c r="C2144" t="s">
        <v>2216</v>
      </c>
      <c r="D2144" t="s">
        <v>85</v>
      </c>
      <c r="E2144">
        <v>7919.6</v>
      </c>
      <c r="F2144" s="2">
        <v>45186.666684444448</v>
      </c>
      <c r="G2144" t="s">
        <v>97</v>
      </c>
      <c r="H2144" t="s">
        <v>145</v>
      </c>
      <c r="I2144" t="s">
        <v>163</v>
      </c>
    </row>
    <row r="2145" spans="1:9" x14ac:dyDescent="0.45">
      <c r="A2145" t="s">
        <v>2963</v>
      </c>
      <c r="B2145" t="s">
        <v>138</v>
      </c>
      <c r="C2145" t="s">
        <v>267</v>
      </c>
      <c r="D2145" t="s">
        <v>92</v>
      </c>
      <c r="E2145">
        <v>4663.87</v>
      </c>
      <c r="F2145" s="2">
        <v>45204.666684444448</v>
      </c>
      <c r="G2145" t="s">
        <v>140</v>
      </c>
      <c r="H2145" t="s">
        <v>118</v>
      </c>
      <c r="I2145" t="s">
        <v>77</v>
      </c>
    </row>
    <row r="2146" spans="1:9" x14ac:dyDescent="0.45">
      <c r="A2146" t="s">
        <v>2964</v>
      </c>
      <c r="B2146" t="s">
        <v>95</v>
      </c>
      <c r="C2146" t="s">
        <v>1188</v>
      </c>
      <c r="E2146">
        <v>1729.63</v>
      </c>
      <c r="F2146" s="2">
        <v>45815.666684444448</v>
      </c>
      <c r="G2146" t="s">
        <v>97</v>
      </c>
      <c r="H2146" t="s">
        <v>136</v>
      </c>
      <c r="I2146" t="s">
        <v>82</v>
      </c>
    </row>
    <row r="2147" spans="1:9" x14ac:dyDescent="0.45">
      <c r="A2147" t="s">
        <v>1492</v>
      </c>
      <c r="B2147" t="s">
        <v>79</v>
      </c>
      <c r="C2147" t="s">
        <v>1577</v>
      </c>
      <c r="D2147" t="s">
        <v>101</v>
      </c>
      <c r="E2147">
        <v>11172.71</v>
      </c>
      <c r="F2147" s="2">
        <v>45780.666684444448</v>
      </c>
      <c r="G2147" t="s">
        <v>86</v>
      </c>
      <c r="H2147" t="s">
        <v>87</v>
      </c>
      <c r="I2147" t="s">
        <v>88</v>
      </c>
    </row>
    <row r="2148" spans="1:9" x14ac:dyDescent="0.45">
      <c r="A2148" t="s">
        <v>2965</v>
      </c>
      <c r="B2148" t="s">
        <v>90</v>
      </c>
      <c r="D2148" t="s">
        <v>101</v>
      </c>
      <c r="E2148">
        <v>4123.7700000000004</v>
      </c>
      <c r="F2148" s="2">
        <v>45543.666684444448</v>
      </c>
      <c r="G2148" t="s">
        <v>93</v>
      </c>
      <c r="H2148" t="s">
        <v>87</v>
      </c>
      <c r="I2148" t="s">
        <v>112</v>
      </c>
    </row>
    <row r="2149" spans="1:9" x14ac:dyDescent="0.45">
      <c r="A2149" t="s">
        <v>2966</v>
      </c>
      <c r="B2149" t="s">
        <v>79</v>
      </c>
      <c r="C2149" t="s">
        <v>214</v>
      </c>
      <c r="D2149" t="s">
        <v>74</v>
      </c>
      <c r="E2149">
        <v>3181.87</v>
      </c>
      <c r="F2149" s="2">
        <v>45500.666684444448</v>
      </c>
      <c r="G2149" t="s">
        <v>86</v>
      </c>
      <c r="I2149" t="s">
        <v>77</v>
      </c>
    </row>
    <row r="2150" spans="1:9" x14ac:dyDescent="0.45">
      <c r="A2150" t="s">
        <v>2967</v>
      </c>
      <c r="B2150" t="s">
        <v>72</v>
      </c>
      <c r="C2150" t="s">
        <v>575</v>
      </c>
      <c r="D2150" t="s">
        <v>106</v>
      </c>
      <c r="E2150">
        <v>7362.33</v>
      </c>
      <c r="F2150" s="2">
        <v>45653.666684444448</v>
      </c>
      <c r="G2150" t="s">
        <v>75</v>
      </c>
      <c r="H2150" t="s">
        <v>81</v>
      </c>
      <c r="I2150" t="s">
        <v>112</v>
      </c>
    </row>
    <row r="2151" spans="1:9" x14ac:dyDescent="0.45">
      <c r="A2151" t="s">
        <v>2968</v>
      </c>
      <c r="B2151" t="s">
        <v>95</v>
      </c>
      <c r="C2151" t="s">
        <v>2684</v>
      </c>
      <c r="D2151" t="s">
        <v>155</v>
      </c>
      <c r="E2151">
        <v>579.26</v>
      </c>
      <c r="F2151" s="2">
        <v>45823.666684444448</v>
      </c>
      <c r="H2151" t="s">
        <v>118</v>
      </c>
      <c r="I2151" t="s">
        <v>82</v>
      </c>
    </row>
    <row r="2152" spans="1:9" x14ac:dyDescent="0.45">
      <c r="A2152" t="s">
        <v>2969</v>
      </c>
      <c r="B2152" t="s">
        <v>109</v>
      </c>
      <c r="C2152" t="s">
        <v>2928</v>
      </c>
      <c r="D2152" t="s">
        <v>92</v>
      </c>
      <c r="E2152">
        <v>0</v>
      </c>
      <c r="F2152" s="2">
        <v>45291.666684444448</v>
      </c>
      <c r="G2152" t="s">
        <v>111</v>
      </c>
      <c r="H2152" t="s">
        <v>118</v>
      </c>
      <c r="I2152" t="s">
        <v>112</v>
      </c>
    </row>
    <row r="2153" spans="1:9" x14ac:dyDescent="0.45">
      <c r="A2153" t="s">
        <v>2970</v>
      </c>
      <c r="B2153" t="s">
        <v>90</v>
      </c>
      <c r="C2153" t="s">
        <v>2509</v>
      </c>
      <c r="D2153" t="s">
        <v>74</v>
      </c>
      <c r="E2153">
        <v>3408.73</v>
      </c>
      <c r="F2153" s="2">
        <v>45159.666684444448</v>
      </c>
      <c r="G2153" t="s">
        <v>93</v>
      </c>
      <c r="H2153" t="s">
        <v>116</v>
      </c>
      <c r="I2153" t="s">
        <v>163</v>
      </c>
    </row>
    <row r="2154" spans="1:9" x14ac:dyDescent="0.45">
      <c r="A2154" t="s">
        <v>2971</v>
      </c>
      <c r="B2154" t="s">
        <v>90</v>
      </c>
      <c r="C2154" t="s">
        <v>505</v>
      </c>
      <c r="D2154" t="s">
        <v>101</v>
      </c>
      <c r="E2154">
        <v>3927</v>
      </c>
      <c r="F2154" s="2">
        <v>45274.666684444448</v>
      </c>
      <c r="G2154" t="s">
        <v>93</v>
      </c>
      <c r="H2154" t="s">
        <v>81</v>
      </c>
      <c r="I2154" t="s">
        <v>88</v>
      </c>
    </row>
    <row r="2155" spans="1:9" x14ac:dyDescent="0.45">
      <c r="A2155" t="s">
        <v>2972</v>
      </c>
      <c r="B2155" t="s">
        <v>104</v>
      </c>
      <c r="C2155" t="s">
        <v>1290</v>
      </c>
      <c r="D2155" t="s">
        <v>74</v>
      </c>
      <c r="E2155">
        <v>3234.13</v>
      </c>
      <c r="F2155" s="2">
        <v>45750.666684444448</v>
      </c>
      <c r="G2155" t="s">
        <v>115</v>
      </c>
      <c r="H2155" t="s">
        <v>133</v>
      </c>
      <c r="I2155" t="s">
        <v>112</v>
      </c>
    </row>
    <row r="2156" spans="1:9" x14ac:dyDescent="0.45">
      <c r="A2156" t="s">
        <v>2973</v>
      </c>
      <c r="B2156" t="s">
        <v>172</v>
      </c>
      <c r="C2156" t="s">
        <v>2974</v>
      </c>
      <c r="D2156" t="s">
        <v>74</v>
      </c>
      <c r="E2156">
        <v>6978.37</v>
      </c>
      <c r="F2156" s="2">
        <v>45822.666684444448</v>
      </c>
      <c r="G2156" t="s">
        <v>174</v>
      </c>
      <c r="H2156" t="s">
        <v>87</v>
      </c>
      <c r="I2156" t="s">
        <v>82</v>
      </c>
    </row>
    <row r="2157" spans="1:9" x14ac:dyDescent="0.45">
      <c r="A2157" t="s">
        <v>2975</v>
      </c>
      <c r="B2157" t="s">
        <v>72</v>
      </c>
      <c r="C2157" t="s">
        <v>1148</v>
      </c>
      <c r="D2157" t="s">
        <v>85</v>
      </c>
      <c r="E2157">
        <v>5095.57</v>
      </c>
      <c r="F2157" s="2">
        <v>45576.666684444448</v>
      </c>
      <c r="G2157" t="s">
        <v>75</v>
      </c>
      <c r="H2157" t="s">
        <v>76</v>
      </c>
      <c r="I2157" t="s">
        <v>82</v>
      </c>
    </row>
    <row r="2158" spans="1:9" x14ac:dyDescent="0.45">
      <c r="A2158" t="s">
        <v>2976</v>
      </c>
      <c r="B2158" t="s">
        <v>95</v>
      </c>
      <c r="C2158" t="s">
        <v>183</v>
      </c>
      <c r="D2158" t="s">
        <v>106</v>
      </c>
      <c r="E2158">
        <v>245.9</v>
      </c>
      <c r="F2158" s="2">
        <v>45163.666684444448</v>
      </c>
      <c r="G2158" t="s">
        <v>97</v>
      </c>
      <c r="H2158" t="s">
        <v>81</v>
      </c>
      <c r="I2158" t="s">
        <v>119</v>
      </c>
    </row>
    <row r="2159" spans="1:9" x14ac:dyDescent="0.45">
      <c r="A2159" t="s">
        <v>2977</v>
      </c>
      <c r="B2159" t="s">
        <v>90</v>
      </c>
      <c r="C2159" t="s">
        <v>807</v>
      </c>
      <c r="D2159" t="s">
        <v>155</v>
      </c>
      <c r="E2159">
        <v>0</v>
      </c>
      <c r="F2159" s="2">
        <v>45257.666684444448</v>
      </c>
      <c r="G2159" t="s">
        <v>93</v>
      </c>
      <c r="I2159" t="s">
        <v>82</v>
      </c>
    </row>
    <row r="2160" spans="1:9" x14ac:dyDescent="0.45">
      <c r="A2160" t="s">
        <v>2978</v>
      </c>
      <c r="B2160" t="s">
        <v>90</v>
      </c>
      <c r="C2160" t="s">
        <v>1663</v>
      </c>
      <c r="D2160" t="s">
        <v>92</v>
      </c>
      <c r="E2160">
        <v>8352.42</v>
      </c>
      <c r="F2160" s="2">
        <v>45196.666684444448</v>
      </c>
      <c r="G2160" t="s">
        <v>93</v>
      </c>
      <c r="H2160" t="s">
        <v>116</v>
      </c>
      <c r="I2160" t="s">
        <v>88</v>
      </c>
    </row>
    <row r="2161" spans="1:9" x14ac:dyDescent="0.45">
      <c r="A2161" t="s">
        <v>2979</v>
      </c>
      <c r="B2161" t="s">
        <v>109</v>
      </c>
      <c r="C2161" t="s">
        <v>2980</v>
      </c>
      <c r="D2161" t="s">
        <v>74</v>
      </c>
      <c r="E2161">
        <v>2149.4299999999998</v>
      </c>
      <c r="F2161" s="2">
        <v>45369.666684444448</v>
      </c>
      <c r="G2161" t="s">
        <v>111</v>
      </c>
      <c r="H2161" t="s">
        <v>128</v>
      </c>
      <c r="I2161" t="s">
        <v>77</v>
      </c>
    </row>
    <row r="2162" spans="1:9" x14ac:dyDescent="0.45">
      <c r="A2162" t="s">
        <v>2981</v>
      </c>
      <c r="B2162" t="s">
        <v>138</v>
      </c>
      <c r="C2162" t="s">
        <v>2696</v>
      </c>
      <c r="D2162" t="s">
        <v>101</v>
      </c>
      <c r="E2162">
        <v>625.04999999999995</v>
      </c>
      <c r="F2162" s="2">
        <v>45788.666684444448</v>
      </c>
      <c r="H2162" t="s">
        <v>107</v>
      </c>
      <c r="I2162" t="s">
        <v>163</v>
      </c>
    </row>
    <row r="2163" spans="1:9" x14ac:dyDescent="0.45">
      <c r="A2163" t="s">
        <v>2982</v>
      </c>
      <c r="B2163" t="s">
        <v>95</v>
      </c>
      <c r="C2163" t="s">
        <v>2925</v>
      </c>
      <c r="D2163" t="s">
        <v>101</v>
      </c>
      <c r="E2163">
        <v>7477.77</v>
      </c>
      <c r="F2163" s="2">
        <v>45503.666684444448</v>
      </c>
      <c r="G2163" t="s">
        <v>97</v>
      </c>
      <c r="H2163" t="s">
        <v>145</v>
      </c>
      <c r="I2163" t="s">
        <v>88</v>
      </c>
    </row>
    <row r="2164" spans="1:9" x14ac:dyDescent="0.45">
      <c r="A2164" t="s">
        <v>2983</v>
      </c>
      <c r="B2164" t="s">
        <v>104</v>
      </c>
      <c r="C2164" t="s">
        <v>2707</v>
      </c>
      <c r="D2164" t="s">
        <v>92</v>
      </c>
      <c r="E2164">
        <v>8191.74</v>
      </c>
      <c r="F2164" s="2">
        <v>45498.666684444448</v>
      </c>
      <c r="G2164" t="s">
        <v>115</v>
      </c>
      <c r="H2164" t="s">
        <v>118</v>
      </c>
      <c r="I2164" t="s">
        <v>112</v>
      </c>
    </row>
    <row r="2165" spans="1:9" x14ac:dyDescent="0.45">
      <c r="A2165" t="s">
        <v>2984</v>
      </c>
      <c r="B2165" t="s">
        <v>109</v>
      </c>
      <c r="C2165" t="s">
        <v>1506</v>
      </c>
      <c r="E2165">
        <v>5541.24</v>
      </c>
      <c r="F2165" s="2">
        <v>45520.666684444448</v>
      </c>
      <c r="G2165" t="s">
        <v>111</v>
      </c>
      <c r="H2165" t="s">
        <v>133</v>
      </c>
      <c r="I2165" t="s">
        <v>163</v>
      </c>
    </row>
    <row r="2166" spans="1:9" x14ac:dyDescent="0.45">
      <c r="A2166" t="s">
        <v>2985</v>
      </c>
      <c r="B2166" t="s">
        <v>104</v>
      </c>
      <c r="C2166" t="s">
        <v>501</v>
      </c>
      <c r="D2166" t="s">
        <v>101</v>
      </c>
      <c r="E2166">
        <v>3920.89</v>
      </c>
      <c r="F2166" s="2">
        <v>45708.666684444448</v>
      </c>
      <c r="G2166" t="s">
        <v>115</v>
      </c>
      <c r="I2166" t="s">
        <v>163</v>
      </c>
    </row>
    <row r="2167" spans="1:9" x14ac:dyDescent="0.45">
      <c r="A2167" t="s">
        <v>2986</v>
      </c>
      <c r="B2167" t="s">
        <v>99</v>
      </c>
      <c r="C2167" t="s">
        <v>901</v>
      </c>
      <c r="D2167" t="s">
        <v>101</v>
      </c>
      <c r="E2167">
        <v>11502.78</v>
      </c>
      <c r="F2167" s="2">
        <v>45161.666684444448</v>
      </c>
      <c r="G2167" t="s">
        <v>102</v>
      </c>
      <c r="H2167" t="s">
        <v>136</v>
      </c>
      <c r="I2167" t="s">
        <v>119</v>
      </c>
    </row>
    <row r="2168" spans="1:9" x14ac:dyDescent="0.45">
      <c r="A2168" t="s">
        <v>2987</v>
      </c>
      <c r="B2168" t="s">
        <v>95</v>
      </c>
      <c r="C2168" t="s">
        <v>1711</v>
      </c>
      <c r="D2168" t="s">
        <v>74</v>
      </c>
      <c r="E2168">
        <v>8972.8799999999992</v>
      </c>
      <c r="F2168" s="2">
        <v>45747.666684444448</v>
      </c>
      <c r="G2168" t="s">
        <v>97</v>
      </c>
      <c r="H2168" t="s">
        <v>136</v>
      </c>
      <c r="I2168" t="s">
        <v>112</v>
      </c>
    </row>
    <row r="2169" spans="1:9" x14ac:dyDescent="0.45">
      <c r="A2169" t="s">
        <v>2988</v>
      </c>
      <c r="B2169" t="s">
        <v>90</v>
      </c>
      <c r="C2169" t="s">
        <v>1510</v>
      </c>
      <c r="D2169" t="s">
        <v>101</v>
      </c>
      <c r="E2169">
        <v>4976.38</v>
      </c>
      <c r="F2169" s="2">
        <v>45285.666684444448</v>
      </c>
      <c r="H2169" t="s">
        <v>133</v>
      </c>
      <c r="I2169" t="s">
        <v>88</v>
      </c>
    </row>
    <row r="2170" spans="1:9" x14ac:dyDescent="0.45">
      <c r="A2170" t="s">
        <v>2989</v>
      </c>
      <c r="B2170" t="s">
        <v>99</v>
      </c>
      <c r="C2170" t="s">
        <v>311</v>
      </c>
      <c r="D2170" t="s">
        <v>85</v>
      </c>
      <c r="E2170">
        <v>0</v>
      </c>
      <c r="F2170" s="2">
        <v>45823.666684444448</v>
      </c>
      <c r="G2170" t="s">
        <v>102</v>
      </c>
      <c r="H2170" t="s">
        <v>128</v>
      </c>
      <c r="I2170" t="s">
        <v>163</v>
      </c>
    </row>
    <row r="2171" spans="1:9" x14ac:dyDescent="0.45">
      <c r="A2171" t="s">
        <v>2990</v>
      </c>
      <c r="B2171" t="s">
        <v>104</v>
      </c>
      <c r="C2171" t="s">
        <v>594</v>
      </c>
      <c r="D2171" t="s">
        <v>74</v>
      </c>
      <c r="E2171">
        <v>1244.76</v>
      </c>
      <c r="F2171" s="2">
        <v>45588.666684444448</v>
      </c>
      <c r="G2171" t="s">
        <v>115</v>
      </c>
      <c r="H2171" t="s">
        <v>87</v>
      </c>
      <c r="I2171" t="s">
        <v>77</v>
      </c>
    </row>
    <row r="2172" spans="1:9" x14ac:dyDescent="0.45">
      <c r="A2172" t="s">
        <v>2991</v>
      </c>
      <c r="B2172" t="s">
        <v>104</v>
      </c>
      <c r="C2172" t="s">
        <v>492</v>
      </c>
      <c r="D2172" t="s">
        <v>85</v>
      </c>
      <c r="E2172">
        <v>9774.65</v>
      </c>
      <c r="F2172" s="2">
        <v>45507.666684444448</v>
      </c>
      <c r="G2172" t="s">
        <v>247</v>
      </c>
      <c r="H2172" t="s">
        <v>136</v>
      </c>
      <c r="I2172" t="s">
        <v>82</v>
      </c>
    </row>
    <row r="2173" spans="1:9" x14ac:dyDescent="0.45">
      <c r="A2173" t="s">
        <v>2992</v>
      </c>
      <c r="B2173" t="s">
        <v>95</v>
      </c>
      <c r="C2173" t="s">
        <v>1933</v>
      </c>
      <c r="D2173" t="s">
        <v>148</v>
      </c>
      <c r="E2173">
        <v>1693.99</v>
      </c>
      <c r="F2173" s="2">
        <v>45508.666684444448</v>
      </c>
      <c r="G2173" t="s">
        <v>97</v>
      </c>
      <c r="H2173" t="s">
        <v>145</v>
      </c>
      <c r="I2173" t="s">
        <v>88</v>
      </c>
    </row>
    <row r="2174" spans="1:9" x14ac:dyDescent="0.45">
      <c r="A2174" t="s">
        <v>2962</v>
      </c>
      <c r="B2174" t="s">
        <v>172</v>
      </c>
      <c r="C2174" t="s">
        <v>2216</v>
      </c>
      <c r="D2174" t="s">
        <v>85</v>
      </c>
      <c r="E2174">
        <v>0</v>
      </c>
      <c r="F2174" s="2">
        <v>45582.666684444448</v>
      </c>
      <c r="G2174" t="s">
        <v>174</v>
      </c>
      <c r="H2174" t="s">
        <v>81</v>
      </c>
      <c r="I2174" t="s">
        <v>77</v>
      </c>
    </row>
    <row r="2175" spans="1:9" x14ac:dyDescent="0.45">
      <c r="A2175" t="s">
        <v>2993</v>
      </c>
      <c r="B2175" t="s">
        <v>138</v>
      </c>
      <c r="C2175" t="s">
        <v>823</v>
      </c>
      <c r="D2175" t="s">
        <v>74</v>
      </c>
      <c r="E2175">
        <v>7201.69</v>
      </c>
      <c r="F2175" s="2">
        <v>45206.666684444448</v>
      </c>
      <c r="G2175" t="s">
        <v>140</v>
      </c>
      <c r="H2175" t="s">
        <v>136</v>
      </c>
      <c r="I2175" t="s">
        <v>77</v>
      </c>
    </row>
    <row r="2176" spans="1:9" x14ac:dyDescent="0.45">
      <c r="A2176" t="s">
        <v>2994</v>
      </c>
      <c r="B2176" t="s">
        <v>90</v>
      </c>
      <c r="C2176" t="s">
        <v>2995</v>
      </c>
      <c r="D2176" t="s">
        <v>74</v>
      </c>
      <c r="E2176">
        <v>3645.69</v>
      </c>
      <c r="F2176" s="2">
        <v>45715.666684444448</v>
      </c>
      <c r="G2176" t="s">
        <v>93</v>
      </c>
      <c r="H2176" t="s">
        <v>118</v>
      </c>
      <c r="I2176" t="s">
        <v>82</v>
      </c>
    </row>
    <row r="2177" spans="1:9" x14ac:dyDescent="0.45">
      <c r="A2177" t="s">
        <v>2996</v>
      </c>
      <c r="B2177" t="s">
        <v>99</v>
      </c>
      <c r="C2177" t="s">
        <v>997</v>
      </c>
      <c r="D2177" t="s">
        <v>85</v>
      </c>
      <c r="E2177">
        <v>8966.09</v>
      </c>
      <c r="F2177" s="2">
        <v>45268.666684444448</v>
      </c>
      <c r="G2177" t="s">
        <v>102</v>
      </c>
      <c r="H2177" t="s">
        <v>81</v>
      </c>
      <c r="I2177" t="s">
        <v>163</v>
      </c>
    </row>
    <row r="2178" spans="1:9" x14ac:dyDescent="0.45">
      <c r="A2178" t="s">
        <v>2997</v>
      </c>
      <c r="B2178" t="s">
        <v>72</v>
      </c>
      <c r="C2178" t="s">
        <v>1436</v>
      </c>
      <c r="D2178" t="s">
        <v>101</v>
      </c>
      <c r="E2178">
        <v>7216.61</v>
      </c>
      <c r="F2178" s="2">
        <v>45670.666684444448</v>
      </c>
      <c r="G2178" t="s">
        <v>75</v>
      </c>
      <c r="H2178" t="s">
        <v>136</v>
      </c>
      <c r="I2178" t="s">
        <v>82</v>
      </c>
    </row>
    <row r="2179" spans="1:9" x14ac:dyDescent="0.45">
      <c r="A2179" t="s">
        <v>2998</v>
      </c>
      <c r="B2179" t="s">
        <v>172</v>
      </c>
      <c r="C2179" t="s">
        <v>2815</v>
      </c>
      <c r="D2179" t="s">
        <v>101</v>
      </c>
      <c r="E2179">
        <v>2582.65</v>
      </c>
      <c r="F2179" s="2">
        <v>45503.666684444448</v>
      </c>
      <c r="H2179" t="s">
        <v>118</v>
      </c>
      <c r="I2179" t="s">
        <v>163</v>
      </c>
    </row>
    <row r="2180" spans="1:9" x14ac:dyDescent="0.45">
      <c r="A2180" t="s">
        <v>2999</v>
      </c>
      <c r="B2180" t="s">
        <v>90</v>
      </c>
      <c r="C2180" t="s">
        <v>1369</v>
      </c>
      <c r="D2180" t="s">
        <v>85</v>
      </c>
      <c r="E2180">
        <v>0</v>
      </c>
      <c r="F2180" s="2">
        <v>45535.666684444448</v>
      </c>
      <c r="G2180" t="s">
        <v>93</v>
      </c>
      <c r="H2180" t="s">
        <v>81</v>
      </c>
      <c r="I2180" t="s">
        <v>163</v>
      </c>
    </row>
    <row r="2181" spans="1:9" x14ac:dyDescent="0.45">
      <c r="A2181" t="s">
        <v>3000</v>
      </c>
      <c r="B2181" t="s">
        <v>72</v>
      </c>
      <c r="C2181" t="s">
        <v>1510</v>
      </c>
      <c r="D2181" t="s">
        <v>85</v>
      </c>
      <c r="E2181">
        <v>745.51</v>
      </c>
      <c r="F2181" s="2">
        <v>45449.666684444448</v>
      </c>
      <c r="G2181" t="s">
        <v>75</v>
      </c>
      <c r="H2181" t="s">
        <v>118</v>
      </c>
      <c r="I2181" t="s">
        <v>163</v>
      </c>
    </row>
    <row r="2182" spans="1:9" x14ac:dyDescent="0.45">
      <c r="A2182" t="s">
        <v>3001</v>
      </c>
      <c r="B2182" t="s">
        <v>138</v>
      </c>
      <c r="C2182" t="s">
        <v>492</v>
      </c>
      <c r="D2182" t="s">
        <v>92</v>
      </c>
      <c r="E2182">
        <v>8630.5400000000009</v>
      </c>
      <c r="F2182" s="2">
        <v>45793.666684444448</v>
      </c>
      <c r="G2182" t="s">
        <v>140</v>
      </c>
      <c r="H2182" t="s">
        <v>136</v>
      </c>
      <c r="I2182" t="s">
        <v>163</v>
      </c>
    </row>
    <row r="2183" spans="1:9" x14ac:dyDescent="0.45">
      <c r="A2183" t="s">
        <v>3002</v>
      </c>
      <c r="B2183" t="s">
        <v>72</v>
      </c>
      <c r="C2183" t="s">
        <v>3003</v>
      </c>
      <c r="D2183" t="s">
        <v>101</v>
      </c>
      <c r="E2183">
        <v>7674.75</v>
      </c>
      <c r="F2183" s="2">
        <v>45413.666684444448</v>
      </c>
      <c r="G2183" t="s">
        <v>75</v>
      </c>
      <c r="H2183" t="s">
        <v>133</v>
      </c>
      <c r="I2183" t="s">
        <v>163</v>
      </c>
    </row>
    <row r="2184" spans="1:9" x14ac:dyDescent="0.45">
      <c r="A2184" t="s">
        <v>3004</v>
      </c>
      <c r="B2184" t="s">
        <v>72</v>
      </c>
      <c r="C2184" t="s">
        <v>3003</v>
      </c>
      <c r="E2184">
        <v>0</v>
      </c>
      <c r="F2184" s="2">
        <v>45383.666684444448</v>
      </c>
      <c r="G2184" t="s">
        <v>75</v>
      </c>
      <c r="H2184" t="s">
        <v>145</v>
      </c>
      <c r="I2184" t="s">
        <v>119</v>
      </c>
    </row>
    <row r="2185" spans="1:9" x14ac:dyDescent="0.45">
      <c r="A2185" t="s">
        <v>3005</v>
      </c>
      <c r="B2185" t="s">
        <v>172</v>
      </c>
      <c r="C2185" t="s">
        <v>696</v>
      </c>
      <c r="D2185" t="s">
        <v>101</v>
      </c>
      <c r="E2185">
        <v>9695.18</v>
      </c>
      <c r="F2185" s="2">
        <v>45244.666684444448</v>
      </c>
      <c r="G2185" t="s">
        <v>174</v>
      </c>
      <c r="I2185" t="s">
        <v>88</v>
      </c>
    </row>
    <row r="2186" spans="1:9" x14ac:dyDescent="0.45">
      <c r="A2186" t="s">
        <v>3006</v>
      </c>
      <c r="B2186" t="s">
        <v>79</v>
      </c>
      <c r="C2186" t="s">
        <v>741</v>
      </c>
      <c r="D2186" t="s">
        <v>74</v>
      </c>
      <c r="E2186">
        <v>8381.77</v>
      </c>
      <c r="F2186" s="2">
        <v>45154.666684444448</v>
      </c>
      <c r="G2186" t="s">
        <v>86</v>
      </c>
      <c r="H2186" t="s">
        <v>133</v>
      </c>
      <c r="I2186" t="s">
        <v>119</v>
      </c>
    </row>
    <row r="2187" spans="1:9" x14ac:dyDescent="0.45">
      <c r="A2187" t="s">
        <v>3007</v>
      </c>
      <c r="B2187" t="s">
        <v>172</v>
      </c>
      <c r="C2187" t="s">
        <v>1731</v>
      </c>
      <c r="D2187" t="s">
        <v>85</v>
      </c>
      <c r="E2187">
        <v>3961.34</v>
      </c>
      <c r="F2187" s="2">
        <v>45318.666684444448</v>
      </c>
      <c r="G2187" t="s">
        <v>174</v>
      </c>
      <c r="H2187" t="s">
        <v>87</v>
      </c>
      <c r="I2187" t="s">
        <v>163</v>
      </c>
    </row>
    <row r="2188" spans="1:9" x14ac:dyDescent="0.45">
      <c r="A2188" t="s">
        <v>3008</v>
      </c>
      <c r="B2188" t="s">
        <v>99</v>
      </c>
      <c r="C2188" t="s">
        <v>289</v>
      </c>
      <c r="D2188" t="s">
        <v>85</v>
      </c>
      <c r="E2188">
        <v>6693.63</v>
      </c>
      <c r="F2188" s="2">
        <v>45639.666684444448</v>
      </c>
      <c r="G2188" t="s">
        <v>102</v>
      </c>
      <c r="I2188" t="s">
        <v>119</v>
      </c>
    </row>
    <row r="2189" spans="1:9" x14ac:dyDescent="0.45">
      <c r="A2189" t="s">
        <v>3009</v>
      </c>
      <c r="B2189" t="s">
        <v>79</v>
      </c>
      <c r="C2189" t="s">
        <v>1736</v>
      </c>
      <c r="D2189" t="s">
        <v>155</v>
      </c>
      <c r="E2189">
        <v>2686.87</v>
      </c>
      <c r="F2189" s="2">
        <v>45658.666684444448</v>
      </c>
      <c r="G2189" t="s">
        <v>86</v>
      </c>
      <c r="H2189" t="s">
        <v>116</v>
      </c>
      <c r="I2189" t="s">
        <v>112</v>
      </c>
    </row>
    <row r="2190" spans="1:9" x14ac:dyDescent="0.45">
      <c r="A2190" t="s">
        <v>3010</v>
      </c>
      <c r="B2190" t="s">
        <v>138</v>
      </c>
      <c r="C2190" t="s">
        <v>1025</v>
      </c>
      <c r="D2190" t="s">
        <v>92</v>
      </c>
      <c r="E2190">
        <v>7189.42</v>
      </c>
      <c r="F2190" s="2">
        <v>45524.666684444448</v>
      </c>
      <c r="G2190" t="s">
        <v>140</v>
      </c>
      <c r="H2190" t="s">
        <v>118</v>
      </c>
      <c r="I2190" t="s">
        <v>88</v>
      </c>
    </row>
    <row r="2191" spans="1:9" x14ac:dyDescent="0.45">
      <c r="A2191" t="s">
        <v>3011</v>
      </c>
      <c r="B2191" t="s">
        <v>172</v>
      </c>
      <c r="C2191" t="s">
        <v>191</v>
      </c>
      <c r="D2191" t="s">
        <v>155</v>
      </c>
      <c r="E2191">
        <v>1075.3599999999999</v>
      </c>
      <c r="F2191" s="2">
        <v>45703.666684444448</v>
      </c>
      <c r="H2191" t="s">
        <v>87</v>
      </c>
      <c r="I2191" t="s">
        <v>82</v>
      </c>
    </row>
    <row r="2192" spans="1:9" x14ac:dyDescent="0.45">
      <c r="A2192" t="s">
        <v>3012</v>
      </c>
      <c r="B2192" t="s">
        <v>79</v>
      </c>
      <c r="C2192" t="s">
        <v>3013</v>
      </c>
      <c r="D2192" t="s">
        <v>155</v>
      </c>
      <c r="E2192">
        <v>9919.7000000000007</v>
      </c>
      <c r="F2192" s="2">
        <v>45248.666684444448</v>
      </c>
      <c r="H2192" t="s">
        <v>133</v>
      </c>
      <c r="I2192" t="s">
        <v>112</v>
      </c>
    </row>
    <row r="2193" spans="1:9" x14ac:dyDescent="0.45">
      <c r="A2193" t="s">
        <v>3014</v>
      </c>
      <c r="B2193" t="s">
        <v>104</v>
      </c>
      <c r="C2193" t="s">
        <v>2715</v>
      </c>
      <c r="D2193" t="s">
        <v>85</v>
      </c>
      <c r="E2193">
        <v>5345.5</v>
      </c>
      <c r="F2193" s="2">
        <v>45396.666684444448</v>
      </c>
      <c r="G2193" t="s">
        <v>115</v>
      </c>
      <c r="H2193" t="s">
        <v>136</v>
      </c>
      <c r="I2193" t="s">
        <v>88</v>
      </c>
    </row>
    <row r="2194" spans="1:9" x14ac:dyDescent="0.45">
      <c r="A2194" t="s">
        <v>3015</v>
      </c>
      <c r="B2194" t="s">
        <v>172</v>
      </c>
      <c r="C2194" t="s">
        <v>436</v>
      </c>
      <c r="D2194" t="s">
        <v>85</v>
      </c>
      <c r="E2194">
        <v>10410.69</v>
      </c>
      <c r="F2194" s="2">
        <v>45394.666684444448</v>
      </c>
      <c r="G2194" t="s">
        <v>174</v>
      </c>
      <c r="H2194" t="s">
        <v>116</v>
      </c>
      <c r="I2194" t="s">
        <v>88</v>
      </c>
    </row>
    <row r="2195" spans="1:9" x14ac:dyDescent="0.45">
      <c r="A2195" t="s">
        <v>3016</v>
      </c>
      <c r="B2195" t="s">
        <v>79</v>
      </c>
      <c r="C2195" t="s">
        <v>2808</v>
      </c>
      <c r="D2195" t="s">
        <v>85</v>
      </c>
      <c r="E2195">
        <v>0</v>
      </c>
      <c r="F2195" s="2">
        <v>45848.666684444448</v>
      </c>
      <c r="G2195" t="s">
        <v>278</v>
      </c>
      <c r="H2195" t="s">
        <v>87</v>
      </c>
      <c r="I2195" t="s">
        <v>82</v>
      </c>
    </row>
    <row r="2196" spans="1:9" x14ac:dyDescent="0.45">
      <c r="A2196" t="s">
        <v>3017</v>
      </c>
      <c r="B2196" t="s">
        <v>95</v>
      </c>
      <c r="C2196" t="s">
        <v>1028</v>
      </c>
      <c r="D2196" t="s">
        <v>106</v>
      </c>
      <c r="E2196">
        <v>10241.77</v>
      </c>
      <c r="F2196" s="2">
        <v>45584.666684444448</v>
      </c>
      <c r="G2196" t="s">
        <v>97</v>
      </c>
      <c r="H2196" t="s">
        <v>107</v>
      </c>
      <c r="I2196" t="s">
        <v>112</v>
      </c>
    </row>
    <row r="2197" spans="1:9" x14ac:dyDescent="0.45">
      <c r="A2197" t="s">
        <v>3018</v>
      </c>
      <c r="B2197" t="s">
        <v>99</v>
      </c>
      <c r="C2197" t="s">
        <v>932</v>
      </c>
      <c r="D2197" t="s">
        <v>92</v>
      </c>
      <c r="E2197">
        <v>3628.6</v>
      </c>
      <c r="F2197" s="2">
        <v>45347.666684444448</v>
      </c>
      <c r="G2197" t="s">
        <v>285</v>
      </c>
      <c r="I2197" t="s">
        <v>88</v>
      </c>
    </row>
    <row r="2198" spans="1:9" x14ac:dyDescent="0.45">
      <c r="A2198" t="s">
        <v>3019</v>
      </c>
      <c r="B2198" t="s">
        <v>90</v>
      </c>
      <c r="C2198" t="s">
        <v>2221</v>
      </c>
      <c r="D2198" t="s">
        <v>74</v>
      </c>
      <c r="E2198">
        <v>4029.44</v>
      </c>
      <c r="F2198" s="2">
        <v>45754.666684444448</v>
      </c>
      <c r="G2198" t="s">
        <v>93</v>
      </c>
      <c r="H2198" t="s">
        <v>145</v>
      </c>
      <c r="I2198" t="s">
        <v>88</v>
      </c>
    </row>
    <row r="2199" spans="1:9" x14ac:dyDescent="0.45">
      <c r="A2199" t="s">
        <v>3020</v>
      </c>
      <c r="B2199" t="s">
        <v>72</v>
      </c>
      <c r="C2199" t="s">
        <v>2712</v>
      </c>
      <c r="D2199" t="s">
        <v>92</v>
      </c>
      <c r="E2199">
        <v>0</v>
      </c>
      <c r="F2199" s="2">
        <v>45420.666684444448</v>
      </c>
      <c r="G2199" t="s">
        <v>75</v>
      </c>
      <c r="H2199" t="s">
        <v>76</v>
      </c>
      <c r="I2199" t="s">
        <v>88</v>
      </c>
    </row>
    <row r="2200" spans="1:9" x14ac:dyDescent="0.45">
      <c r="A2200" t="s">
        <v>3021</v>
      </c>
      <c r="B2200" t="s">
        <v>79</v>
      </c>
      <c r="C2200" t="s">
        <v>827</v>
      </c>
      <c r="D2200" t="s">
        <v>74</v>
      </c>
      <c r="E2200">
        <v>7105.48</v>
      </c>
      <c r="F2200" s="2">
        <v>45838.666684444448</v>
      </c>
      <c r="G2200" t="s">
        <v>86</v>
      </c>
      <c r="H2200" t="s">
        <v>128</v>
      </c>
      <c r="I2200" t="s">
        <v>82</v>
      </c>
    </row>
    <row r="2201" spans="1:9" x14ac:dyDescent="0.45">
      <c r="A2201" t="s">
        <v>3022</v>
      </c>
      <c r="B2201" t="s">
        <v>90</v>
      </c>
      <c r="C2201" t="s">
        <v>635</v>
      </c>
      <c r="D2201" t="s">
        <v>101</v>
      </c>
      <c r="E2201">
        <v>9903.6200000000008</v>
      </c>
      <c r="F2201" s="2">
        <v>45630.666684444448</v>
      </c>
      <c r="G2201" t="s">
        <v>93</v>
      </c>
      <c r="I2201" t="s">
        <v>119</v>
      </c>
    </row>
    <row r="2202" spans="1:9" x14ac:dyDescent="0.45">
      <c r="A2202" t="s">
        <v>3023</v>
      </c>
      <c r="B2202" t="s">
        <v>172</v>
      </c>
      <c r="C2202" t="s">
        <v>3024</v>
      </c>
      <c r="D2202" t="s">
        <v>74</v>
      </c>
      <c r="E2202">
        <v>0</v>
      </c>
      <c r="F2202" s="2">
        <v>45332.666684444448</v>
      </c>
      <c r="G2202" t="s">
        <v>174</v>
      </c>
      <c r="H2202" t="s">
        <v>128</v>
      </c>
      <c r="I2202" t="s">
        <v>163</v>
      </c>
    </row>
    <row r="2203" spans="1:9" x14ac:dyDescent="0.45">
      <c r="A2203" t="s">
        <v>3025</v>
      </c>
      <c r="B2203" t="s">
        <v>90</v>
      </c>
      <c r="D2203" t="s">
        <v>92</v>
      </c>
      <c r="E2203">
        <v>3733.45</v>
      </c>
      <c r="F2203" s="2">
        <v>45253.666684444448</v>
      </c>
      <c r="G2203" t="s">
        <v>93</v>
      </c>
      <c r="H2203" t="s">
        <v>81</v>
      </c>
      <c r="I2203" t="s">
        <v>112</v>
      </c>
    </row>
    <row r="2204" spans="1:9" x14ac:dyDescent="0.45">
      <c r="A2204" t="s">
        <v>3026</v>
      </c>
      <c r="B2204" t="s">
        <v>104</v>
      </c>
      <c r="C2204" t="s">
        <v>2100</v>
      </c>
      <c r="D2204" t="s">
        <v>148</v>
      </c>
      <c r="E2204">
        <v>7905.43</v>
      </c>
      <c r="F2204" s="2">
        <v>45266.666684444448</v>
      </c>
      <c r="G2204" t="s">
        <v>115</v>
      </c>
      <c r="H2204" t="s">
        <v>76</v>
      </c>
      <c r="I2204" t="s">
        <v>163</v>
      </c>
    </row>
    <row r="2205" spans="1:9" x14ac:dyDescent="0.45">
      <c r="A2205" t="s">
        <v>3027</v>
      </c>
      <c r="B2205" t="s">
        <v>109</v>
      </c>
      <c r="C2205" t="s">
        <v>1395</v>
      </c>
      <c r="D2205" t="s">
        <v>101</v>
      </c>
      <c r="E2205">
        <v>5935.08</v>
      </c>
      <c r="F2205" s="2">
        <v>45203.666684444448</v>
      </c>
      <c r="G2205" t="s">
        <v>307</v>
      </c>
      <c r="H2205" t="s">
        <v>133</v>
      </c>
      <c r="I2205" t="s">
        <v>77</v>
      </c>
    </row>
    <row r="2206" spans="1:9" x14ac:dyDescent="0.45">
      <c r="A2206" t="s">
        <v>3028</v>
      </c>
      <c r="B2206" t="s">
        <v>109</v>
      </c>
      <c r="C2206" t="s">
        <v>2402</v>
      </c>
      <c r="D2206" t="s">
        <v>74</v>
      </c>
      <c r="E2206">
        <v>4583.8</v>
      </c>
      <c r="F2206" s="2">
        <v>45590.666684444448</v>
      </c>
      <c r="G2206" t="s">
        <v>111</v>
      </c>
      <c r="H2206" t="s">
        <v>116</v>
      </c>
      <c r="I2206" t="s">
        <v>119</v>
      </c>
    </row>
    <row r="2207" spans="1:9" x14ac:dyDescent="0.45">
      <c r="A2207" t="s">
        <v>3029</v>
      </c>
      <c r="B2207" t="s">
        <v>99</v>
      </c>
      <c r="C2207" t="s">
        <v>847</v>
      </c>
      <c r="D2207" t="s">
        <v>101</v>
      </c>
      <c r="E2207">
        <v>5615.82</v>
      </c>
      <c r="F2207" s="2">
        <v>45304.666684444448</v>
      </c>
      <c r="G2207" t="s">
        <v>102</v>
      </c>
      <c r="H2207" t="s">
        <v>107</v>
      </c>
      <c r="I2207" t="s">
        <v>163</v>
      </c>
    </row>
    <row r="2208" spans="1:9" x14ac:dyDescent="0.45">
      <c r="A2208" t="s">
        <v>3030</v>
      </c>
      <c r="B2208" t="s">
        <v>79</v>
      </c>
      <c r="C2208" t="s">
        <v>2877</v>
      </c>
      <c r="D2208" t="s">
        <v>92</v>
      </c>
      <c r="E2208">
        <v>7794.13</v>
      </c>
      <c r="F2208" s="2">
        <v>45858.666684444448</v>
      </c>
      <c r="G2208" t="s">
        <v>86</v>
      </c>
      <c r="H2208" t="s">
        <v>136</v>
      </c>
      <c r="I2208" t="s">
        <v>88</v>
      </c>
    </row>
    <row r="2209" spans="1:9" x14ac:dyDescent="0.45">
      <c r="A2209" t="s">
        <v>3031</v>
      </c>
      <c r="B2209" t="s">
        <v>104</v>
      </c>
      <c r="D2209" t="s">
        <v>101</v>
      </c>
      <c r="E2209">
        <v>0</v>
      </c>
      <c r="F2209" s="2">
        <v>45583.666684444448</v>
      </c>
      <c r="G2209" t="s">
        <v>115</v>
      </c>
      <c r="H2209" t="s">
        <v>128</v>
      </c>
      <c r="I2209" t="s">
        <v>163</v>
      </c>
    </row>
    <row r="2210" spans="1:9" x14ac:dyDescent="0.45">
      <c r="A2210" t="s">
        <v>3032</v>
      </c>
      <c r="B2210" t="s">
        <v>72</v>
      </c>
      <c r="D2210" t="s">
        <v>101</v>
      </c>
      <c r="E2210">
        <v>8520.35</v>
      </c>
      <c r="F2210" s="2">
        <v>45217.666684444448</v>
      </c>
      <c r="G2210" t="s">
        <v>75</v>
      </c>
      <c r="H2210" t="s">
        <v>133</v>
      </c>
      <c r="I2210" t="s">
        <v>119</v>
      </c>
    </row>
    <row r="2211" spans="1:9" x14ac:dyDescent="0.45">
      <c r="A2211" t="s">
        <v>3033</v>
      </c>
      <c r="B2211" t="s">
        <v>138</v>
      </c>
      <c r="C2211" t="s">
        <v>2679</v>
      </c>
      <c r="D2211" t="s">
        <v>74</v>
      </c>
      <c r="E2211">
        <v>0</v>
      </c>
      <c r="F2211" s="2">
        <v>45826.666684444448</v>
      </c>
      <c r="G2211" t="s">
        <v>194</v>
      </c>
      <c r="H2211" t="s">
        <v>76</v>
      </c>
      <c r="I2211" t="s">
        <v>119</v>
      </c>
    </row>
    <row r="2212" spans="1:9" x14ac:dyDescent="0.45">
      <c r="A2212" t="s">
        <v>3034</v>
      </c>
      <c r="B2212" t="s">
        <v>99</v>
      </c>
      <c r="C2212" t="s">
        <v>1500</v>
      </c>
      <c r="D2212" t="s">
        <v>85</v>
      </c>
      <c r="E2212">
        <v>4014.25</v>
      </c>
      <c r="F2212" s="2">
        <v>45455.666684444448</v>
      </c>
      <c r="G2212" t="s">
        <v>102</v>
      </c>
      <c r="H2212" t="s">
        <v>133</v>
      </c>
      <c r="I2212" t="s">
        <v>119</v>
      </c>
    </row>
    <row r="2213" spans="1:9" x14ac:dyDescent="0.45">
      <c r="A2213" t="s">
        <v>1710</v>
      </c>
      <c r="B2213" t="s">
        <v>109</v>
      </c>
      <c r="C2213" t="s">
        <v>2501</v>
      </c>
      <c r="D2213" t="s">
        <v>101</v>
      </c>
      <c r="E2213">
        <v>0</v>
      </c>
      <c r="F2213" s="2">
        <v>45811.666684444448</v>
      </c>
      <c r="G2213" t="s">
        <v>111</v>
      </c>
      <c r="H2213" t="s">
        <v>116</v>
      </c>
      <c r="I2213" t="s">
        <v>82</v>
      </c>
    </row>
    <row r="2214" spans="1:9" x14ac:dyDescent="0.45">
      <c r="A2214" t="s">
        <v>3035</v>
      </c>
      <c r="B2214" t="s">
        <v>95</v>
      </c>
      <c r="D2214" t="s">
        <v>92</v>
      </c>
      <c r="E2214">
        <v>11291.35</v>
      </c>
      <c r="F2214" s="2">
        <v>45483.666684444448</v>
      </c>
      <c r="H2214" t="s">
        <v>133</v>
      </c>
      <c r="I2214" t="s">
        <v>77</v>
      </c>
    </row>
    <row r="2215" spans="1:9" x14ac:dyDescent="0.45">
      <c r="A2215" t="s">
        <v>3036</v>
      </c>
      <c r="B2215" t="s">
        <v>138</v>
      </c>
      <c r="C2215" t="s">
        <v>735</v>
      </c>
      <c r="D2215" t="s">
        <v>74</v>
      </c>
      <c r="E2215">
        <v>11966.73</v>
      </c>
      <c r="F2215" s="2">
        <v>45854.666684444448</v>
      </c>
      <c r="G2215" t="s">
        <v>140</v>
      </c>
      <c r="H2215" t="s">
        <v>136</v>
      </c>
      <c r="I2215" t="s">
        <v>119</v>
      </c>
    </row>
    <row r="2216" spans="1:9" x14ac:dyDescent="0.45">
      <c r="A2216" t="s">
        <v>3037</v>
      </c>
      <c r="B2216" t="s">
        <v>138</v>
      </c>
      <c r="C2216" t="s">
        <v>1896</v>
      </c>
      <c r="D2216" t="s">
        <v>92</v>
      </c>
      <c r="E2216">
        <v>6527.24</v>
      </c>
      <c r="F2216" s="2">
        <v>45194.666684444448</v>
      </c>
      <c r="H2216" t="s">
        <v>128</v>
      </c>
      <c r="I2216" t="s">
        <v>82</v>
      </c>
    </row>
    <row r="2217" spans="1:9" x14ac:dyDescent="0.45">
      <c r="A2217" t="s">
        <v>228</v>
      </c>
      <c r="B2217" t="s">
        <v>95</v>
      </c>
      <c r="C2217" t="s">
        <v>2090</v>
      </c>
      <c r="D2217" t="s">
        <v>74</v>
      </c>
      <c r="E2217">
        <v>3720.49</v>
      </c>
      <c r="F2217" s="2">
        <v>45691.666684444448</v>
      </c>
      <c r="G2217" t="s">
        <v>97</v>
      </c>
      <c r="H2217" t="s">
        <v>145</v>
      </c>
      <c r="I2217" t="s">
        <v>88</v>
      </c>
    </row>
    <row r="2218" spans="1:9" x14ac:dyDescent="0.45">
      <c r="A2218" t="s">
        <v>1511</v>
      </c>
      <c r="B2218" t="s">
        <v>172</v>
      </c>
      <c r="C2218" t="s">
        <v>1489</v>
      </c>
      <c r="D2218" t="s">
        <v>85</v>
      </c>
      <c r="E2218">
        <v>4121.05</v>
      </c>
      <c r="F2218" s="2">
        <v>45683.666684444448</v>
      </c>
      <c r="G2218" t="s">
        <v>174</v>
      </c>
      <c r="H2218" t="s">
        <v>145</v>
      </c>
      <c r="I2218" t="s">
        <v>119</v>
      </c>
    </row>
    <row r="2219" spans="1:9" x14ac:dyDescent="0.45">
      <c r="A2219" t="s">
        <v>1627</v>
      </c>
      <c r="B2219" t="s">
        <v>90</v>
      </c>
      <c r="C2219" t="s">
        <v>712</v>
      </c>
      <c r="D2219" t="s">
        <v>101</v>
      </c>
      <c r="E2219">
        <v>2303.9</v>
      </c>
      <c r="F2219" s="2">
        <v>45425.666684444448</v>
      </c>
      <c r="G2219" t="s">
        <v>93</v>
      </c>
      <c r="H2219" t="s">
        <v>145</v>
      </c>
      <c r="I2219" t="s">
        <v>82</v>
      </c>
    </row>
    <row r="2220" spans="1:9" x14ac:dyDescent="0.45">
      <c r="A2220" t="s">
        <v>3038</v>
      </c>
      <c r="B2220" t="s">
        <v>99</v>
      </c>
      <c r="C2220" t="s">
        <v>1650</v>
      </c>
      <c r="D2220" t="s">
        <v>92</v>
      </c>
      <c r="E2220">
        <v>3258.54</v>
      </c>
      <c r="F2220" s="2">
        <v>45435.666684444448</v>
      </c>
      <c r="G2220" t="s">
        <v>102</v>
      </c>
      <c r="H2220" t="s">
        <v>76</v>
      </c>
      <c r="I2220" t="s">
        <v>88</v>
      </c>
    </row>
    <row r="2221" spans="1:9" x14ac:dyDescent="0.45">
      <c r="A2221" t="s">
        <v>3039</v>
      </c>
      <c r="B2221" t="s">
        <v>104</v>
      </c>
      <c r="C2221" t="s">
        <v>3040</v>
      </c>
      <c r="D2221" t="s">
        <v>155</v>
      </c>
      <c r="E2221">
        <v>7833.76</v>
      </c>
      <c r="F2221" s="2">
        <v>45289.666684444448</v>
      </c>
      <c r="G2221" t="s">
        <v>115</v>
      </c>
      <c r="H2221" t="s">
        <v>136</v>
      </c>
      <c r="I2221" t="s">
        <v>163</v>
      </c>
    </row>
    <row r="2222" spans="1:9" x14ac:dyDescent="0.45">
      <c r="A2222" t="s">
        <v>3041</v>
      </c>
      <c r="B2222" t="s">
        <v>138</v>
      </c>
      <c r="C2222" t="s">
        <v>2658</v>
      </c>
      <c r="D2222" t="s">
        <v>155</v>
      </c>
      <c r="E2222">
        <v>3445.58</v>
      </c>
      <c r="F2222" s="2">
        <v>45856.666684444448</v>
      </c>
      <c r="H2222" t="s">
        <v>116</v>
      </c>
      <c r="I2222" t="s">
        <v>77</v>
      </c>
    </row>
    <row r="2223" spans="1:9" x14ac:dyDescent="0.45">
      <c r="A2223" t="s">
        <v>3042</v>
      </c>
      <c r="B2223" t="s">
        <v>90</v>
      </c>
      <c r="C2223" t="s">
        <v>1500</v>
      </c>
      <c r="D2223" t="s">
        <v>85</v>
      </c>
      <c r="E2223">
        <v>4546.17</v>
      </c>
      <c r="F2223" s="2">
        <v>45854.666684444448</v>
      </c>
      <c r="G2223" t="s">
        <v>93</v>
      </c>
      <c r="H2223" t="s">
        <v>116</v>
      </c>
      <c r="I2223" t="s">
        <v>82</v>
      </c>
    </row>
    <row r="2224" spans="1:9" x14ac:dyDescent="0.45">
      <c r="A2224" t="s">
        <v>3043</v>
      </c>
      <c r="B2224" t="s">
        <v>109</v>
      </c>
      <c r="C2224" t="s">
        <v>661</v>
      </c>
      <c r="D2224" t="s">
        <v>85</v>
      </c>
      <c r="E2224">
        <v>118.33</v>
      </c>
      <c r="F2224" s="2">
        <v>45845.666684444448</v>
      </c>
      <c r="G2224" t="s">
        <v>111</v>
      </c>
      <c r="H2224" t="s">
        <v>87</v>
      </c>
      <c r="I2224" t="s">
        <v>119</v>
      </c>
    </row>
    <row r="2225" spans="1:9" x14ac:dyDescent="0.45">
      <c r="A2225" t="s">
        <v>3044</v>
      </c>
      <c r="B2225" t="s">
        <v>104</v>
      </c>
      <c r="C2225" t="s">
        <v>393</v>
      </c>
      <c r="E2225">
        <v>5725.92</v>
      </c>
      <c r="F2225" s="2">
        <v>45781.666684444448</v>
      </c>
      <c r="G2225" t="s">
        <v>247</v>
      </c>
      <c r="H2225" t="s">
        <v>81</v>
      </c>
      <c r="I2225" t="s">
        <v>119</v>
      </c>
    </row>
    <row r="2226" spans="1:9" x14ac:dyDescent="0.45">
      <c r="A2226" t="s">
        <v>3045</v>
      </c>
      <c r="B2226" t="s">
        <v>99</v>
      </c>
      <c r="C2226" t="s">
        <v>166</v>
      </c>
      <c r="D2226" t="s">
        <v>92</v>
      </c>
      <c r="E2226">
        <v>3852.26</v>
      </c>
      <c r="F2226" s="2">
        <v>45306.666684444448</v>
      </c>
      <c r="H2226" t="s">
        <v>76</v>
      </c>
      <c r="I2226" t="s">
        <v>77</v>
      </c>
    </row>
    <row r="2227" spans="1:9" x14ac:dyDescent="0.45">
      <c r="A2227" t="s">
        <v>3046</v>
      </c>
      <c r="B2227" t="s">
        <v>72</v>
      </c>
      <c r="C2227" t="s">
        <v>1078</v>
      </c>
      <c r="D2227" t="s">
        <v>74</v>
      </c>
      <c r="E2227">
        <v>10533.99</v>
      </c>
      <c r="F2227" s="2">
        <v>45498.666684444448</v>
      </c>
      <c r="G2227" t="s">
        <v>75</v>
      </c>
      <c r="H2227" t="s">
        <v>118</v>
      </c>
      <c r="I2227" t="s">
        <v>88</v>
      </c>
    </row>
    <row r="2228" spans="1:9" x14ac:dyDescent="0.45">
      <c r="A2228" t="s">
        <v>3047</v>
      </c>
      <c r="B2228" t="s">
        <v>138</v>
      </c>
      <c r="C2228" t="s">
        <v>1080</v>
      </c>
      <c r="E2228">
        <v>6757.13</v>
      </c>
      <c r="F2228" s="2">
        <v>45648.666684444448</v>
      </c>
      <c r="G2228" t="s">
        <v>140</v>
      </c>
      <c r="H2228" t="s">
        <v>87</v>
      </c>
      <c r="I2228" t="s">
        <v>77</v>
      </c>
    </row>
    <row r="2229" spans="1:9" x14ac:dyDescent="0.45">
      <c r="A2229" t="s">
        <v>3048</v>
      </c>
      <c r="B2229" t="s">
        <v>109</v>
      </c>
      <c r="C2229" t="s">
        <v>2400</v>
      </c>
      <c r="D2229" t="s">
        <v>101</v>
      </c>
      <c r="E2229">
        <v>7675.41</v>
      </c>
      <c r="F2229" s="2">
        <v>45357.666684444448</v>
      </c>
      <c r="G2229" t="s">
        <v>111</v>
      </c>
      <c r="H2229" t="s">
        <v>107</v>
      </c>
      <c r="I2229" t="s">
        <v>88</v>
      </c>
    </row>
    <row r="2230" spans="1:9" x14ac:dyDescent="0.45">
      <c r="A2230" t="s">
        <v>2422</v>
      </c>
      <c r="B2230" t="s">
        <v>99</v>
      </c>
      <c r="C2230" t="s">
        <v>3049</v>
      </c>
      <c r="D2230" t="s">
        <v>74</v>
      </c>
      <c r="E2230">
        <v>214.48</v>
      </c>
      <c r="F2230" s="2">
        <v>45252.666684444448</v>
      </c>
      <c r="G2230" t="s">
        <v>102</v>
      </c>
      <c r="H2230" t="s">
        <v>145</v>
      </c>
      <c r="I2230" t="s">
        <v>77</v>
      </c>
    </row>
    <row r="2231" spans="1:9" x14ac:dyDescent="0.45">
      <c r="A2231" t="s">
        <v>3050</v>
      </c>
      <c r="B2231" t="s">
        <v>79</v>
      </c>
      <c r="C2231" t="s">
        <v>1030</v>
      </c>
      <c r="D2231" t="s">
        <v>101</v>
      </c>
      <c r="E2231">
        <v>2206.48</v>
      </c>
      <c r="F2231" s="2">
        <v>45333.666684444448</v>
      </c>
      <c r="G2231" t="s">
        <v>86</v>
      </c>
      <c r="H2231" t="s">
        <v>107</v>
      </c>
      <c r="I2231" t="s">
        <v>77</v>
      </c>
    </row>
    <row r="2232" spans="1:9" x14ac:dyDescent="0.45">
      <c r="A2232" t="s">
        <v>3051</v>
      </c>
      <c r="B2232" t="s">
        <v>109</v>
      </c>
      <c r="C2232" t="s">
        <v>1299</v>
      </c>
      <c r="D2232" t="s">
        <v>101</v>
      </c>
      <c r="E2232">
        <v>680.46</v>
      </c>
      <c r="F2232" s="2">
        <v>45270.666684444448</v>
      </c>
      <c r="G2232" t="s">
        <v>111</v>
      </c>
      <c r="H2232" t="s">
        <v>136</v>
      </c>
      <c r="I2232" t="s">
        <v>119</v>
      </c>
    </row>
    <row r="2233" spans="1:9" x14ac:dyDescent="0.45">
      <c r="A2233" t="s">
        <v>3052</v>
      </c>
      <c r="B2233" t="s">
        <v>104</v>
      </c>
      <c r="C2233" t="s">
        <v>397</v>
      </c>
      <c r="D2233" t="s">
        <v>85</v>
      </c>
      <c r="E2233">
        <v>2527.58</v>
      </c>
      <c r="F2233" s="2">
        <v>45370.666684444448</v>
      </c>
      <c r="G2233" t="s">
        <v>247</v>
      </c>
      <c r="H2233" t="s">
        <v>133</v>
      </c>
      <c r="I2233" t="s">
        <v>77</v>
      </c>
    </row>
    <row r="2234" spans="1:9" x14ac:dyDescent="0.45">
      <c r="A2234" t="s">
        <v>3053</v>
      </c>
      <c r="B2234" t="s">
        <v>79</v>
      </c>
      <c r="C2234" t="s">
        <v>2284</v>
      </c>
      <c r="D2234" t="s">
        <v>74</v>
      </c>
      <c r="E2234">
        <v>4026.49</v>
      </c>
      <c r="F2234" s="2">
        <v>45633.666684444448</v>
      </c>
      <c r="G2234" t="s">
        <v>86</v>
      </c>
      <c r="H2234" t="s">
        <v>136</v>
      </c>
      <c r="I2234" t="s">
        <v>112</v>
      </c>
    </row>
    <row r="2235" spans="1:9" x14ac:dyDescent="0.45">
      <c r="A2235" t="s">
        <v>3054</v>
      </c>
      <c r="B2235" t="s">
        <v>109</v>
      </c>
      <c r="C2235" t="s">
        <v>127</v>
      </c>
      <c r="D2235" t="s">
        <v>74</v>
      </c>
      <c r="E2235">
        <v>11080.62</v>
      </c>
      <c r="F2235" s="2">
        <v>45154.666684444448</v>
      </c>
      <c r="G2235" t="s">
        <v>111</v>
      </c>
      <c r="H2235" t="s">
        <v>116</v>
      </c>
      <c r="I2235" t="s">
        <v>88</v>
      </c>
    </row>
    <row r="2236" spans="1:9" x14ac:dyDescent="0.45">
      <c r="A2236" t="s">
        <v>3055</v>
      </c>
      <c r="B2236" t="s">
        <v>72</v>
      </c>
      <c r="C2236" t="s">
        <v>1028</v>
      </c>
      <c r="D2236" t="s">
        <v>74</v>
      </c>
      <c r="E2236">
        <v>11554.35</v>
      </c>
      <c r="F2236" s="2">
        <v>45497.666684444448</v>
      </c>
      <c r="G2236" t="s">
        <v>75</v>
      </c>
      <c r="H2236" t="s">
        <v>136</v>
      </c>
      <c r="I2236" t="s">
        <v>112</v>
      </c>
    </row>
    <row r="2237" spans="1:9" x14ac:dyDescent="0.45">
      <c r="A2237" t="s">
        <v>3056</v>
      </c>
      <c r="B2237" t="s">
        <v>90</v>
      </c>
      <c r="C2237" t="s">
        <v>2744</v>
      </c>
      <c r="D2237" t="s">
        <v>85</v>
      </c>
      <c r="E2237">
        <v>0</v>
      </c>
      <c r="F2237" s="2">
        <v>45695.666684444448</v>
      </c>
      <c r="G2237" t="s">
        <v>93</v>
      </c>
      <c r="H2237" t="s">
        <v>76</v>
      </c>
      <c r="I2237" t="s">
        <v>88</v>
      </c>
    </row>
    <row r="2238" spans="1:9" x14ac:dyDescent="0.45">
      <c r="A2238" t="s">
        <v>3057</v>
      </c>
      <c r="B2238" t="s">
        <v>72</v>
      </c>
      <c r="C2238" t="s">
        <v>3058</v>
      </c>
      <c r="D2238" t="s">
        <v>92</v>
      </c>
      <c r="E2238">
        <v>7994.32</v>
      </c>
      <c r="F2238" s="2">
        <v>45714.666684444448</v>
      </c>
      <c r="G2238" t="s">
        <v>75</v>
      </c>
      <c r="H2238" t="s">
        <v>128</v>
      </c>
      <c r="I2238" t="s">
        <v>77</v>
      </c>
    </row>
    <row r="2239" spans="1:9" x14ac:dyDescent="0.45">
      <c r="A2239" t="s">
        <v>3059</v>
      </c>
      <c r="B2239" t="s">
        <v>72</v>
      </c>
      <c r="C2239" t="s">
        <v>1215</v>
      </c>
      <c r="D2239" t="s">
        <v>101</v>
      </c>
      <c r="E2239">
        <v>3076.87</v>
      </c>
      <c r="F2239" s="2">
        <v>45505.666684444448</v>
      </c>
      <c r="G2239" t="s">
        <v>75</v>
      </c>
      <c r="H2239" t="s">
        <v>136</v>
      </c>
      <c r="I2239" t="s">
        <v>163</v>
      </c>
    </row>
    <row r="2240" spans="1:9" x14ac:dyDescent="0.45">
      <c r="A2240" t="s">
        <v>3060</v>
      </c>
      <c r="B2240" t="s">
        <v>95</v>
      </c>
      <c r="C2240" t="s">
        <v>1996</v>
      </c>
      <c r="D2240" t="s">
        <v>74</v>
      </c>
      <c r="E2240">
        <v>7129.46</v>
      </c>
      <c r="F2240" s="2">
        <v>45606.666684444448</v>
      </c>
      <c r="H2240" t="s">
        <v>133</v>
      </c>
      <c r="I2240" t="s">
        <v>112</v>
      </c>
    </row>
    <row r="2241" spans="1:9" x14ac:dyDescent="0.45">
      <c r="A2241" t="s">
        <v>3061</v>
      </c>
      <c r="B2241" t="s">
        <v>109</v>
      </c>
      <c r="C2241" t="s">
        <v>1137</v>
      </c>
      <c r="D2241" t="s">
        <v>74</v>
      </c>
      <c r="E2241">
        <v>4766.49</v>
      </c>
      <c r="F2241" s="2">
        <v>45692.666684444448</v>
      </c>
      <c r="G2241" t="s">
        <v>111</v>
      </c>
      <c r="H2241" t="s">
        <v>116</v>
      </c>
      <c r="I2241" t="s">
        <v>112</v>
      </c>
    </row>
    <row r="2242" spans="1:9" x14ac:dyDescent="0.45">
      <c r="A2242" t="s">
        <v>3062</v>
      </c>
      <c r="B2242" t="s">
        <v>90</v>
      </c>
      <c r="C2242" t="s">
        <v>454</v>
      </c>
      <c r="D2242" t="s">
        <v>155</v>
      </c>
      <c r="E2242">
        <v>10934.82</v>
      </c>
      <c r="F2242" s="2">
        <v>45260.666684444448</v>
      </c>
      <c r="G2242" t="s">
        <v>93</v>
      </c>
      <c r="H2242" t="s">
        <v>118</v>
      </c>
      <c r="I2242" t="s">
        <v>77</v>
      </c>
    </row>
    <row r="2243" spans="1:9" x14ac:dyDescent="0.45">
      <c r="A2243" t="s">
        <v>3063</v>
      </c>
      <c r="B2243" t="s">
        <v>172</v>
      </c>
      <c r="C2243" t="s">
        <v>2347</v>
      </c>
      <c r="D2243" t="s">
        <v>85</v>
      </c>
      <c r="E2243">
        <v>5970.9</v>
      </c>
      <c r="F2243" s="2">
        <v>45754.666684444448</v>
      </c>
      <c r="G2243" t="s">
        <v>174</v>
      </c>
      <c r="H2243" t="s">
        <v>145</v>
      </c>
      <c r="I2243" t="s">
        <v>77</v>
      </c>
    </row>
    <row r="2244" spans="1:9" x14ac:dyDescent="0.45">
      <c r="A2244" t="s">
        <v>3064</v>
      </c>
      <c r="B2244" t="s">
        <v>95</v>
      </c>
      <c r="C2244" t="s">
        <v>1542</v>
      </c>
      <c r="D2244" t="s">
        <v>85</v>
      </c>
      <c r="E2244">
        <v>0</v>
      </c>
      <c r="F2244" s="2">
        <v>45216.666684444448</v>
      </c>
      <c r="G2244" t="s">
        <v>97</v>
      </c>
      <c r="I2244" t="s">
        <v>112</v>
      </c>
    </row>
    <row r="2245" spans="1:9" x14ac:dyDescent="0.45">
      <c r="A2245" t="s">
        <v>3065</v>
      </c>
      <c r="B2245" t="s">
        <v>95</v>
      </c>
      <c r="C2245" t="s">
        <v>1510</v>
      </c>
      <c r="D2245" t="s">
        <v>74</v>
      </c>
      <c r="E2245">
        <v>6876.34</v>
      </c>
      <c r="F2245" s="2">
        <v>45195.666684444448</v>
      </c>
      <c r="G2245" t="s">
        <v>97</v>
      </c>
      <c r="I2245" t="s">
        <v>82</v>
      </c>
    </row>
    <row r="2246" spans="1:9" x14ac:dyDescent="0.45">
      <c r="A2246" t="s">
        <v>3066</v>
      </c>
      <c r="B2246" t="s">
        <v>72</v>
      </c>
      <c r="C2246" t="s">
        <v>987</v>
      </c>
      <c r="D2246" t="s">
        <v>92</v>
      </c>
      <c r="E2246">
        <v>0</v>
      </c>
      <c r="F2246" s="2">
        <v>45444.666684444448</v>
      </c>
      <c r="G2246" t="s">
        <v>75</v>
      </c>
      <c r="H2246" t="s">
        <v>116</v>
      </c>
      <c r="I2246" t="s">
        <v>77</v>
      </c>
    </row>
    <row r="2247" spans="1:9" x14ac:dyDescent="0.45">
      <c r="A2247" t="s">
        <v>3067</v>
      </c>
      <c r="B2247" t="s">
        <v>138</v>
      </c>
      <c r="C2247" t="s">
        <v>2824</v>
      </c>
      <c r="D2247" t="s">
        <v>85</v>
      </c>
      <c r="E2247">
        <v>3640.44</v>
      </c>
      <c r="F2247" s="2">
        <v>45535.666684444448</v>
      </c>
      <c r="G2247" t="s">
        <v>140</v>
      </c>
      <c r="H2247" t="s">
        <v>136</v>
      </c>
      <c r="I2247" t="s">
        <v>82</v>
      </c>
    </row>
    <row r="2248" spans="1:9" x14ac:dyDescent="0.45">
      <c r="A2248" t="s">
        <v>3068</v>
      </c>
      <c r="B2248" t="s">
        <v>138</v>
      </c>
      <c r="C2248" t="s">
        <v>785</v>
      </c>
      <c r="D2248" t="s">
        <v>74</v>
      </c>
      <c r="E2248">
        <v>666.94</v>
      </c>
      <c r="F2248" s="2">
        <v>45618.666684444448</v>
      </c>
      <c r="H2248" t="s">
        <v>118</v>
      </c>
      <c r="I2248" t="s">
        <v>77</v>
      </c>
    </row>
    <row r="2249" spans="1:9" x14ac:dyDescent="0.45">
      <c r="A2249" t="s">
        <v>3069</v>
      </c>
      <c r="B2249" t="s">
        <v>79</v>
      </c>
      <c r="C2249" t="s">
        <v>2413</v>
      </c>
      <c r="D2249" t="s">
        <v>74</v>
      </c>
      <c r="E2249">
        <v>6949.37</v>
      </c>
      <c r="F2249" s="2">
        <v>45666.666684444448</v>
      </c>
      <c r="G2249" t="s">
        <v>86</v>
      </c>
      <c r="H2249" t="s">
        <v>87</v>
      </c>
      <c r="I2249" t="s">
        <v>119</v>
      </c>
    </row>
    <row r="2250" spans="1:9" x14ac:dyDescent="0.45">
      <c r="A2250" t="s">
        <v>3070</v>
      </c>
      <c r="B2250" t="s">
        <v>172</v>
      </c>
      <c r="C2250" t="s">
        <v>220</v>
      </c>
      <c r="D2250" t="s">
        <v>101</v>
      </c>
      <c r="E2250">
        <v>4861.8900000000003</v>
      </c>
      <c r="F2250" s="2">
        <v>45548.666684444448</v>
      </c>
      <c r="G2250" t="s">
        <v>174</v>
      </c>
      <c r="H2250" t="s">
        <v>87</v>
      </c>
      <c r="I2250" t="s">
        <v>163</v>
      </c>
    </row>
    <row r="2251" spans="1:9" x14ac:dyDescent="0.45">
      <c r="A2251" t="s">
        <v>3071</v>
      </c>
      <c r="B2251" t="s">
        <v>90</v>
      </c>
      <c r="C2251" t="s">
        <v>983</v>
      </c>
      <c r="E2251">
        <v>8189.92</v>
      </c>
      <c r="F2251" s="2">
        <v>45547.666684444448</v>
      </c>
      <c r="G2251" t="s">
        <v>93</v>
      </c>
      <c r="H2251" t="s">
        <v>136</v>
      </c>
      <c r="I2251" t="s">
        <v>88</v>
      </c>
    </row>
    <row r="2252" spans="1:9" x14ac:dyDescent="0.45">
      <c r="A2252" t="s">
        <v>3072</v>
      </c>
      <c r="B2252" t="s">
        <v>95</v>
      </c>
      <c r="C2252" t="s">
        <v>1397</v>
      </c>
      <c r="D2252" t="s">
        <v>148</v>
      </c>
      <c r="E2252">
        <v>8323.41</v>
      </c>
      <c r="F2252" s="2">
        <v>45716.666684444448</v>
      </c>
      <c r="G2252" t="s">
        <v>97</v>
      </c>
      <c r="H2252" t="s">
        <v>136</v>
      </c>
      <c r="I2252" t="s">
        <v>77</v>
      </c>
    </row>
    <row r="2253" spans="1:9" x14ac:dyDescent="0.45">
      <c r="A2253" t="s">
        <v>3073</v>
      </c>
      <c r="B2253" t="s">
        <v>109</v>
      </c>
      <c r="C2253" t="s">
        <v>139</v>
      </c>
      <c r="D2253" t="s">
        <v>85</v>
      </c>
      <c r="E2253">
        <v>8607.16</v>
      </c>
      <c r="F2253" s="2">
        <v>45203.666684444448</v>
      </c>
      <c r="H2253" t="s">
        <v>128</v>
      </c>
      <c r="I2253" t="s">
        <v>112</v>
      </c>
    </row>
    <row r="2254" spans="1:9" x14ac:dyDescent="0.45">
      <c r="A2254" t="s">
        <v>3074</v>
      </c>
      <c r="B2254" t="s">
        <v>72</v>
      </c>
      <c r="C2254" t="s">
        <v>3075</v>
      </c>
      <c r="D2254" t="s">
        <v>92</v>
      </c>
      <c r="E2254">
        <v>2014.84</v>
      </c>
      <c r="F2254" s="2">
        <v>45256.666684444448</v>
      </c>
      <c r="G2254" t="s">
        <v>75</v>
      </c>
      <c r="H2254" t="s">
        <v>87</v>
      </c>
      <c r="I2254" t="s">
        <v>119</v>
      </c>
    </row>
    <row r="2255" spans="1:9" x14ac:dyDescent="0.45">
      <c r="A2255" t="s">
        <v>3076</v>
      </c>
      <c r="B2255" t="s">
        <v>104</v>
      </c>
      <c r="C2255" t="s">
        <v>631</v>
      </c>
      <c r="D2255" t="s">
        <v>74</v>
      </c>
      <c r="E2255">
        <v>5820.66</v>
      </c>
      <c r="F2255" s="2">
        <v>45452.666684444448</v>
      </c>
      <c r="H2255" t="s">
        <v>145</v>
      </c>
      <c r="I2255" t="s">
        <v>119</v>
      </c>
    </row>
    <row r="2256" spans="1:9" x14ac:dyDescent="0.45">
      <c r="A2256" t="s">
        <v>3077</v>
      </c>
      <c r="B2256" t="s">
        <v>109</v>
      </c>
      <c r="C2256" t="s">
        <v>1137</v>
      </c>
      <c r="D2256" t="s">
        <v>85</v>
      </c>
      <c r="E2256">
        <v>6342.48</v>
      </c>
      <c r="F2256" s="2">
        <v>45785.666684444448</v>
      </c>
      <c r="G2256" t="s">
        <v>111</v>
      </c>
      <c r="H2256" t="s">
        <v>145</v>
      </c>
      <c r="I2256" t="s">
        <v>119</v>
      </c>
    </row>
    <row r="2257" spans="1:9" x14ac:dyDescent="0.45">
      <c r="A2257" t="s">
        <v>1708</v>
      </c>
      <c r="B2257" t="s">
        <v>109</v>
      </c>
      <c r="C2257" t="s">
        <v>365</v>
      </c>
      <c r="D2257" t="s">
        <v>92</v>
      </c>
      <c r="E2257">
        <v>8250.0300000000007</v>
      </c>
      <c r="F2257" s="2">
        <v>45203.666684444448</v>
      </c>
      <c r="G2257" t="s">
        <v>111</v>
      </c>
      <c r="H2257" t="s">
        <v>107</v>
      </c>
      <c r="I2257" t="s">
        <v>112</v>
      </c>
    </row>
    <row r="2258" spans="1:9" x14ac:dyDescent="0.45">
      <c r="A2258" t="s">
        <v>3078</v>
      </c>
      <c r="B2258" t="s">
        <v>95</v>
      </c>
      <c r="C2258" t="s">
        <v>2684</v>
      </c>
      <c r="D2258" t="s">
        <v>74</v>
      </c>
      <c r="E2258">
        <v>5505.68</v>
      </c>
      <c r="F2258" s="2">
        <v>45588.666684444448</v>
      </c>
      <c r="G2258" t="s">
        <v>97</v>
      </c>
      <c r="H2258" t="s">
        <v>116</v>
      </c>
      <c r="I2258" t="s">
        <v>88</v>
      </c>
    </row>
    <row r="2259" spans="1:9" x14ac:dyDescent="0.45">
      <c r="A2259" t="s">
        <v>3079</v>
      </c>
      <c r="B2259" t="s">
        <v>90</v>
      </c>
      <c r="C2259" t="s">
        <v>2560</v>
      </c>
      <c r="D2259" t="s">
        <v>148</v>
      </c>
      <c r="E2259">
        <v>4709.34</v>
      </c>
      <c r="F2259" s="2">
        <v>45605.666684444448</v>
      </c>
      <c r="G2259" t="s">
        <v>93</v>
      </c>
      <c r="H2259" t="s">
        <v>107</v>
      </c>
      <c r="I2259" t="s">
        <v>119</v>
      </c>
    </row>
    <row r="2260" spans="1:9" x14ac:dyDescent="0.45">
      <c r="A2260" t="s">
        <v>3080</v>
      </c>
      <c r="B2260" t="s">
        <v>72</v>
      </c>
      <c r="C2260" t="s">
        <v>3081</v>
      </c>
      <c r="D2260" t="s">
        <v>74</v>
      </c>
      <c r="E2260">
        <v>3823.25</v>
      </c>
      <c r="F2260" s="2">
        <v>45824.666684444448</v>
      </c>
      <c r="G2260" t="s">
        <v>75</v>
      </c>
      <c r="H2260" t="s">
        <v>116</v>
      </c>
      <c r="I2260" t="s">
        <v>88</v>
      </c>
    </row>
    <row r="2261" spans="1:9" x14ac:dyDescent="0.45">
      <c r="A2261" t="s">
        <v>3082</v>
      </c>
      <c r="B2261" t="s">
        <v>72</v>
      </c>
      <c r="C2261" t="s">
        <v>96</v>
      </c>
      <c r="D2261" t="s">
        <v>101</v>
      </c>
      <c r="E2261">
        <v>5960.69</v>
      </c>
      <c r="F2261" s="2">
        <v>45657.666684444448</v>
      </c>
      <c r="G2261" t="s">
        <v>75</v>
      </c>
      <c r="H2261" t="s">
        <v>116</v>
      </c>
      <c r="I2261" t="s">
        <v>119</v>
      </c>
    </row>
    <row r="2262" spans="1:9" x14ac:dyDescent="0.45">
      <c r="A2262" t="s">
        <v>3083</v>
      </c>
      <c r="B2262" t="s">
        <v>90</v>
      </c>
      <c r="C2262" t="s">
        <v>819</v>
      </c>
      <c r="D2262" t="s">
        <v>85</v>
      </c>
      <c r="E2262">
        <v>2169.8200000000002</v>
      </c>
      <c r="F2262" s="2">
        <v>45480.666684444448</v>
      </c>
      <c r="G2262" t="s">
        <v>93</v>
      </c>
      <c r="H2262" t="s">
        <v>116</v>
      </c>
      <c r="I2262" t="s">
        <v>112</v>
      </c>
    </row>
    <row r="2263" spans="1:9" x14ac:dyDescent="0.45">
      <c r="A2263" t="s">
        <v>3084</v>
      </c>
      <c r="B2263" t="s">
        <v>138</v>
      </c>
      <c r="C2263" t="s">
        <v>860</v>
      </c>
      <c r="D2263" t="s">
        <v>85</v>
      </c>
      <c r="E2263">
        <v>3295.78</v>
      </c>
      <c r="F2263" s="2">
        <v>45259.666684444448</v>
      </c>
      <c r="G2263" t="s">
        <v>140</v>
      </c>
      <c r="H2263" t="s">
        <v>118</v>
      </c>
      <c r="I2263" t="s">
        <v>112</v>
      </c>
    </row>
    <row r="2264" spans="1:9" x14ac:dyDescent="0.45">
      <c r="A2264" t="s">
        <v>3085</v>
      </c>
      <c r="B2264" t="s">
        <v>99</v>
      </c>
      <c r="C2264" t="s">
        <v>2202</v>
      </c>
      <c r="D2264" t="s">
        <v>92</v>
      </c>
      <c r="E2264">
        <v>9990.34</v>
      </c>
      <c r="F2264" s="2">
        <v>45692.666684444448</v>
      </c>
      <c r="G2264" t="s">
        <v>102</v>
      </c>
      <c r="I2264" t="s">
        <v>119</v>
      </c>
    </row>
    <row r="2265" spans="1:9" x14ac:dyDescent="0.45">
      <c r="A2265" t="s">
        <v>3086</v>
      </c>
      <c r="B2265" t="s">
        <v>79</v>
      </c>
      <c r="C2265" t="s">
        <v>851</v>
      </c>
      <c r="D2265" t="s">
        <v>74</v>
      </c>
      <c r="E2265">
        <v>8762.93</v>
      </c>
      <c r="F2265" s="2">
        <v>45783.666684444448</v>
      </c>
      <c r="H2265" t="s">
        <v>145</v>
      </c>
      <c r="I2265" t="s">
        <v>163</v>
      </c>
    </row>
    <row r="2266" spans="1:9" x14ac:dyDescent="0.45">
      <c r="A2266" t="s">
        <v>488</v>
      </c>
      <c r="B2266" t="s">
        <v>79</v>
      </c>
      <c r="C2266" t="s">
        <v>1510</v>
      </c>
      <c r="E2266">
        <v>8545.42</v>
      </c>
      <c r="F2266" s="2">
        <v>45729.666684444448</v>
      </c>
      <c r="G2266" t="s">
        <v>86</v>
      </c>
      <c r="H2266" t="s">
        <v>116</v>
      </c>
      <c r="I2266" t="s">
        <v>119</v>
      </c>
    </row>
    <row r="2267" spans="1:9" x14ac:dyDescent="0.45">
      <c r="A2267" t="s">
        <v>3087</v>
      </c>
      <c r="B2267" t="s">
        <v>138</v>
      </c>
      <c r="C2267" t="s">
        <v>762</v>
      </c>
      <c r="D2267" t="s">
        <v>85</v>
      </c>
      <c r="E2267">
        <v>7817.87</v>
      </c>
      <c r="F2267" s="2">
        <v>45314.666684444448</v>
      </c>
      <c r="G2267" t="s">
        <v>140</v>
      </c>
      <c r="I2267" t="s">
        <v>88</v>
      </c>
    </row>
    <row r="2268" spans="1:9" x14ac:dyDescent="0.45">
      <c r="A2268" t="s">
        <v>3088</v>
      </c>
      <c r="B2268" t="s">
        <v>95</v>
      </c>
      <c r="C2268" t="s">
        <v>193</v>
      </c>
      <c r="D2268" t="s">
        <v>85</v>
      </c>
      <c r="E2268">
        <v>837.08</v>
      </c>
      <c r="F2268" s="2">
        <v>45260.666684444448</v>
      </c>
      <c r="G2268" t="s">
        <v>97</v>
      </c>
      <c r="H2268" t="s">
        <v>118</v>
      </c>
      <c r="I2268" t="s">
        <v>163</v>
      </c>
    </row>
    <row r="2269" spans="1:9" x14ac:dyDescent="0.45">
      <c r="A2269" t="s">
        <v>3089</v>
      </c>
      <c r="B2269" t="s">
        <v>95</v>
      </c>
      <c r="C2269" t="s">
        <v>851</v>
      </c>
      <c r="D2269" t="s">
        <v>106</v>
      </c>
      <c r="E2269">
        <v>5541.34</v>
      </c>
      <c r="F2269" s="2">
        <v>45571.666684444448</v>
      </c>
      <c r="G2269" t="s">
        <v>97</v>
      </c>
      <c r="H2269" t="s">
        <v>76</v>
      </c>
      <c r="I2269" t="s">
        <v>163</v>
      </c>
    </row>
    <row r="2270" spans="1:9" x14ac:dyDescent="0.45">
      <c r="A2270" t="s">
        <v>3090</v>
      </c>
      <c r="B2270" t="s">
        <v>172</v>
      </c>
      <c r="C2270" t="s">
        <v>787</v>
      </c>
      <c r="D2270" t="s">
        <v>92</v>
      </c>
      <c r="E2270">
        <v>8732.51</v>
      </c>
      <c r="F2270" s="2">
        <v>45642.666684444448</v>
      </c>
      <c r="G2270" t="s">
        <v>174</v>
      </c>
      <c r="H2270" t="s">
        <v>118</v>
      </c>
      <c r="I2270" t="s">
        <v>119</v>
      </c>
    </row>
    <row r="2271" spans="1:9" x14ac:dyDescent="0.45">
      <c r="A2271" t="s">
        <v>3091</v>
      </c>
      <c r="B2271" t="s">
        <v>79</v>
      </c>
      <c r="C2271" t="s">
        <v>886</v>
      </c>
      <c r="D2271" t="s">
        <v>74</v>
      </c>
      <c r="E2271">
        <v>0</v>
      </c>
      <c r="F2271" s="2">
        <v>45184.666684444448</v>
      </c>
      <c r="G2271" t="s">
        <v>278</v>
      </c>
      <c r="H2271" t="s">
        <v>87</v>
      </c>
      <c r="I2271" t="s">
        <v>119</v>
      </c>
    </row>
    <row r="2272" spans="1:9" x14ac:dyDescent="0.45">
      <c r="A2272" t="s">
        <v>3092</v>
      </c>
      <c r="B2272" t="s">
        <v>79</v>
      </c>
      <c r="C2272" t="s">
        <v>1146</v>
      </c>
      <c r="D2272" t="s">
        <v>92</v>
      </c>
      <c r="E2272">
        <v>8982.7800000000007</v>
      </c>
      <c r="F2272" s="2">
        <v>45255.666684444448</v>
      </c>
      <c r="G2272" t="s">
        <v>86</v>
      </c>
      <c r="I2272" t="s">
        <v>82</v>
      </c>
    </row>
    <row r="2273" spans="1:9" x14ac:dyDescent="0.45">
      <c r="A2273" t="s">
        <v>3093</v>
      </c>
      <c r="B2273" t="s">
        <v>95</v>
      </c>
      <c r="C2273" t="s">
        <v>3094</v>
      </c>
      <c r="D2273" t="s">
        <v>74</v>
      </c>
      <c r="E2273">
        <v>8463.4</v>
      </c>
      <c r="F2273" s="2">
        <v>45658.666684444448</v>
      </c>
      <c r="G2273" t="s">
        <v>97</v>
      </c>
      <c r="H2273" t="s">
        <v>81</v>
      </c>
      <c r="I2273" t="s">
        <v>163</v>
      </c>
    </row>
    <row r="2274" spans="1:9" x14ac:dyDescent="0.45">
      <c r="A2274" t="s">
        <v>3095</v>
      </c>
      <c r="B2274" t="s">
        <v>109</v>
      </c>
      <c r="C2274" t="s">
        <v>1667</v>
      </c>
      <c r="D2274" t="s">
        <v>74</v>
      </c>
      <c r="E2274">
        <v>11408.55</v>
      </c>
      <c r="F2274" s="2">
        <v>45284.666684444448</v>
      </c>
      <c r="G2274" t="s">
        <v>111</v>
      </c>
      <c r="H2274" t="s">
        <v>107</v>
      </c>
      <c r="I2274" t="s">
        <v>163</v>
      </c>
    </row>
    <row r="2275" spans="1:9" x14ac:dyDescent="0.45">
      <c r="A2275" t="s">
        <v>3096</v>
      </c>
      <c r="B2275" t="s">
        <v>79</v>
      </c>
      <c r="C2275" t="s">
        <v>2018</v>
      </c>
      <c r="D2275" t="s">
        <v>101</v>
      </c>
      <c r="E2275">
        <v>178.43</v>
      </c>
      <c r="F2275" s="2">
        <v>45439.666684444448</v>
      </c>
      <c r="G2275" t="s">
        <v>278</v>
      </c>
      <c r="H2275" t="s">
        <v>81</v>
      </c>
      <c r="I2275" t="s">
        <v>112</v>
      </c>
    </row>
    <row r="2276" spans="1:9" x14ac:dyDescent="0.45">
      <c r="A2276" t="s">
        <v>3097</v>
      </c>
      <c r="B2276" t="s">
        <v>90</v>
      </c>
      <c r="C2276" t="s">
        <v>3098</v>
      </c>
      <c r="D2276" t="s">
        <v>106</v>
      </c>
      <c r="E2276">
        <v>1716.73</v>
      </c>
      <c r="F2276" s="2">
        <v>45296.666684444448</v>
      </c>
      <c r="G2276" t="s">
        <v>93</v>
      </c>
      <c r="I2276" t="s">
        <v>112</v>
      </c>
    </row>
    <row r="2277" spans="1:9" x14ac:dyDescent="0.45">
      <c r="A2277" t="s">
        <v>3099</v>
      </c>
      <c r="B2277" t="s">
        <v>104</v>
      </c>
      <c r="C2277" t="s">
        <v>1413</v>
      </c>
      <c r="D2277" t="s">
        <v>74</v>
      </c>
      <c r="E2277">
        <v>1248.1500000000001</v>
      </c>
      <c r="F2277" s="2">
        <v>45293.666684444448</v>
      </c>
      <c r="H2277" t="s">
        <v>128</v>
      </c>
      <c r="I2277" t="s">
        <v>88</v>
      </c>
    </row>
    <row r="2278" spans="1:9" x14ac:dyDescent="0.45">
      <c r="A2278" t="s">
        <v>3100</v>
      </c>
      <c r="B2278" t="s">
        <v>90</v>
      </c>
      <c r="C2278" t="s">
        <v>653</v>
      </c>
      <c r="D2278" t="s">
        <v>92</v>
      </c>
      <c r="E2278">
        <v>2713.19</v>
      </c>
      <c r="F2278" s="2">
        <v>45458.666684444448</v>
      </c>
      <c r="G2278" t="s">
        <v>93</v>
      </c>
      <c r="H2278" t="s">
        <v>145</v>
      </c>
      <c r="I2278" t="s">
        <v>82</v>
      </c>
    </row>
    <row r="2279" spans="1:9" x14ac:dyDescent="0.45">
      <c r="A2279" t="s">
        <v>3101</v>
      </c>
      <c r="B2279" t="s">
        <v>109</v>
      </c>
      <c r="C2279" t="s">
        <v>1425</v>
      </c>
      <c r="D2279" t="s">
        <v>74</v>
      </c>
      <c r="E2279">
        <v>3702.8</v>
      </c>
      <c r="F2279" s="2">
        <v>45854.666684444448</v>
      </c>
      <c r="H2279" t="s">
        <v>87</v>
      </c>
      <c r="I2279" t="s">
        <v>88</v>
      </c>
    </row>
    <row r="2280" spans="1:9" x14ac:dyDescent="0.45">
      <c r="A2280" t="s">
        <v>3102</v>
      </c>
      <c r="B2280" t="s">
        <v>172</v>
      </c>
      <c r="C2280" t="s">
        <v>3103</v>
      </c>
      <c r="D2280" t="s">
        <v>92</v>
      </c>
      <c r="E2280">
        <v>463.4</v>
      </c>
      <c r="F2280" s="2">
        <v>45358.666684444448</v>
      </c>
      <c r="G2280" t="s">
        <v>174</v>
      </c>
      <c r="H2280" t="s">
        <v>87</v>
      </c>
      <c r="I2280" t="s">
        <v>77</v>
      </c>
    </row>
    <row r="2281" spans="1:9" x14ac:dyDescent="0.45">
      <c r="A2281" t="s">
        <v>3104</v>
      </c>
      <c r="B2281" t="s">
        <v>95</v>
      </c>
      <c r="C2281" t="s">
        <v>3105</v>
      </c>
      <c r="D2281" t="s">
        <v>85</v>
      </c>
      <c r="E2281">
        <v>2695.67</v>
      </c>
      <c r="F2281" s="2">
        <v>45482.666684444448</v>
      </c>
      <c r="G2281" t="s">
        <v>336</v>
      </c>
      <c r="H2281" t="s">
        <v>118</v>
      </c>
      <c r="I2281" t="s">
        <v>163</v>
      </c>
    </row>
    <row r="2282" spans="1:9" x14ac:dyDescent="0.45">
      <c r="A2282" t="s">
        <v>3106</v>
      </c>
      <c r="B2282" t="s">
        <v>172</v>
      </c>
      <c r="C2282" t="s">
        <v>2920</v>
      </c>
      <c r="D2282" t="s">
        <v>92</v>
      </c>
      <c r="E2282">
        <v>10542.21</v>
      </c>
      <c r="F2282" s="2">
        <v>45659.666684444448</v>
      </c>
      <c r="G2282" t="s">
        <v>174</v>
      </c>
      <c r="H2282" t="s">
        <v>118</v>
      </c>
      <c r="I2282" t="s">
        <v>77</v>
      </c>
    </row>
    <row r="2283" spans="1:9" x14ac:dyDescent="0.45">
      <c r="A2283" t="s">
        <v>3107</v>
      </c>
      <c r="B2283" t="s">
        <v>172</v>
      </c>
      <c r="C2283" t="s">
        <v>1700</v>
      </c>
      <c r="D2283" t="s">
        <v>74</v>
      </c>
      <c r="E2283">
        <v>0</v>
      </c>
      <c r="F2283" s="2">
        <v>45418.666684444448</v>
      </c>
      <c r="H2283" t="s">
        <v>136</v>
      </c>
      <c r="I2283" t="s">
        <v>88</v>
      </c>
    </row>
    <row r="2284" spans="1:9" x14ac:dyDescent="0.45">
      <c r="A2284" t="s">
        <v>3108</v>
      </c>
      <c r="B2284" t="s">
        <v>95</v>
      </c>
      <c r="C2284" t="s">
        <v>696</v>
      </c>
      <c r="D2284" t="s">
        <v>92</v>
      </c>
      <c r="E2284">
        <v>0</v>
      </c>
      <c r="F2284" s="2">
        <v>45208.666684444448</v>
      </c>
      <c r="G2284" t="s">
        <v>97</v>
      </c>
      <c r="H2284" t="s">
        <v>76</v>
      </c>
      <c r="I2284" t="s">
        <v>119</v>
      </c>
    </row>
    <row r="2285" spans="1:9" x14ac:dyDescent="0.45">
      <c r="A2285" t="s">
        <v>3109</v>
      </c>
      <c r="B2285" t="s">
        <v>72</v>
      </c>
      <c r="C2285" t="s">
        <v>2212</v>
      </c>
      <c r="D2285" t="s">
        <v>106</v>
      </c>
      <c r="E2285">
        <v>1600.22</v>
      </c>
      <c r="F2285" s="2">
        <v>45384.666684444448</v>
      </c>
      <c r="G2285" t="s">
        <v>75</v>
      </c>
      <c r="H2285" t="s">
        <v>128</v>
      </c>
      <c r="I2285" t="s">
        <v>163</v>
      </c>
    </row>
    <row r="2286" spans="1:9" x14ac:dyDescent="0.45">
      <c r="A2286" t="s">
        <v>3110</v>
      </c>
      <c r="B2286" t="s">
        <v>104</v>
      </c>
      <c r="C2286" t="s">
        <v>1684</v>
      </c>
      <c r="D2286" t="s">
        <v>92</v>
      </c>
      <c r="E2286">
        <v>268.39999999999998</v>
      </c>
      <c r="F2286" s="2">
        <v>45329.666684444448</v>
      </c>
      <c r="G2286" t="s">
        <v>115</v>
      </c>
      <c r="H2286" t="s">
        <v>136</v>
      </c>
      <c r="I2286" t="s">
        <v>112</v>
      </c>
    </row>
    <row r="2287" spans="1:9" x14ac:dyDescent="0.45">
      <c r="A2287" t="s">
        <v>3111</v>
      </c>
      <c r="B2287" t="s">
        <v>79</v>
      </c>
      <c r="C2287" t="s">
        <v>1221</v>
      </c>
      <c r="D2287" t="s">
        <v>85</v>
      </c>
      <c r="E2287">
        <v>0</v>
      </c>
      <c r="F2287" s="2">
        <v>45778.666684444448</v>
      </c>
      <c r="G2287" t="s">
        <v>86</v>
      </c>
      <c r="I2287" t="s">
        <v>77</v>
      </c>
    </row>
    <row r="2288" spans="1:9" x14ac:dyDescent="0.45">
      <c r="A2288" t="s">
        <v>865</v>
      </c>
      <c r="B2288" t="s">
        <v>172</v>
      </c>
      <c r="C2288" t="s">
        <v>2160</v>
      </c>
      <c r="D2288" t="s">
        <v>155</v>
      </c>
      <c r="E2288">
        <v>780.07</v>
      </c>
      <c r="F2288" s="2">
        <v>45692.666684444448</v>
      </c>
      <c r="I2288" t="s">
        <v>119</v>
      </c>
    </row>
    <row r="2289" spans="1:9" x14ac:dyDescent="0.45">
      <c r="A2289" t="s">
        <v>3112</v>
      </c>
      <c r="B2289" t="s">
        <v>90</v>
      </c>
      <c r="C2289" t="s">
        <v>1489</v>
      </c>
      <c r="D2289" t="s">
        <v>74</v>
      </c>
      <c r="E2289">
        <v>9993.2999999999993</v>
      </c>
      <c r="F2289" s="2">
        <v>45409.666684444448</v>
      </c>
      <c r="G2289" t="s">
        <v>93</v>
      </c>
      <c r="H2289" t="s">
        <v>145</v>
      </c>
      <c r="I2289" t="s">
        <v>112</v>
      </c>
    </row>
    <row r="2290" spans="1:9" x14ac:dyDescent="0.45">
      <c r="A2290" t="s">
        <v>3113</v>
      </c>
      <c r="B2290" t="s">
        <v>72</v>
      </c>
      <c r="C2290" t="s">
        <v>1267</v>
      </c>
      <c r="D2290" t="s">
        <v>92</v>
      </c>
      <c r="E2290">
        <v>8734.01</v>
      </c>
      <c r="F2290" s="2">
        <v>45256.666684444448</v>
      </c>
      <c r="G2290" t="s">
        <v>75</v>
      </c>
      <c r="H2290" t="s">
        <v>116</v>
      </c>
      <c r="I2290" t="s">
        <v>112</v>
      </c>
    </row>
    <row r="2291" spans="1:9" x14ac:dyDescent="0.45">
      <c r="A2291" t="s">
        <v>3114</v>
      </c>
      <c r="B2291" t="s">
        <v>72</v>
      </c>
      <c r="C2291" t="s">
        <v>3115</v>
      </c>
      <c r="D2291" t="s">
        <v>148</v>
      </c>
      <c r="E2291">
        <v>0</v>
      </c>
      <c r="F2291" s="2">
        <v>45768.666684444448</v>
      </c>
      <c r="G2291" t="s">
        <v>75</v>
      </c>
      <c r="H2291" t="s">
        <v>87</v>
      </c>
      <c r="I2291" t="s">
        <v>77</v>
      </c>
    </row>
    <row r="2292" spans="1:9" x14ac:dyDescent="0.45">
      <c r="A2292" t="s">
        <v>3116</v>
      </c>
      <c r="B2292" t="s">
        <v>109</v>
      </c>
      <c r="C2292" t="s">
        <v>1004</v>
      </c>
      <c r="D2292" t="s">
        <v>74</v>
      </c>
      <c r="E2292">
        <v>3800.97</v>
      </c>
      <c r="F2292" s="2">
        <v>45438.666684444448</v>
      </c>
      <c r="G2292" t="s">
        <v>111</v>
      </c>
      <c r="H2292" t="s">
        <v>81</v>
      </c>
      <c r="I2292" t="s">
        <v>77</v>
      </c>
    </row>
    <row r="2293" spans="1:9" x14ac:dyDescent="0.45">
      <c r="A2293" t="s">
        <v>3117</v>
      </c>
      <c r="B2293" t="s">
        <v>172</v>
      </c>
      <c r="C2293" t="s">
        <v>243</v>
      </c>
      <c r="D2293" t="s">
        <v>85</v>
      </c>
      <c r="E2293">
        <v>1635.02</v>
      </c>
      <c r="F2293" s="2">
        <v>45757.666684444448</v>
      </c>
      <c r="G2293" t="s">
        <v>236</v>
      </c>
      <c r="H2293" t="s">
        <v>128</v>
      </c>
      <c r="I2293" t="s">
        <v>112</v>
      </c>
    </row>
    <row r="2294" spans="1:9" x14ac:dyDescent="0.45">
      <c r="A2294" t="s">
        <v>3118</v>
      </c>
      <c r="B2294" t="s">
        <v>172</v>
      </c>
      <c r="C2294" t="s">
        <v>577</v>
      </c>
      <c r="D2294" t="s">
        <v>74</v>
      </c>
      <c r="E2294">
        <v>2910.93</v>
      </c>
      <c r="F2294" s="2">
        <v>45674.666684444448</v>
      </c>
      <c r="G2294" t="s">
        <v>236</v>
      </c>
      <c r="H2294" t="s">
        <v>133</v>
      </c>
      <c r="I2294" t="s">
        <v>112</v>
      </c>
    </row>
    <row r="2295" spans="1:9" x14ac:dyDescent="0.45">
      <c r="A2295" t="s">
        <v>3119</v>
      </c>
      <c r="B2295" t="s">
        <v>99</v>
      </c>
      <c r="C2295" t="s">
        <v>1557</v>
      </c>
      <c r="D2295" t="s">
        <v>85</v>
      </c>
      <c r="E2295">
        <v>11402.17</v>
      </c>
      <c r="F2295" s="2">
        <v>45223.666684444448</v>
      </c>
      <c r="G2295" t="s">
        <v>102</v>
      </c>
      <c r="H2295" t="s">
        <v>118</v>
      </c>
      <c r="I2295" t="s">
        <v>88</v>
      </c>
    </row>
    <row r="2296" spans="1:9" x14ac:dyDescent="0.45">
      <c r="A2296" t="s">
        <v>3120</v>
      </c>
      <c r="B2296" t="s">
        <v>109</v>
      </c>
      <c r="C2296" t="s">
        <v>2509</v>
      </c>
      <c r="D2296" t="s">
        <v>85</v>
      </c>
      <c r="E2296">
        <v>4389.26</v>
      </c>
      <c r="F2296" s="2">
        <v>45642.666684444448</v>
      </c>
      <c r="G2296" t="s">
        <v>111</v>
      </c>
      <c r="H2296" t="s">
        <v>76</v>
      </c>
      <c r="I2296" t="s">
        <v>77</v>
      </c>
    </row>
    <row r="2297" spans="1:9" x14ac:dyDescent="0.45">
      <c r="A2297" t="s">
        <v>3121</v>
      </c>
      <c r="B2297" t="s">
        <v>72</v>
      </c>
      <c r="D2297" t="s">
        <v>101</v>
      </c>
      <c r="E2297">
        <v>3948.93</v>
      </c>
      <c r="F2297" s="2">
        <v>45784.666684444448</v>
      </c>
      <c r="G2297" t="s">
        <v>75</v>
      </c>
      <c r="H2297" t="s">
        <v>107</v>
      </c>
      <c r="I2297" t="s">
        <v>77</v>
      </c>
    </row>
    <row r="2298" spans="1:9" x14ac:dyDescent="0.45">
      <c r="A2298" t="s">
        <v>3122</v>
      </c>
      <c r="B2298" t="s">
        <v>72</v>
      </c>
      <c r="C2298" t="s">
        <v>2284</v>
      </c>
      <c r="D2298" t="s">
        <v>85</v>
      </c>
      <c r="E2298">
        <v>0</v>
      </c>
      <c r="F2298" s="2">
        <v>45300.666684444448</v>
      </c>
      <c r="H2298" t="s">
        <v>145</v>
      </c>
      <c r="I2298" t="s">
        <v>88</v>
      </c>
    </row>
    <row r="2299" spans="1:9" x14ac:dyDescent="0.45">
      <c r="A2299" t="s">
        <v>3123</v>
      </c>
      <c r="B2299" t="s">
        <v>99</v>
      </c>
      <c r="C2299" t="s">
        <v>2139</v>
      </c>
      <c r="D2299" t="s">
        <v>101</v>
      </c>
      <c r="E2299">
        <v>3214.14</v>
      </c>
      <c r="F2299" s="2">
        <v>45734.666684444448</v>
      </c>
      <c r="G2299" t="s">
        <v>102</v>
      </c>
      <c r="H2299" t="s">
        <v>133</v>
      </c>
      <c r="I2299" t="s">
        <v>112</v>
      </c>
    </row>
    <row r="2300" spans="1:9" x14ac:dyDescent="0.45">
      <c r="A2300" t="s">
        <v>3124</v>
      </c>
      <c r="B2300" t="s">
        <v>79</v>
      </c>
      <c r="C2300" t="s">
        <v>210</v>
      </c>
      <c r="D2300" t="s">
        <v>101</v>
      </c>
      <c r="E2300">
        <v>1986.49</v>
      </c>
      <c r="F2300" s="2">
        <v>45722.666684444448</v>
      </c>
      <c r="G2300" t="s">
        <v>86</v>
      </c>
      <c r="H2300" t="s">
        <v>136</v>
      </c>
      <c r="I2300" t="s">
        <v>163</v>
      </c>
    </row>
    <row r="2301" spans="1:9" x14ac:dyDescent="0.45">
      <c r="A2301" t="s">
        <v>3125</v>
      </c>
      <c r="B2301" t="s">
        <v>138</v>
      </c>
      <c r="C2301" t="s">
        <v>1475</v>
      </c>
      <c r="D2301" t="s">
        <v>74</v>
      </c>
      <c r="E2301">
        <v>6293.39</v>
      </c>
      <c r="F2301" s="2">
        <v>45285.666684444448</v>
      </c>
      <c r="G2301" t="s">
        <v>140</v>
      </c>
      <c r="H2301" t="s">
        <v>133</v>
      </c>
      <c r="I2301" t="s">
        <v>163</v>
      </c>
    </row>
    <row r="2302" spans="1:9" x14ac:dyDescent="0.45">
      <c r="A2302" t="s">
        <v>3126</v>
      </c>
      <c r="B2302" t="s">
        <v>90</v>
      </c>
      <c r="C2302" t="s">
        <v>1129</v>
      </c>
      <c r="D2302" t="s">
        <v>148</v>
      </c>
      <c r="E2302">
        <v>6633.96</v>
      </c>
      <c r="F2302" s="2">
        <v>45303.666684444448</v>
      </c>
      <c r="G2302" t="s">
        <v>93</v>
      </c>
      <c r="H2302" t="s">
        <v>76</v>
      </c>
      <c r="I2302" t="s">
        <v>82</v>
      </c>
    </row>
    <row r="2303" spans="1:9" x14ac:dyDescent="0.45">
      <c r="A2303" t="s">
        <v>3127</v>
      </c>
      <c r="B2303" t="s">
        <v>138</v>
      </c>
      <c r="C2303" t="s">
        <v>1314</v>
      </c>
      <c r="D2303" t="s">
        <v>74</v>
      </c>
      <c r="E2303">
        <v>0</v>
      </c>
      <c r="F2303" s="2">
        <v>45802.666684444448</v>
      </c>
      <c r="G2303" t="s">
        <v>140</v>
      </c>
      <c r="I2303" t="s">
        <v>82</v>
      </c>
    </row>
    <row r="2304" spans="1:9" x14ac:dyDescent="0.45">
      <c r="A2304" t="s">
        <v>2721</v>
      </c>
      <c r="B2304" t="s">
        <v>172</v>
      </c>
      <c r="C2304" t="s">
        <v>1074</v>
      </c>
      <c r="D2304" t="s">
        <v>148</v>
      </c>
      <c r="E2304">
        <v>1743.8</v>
      </c>
      <c r="F2304" s="2">
        <v>45767.666684444448</v>
      </c>
      <c r="G2304" t="s">
        <v>174</v>
      </c>
      <c r="H2304" t="s">
        <v>107</v>
      </c>
      <c r="I2304" t="s">
        <v>77</v>
      </c>
    </row>
    <row r="2305" spans="1:9" x14ac:dyDescent="0.45">
      <c r="A2305" t="s">
        <v>3128</v>
      </c>
      <c r="B2305" t="s">
        <v>95</v>
      </c>
      <c r="C2305" t="s">
        <v>2011</v>
      </c>
      <c r="D2305" t="s">
        <v>85</v>
      </c>
      <c r="E2305">
        <v>10278.82</v>
      </c>
      <c r="F2305" s="2">
        <v>45747.666684444448</v>
      </c>
      <c r="G2305" t="s">
        <v>97</v>
      </c>
      <c r="H2305" t="s">
        <v>76</v>
      </c>
      <c r="I2305" t="s">
        <v>119</v>
      </c>
    </row>
    <row r="2306" spans="1:9" x14ac:dyDescent="0.45">
      <c r="A2306" t="s">
        <v>3129</v>
      </c>
      <c r="B2306" t="s">
        <v>109</v>
      </c>
      <c r="C2306" t="s">
        <v>1371</v>
      </c>
      <c r="D2306" t="s">
        <v>101</v>
      </c>
      <c r="E2306">
        <v>9398.66</v>
      </c>
      <c r="F2306" s="2">
        <v>45473.666684444448</v>
      </c>
      <c r="G2306" t="s">
        <v>111</v>
      </c>
      <c r="H2306" t="s">
        <v>136</v>
      </c>
      <c r="I2306" t="s">
        <v>88</v>
      </c>
    </row>
    <row r="2307" spans="1:9" x14ac:dyDescent="0.45">
      <c r="A2307" t="s">
        <v>3130</v>
      </c>
      <c r="B2307" t="s">
        <v>172</v>
      </c>
      <c r="C2307" t="s">
        <v>446</v>
      </c>
      <c r="D2307" t="s">
        <v>92</v>
      </c>
      <c r="E2307">
        <v>5904.94</v>
      </c>
      <c r="F2307" s="2">
        <v>45705.666684444448</v>
      </c>
      <c r="G2307" t="s">
        <v>174</v>
      </c>
      <c r="H2307" t="s">
        <v>81</v>
      </c>
      <c r="I2307" t="s">
        <v>163</v>
      </c>
    </row>
    <row r="2308" spans="1:9" x14ac:dyDescent="0.45">
      <c r="A2308" t="s">
        <v>3131</v>
      </c>
      <c r="B2308" t="s">
        <v>79</v>
      </c>
      <c r="C2308" t="s">
        <v>233</v>
      </c>
      <c r="D2308" t="s">
        <v>85</v>
      </c>
      <c r="E2308">
        <v>7335.81</v>
      </c>
      <c r="F2308" s="2">
        <v>45170.666684444448</v>
      </c>
      <c r="G2308" t="s">
        <v>86</v>
      </c>
      <c r="I2308" t="s">
        <v>82</v>
      </c>
    </row>
    <row r="2309" spans="1:9" x14ac:dyDescent="0.45">
      <c r="A2309" t="s">
        <v>3132</v>
      </c>
      <c r="B2309" t="s">
        <v>138</v>
      </c>
      <c r="C2309" t="s">
        <v>229</v>
      </c>
      <c r="D2309" t="s">
        <v>85</v>
      </c>
      <c r="E2309">
        <v>0</v>
      </c>
      <c r="F2309" s="2">
        <v>45157.666684444448</v>
      </c>
      <c r="H2309" t="s">
        <v>118</v>
      </c>
      <c r="I2309" t="s">
        <v>77</v>
      </c>
    </row>
    <row r="2310" spans="1:9" x14ac:dyDescent="0.45">
      <c r="A2310" t="s">
        <v>3133</v>
      </c>
      <c r="B2310" t="s">
        <v>172</v>
      </c>
      <c r="C2310" t="s">
        <v>1118</v>
      </c>
      <c r="D2310" t="s">
        <v>74</v>
      </c>
      <c r="E2310">
        <v>949.55</v>
      </c>
      <c r="F2310" s="2">
        <v>45211.666684444448</v>
      </c>
      <c r="G2310" t="s">
        <v>174</v>
      </c>
      <c r="H2310" t="s">
        <v>107</v>
      </c>
      <c r="I2310" t="s">
        <v>82</v>
      </c>
    </row>
    <row r="2311" spans="1:9" x14ac:dyDescent="0.45">
      <c r="A2311" t="s">
        <v>3134</v>
      </c>
      <c r="B2311" t="s">
        <v>90</v>
      </c>
      <c r="C2311" t="s">
        <v>214</v>
      </c>
      <c r="D2311" t="s">
        <v>101</v>
      </c>
      <c r="E2311">
        <v>221.49</v>
      </c>
      <c r="F2311" s="2">
        <v>45174.666684444448</v>
      </c>
      <c r="G2311" t="s">
        <v>93</v>
      </c>
      <c r="H2311" t="s">
        <v>128</v>
      </c>
      <c r="I2311" t="s">
        <v>163</v>
      </c>
    </row>
    <row r="2312" spans="1:9" x14ac:dyDescent="0.45">
      <c r="A2312" t="s">
        <v>3135</v>
      </c>
      <c r="B2312" t="s">
        <v>72</v>
      </c>
      <c r="C2312" t="s">
        <v>1594</v>
      </c>
      <c r="D2312" t="s">
        <v>74</v>
      </c>
      <c r="E2312">
        <v>2096.4</v>
      </c>
      <c r="F2312" s="2">
        <v>45784.666684444448</v>
      </c>
      <c r="G2312" t="s">
        <v>75</v>
      </c>
      <c r="H2312" t="s">
        <v>116</v>
      </c>
      <c r="I2312" t="s">
        <v>163</v>
      </c>
    </row>
    <row r="2313" spans="1:9" x14ac:dyDescent="0.45">
      <c r="A2313" t="s">
        <v>3136</v>
      </c>
      <c r="B2313" t="s">
        <v>104</v>
      </c>
      <c r="C2313" t="s">
        <v>2880</v>
      </c>
      <c r="D2313" t="s">
        <v>74</v>
      </c>
      <c r="E2313">
        <v>3137.91</v>
      </c>
      <c r="F2313" s="2">
        <v>45718.666684444448</v>
      </c>
      <c r="G2313" t="s">
        <v>115</v>
      </c>
      <c r="H2313" t="s">
        <v>107</v>
      </c>
      <c r="I2313" t="s">
        <v>77</v>
      </c>
    </row>
    <row r="2314" spans="1:9" x14ac:dyDescent="0.45">
      <c r="A2314" t="s">
        <v>3137</v>
      </c>
      <c r="B2314" t="s">
        <v>172</v>
      </c>
      <c r="C2314" t="s">
        <v>674</v>
      </c>
      <c r="D2314" t="s">
        <v>101</v>
      </c>
      <c r="E2314">
        <v>3856.21</v>
      </c>
      <c r="F2314" s="2">
        <v>45399.666684444448</v>
      </c>
      <c r="G2314" t="s">
        <v>174</v>
      </c>
      <c r="I2314" t="s">
        <v>119</v>
      </c>
    </row>
    <row r="2315" spans="1:9" x14ac:dyDescent="0.45">
      <c r="A2315" t="s">
        <v>3083</v>
      </c>
      <c r="B2315" t="s">
        <v>79</v>
      </c>
      <c r="C2315" t="s">
        <v>315</v>
      </c>
      <c r="D2315" t="s">
        <v>74</v>
      </c>
      <c r="E2315">
        <v>3418.45</v>
      </c>
      <c r="F2315" s="2">
        <v>45794.666684444448</v>
      </c>
      <c r="G2315" t="s">
        <v>278</v>
      </c>
      <c r="H2315" t="s">
        <v>133</v>
      </c>
      <c r="I2315" t="s">
        <v>163</v>
      </c>
    </row>
    <row r="2316" spans="1:9" x14ac:dyDescent="0.45">
      <c r="A2316" t="s">
        <v>3138</v>
      </c>
      <c r="B2316" t="s">
        <v>109</v>
      </c>
      <c r="C2316" t="s">
        <v>326</v>
      </c>
      <c r="D2316" t="s">
        <v>101</v>
      </c>
      <c r="E2316">
        <v>367.27</v>
      </c>
      <c r="F2316" s="2">
        <v>45343.666684444448</v>
      </c>
      <c r="G2316" t="s">
        <v>111</v>
      </c>
      <c r="H2316" t="s">
        <v>136</v>
      </c>
      <c r="I2316" t="s">
        <v>163</v>
      </c>
    </row>
    <row r="2317" spans="1:9" x14ac:dyDescent="0.45">
      <c r="A2317" t="s">
        <v>3139</v>
      </c>
      <c r="B2317" t="s">
        <v>95</v>
      </c>
      <c r="C2317" t="s">
        <v>2684</v>
      </c>
      <c r="D2317" t="s">
        <v>74</v>
      </c>
      <c r="E2317">
        <v>5983.6</v>
      </c>
      <c r="F2317" s="2">
        <v>45713.666684444448</v>
      </c>
      <c r="G2317" t="s">
        <v>97</v>
      </c>
      <c r="H2317" t="s">
        <v>145</v>
      </c>
      <c r="I2317" t="s">
        <v>163</v>
      </c>
    </row>
    <row r="2318" spans="1:9" x14ac:dyDescent="0.45">
      <c r="A2318" t="s">
        <v>3140</v>
      </c>
      <c r="B2318" t="s">
        <v>90</v>
      </c>
      <c r="C2318" t="s">
        <v>715</v>
      </c>
      <c r="D2318" t="s">
        <v>74</v>
      </c>
      <c r="E2318">
        <v>0</v>
      </c>
      <c r="F2318" s="2">
        <v>45554.666684444448</v>
      </c>
      <c r="G2318" t="s">
        <v>93</v>
      </c>
      <c r="H2318" t="s">
        <v>133</v>
      </c>
      <c r="I2318" t="s">
        <v>112</v>
      </c>
    </row>
    <row r="2319" spans="1:9" x14ac:dyDescent="0.45">
      <c r="A2319" t="s">
        <v>3141</v>
      </c>
      <c r="B2319" t="s">
        <v>99</v>
      </c>
      <c r="C2319" t="s">
        <v>768</v>
      </c>
      <c r="D2319" t="s">
        <v>74</v>
      </c>
      <c r="E2319">
        <v>11214.44</v>
      </c>
      <c r="F2319" s="2">
        <v>45760.666684444448</v>
      </c>
      <c r="G2319" t="s">
        <v>102</v>
      </c>
      <c r="H2319" t="s">
        <v>107</v>
      </c>
      <c r="I2319" t="s">
        <v>119</v>
      </c>
    </row>
    <row r="2320" spans="1:9" x14ac:dyDescent="0.45">
      <c r="A2320" t="s">
        <v>3142</v>
      </c>
      <c r="B2320" t="s">
        <v>79</v>
      </c>
      <c r="C2320" t="s">
        <v>1468</v>
      </c>
      <c r="D2320" t="s">
        <v>106</v>
      </c>
      <c r="E2320">
        <v>8877</v>
      </c>
      <c r="F2320" s="2">
        <v>45782.666684444448</v>
      </c>
      <c r="G2320" t="s">
        <v>278</v>
      </c>
      <c r="H2320" t="s">
        <v>87</v>
      </c>
      <c r="I2320" t="s">
        <v>82</v>
      </c>
    </row>
    <row r="2321" spans="1:9" x14ac:dyDescent="0.45">
      <c r="A2321" t="s">
        <v>3143</v>
      </c>
      <c r="B2321" t="s">
        <v>138</v>
      </c>
      <c r="C2321" t="s">
        <v>235</v>
      </c>
      <c r="D2321" t="s">
        <v>74</v>
      </c>
      <c r="E2321">
        <v>3126.21</v>
      </c>
      <c r="F2321" s="2">
        <v>45159.666684444448</v>
      </c>
      <c r="G2321" t="s">
        <v>140</v>
      </c>
      <c r="H2321" t="s">
        <v>81</v>
      </c>
      <c r="I2321" t="s">
        <v>163</v>
      </c>
    </row>
    <row r="2322" spans="1:9" x14ac:dyDescent="0.45">
      <c r="A2322" t="s">
        <v>3144</v>
      </c>
      <c r="B2322" t="s">
        <v>138</v>
      </c>
      <c r="C2322" t="s">
        <v>3145</v>
      </c>
      <c r="D2322" t="s">
        <v>85</v>
      </c>
      <c r="E2322">
        <v>1411.2</v>
      </c>
      <c r="F2322" s="2">
        <v>45637.666684444448</v>
      </c>
      <c r="G2322" t="s">
        <v>140</v>
      </c>
      <c r="H2322" t="s">
        <v>118</v>
      </c>
      <c r="I2322" t="s">
        <v>119</v>
      </c>
    </row>
    <row r="2323" spans="1:9" x14ac:dyDescent="0.45">
      <c r="A2323" t="s">
        <v>3146</v>
      </c>
      <c r="B2323" t="s">
        <v>72</v>
      </c>
      <c r="C2323" t="s">
        <v>753</v>
      </c>
      <c r="D2323" t="s">
        <v>74</v>
      </c>
      <c r="E2323">
        <v>2697.75</v>
      </c>
      <c r="F2323" s="2">
        <v>45770.666684444448</v>
      </c>
      <c r="G2323" t="s">
        <v>75</v>
      </c>
      <c r="H2323" t="s">
        <v>76</v>
      </c>
      <c r="I2323" t="s">
        <v>88</v>
      </c>
    </row>
    <row r="2324" spans="1:9" x14ac:dyDescent="0.45">
      <c r="A2324" t="s">
        <v>2272</v>
      </c>
      <c r="B2324" t="s">
        <v>138</v>
      </c>
      <c r="C2324" t="s">
        <v>1286</v>
      </c>
      <c r="D2324" t="s">
        <v>155</v>
      </c>
      <c r="E2324">
        <v>5948.81</v>
      </c>
      <c r="F2324" s="2">
        <v>45686.666684444448</v>
      </c>
      <c r="H2324" t="s">
        <v>145</v>
      </c>
      <c r="I2324" t="s">
        <v>163</v>
      </c>
    </row>
    <row r="2325" spans="1:9" x14ac:dyDescent="0.45">
      <c r="A2325" t="s">
        <v>3147</v>
      </c>
      <c r="B2325" t="s">
        <v>109</v>
      </c>
      <c r="C2325" t="s">
        <v>2125</v>
      </c>
      <c r="D2325" t="s">
        <v>74</v>
      </c>
      <c r="E2325">
        <v>26.21</v>
      </c>
      <c r="F2325" s="2">
        <v>45424.666684444448</v>
      </c>
      <c r="G2325" t="s">
        <v>111</v>
      </c>
      <c r="H2325" t="s">
        <v>145</v>
      </c>
      <c r="I2325" t="s">
        <v>119</v>
      </c>
    </row>
    <row r="2326" spans="1:9" x14ac:dyDescent="0.45">
      <c r="A2326" t="s">
        <v>3148</v>
      </c>
      <c r="B2326" t="s">
        <v>138</v>
      </c>
      <c r="C2326" t="s">
        <v>1312</v>
      </c>
      <c r="D2326" t="s">
        <v>106</v>
      </c>
      <c r="E2326">
        <v>3240.02</v>
      </c>
      <c r="F2326" s="2">
        <v>45785.666684444448</v>
      </c>
      <c r="G2326" t="s">
        <v>140</v>
      </c>
      <c r="H2326" t="s">
        <v>81</v>
      </c>
      <c r="I2326" t="s">
        <v>88</v>
      </c>
    </row>
    <row r="2327" spans="1:9" x14ac:dyDescent="0.45">
      <c r="A2327" t="s">
        <v>3149</v>
      </c>
      <c r="B2327" t="s">
        <v>90</v>
      </c>
      <c r="C2327" t="s">
        <v>762</v>
      </c>
      <c r="D2327" t="s">
        <v>85</v>
      </c>
      <c r="E2327">
        <v>9676.26</v>
      </c>
      <c r="F2327" s="2">
        <v>45437.666684444448</v>
      </c>
      <c r="G2327" t="s">
        <v>93</v>
      </c>
      <c r="H2327" t="s">
        <v>76</v>
      </c>
      <c r="I2327" t="s">
        <v>82</v>
      </c>
    </row>
    <row r="2328" spans="1:9" x14ac:dyDescent="0.45">
      <c r="A2328" t="s">
        <v>3150</v>
      </c>
      <c r="B2328" t="s">
        <v>90</v>
      </c>
      <c r="C2328" t="s">
        <v>227</v>
      </c>
      <c r="D2328" t="s">
        <v>74</v>
      </c>
      <c r="E2328">
        <v>5310.11</v>
      </c>
      <c r="F2328" s="2">
        <v>45622.666684444448</v>
      </c>
      <c r="G2328" t="s">
        <v>93</v>
      </c>
      <c r="H2328" t="s">
        <v>133</v>
      </c>
      <c r="I2328" t="s">
        <v>119</v>
      </c>
    </row>
    <row r="2329" spans="1:9" x14ac:dyDescent="0.45">
      <c r="A2329" t="s">
        <v>3151</v>
      </c>
      <c r="B2329" t="s">
        <v>104</v>
      </c>
      <c r="C2329" t="s">
        <v>1399</v>
      </c>
      <c r="D2329" t="s">
        <v>148</v>
      </c>
      <c r="E2329">
        <v>3745.43</v>
      </c>
      <c r="F2329" s="2">
        <v>45378.666684444448</v>
      </c>
      <c r="G2329" t="s">
        <v>115</v>
      </c>
      <c r="H2329" t="s">
        <v>87</v>
      </c>
      <c r="I2329" t="s">
        <v>77</v>
      </c>
    </row>
    <row r="2330" spans="1:9" x14ac:dyDescent="0.45">
      <c r="A2330" t="s">
        <v>3152</v>
      </c>
      <c r="B2330" t="s">
        <v>138</v>
      </c>
      <c r="C2330" t="s">
        <v>289</v>
      </c>
      <c r="D2330" t="s">
        <v>85</v>
      </c>
      <c r="E2330">
        <v>3810.55</v>
      </c>
      <c r="F2330" s="2">
        <v>45829.666684444448</v>
      </c>
      <c r="G2330" t="s">
        <v>140</v>
      </c>
      <c r="H2330" t="s">
        <v>107</v>
      </c>
      <c r="I2330" t="s">
        <v>77</v>
      </c>
    </row>
    <row r="2331" spans="1:9" x14ac:dyDescent="0.45">
      <c r="A2331" t="s">
        <v>3114</v>
      </c>
      <c r="B2331" t="s">
        <v>109</v>
      </c>
      <c r="C2331" t="s">
        <v>1007</v>
      </c>
      <c r="D2331" t="s">
        <v>101</v>
      </c>
      <c r="E2331">
        <v>8031.97</v>
      </c>
      <c r="F2331" s="2">
        <v>45543.666684444448</v>
      </c>
      <c r="G2331" t="s">
        <v>111</v>
      </c>
      <c r="H2331" t="s">
        <v>136</v>
      </c>
      <c r="I2331" t="s">
        <v>77</v>
      </c>
    </row>
    <row r="2332" spans="1:9" x14ac:dyDescent="0.45">
      <c r="A2332" t="s">
        <v>3153</v>
      </c>
      <c r="B2332" t="s">
        <v>109</v>
      </c>
      <c r="C2332" t="s">
        <v>2684</v>
      </c>
      <c r="D2332" t="s">
        <v>92</v>
      </c>
      <c r="E2332">
        <v>2787.19</v>
      </c>
      <c r="F2332" s="2">
        <v>45432.666684444448</v>
      </c>
      <c r="G2332" t="s">
        <v>111</v>
      </c>
      <c r="H2332" t="s">
        <v>76</v>
      </c>
      <c r="I2332" t="s">
        <v>88</v>
      </c>
    </row>
    <row r="2333" spans="1:9" x14ac:dyDescent="0.45">
      <c r="A2333" t="s">
        <v>3154</v>
      </c>
      <c r="B2333" t="s">
        <v>172</v>
      </c>
      <c r="C2333" t="s">
        <v>2702</v>
      </c>
      <c r="D2333" t="s">
        <v>155</v>
      </c>
      <c r="E2333">
        <v>10353.459999999999</v>
      </c>
      <c r="F2333" s="2">
        <v>45592.666684444448</v>
      </c>
      <c r="G2333" t="s">
        <v>174</v>
      </c>
      <c r="H2333" t="s">
        <v>81</v>
      </c>
      <c r="I2333" t="s">
        <v>163</v>
      </c>
    </row>
    <row r="2334" spans="1:9" x14ac:dyDescent="0.45">
      <c r="A2334" t="s">
        <v>3155</v>
      </c>
      <c r="B2334" t="s">
        <v>95</v>
      </c>
      <c r="C2334" t="s">
        <v>2789</v>
      </c>
      <c r="D2334" t="s">
        <v>85</v>
      </c>
      <c r="E2334">
        <v>5199.01</v>
      </c>
      <c r="F2334" s="2">
        <v>45202.666684444448</v>
      </c>
      <c r="G2334" t="s">
        <v>97</v>
      </c>
      <c r="H2334" t="s">
        <v>128</v>
      </c>
      <c r="I2334" t="s">
        <v>119</v>
      </c>
    </row>
    <row r="2335" spans="1:9" x14ac:dyDescent="0.45">
      <c r="A2335" t="s">
        <v>3156</v>
      </c>
      <c r="B2335" t="s">
        <v>79</v>
      </c>
      <c r="C2335" t="s">
        <v>509</v>
      </c>
      <c r="D2335" t="s">
        <v>101</v>
      </c>
      <c r="E2335">
        <v>8487.2199999999993</v>
      </c>
      <c r="F2335" s="2">
        <v>45833.666684444448</v>
      </c>
      <c r="G2335" t="s">
        <v>86</v>
      </c>
      <c r="H2335" t="s">
        <v>87</v>
      </c>
      <c r="I2335" t="s">
        <v>82</v>
      </c>
    </row>
    <row r="2336" spans="1:9" x14ac:dyDescent="0.45">
      <c r="A2336" t="s">
        <v>3157</v>
      </c>
      <c r="B2336" t="s">
        <v>99</v>
      </c>
      <c r="C2336" t="s">
        <v>2712</v>
      </c>
      <c r="D2336" t="s">
        <v>92</v>
      </c>
      <c r="E2336">
        <v>2354.17</v>
      </c>
      <c r="F2336" s="2">
        <v>45189.666684444448</v>
      </c>
      <c r="G2336" t="s">
        <v>102</v>
      </c>
      <c r="H2336" t="s">
        <v>118</v>
      </c>
      <c r="I2336" t="s">
        <v>112</v>
      </c>
    </row>
    <row r="2337" spans="1:9" x14ac:dyDescent="0.45">
      <c r="A2337" t="s">
        <v>3158</v>
      </c>
      <c r="B2337" t="s">
        <v>72</v>
      </c>
      <c r="C2337" t="s">
        <v>2140</v>
      </c>
      <c r="D2337" t="s">
        <v>92</v>
      </c>
      <c r="E2337">
        <v>3029.17</v>
      </c>
      <c r="F2337" s="2">
        <v>45289.666684444448</v>
      </c>
      <c r="G2337" t="s">
        <v>521</v>
      </c>
      <c r="H2337" t="s">
        <v>87</v>
      </c>
      <c r="I2337" t="s">
        <v>163</v>
      </c>
    </row>
    <row r="2338" spans="1:9" x14ac:dyDescent="0.45">
      <c r="A2338" t="s">
        <v>3159</v>
      </c>
      <c r="B2338" t="s">
        <v>72</v>
      </c>
      <c r="C2338" t="s">
        <v>1614</v>
      </c>
      <c r="D2338" t="s">
        <v>148</v>
      </c>
      <c r="E2338">
        <v>0</v>
      </c>
      <c r="F2338" s="2">
        <v>45578.666684444448</v>
      </c>
      <c r="H2338" t="s">
        <v>136</v>
      </c>
      <c r="I2338" t="s">
        <v>77</v>
      </c>
    </row>
    <row r="2339" spans="1:9" x14ac:dyDescent="0.45">
      <c r="A2339" t="s">
        <v>3160</v>
      </c>
      <c r="B2339" t="s">
        <v>172</v>
      </c>
      <c r="D2339" t="s">
        <v>92</v>
      </c>
      <c r="E2339">
        <v>7737.52</v>
      </c>
      <c r="F2339" s="2">
        <v>45553.666684444448</v>
      </c>
      <c r="H2339" t="s">
        <v>133</v>
      </c>
      <c r="I2339" t="s">
        <v>163</v>
      </c>
    </row>
    <row r="2340" spans="1:9" x14ac:dyDescent="0.45">
      <c r="A2340" t="s">
        <v>3161</v>
      </c>
      <c r="B2340" t="s">
        <v>95</v>
      </c>
      <c r="C2340" t="s">
        <v>1514</v>
      </c>
      <c r="D2340" t="s">
        <v>74</v>
      </c>
      <c r="E2340">
        <v>6308.23</v>
      </c>
      <c r="F2340" s="2">
        <v>45623.666684444448</v>
      </c>
      <c r="G2340" t="s">
        <v>97</v>
      </c>
      <c r="H2340" t="s">
        <v>118</v>
      </c>
      <c r="I2340" t="s">
        <v>82</v>
      </c>
    </row>
    <row r="2341" spans="1:9" x14ac:dyDescent="0.45">
      <c r="A2341" t="s">
        <v>3162</v>
      </c>
      <c r="B2341" t="s">
        <v>109</v>
      </c>
      <c r="C2341" t="s">
        <v>3163</v>
      </c>
      <c r="D2341" t="s">
        <v>155</v>
      </c>
      <c r="E2341">
        <v>7142.4</v>
      </c>
      <c r="F2341" s="2">
        <v>45603.666684444448</v>
      </c>
      <c r="G2341" t="s">
        <v>111</v>
      </c>
      <c r="H2341" t="s">
        <v>87</v>
      </c>
      <c r="I2341" t="s">
        <v>119</v>
      </c>
    </row>
    <row r="2342" spans="1:9" x14ac:dyDescent="0.45">
      <c r="A2342" t="s">
        <v>3164</v>
      </c>
      <c r="B2342" t="s">
        <v>104</v>
      </c>
      <c r="C2342" t="s">
        <v>2345</v>
      </c>
      <c r="D2342" t="s">
        <v>74</v>
      </c>
      <c r="E2342">
        <v>766.94</v>
      </c>
      <c r="F2342" s="2">
        <v>45336.666684444448</v>
      </c>
      <c r="G2342" t="s">
        <v>115</v>
      </c>
      <c r="H2342" t="s">
        <v>87</v>
      </c>
      <c r="I2342" t="s">
        <v>112</v>
      </c>
    </row>
    <row r="2343" spans="1:9" x14ac:dyDescent="0.45">
      <c r="A2343" t="s">
        <v>3165</v>
      </c>
      <c r="B2343" t="s">
        <v>109</v>
      </c>
      <c r="D2343" t="s">
        <v>101</v>
      </c>
      <c r="E2343">
        <v>3611.43</v>
      </c>
      <c r="F2343" s="2">
        <v>45476.666684444448</v>
      </c>
      <c r="H2343" t="s">
        <v>116</v>
      </c>
      <c r="I2343" t="s">
        <v>82</v>
      </c>
    </row>
    <row r="2344" spans="1:9" x14ac:dyDescent="0.45">
      <c r="A2344" t="s">
        <v>3166</v>
      </c>
      <c r="B2344" t="s">
        <v>138</v>
      </c>
      <c r="C2344" t="s">
        <v>568</v>
      </c>
      <c r="D2344" t="s">
        <v>85</v>
      </c>
      <c r="E2344">
        <v>9319.09</v>
      </c>
      <c r="F2344" s="2">
        <v>45749.666684444448</v>
      </c>
      <c r="H2344" t="s">
        <v>128</v>
      </c>
      <c r="I2344" t="s">
        <v>88</v>
      </c>
    </row>
    <row r="2345" spans="1:9" x14ac:dyDescent="0.45">
      <c r="A2345" t="s">
        <v>3167</v>
      </c>
      <c r="B2345" t="s">
        <v>99</v>
      </c>
      <c r="C2345" t="s">
        <v>637</v>
      </c>
      <c r="D2345" t="s">
        <v>85</v>
      </c>
      <c r="E2345">
        <v>4276.59</v>
      </c>
      <c r="F2345" s="2">
        <v>45275.666684444448</v>
      </c>
      <c r="G2345" t="s">
        <v>102</v>
      </c>
      <c r="H2345" t="s">
        <v>107</v>
      </c>
      <c r="I2345" t="s">
        <v>88</v>
      </c>
    </row>
    <row r="2346" spans="1:9" x14ac:dyDescent="0.45">
      <c r="A2346" t="s">
        <v>3168</v>
      </c>
      <c r="B2346" t="s">
        <v>95</v>
      </c>
      <c r="C2346" t="s">
        <v>401</v>
      </c>
      <c r="D2346" t="s">
        <v>74</v>
      </c>
      <c r="E2346">
        <v>3055.31</v>
      </c>
      <c r="F2346" s="2">
        <v>45448.666684444448</v>
      </c>
      <c r="G2346" t="s">
        <v>97</v>
      </c>
      <c r="H2346" t="s">
        <v>107</v>
      </c>
      <c r="I2346" t="s">
        <v>112</v>
      </c>
    </row>
    <row r="2347" spans="1:9" x14ac:dyDescent="0.45">
      <c r="A2347" t="s">
        <v>3169</v>
      </c>
      <c r="B2347" t="s">
        <v>95</v>
      </c>
      <c r="C2347" t="s">
        <v>586</v>
      </c>
      <c r="D2347" t="s">
        <v>92</v>
      </c>
      <c r="E2347">
        <v>7625.49</v>
      </c>
      <c r="F2347" s="2">
        <v>45454.666684444448</v>
      </c>
      <c r="G2347" t="s">
        <v>97</v>
      </c>
      <c r="H2347" t="s">
        <v>145</v>
      </c>
      <c r="I2347" t="s">
        <v>82</v>
      </c>
    </row>
    <row r="2348" spans="1:9" x14ac:dyDescent="0.45">
      <c r="A2348" t="s">
        <v>3170</v>
      </c>
      <c r="B2348" t="s">
        <v>172</v>
      </c>
      <c r="C2348" t="s">
        <v>1096</v>
      </c>
      <c r="D2348" t="s">
        <v>101</v>
      </c>
      <c r="E2348">
        <v>8666.98</v>
      </c>
      <c r="F2348" s="2">
        <v>45481.666684444448</v>
      </c>
      <c r="G2348" t="s">
        <v>174</v>
      </c>
      <c r="H2348" t="s">
        <v>128</v>
      </c>
      <c r="I2348" t="s">
        <v>77</v>
      </c>
    </row>
    <row r="2349" spans="1:9" x14ac:dyDescent="0.45">
      <c r="A2349" t="s">
        <v>3171</v>
      </c>
      <c r="B2349" t="s">
        <v>99</v>
      </c>
      <c r="C2349" t="s">
        <v>864</v>
      </c>
      <c r="D2349" t="s">
        <v>101</v>
      </c>
      <c r="E2349">
        <v>7997.64</v>
      </c>
      <c r="F2349" s="2">
        <v>45536.666684444448</v>
      </c>
      <c r="G2349" t="s">
        <v>102</v>
      </c>
      <c r="H2349" t="s">
        <v>87</v>
      </c>
      <c r="I2349" t="s">
        <v>88</v>
      </c>
    </row>
    <row r="2350" spans="1:9" x14ac:dyDescent="0.45">
      <c r="A2350" t="s">
        <v>3172</v>
      </c>
      <c r="B2350" t="s">
        <v>138</v>
      </c>
      <c r="C2350" t="s">
        <v>1096</v>
      </c>
      <c r="E2350">
        <v>4895.8999999999996</v>
      </c>
      <c r="F2350" s="2">
        <v>45261.666684444448</v>
      </c>
      <c r="G2350" t="s">
        <v>194</v>
      </c>
      <c r="H2350" t="s">
        <v>116</v>
      </c>
      <c r="I2350" t="s">
        <v>163</v>
      </c>
    </row>
    <row r="2351" spans="1:9" x14ac:dyDescent="0.45">
      <c r="A2351" t="s">
        <v>3173</v>
      </c>
      <c r="B2351" t="s">
        <v>138</v>
      </c>
      <c r="C2351" t="s">
        <v>856</v>
      </c>
      <c r="D2351" t="s">
        <v>101</v>
      </c>
      <c r="E2351">
        <v>9799.4500000000007</v>
      </c>
      <c r="F2351" s="2">
        <v>45507.666684444448</v>
      </c>
      <c r="G2351" t="s">
        <v>140</v>
      </c>
      <c r="H2351" t="s">
        <v>76</v>
      </c>
      <c r="I2351" t="s">
        <v>88</v>
      </c>
    </row>
    <row r="2352" spans="1:9" x14ac:dyDescent="0.45">
      <c r="A2352" t="s">
        <v>3174</v>
      </c>
      <c r="B2352" t="s">
        <v>104</v>
      </c>
      <c r="C2352" t="s">
        <v>1626</v>
      </c>
      <c r="D2352" t="s">
        <v>74</v>
      </c>
      <c r="E2352">
        <v>6086.45</v>
      </c>
      <c r="F2352" s="2">
        <v>45655.666684444448</v>
      </c>
      <c r="G2352" t="s">
        <v>115</v>
      </c>
      <c r="H2352" t="s">
        <v>118</v>
      </c>
      <c r="I2352" t="s">
        <v>119</v>
      </c>
    </row>
    <row r="2353" spans="1:9" x14ac:dyDescent="0.45">
      <c r="A2353" t="s">
        <v>2172</v>
      </c>
      <c r="B2353" t="s">
        <v>79</v>
      </c>
      <c r="C2353" t="s">
        <v>293</v>
      </c>
      <c r="D2353" t="s">
        <v>74</v>
      </c>
      <c r="E2353">
        <v>2210.9899999999998</v>
      </c>
      <c r="F2353" s="2">
        <v>45703.666684444448</v>
      </c>
      <c r="G2353" t="s">
        <v>86</v>
      </c>
      <c r="I2353" t="s">
        <v>112</v>
      </c>
    </row>
    <row r="2354" spans="1:9" x14ac:dyDescent="0.45">
      <c r="A2354" t="s">
        <v>3175</v>
      </c>
      <c r="B2354" t="s">
        <v>109</v>
      </c>
      <c r="C2354" t="s">
        <v>1061</v>
      </c>
      <c r="D2354" t="s">
        <v>106</v>
      </c>
      <c r="E2354">
        <v>11630.89</v>
      </c>
      <c r="F2354" s="2">
        <v>45236.666684444448</v>
      </c>
      <c r="H2354" t="s">
        <v>81</v>
      </c>
      <c r="I2354" t="s">
        <v>77</v>
      </c>
    </row>
    <row r="2355" spans="1:9" x14ac:dyDescent="0.45">
      <c r="A2355" t="s">
        <v>3176</v>
      </c>
      <c r="B2355" t="s">
        <v>99</v>
      </c>
      <c r="C2355" t="s">
        <v>168</v>
      </c>
      <c r="D2355" t="s">
        <v>74</v>
      </c>
      <c r="E2355">
        <v>718.5</v>
      </c>
      <c r="F2355" s="2">
        <v>45454.666684444448</v>
      </c>
      <c r="G2355" t="s">
        <v>102</v>
      </c>
      <c r="H2355" t="s">
        <v>107</v>
      </c>
      <c r="I2355" t="s">
        <v>112</v>
      </c>
    </row>
    <row r="2356" spans="1:9" x14ac:dyDescent="0.45">
      <c r="A2356" t="s">
        <v>3177</v>
      </c>
      <c r="B2356" t="s">
        <v>138</v>
      </c>
      <c r="C2356" t="s">
        <v>127</v>
      </c>
      <c r="D2356" t="s">
        <v>101</v>
      </c>
      <c r="E2356">
        <v>6587.42</v>
      </c>
      <c r="F2356" s="2">
        <v>45375.666684444448</v>
      </c>
      <c r="G2356" t="s">
        <v>140</v>
      </c>
      <c r="H2356" t="s">
        <v>133</v>
      </c>
      <c r="I2356" t="s">
        <v>82</v>
      </c>
    </row>
    <row r="2357" spans="1:9" x14ac:dyDescent="0.45">
      <c r="A2357" t="s">
        <v>3178</v>
      </c>
      <c r="B2357" t="s">
        <v>138</v>
      </c>
      <c r="C2357" t="s">
        <v>1471</v>
      </c>
      <c r="D2357" t="s">
        <v>85</v>
      </c>
      <c r="E2357">
        <v>525.19000000000005</v>
      </c>
      <c r="F2357" s="2">
        <v>45605.666684444448</v>
      </c>
      <c r="G2357" t="s">
        <v>140</v>
      </c>
      <c r="H2357" t="s">
        <v>136</v>
      </c>
      <c r="I2357" t="s">
        <v>77</v>
      </c>
    </row>
    <row r="2358" spans="1:9" x14ac:dyDescent="0.45">
      <c r="A2358" t="s">
        <v>3179</v>
      </c>
      <c r="B2358" t="s">
        <v>79</v>
      </c>
      <c r="C2358" t="s">
        <v>1195</v>
      </c>
      <c r="D2358" t="s">
        <v>85</v>
      </c>
      <c r="E2358">
        <v>4778.5200000000004</v>
      </c>
      <c r="F2358" s="2">
        <v>45253.666684444448</v>
      </c>
      <c r="G2358" t="s">
        <v>86</v>
      </c>
      <c r="H2358" t="s">
        <v>76</v>
      </c>
      <c r="I2358" t="s">
        <v>77</v>
      </c>
    </row>
    <row r="2359" spans="1:9" x14ac:dyDescent="0.45">
      <c r="A2359" t="s">
        <v>3180</v>
      </c>
      <c r="B2359" t="s">
        <v>95</v>
      </c>
      <c r="C2359" t="s">
        <v>3181</v>
      </c>
      <c r="D2359" t="s">
        <v>74</v>
      </c>
      <c r="E2359">
        <v>461.11</v>
      </c>
      <c r="F2359" s="2">
        <v>45401.666684444448</v>
      </c>
      <c r="G2359" t="s">
        <v>97</v>
      </c>
      <c r="I2359" t="s">
        <v>88</v>
      </c>
    </row>
    <row r="2360" spans="1:9" x14ac:dyDescent="0.45">
      <c r="A2360" t="s">
        <v>3182</v>
      </c>
      <c r="B2360" t="s">
        <v>138</v>
      </c>
      <c r="C2360" t="s">
        <v>1240</v>
      </c>
      <c r="D2360" t="s">
        <v>85</v>
      </c>
      <c r="E2360">
        <v>9588.8799999999992</v>
      </c>
      <c r="F2360" s="2">
        <v>45588.666684444448</v>
      </c>
      <c r="G2360" t="s">
        <v>140</v>
      </c>
      <c r="H2360" t="s">
        <v>76</v>
      </c>
      <c r="I2360" t="s">
        <v>82</v>
      </c>
    </row>
    <row r="2361" spans="1:9" x14ac:dyDescent="0.45">
      <c r="A2361" t="s">
        <v>3183</v>
      </c>
      <c r="B2361" t="s">
        <v>104</v>
      </c>
      <c r="D2361" t="s">
        <v>101</v>
      </c>
      <c r="E2361">
        <v>6600.46</v>
      </c>
      <c r="F2361" s="2">
        <v>45381.666684444448</v>
      </c>
      <c r="G2361" t="s">
        <v>115</v>
      </c>
      <c r="H2361" t="s">
        <v>133</v>
      </c>
      <c r="I2361" t="s">
        <v>163</v>
      </c>
    </row>
    <row r="2362" spans="1:9" x14ac:dyDescent="0.45">
      <c r="A2362" t="s">
        <v>3184</v>
      </c>
      <c r="B2362" t="s">
        <v>138</v>
      </c>
      <c r="C2362" t="s">
        <v>1030</v>
      </c>
      <c r="D2362" t="s">
        <v>106</v>
      </c>
      <c r="E2362">
        <v>0</v>
      </c>
      <c r="F2362" s="2">
        <v>45272.666684444448</v>
      </c>
      <c r="G2362" t="s">
        <v>140</v>
      </c>
      <c r="H2362" t="s">
        <v>133</v>
      </c>
      <c r="I2362" t="s">
        <v>77</v>
      </c>
    </row>
    <row r="2363" spans="1:9" x14ac:dyDescent="0.45">
      <c r="A2363" t="s">
        <v>3185</v>
      </c>
      <c r="B2363" t="s">
        <v>138</v>
      </c>
      <c r="C2363" t="s">
        <v>1183</v>
      </c>
      <c r="D2363" t="s">
        <v>74</v>
      </c>
      <c r="E2363">
        <v>8124</v>
      </c>
      <c r="F2363" s="2">
        <v>45227.666684444448</v>
      </c>
      <c r="G2363" t="s">
        <v>140</v>
      </c>
      <c r="H2363" t="s">
        <v>107</v>
      </c>
      <c r="I2363" t="s">
        <v>112</v>
      </c>
    </row>
    <row r="2364" spans="1:9" x14ac:dyDescent="0.45">
      <c r="A2364" t="s">
        <v>3186</v>
      </c>
      <c r="B2364" t="s">
        <v>79</v>
      </c>
      <c r="C2364" t="s">
        <v>214</v>
      </c>
      <c r="D2364" t="s">
        <v>101</v>
      </c>
      <c r="E2364">
        <v>11749.24</v>
      </c>
      <c r="F2364" s="2">
        <v>45179.666684444448</v>
      </c>
      <c r="G2364" t="s">
        <v>86</v>
      </c>
      <c r="H2364" t="s">
        <v>76</v>
      </c>
      <c r="I2364" t="s">
        <v>82</v>
      </c>
    </row>
    <row r="2365" spans="1:9" x14ac:dyDescent="0.45">
      <c r="A2365" t="s">
        <v>3187</v>
      </c>
      <c r="B2365" t="s">
        <v>104</v>
      </c>
      <c r="C2365" t="s">
        <v>1658</v>
      </c>
      <c r="D2365" t="s">
        <v>101</v>
      </c>
      <c r="E2365">
        <v>5918.92</v>
      </c>
      <c r="F2365" s="2">
        <v>45425.666684444448</v>
      </c>
      <c r="G2365" t="s">
        <v>115</v>
      </c>
      <c r="H2365" t="s">
        <v>145</v>
      </c>
      <c r="I2365" t="s">
        <v>77</v>
      </c>
    </row>
    <row r="2366" spans="1:9" x14ac:dyDescent="0.45">
      <c r="A2366" t="s">
        <v>3188</v>
      </c>
      <c r="B2366" t="s">
        <v>90</v>
      </c>
      <c r="C2366" t="s">
        <v>456</v>
      </c>
      <c r="D2366" t="s">
        <v>101</v>
      </c>
      <c r="E2366">
        <v>1253.68</v>
      </c>
      <c r="F2366" s="2">
        <v>45521.666684444448</v>
      </c>
      <c r="G2366" t="s">
        <v>296</v>
      </c>
      <c r="H2366" t="s">
        <v>145</v>
      </c>
      <c r="I2366" t="s">
        <v>82</v>
      </c>
    </row>
    <row r="2367" spans="1:9" x14ac:dyDescent="0.45">
      <c r="A2367" t="s">
        <v>2626</v>
      </c>
      <c r="B2367" t="s">
        <v>72</v>
      </c>
      <c r="C2367" t="s">
        <v>550</v>
      </c>
      <c r="D2367" t="s">
        <v>92</v>
      </c>
      <c r="E2367">
        <v>3445.31</v>
      </c>
      <c r="F2367" s="2">
        <v>45758.666684444448</v>
      </c>
      <c r="H2367" t="s">
        <v>145</v>
      </c>
      <c r="I2367" t="s">
        <v>163</v>
      </c>
    </row>
    <row r="2368" spans="1:9" x14ac:dyDescent="0.45">
      <c r="A2368" t="s">
        <v>3189</v>
      </c>
      <c r="B2368" t="s">
        <v>79</v>
      </c>
      <c r="C2368" t="s">
        <v>280</v>
      </c>
      <c r="D2368" t="s">
        <v>74</v>
      </c>
      <c r="E2368">
        <v>9162.0300000000007</v>
      </c>
      <c r="F2368" s="2">
        <v>45556.666684444448</v>
      </c>
      <c r="G2368" t="s">
        <v>86</v>
      </c>
      <c r="H2368" t="s">
        <v>136</v>
      </c>
      <c r="I2368" t="s">
        <v>119</v>
      </c>
    </row>
    <row r="2369" spans="1:9" x14ac:dyDescent="0.45">
      <c r="A2369" t="s">
        <v>3190</v>
      </c>
      <c r="B2369" t="s">
        <v>95</v>
      </c>
      <c r="C2369" t="s">
        <v>658</v>
      </c>
      <c r="D2369" t="s">
        <v>74</v>
      </c>
      <c r="E2369">
        <v>6681.22</v>
      </c>
      <c r="F2369" s="2">
        <v>45382.666684444448</v>
      </c>
      <c r="G2369" t="s">
        <v>336</v>
      </c>
      <c r="H2369" t="s">
        <v>81</v>
      </c>
      <c r="I2369" t="s">
        <v>77</v>
      </c>
    </row>
    <row r="2370" spans="1:9" x14ac:dyDescent="0.45">
      <c r="A2370" t="s">
        <v>3191</v>
      </c>
      <c r="B2370" t="s">
        <v>95</v>
      </c>
      <c r="C2370" t="s">
        <v>884</v>
      </c>
      <c r="D2370" t="s">
        <v>92</v>
      </c>
      <c r="E2370">
        <v>5524.05</v>
      </c>
      <c r="F2370" s="2">
        <v>45291.666684444448</v>
      </c>
      <c r="G2370" t="s">
        <v>97</v>
      </c>
      <c r="H2370" t="s">
        <v>118</v>
      </c>
      <c r="I2370" t="s">
        <v>163</v>
      </c>
    </row>
    <row r="2371" spans="1:9" x14ac:dyDescent="0.45">
      <c r="A2371" t="s">
        <v>3192</v>
      </c>
      <c r="B2371" t="s">
        <v>99</v>
      </c>
      <c r="C2371" t="s">
        <v>2974</v>
      </c>
      <c r="D2371" t="s">
        <v>85</v>
      </c>
      <c r="E2371">
        <v>8075.01</v>
      </c>
      <c r="F2371" s="2">
        <v>45463.666684444448</v>
      </c>
      <c r="I2371" t="s">
        <v>163</v>
      </c>
    </row>
    <row r="2372" spans="1:9" x14ac:dyDescent="0.45">
      <c r="A2372" t="s">
        <v>3193</v>
      </c>
      <c r="B2372" t="s">
        <v>79</v>
      </c>
      <c r="C2372" t="s">
        <v>1279</v>
      </c>
      <c r="D2372" t="s">
        <v>101</v>
      </c>
      <c r="E2372">
        <v>9801.2099999999991</v>
      </c>
      <c r="F2372" s="2">
        <v>45719.666684444448</v>
      </c>
      <c r="G2372" t="s">
        <v>86</v>
      </c>
      <c r="H2372" t="s">
        <v>116</v>
      </c>
      <c r="I2372" t="s">
        <v>163</v>
      </c>
    </row>
    <row r="2373" spans="1:9" x14ac:dyDescent="0.45">
      <c r="A2373" t="s">
        <v>1843</v>
      </c>
      <c r="B2373" t="s">
        <v>172</v>
      </c>
      <c r="C2373" t="s">
        <v>80</v>
      </c>
      <c r="D2373" t="s">
        <v>74</v>
      </c>
      <c r="E2373">
        <v>2460.66</v>
      </c>
      <c r="F2373" s="2">
        <v>45448.666684444448</v>
      </c>
      <c r="G2373" t="s">
        <v>174</v>
      </c>
      <c r="H2373" t="s">
        <v>136</v>
      </c>
      <c r="I2373" t="s">
        <v>88</v>
      </c>
    </row>
    <row r="2374" spans="1:9" x14ac:dyDescent="0.45">
      <c r="A2374" t="s">
        <v>3194</v>
      </c>
      <c r="B2374" t="s">
        <v>79</v>
      </c>
      <c r="C2374" t="s">
        <v>295</v>
      </c>
      <c r="D2374" t="s">
        <v>74</v>
      </c>
      <c r="E2374">
        <v>10152.040000000001</v>
      </c>
      <c r="F2374" s="2">
        <v>45322.666684444448</v>
      </c>
      <c r="G2374" t="s">
        <v>86</v>
      </c>
      <c r="H2374" t="s">
        <v>76</v>
      </c>
      <c r="I2374" t="s">
        <v>77</v>
      </c>
    </row>
    <row r="2375" spans="1:9" x14ac:dyDescent="0.45">
      <c r="A2375" t="s">
        <v>3195</v>
      </c>
      <c r="B2375" t="s">
        <v>90</v>
      </c>
      <c r="C2375" t="s">
        <v>1888</v>
      </c>
      <c r="D2375" t="s">
        <v>74</v>
      </c>
      <c r="E2375">
        <v>8723.4500000000007</v>
      </c>
      <c r="F2375" s="2">
        <v>45291.666684444448</v>
      </c>
      <c r="G2375" t="s">
        <v>93</v>
      </c>
      <c r="H2375" t="s">
        <v>87</v>
      </c>
      <c r="I2375" t="s">
        <v>112</v>
      </c>
    </row>
    <row r="2376" spans="1:9" x14ac:dyDescent="0.45">
      <c r="A2376" t="s">
        <v>3196</v>
      </c>
      <c r="B2376" t="s">
        <v>138</v>
      </c>
      <c r="C2376" t="s">
        <v>388</v>
      </c>
      <c r="D2376" t="s">
        <v>74</v>
      </c>
      <c r="E2376">
        <v>11883.19</v>
      </c>
      <c r="F2376" s="2">
        <v>45638.666684444448</v>
      </c>
      <c r="H2376" t="s">
        <v>87</v>
      </c>
      <c r="I2376" t="s">
        <v>88</v>
      </c>
    </row>
    <row r="2377" spans="1:9" x14ac:dyDescent="0.45">
      <c r="A2377" t="s">
        <v>1630</v>
      </c>
      <c r="B2377" t="s">
        <v>79</v>
      </c>
      <c r="C2377" t="s">
        <v>1013</v>
      </c>
      <c r="D2377" t="s">
        <v>85</v>
      </c>
      <c r="E2377">
        <v>8875.0400000000009</v>
      </c>
      <c r="F2377" s="2">
        <v>45655.666684444448</v>
      </c>
      <c r="G2377" t="s">
        <v>86</v>
      </c>
      <c r="H2377" t="s">
        <v>136</v>
      </c>
      <c r="I2377" t="s">
        <v>77</v>
      </c>
    </row>
    <row r="2378" spans="1:9" x14ac:dyDescent="0.45">
      <c r="A2378" t="s">
        <v>3197</v>
      </c>
      <c r="B2378" t="s">
        <v>172</v>
      </c>
      <c r="C2378" t="s">
        <v>401</v>
      </c>
      <c r="D2378" t="s">
        <v>148</v>
      </c>
      <c r="E2378">
        <v>10002.48</v>
      </c>
      <c r="F2378" s="2">
        <v>45606.666684444448</v>
      </c>
      <c r="H2378" t="s">
        <v>76</v>
      </c>
      <c r="I2378" t="s">
        <v>88</v>
      </c>
    </row>
    <row r="2379" spans="1:9" x14ac:dyDescent="0.45">
      <c r="A2379" t="s">
        <v>3198</v>
      </c>
      <c r="B2379" t="s">
        <v>172</v>
      </c>
      <c r="C2379" t="s">
        <v>617</v>
      </c>
      <c r="D2379" t="s">
        <v>101</v>
      </c>
      <c r="E2379">
        <v>11543.93</v>
      </c>
      <c r="F2379" s="2">
        <v>45638.666684444448</v>
      </c>
      <c r="G2379" t="s">
        <v>174</v>
      </c>
      <c r="H2379" t="s">
        <v>81</v>
      </c>
      <c r="I2379" t="s">
        <v>77</v>
      </c>
    </row>
    <row r="2380" spans="1:9" x14ac:dyDescent="0.45">
      <c r="A2380" t="s">
        <v>3199</v>
      </c>
      <c r="B2380" t="s">
        <v>95</v>
      </c>
      <c r="C2380" t="s">
        <v>1557</v>
      </c>
      <c r="D2380" t="s">
        <v>101</v>
      </c>
      <c r="E2380">
        <v>0</v>
      </c>
      <c r="F2380" s="2">
        <v>45443.666684444448</v>
      </c>
      <c r="G2380" t="s">
        <v>97</v>
      </c>
      <c r="H2380" t="s">
        <v>116</v>
      </c>
      <c r="I2380" t="s">
        <v>88</v>
      </c>
    </row>
    <row r="2381" spans="1:9" x14ac:dyDescent="0.45">
      <c r="A2381" t="s">
        <v>2882</v>
      </c>
      <c r="B2381" t="s">
        <v>90</v>
      </c>
      <c r="C2381" t="s">
        <v>708</v>
      </c>
      <c r="D2381" t="s">
        <v>74</v>
      </c>
      <c r="E2381">
        <v>6670.09</v>
      </c>
      <c r="F2381" s="2">
        <v>45637.666684444448</v>
      </c>
      <c r="G2381" t="s">
        <v>93</v>
      </c>
      <c r="H2381" t="s">
        <v>118</v>
      </c>
      <c r="I2381" t="s">
        <v>82</v>
      </c>
    </row>
    <row r="2382" spans="1:9" x14ac:dyDescent="0.45">
      <c r="A2382" t="s">
        <v>3200</v>
      </c>
      <c r="B2382" t="s">
        <v>138</v>
      </c>
      <c r="C2382" t="s">
        <v>1631</v>
      </c>
      <c r="D2382" t="s">
        <v>101</v>
      </c>
      <c r="E2382">
        <v>2526.9499999999998</v>
      </c>
      <c r="F2382" s="2">
        <v>45151.666684444448</v>
      </c>
      <c r="G2382" t="s">
        <v>140</v>
      </c>
      <c r="H2382" t="s">
        <v>133</v>
      </c>
      <c r="I2382" t="s">
        <v>112</v>
      </c>
    </row>
    <row r="2383" spans="1:9" x14ac:dyDescent="0.45">
      <c r="A2383" t="s">
        <v>3201</v>
      </c>
      <c r="B2383" t="s">
        <v>172</v>
      </c>
      <c r="D2383" t="s">
        <v>74</v>
      </c>
      <c r="E2383">
        <v>9071.01</v>
      </c>
      <c r="F2383" s="2">
        <v>45220.666684444448</v>
      </c>
      <c r="G2383" t="s">
        <v>174</v>
      </c>
      <c r="H2383" t="s">
        <v>76</v>
      </c>
      <c r="I2383" t="s">
        <v>77</v>
      </c>
    </row>
    <row r="2384" spans="1:9" x14ac:dyDescent="0.45">
      <c r="A2384" t="s">
        <v>3202</v>
      </c>
      <c r="B2384" t="s">
        <v>90</v>
      </c>
      <c r="C2384" t="s">
        <v>173</v>
      </c>
      <c r="D2384" t="s">
        <v>155</v>
      </c>
      <c r="E2384">
        <v>2813.39</v>
      </c>
      <c r="F2384" s="2">
        <v>45530.666684444448</v>
      </c>
      <c r="G2384" t="s">
        <v>93</v>
      </c>
      <c r="H2384" t="s">
        <v>81</v>
      </c>
      <c r="I2384" t="s">
        <v>82</v>
      </c>
    </row>
    <row r="2385" spans="1:9" x14ac:dyDescent="0.45">
      <c r="A2385" t="s">
        <v>3203</v>
      </c>
      <c r="B2385" t="s">
        <v>104</v>
      </c>
      <c r="C2385" t="s">
        <v>674</v>
      </c>
      <c r="D2385" t="s">
        <v>92</v>
      </c>
      <c r="E2385">
        <v>3082.77</v>
      </c>
      <c r="F2385" s="2">
        <v>45645.666684444448</v>
      </c>
      <c r="G2385" t="s">
        <v>115</v>
      </c>
      <c r="H2385" t="s">
        <v>116</v>
      </c>
      <c r="I2385" t="s">
        <v>88</v>
      </c>
    </row>
    <row r="2386" spans="1:9" x14ac:dyDescent="0.45">
      <c r="A2386" t="s">
        <v>3204</v>
      </c>
      <c r="B2386" t="s">
        <v>104</v>
      </c>
      <c r="C2386" t="s">
        <v>1050</v>
      </c>
      <c r="D2386" t="s">
        <v>106</v>
      </c>
      <c r="E2386">
        <v>8288.02</v>
      </c>
      <c r="F2386" s="2">
        <v>45596.666684444448</v>
      </c>
      <c r="G2386" t="s">
        <v>115</v>
      </c>
      <c r="H2386" t="s">
        <v>128</v>
      </c>
      <c r="I2386" t="s">
        <v>88</v>
      </c>
    </row>
    <row r="2387" spans="1:9" x14ac:dyDescent="0.45">
      <c r="A2387" t="s">
        <v>3205</v>
      </c>
      <c r="B2387" t="s">
        <v>104</v>
      </c>
      <c r="D2387" t="s">
        <v>148</v>
      </c>
      <c r="E2387">
        <v>5778.47</v>
      </c>
      <c r="F2387" s="2">
        <v>45374.666684444448</v>
      </c>
      <c r="G2387" t="s">
        <v>115</v>
      </c>
      <c r="H2387" t="s">
        <v>136</v>
      </c>
      <c r="I2387" t="s">
        <v>82</v>
      </c>
    </row>
    <row r="2388" spans="1:9" x14ac:dyDescent="0.45">
      <c r="A2388" t="s">
        <v>3206</v>
      </c>
      <c r="B2388" t="s">
        <v>138</v>
      </c>
      <c r="C2388" t="s">
        <v>1838</v>
      </c>
      <c r="D2388" t="s">
        <v>85</v>
      </c>
      <c r="E2388">
        <v>3632.97</v>
      </c>
      <c r="F2388" s="2">
        <v>45348.666684444448</v>
      </c>
      <c r="G2388" t="s">
        <v>140</v>
      </c>
      <c r="H2388" t="s">
        <v>118</v>
      </c>
      <c r="I2388" t="s">
        <v>88</v>
      </c>
    </row>
    <row r="2389" spans="1:9" x14ac:dyDescent="0.45">
      <c r="A2389" t="s">
        <v>3207</v>
      </c>
      <c r="B2389" t="s">
        <v>72</v>
      </c>
      <c r="D2389" t="s">
        <v>85</v>
      </c>
      <c r="E2389">
        <v>1583.8</v>
      </c>
      <c r="F2389" s="2">
        <v>45725.666684444448</v>
      </c>
      <c r="G2389" t="s">
        <v>75</v>
      </c>
      <c r="I2389" t="s">
        <v>88</v>
      </c>
    </row>
    <row r="2390" spans="1:9" x14ac:dyDescent="0.45">
      <c r="A2390" t="s">
        <v>3208</v>
      </c>
      <c r="B2390" t="s">
        <v>72</v>
      </c>
      <c r="C2390" t="s">
        <v>586</v>
      </c>
      <c r="D2390" t="s">
        <v>74</v>
      </c>
      <c r="E2390">
        <v>9604.33</v>
      </c>
      <c r="F2390" s="2">
        <v>45489.666684444448</v>
      </c>
      <c r="G2390" t="s">
        <v>75</v>
      </c>
      <c r="H2390" t="s">
        <v>87</v>
      </c>
      <c r="I2390" t="s">
        <v>163</v>
      </c>
    </row>
    <row r="2391" spans="1:9" x14ac:dyDescent="0.45">
      <c r="A2391" t="s">
        <v>3209</v>
      </c>
      <c r="B2391" t="s">
        <v>90</v>
      </c>
      <c r="C2391" t="s">
        <v>785</v>
      </c>
      <c r="D2391" t="s">
        <v>85</v>
      </c>
      <c r="E2391">
        <v>6458.33</v>
      </c>
      <c r="F2391" s="2">
        <v>45177.666684444448</v>
      </c>
      <c r="G2391" t="s">
        <v>93</v>
      </c>
      <c r="H2391" t="s">
        <v>76</v>
      </c>
      <c r="I2391" t="s">
        <v>119</v>
      </c>
    </row>
    <row r="2392" spans="1:9" x14ac:dyDescent="0.45">
      <c r="A2392" t="s">
        <v>3210</v>
      </c>
      <c r="B2392" t="s">
        <v>104</v>
      </c>
      <c r="C2392" t="s">
        <v>932</v>
      </c>
      <c r="D2392" t="s">
        <v>155</v>
      </c>
      <c r="E2392">
        <v>5937.09</v>
      </c>
      <c r="F2392" s="2">
        <v>45179.666684444448</v>
      </c>
      <c r="G2392" t="s">
        <v>115</v>
      </c>
      <c r="H2392" t="s">
        <v>136</v>
      </c>
      <c r="I2392" t="s">
        <v>119</v>
      </c>
    </row>
    <row r="2393" spans="1:9" x14ac:dyDescent="0.45">
      <c r="A2393" t="s">
        <v>3211</v>
      </c>
      <c r="B2393" t="s">
        <v>95</v>
      </c>
      <c r="C2393" t="s">
        <v>1074</v>
      </c>
      <c r="D2393" t="s">
        <v>74</v>
      </c>
      <c r="E2393">
        <v>1924.49</v>
      </c>
      <c r="F2393" s="2">
        <v>45416.666684444448</v>
      </c>
      <c r="H2393" t="s">
        <v>87</v>
      </c>
      <c r="I2393" t="s">
        <v>119</v>
      </c>
    </row>
    <row r="2394" spans="1:9" x14ac:dyDescent="0.45">
      <c r="A2394" t="s">
        <v>3212</v>
      </c>
      <c r="B2394" t="s">
        <v>138</v>
      </c>
      <c r="C2394" t="s">
        <v>834</v>
      </c>
      <c r="D2394" t="s">
        <v>148</v>
      </c>
      <c r="E2394">
        <v>11153.11</v>
      </c>
      <c r="F2394" s="2">
        <v>45634.666684444448</v>
      </c>
      <c r="G2394" t="s">
        <v>140</v>
      </c>
      <c r="H2394" t="s">
        <v>145</v>
      </c>
      <c r="I2394" t="s">
        <v>77</v>
      </c>
    </row>
    <row r="2395" spans="1:9" x14ac:dyDescent="0.45">
      <c r="A2395" t="s">
        <v>636</v>
      </c>
      <c r="B2395" t="s">
        <v>72</v>
      </c>
      <c r="C2395" t="s">
        <v>3213</v>
      </c>
      <c r="D2395" t="s">
        <v>101</v>
      </c>
      <c r="E2395">
        <v>2160.2199999999998</v>
      </c>
      <c r="F2395" s="2">
        <v>45739.666684444448</v>
      </c>
      <c r="G2395" t="s">
        <v>75</v>
      </c>
      <c r="H2395" t="s">
        <v>81</v>
      </c>
      <c r="I2395" t="s">
        <v>112</v>
      </c>
    </row>
    <row r="2396" spans="1:9" x14ac:dyDescent="0.45">
      <c r="A2396" t="s">
        <v>3214</v>
      </c>
      <c r="B2396" t="s">
        <v>79</v>
      </c>
      <c r="C2396" t="s">
        <v>2925</v>
      </c>
      <c r="D2396" t="s">
        <v>148</v>
      </c>
      <c r="E2396">
        <v>9682.7900000000009</v>
      </c>
      <c r="F2396" s="2">
        <v>45797.666684444448</v>
      </c>
      <c r="H2396" t="s">
        <v>116</v>
      </c>
      <c r="I2396" t="s">
        <v>112</v>
      </c>
    </row>
    <row r="2397" spans="1:9" x14ac:dyDescent="0.45">
      <c r="A2397" t="s">
        <v>3215</v>
      </c>
      <c r="B2397" t="s">
        <v>99</v>
      </c>
      <c r="D2397" t="s">
        <v>155</v>
      </c>
      <c r="E2397">
        <v>3046.96</v>
      </c>
      <c r="F2397" s="2">
        <v>45816.666684444448</v>
      </c>
      <c r="G2397" t="s">
        <v>285</v>
      </c>
      <c r="H2397" t="s">
        <v>145</v>
      </c>
      <c r="I2397" t="s">
        <v>119</v>
      </c>
    </row>
    <row r="2398" spans="1:9" x14ac:dyDescent="0.45">
      <c r="A2398" t="s">
        <v>3216</v>
      </c>
      <c r="B2398" t="s">
        <v>109</v>
      </c>
      <c r="C2398" t="s">
        <v>2296</v>
      </c>
      <c r="D2398" t="s">
        <v>92</v>
      </c>
      <c r="E2398">
        <v>6427.38</v>
      </c>
      <c r="F2398" s="2">
        <v>45609.666684444448</v>
      </c>
      <c r="G2398" t="s">
        <v>307</v>
      </c>
      <c r="H2398" t="s">
        <v>87</v>
      </c>
      <c r="I2398" t="s">
        <v>77</v>
      </c>
    </row>
    <row r="2399" spans="1:9" x14ac:dyDescent="0.45">
      <c r="A2399" t="s">
        <v>3217</v>
      </c>
      <c r="B2399" t="s">
        <v>72</v>
      </c>
      <c r="C2399" t="s">
        <v>1720</v>
      </c>
      <c r="D2399" t="s">
        <v>92</v>
      </c>
      <c r="E2399">
        <v>0</v>
      </c>
      <c r="F2399" s="2">
        <v>45420.666684444448</v>
      </c>
      <c r="G2399" t="s">
        <v>75</v>
      </c>
      <c r="H2399" t="s">
        <v>133</v>
      </c>
      <c r="I2399" t="s">
        <v>119</v>
      </c>
    </row>
    <row r="2400" spans="1:9" x14ac:dyDescent="0.45">
      <c r="A2400" t="s">
        <v>3218</v>
      </c>
      <c r="B2400" t="s">
        <v>104</v>
      </c>
      <c r="C2400" t="s">
        <v>3219</v>
      </c>
      <c r="D2400" t="s">
        <v>85</v>
      </c>
      <c r="E2400">
        <v>0</v>
      </c>
      <c r="F2400" s="2">
        <v>45677.666684444448</v>
      </c>
      <c r="G2400" t="s">
        <v>115</v>
      </c>
      <c r="H2400" t="s">
        <v>107</v>
      </c>
      <c r="I2400" t="s">
        <v>163</v>
      </c>
    </row>
    <row r="2401" spans="1:9" x14ac:dyDescent="0.45">
      <c r="A2401" t="s">
        <v>3220</v>
      </c>
      <c r="B2401" t="s">
        <v>109</v>
      </c>
      <c r="C2401" t="s">
        <v>845</v>
      </c>
      <c r="E2401">
        <v>5581.48</v>
      </c>
      <c r="F2401" s="2">
        <v>45136.666684444448</v>
      </c>
      <c r="G2401" t="s">
        <v>111</v>
      </c>
      <c r="I2401" t="s">
        <v>77</v>
      </c>
    </row>
    <row r="2402" spans="1:9" x14ac:dyDescent="0.45">
      <c r="A2402" t="s">
        <v>3221</v>
      </c>
      <c r="B2402" t="s">
        <v>95</v>
      </c>
      <c r="C2402" t="s">
        <v>597</v>
      </c>
      <c r="D2402" t="s">
        <v>106</v>
      </c>
      <c r="E2402">
        <v>8142.38</v>
      </c>
      <c r="F2402" s="2">
        <v>45238.666684444448</v>
      </c>
      <c r="G2402" t="s">
        <v>97</v>
      </c>
      <c r="H2402" t="s">
        <v>76</v>
      </c>
      <c r="I2402" t="s">
        <v>163</v>
      </c>
    </row>
    <row r="2403" spans="1:9" x14ac:dyDescent="0.45">
      <c r="A2403" t="s">
        <v>1847</v>
      </c>
      <c r="B2403" t="s">
        <v>79</v>
      </c>
      <c r="C2403" t="s">
        <v>2594</v>
      </c>
      <c r="D2403" t="s">
        <v>92</v>
      </c>
      <c r="E2403">
        <v>0</v>
      </c>
      <c r="F2403" s="2">
        <v>45569.666684444448</v>
      </c>
      <c r="G2403" t="s">
        <v>86</v>
      </c>
      <c r="H2403" t="s">
        <v>136</v>
      </c>
      <c r="I2403" t="s">
        <v>82</v>
      </c>
    </row>
    <row r="2404" spans="1:9" x14ac:dyDescent="0.45">
      <c r="A2404" t="s">
        <v>3222</v>
      </c>
      <c r="B2404" t="s">
        <v>90</v>
      </c>
      <c r="C2404" t="s">
        <v>324</v>
      </c>
      <c r="D2404" t="s">
        <v>85</v>
      </c>
      <c r="E2404">
        <v>4973.38</v>
      </c>
      <c r="F2404" s="2">
        <v>45265.666684444448</v>
      </c>
      <c r="G2404" t="s">
        <v>93</v>
      </c>
      <c r="H2404" t="s">
        <v>87</v>
      </c>
      <c r="I2404" t="s">
        <v>112</v>
      </c>
    </row>
    <row r="2405" spans="1:9" x14ac:dyDescent="0.45">
      <c r="A2405" t="s">
        <v>3223</v>
      </c>
      <c r="B2405" t="s">
        <v>109</v>
      </c>
      <c r="C2405" t="s">
        <v>203</v>
      </c>
      <c r="D2405" t="s">
        <v>85</v>
      </c>
      <c r="E2405">
        <v>11078.51</v>
      </c>
      <c r="F2405" s="2">
        <v>45398.666684444448</v>
      </c>
      <c r="G2405" t="s">
        <v>111</v>
      </c>
      <c r="H2405" t="s">
        <v>136</v>
      </c>
      <c r="I2405" t="s">
        <v>77</v>
      </c>
    </row>
    <row r="2406" spans="1:9" x14ac:dyDescent="0.45">
      <c r="A2406" t="s">
        <v>3224</v>
      </c>
      <c r="B2406" t="s">
        <v>95</v>
      </c>
      <c r="C2406" t="s">
        <v>622</v>
      </c>
      <c r="E2406">
        <v>2761.03</v>
      </c>
      <c r="F2406" s="2">
        <v>45502.666684444448</v>
      </c>
      <c r="G2406" t="s">
        <v>336</v>
      </c>
      <c r="H2406" t="s">
        <v>136</v>
      </c>
      <c r="I2406" t="s">
        <v>112</v>
      </c>
    </row>
    <row r="2407" spans="1:9" x14ac:dyDescent="0.45">
      <c r="A2407" t="s">
        <v>3225</v>
      </c>
      <c r="B2407" t="s">
        <v>72</v>
      </c>
      <c r="C2407" t="s">
        <v>2673</v>
      </c>
      <c r="D2407" t="s">
        <v>85</v>
      </c>
      <c r="E2407">
        <v>384.22</v>
      </c>
      <c r="F2407" s="2">
        <v>45540.666684444448</v>
      </c>
      <c r="G2407" t="s">
        <v>75</v>
      </c>
      <c r="H2407" t="s">
        <v>116</v>
      </c>
      <c r="I2407" t="s">
        <v>119</v>
      </c>
    </row>
    <row r="2408" spans="1:9" x14ac:dyDescent="0.45">
      <c r="A2408" t="s">
        <v>3226</v>
      </c>
      <c r="B2408" t="s">
        <v>172</v>
      </c>
      <c r="C2408" t="s">
        <v>1157</v>
      </c>
      <c r="E2408">
        <v>7015.46</v>
      </c>
      <c r="F2408" s="2">
        <v>45502.666684444448</v>
      </c>
      <c r="G2408" t="s">
        <v>174</v>
      </c>
      <c r="H2408" t="s">
        <v>133</v>
      </c>
      <c r="I2408" t="s">
        <v>112</v>
      </c>
    </row>
    <row r="2409" spans="1:9" x14ac:dyDescent="0.45">
      <c r="A2409" t="s">
        <v>3227</v>
      </c>
      <c r="B2409" t="s">
        <v>90</v>
      </c>
      <c r="C2409" t="s">
        <v>1542</v>
      </c>
      <c r="D2409" t="s">
        <v>85</v>
      </c>
      <c r="E2409">
        <v>11631.07</v>
      </c>
      <c r="F2409" s="2">
        <v>45174.666684444448</v>
      </c>
      <c r="G2409" t="s">
        <v>93</v>
      </c>
      <c r="H2409" t="s">
        <v>136</v>
      </c>
      <c r="I2409" t="s">
        <v>77</v>
      </c>
    </row>
    <row r="2410" spans="1:9" x14ac:dyDescent="0.45">
      <c r="A2410" t="s">
        <v>3228</v>
      </c>
      <c r="B2410" t="s">
        <v>138</v>
      </c>
      <c r="C2410" t="s">
        <v>858</v>
      </c>
      <c r="D2410" t="s">
        <v>74</v>
      </c>
      <c r="E2410">
        <v>0</v>
      </c>
      <c r="F2410" s="2">
        <v>45538.666684444448</v>
      </c>
      <c r="G2410" t="s">
        <v>140</v>
      </c>
      <c r="H2410" t="s">
        <v>87</v>
      </c>
      <c r="I2410" t="s">
        <v>163</v>
      </c>
    </row>
    <row r="2411" spans="1:9" x14ac:dyDescent="0.45">
      <c r="A2411" t="s">
        <v>3229</v>
      </c>
      <c r="B2411" t="s">
        <v>99</v>
      </c>
      <c r="C2411" t="s">
        <v>2240</v>
      </c>
      <c r="D2411" t="s">
        <v>101</v>
      </c>
      <c r="E2411">
        <v>10299.709999999999</v>
      </c>
      <c r="F2411" s="2">
        <v>45180.666684444448</v>
      </c>
      <c r="G2411" t="s">
        <v>102</v>
      </c>
      <c r="H2411" t="s">
        <v>107</v>
      </c>
      <c r="I2411" t="s">
        <v>163</v>
      </c>
    </row>
    <row r="2412" spans="1:9" x14ac:dyDescent="0.45">
      <c r="A2412" t="s">
        <v>3230</v>
      </c>
      <c r="B2412" t="s">
        <v>72</v>
      </c>
      <c r="C2412" t="s">
        <v>3231</v>
      </c>
      <c r="D2412" t="s">
        <v>101</v>
      </c>
      <c r="E2412">
        <v>35.549999999999997</v>
      </c>
      <c r="F2412" s="2">
        <v>45711.666684444448</v>
      </c>
      <c r="G2412" t="s">
        <v>75</v>
      </c>
      <c r="H2412" t="s">
        <v>136</v>
      </c>
      <c r="I2412" t="s">
        <v>119</v>
      </c>
    </row>
    <row r="2413" spans="1:9" x14ac:dyDescent="0.45">
      <c r="A2413" t="s">
        <v>3232</v>
      </c>
      <c r="B2413" t="s">
        <v>72</v>
      </c>
      <c r="C2413" t="s">
        <v>819</v>
      </c>
      <c r="D2413" t="s">
        <v>74</v>
      </c>
      <c r="E2413">
        <v>3885.23</v>
      </c>
      <c r="F2413" s="2">
        <v>45703.666684444448</v>
      </c>
      <c r="G2413" t="s">
        <v>75</v>
      </c>
      <c r="H2413" t="s">
        <v>136</v>
      </c>
      <c r="I2413" t="s">
        <v>119</v>
      </c>
    </row>
    <row r="2414" spans="1:9" x14ac:dyDescent="0.45">
      <c r="A2414" t="s">
        <v>3233</v>
      </c>
      <c r="B2414" t="s">
        <v>104</v>
      </c>
      <c r="C2414" t="s">
        <v>799</v>
      </c>
      <c r="D2414" t="s">
        <v>74</v>
      </c>
      <c r="E2414">
        <v>10941.28</v>
      </c>
      <c r="F2414" s="2">
        <v>45327.666684444448</v>
      </c>
      <c r="G2414" t="s">
        <v>115</v>
      </c>
      <c r="H2414" t="s">
        <v>133</v>
      </c>
      <c r="I2414" t="s">
        <v>88</v>
      </c>
    </row>
    <row r="2415" spans="1:9" x14ac:dyDescent="0.45">
      <c r="A2415" t="s">
        <v>3234</v>
      </c>
      <c r="B2415" t="s">
        <v>72</v>
      </c>
      <c r="C2415" t="s">
        <v>2802</v>
      </c>
      <c r="D2415" t="s">
        <v>85</v>
      </c>
      <c r="E2415">
        <v>9909.1</v>
      </c>
      <c r="F2415" s="2">
        <v>45499.666684444448</v>
      </c>
      <c r="G2415" t="s">
        <v>75</v>
      </c>
      <c r="H2415" t="s">
        <v>118</v>
      </c>
      <c r="I2415" t="s">
        <v>82</v>
      </c>
    </row>
    <row r="2416" spans="1:9" x14ac:dyDescent="0.45">
      <c r="A2416" t="s">
        <v>3235</v>
      </c>
      <c r="B2416" t="s">
        <v>109</v>
      </c>
      <c r="C2416" t="s">
        <v>385</v>
      </c>
      <c r="D2416" t="s">
        <v>74</v>
      </c>
      <c r="E2416">
        <v>10870.52</v>
      </c>
      <c r="F2416" s="2">
        <v>45694.666684444448</v>
      </c>
      <c r="G2416" t="s">
        <v>111</v>
      </c>
      <c r="H2416" t="s">
        <v>81</v>
      </c>
      <c r="I2416" t="s">
        <v>119</v>
      </c>
    </row>
    <row r="2417" spans="1:9" x14ac:dyDescent="0.45">
      <c r="A2417" t="s">
        <v>3236</v>
      </c>
      <c r="B2417" t="s">
        <v>109</v>
      </c>
      <c r="C2417" t="s">
        <v>3237</v>
      </c>
      <c r="D2417" t="s">
        <v>101</v>
      </c>
      <c r="E2417">
        <v>4200.8599999999997</v>
      </c>
      <c r="F2417" s="2">
        <v>45423.666684444448</v>
      </c>
      <c r="G2417" t="s">
        <v>111</v>
      </c>
      <c r="H2417" t="s">
        <v>116</v>
      </c>
      <c r="I2417" t="s">
        <v>119</v>
      </c>
    </row>
    <row r="2418" spans="1:9" x14ac:dyDescent="0.45">
      <c r="A2418" t="s">
        <v>1995</v>
      </c>
      <c r="B2418" t="s">
        <v>79</v>
      </c>
      <c r="C2418" t="s">
        <v>1420</v>
      </c>
      <c r="D2418" t="s">
        <v>92</v>
      </c>
      <c r="E2418">
        <v>6563</v>
      </c>
      <c r="F2418" s="2">
        <v>45203.666684444448</v>
      </c>
      <c r="G2418" t="s">
        <v>278</v>
      </c>
      <c r="H2418" t="s">
        <v>116</v>
      </c>
      <c r="I2418" t="s">
        <v>77</v>
      </c>
    </row>
    <row r="2419" spans="1:9" x14ac:dyDescent="0.45">
      <c r="A2419" t="s">
        <v>3238</v>
      </c>
      <c r="B2419" t="s">
        <v>79</v>
      </c>
      <c r="C2419" t="s">
        <v>612</v>
      </c>
      <c r="D2419" t="s">
        <v>106</v>
      </c>
      <c r="E2419">
        <v>391.49</v>
      </c>
      <c r="F2419" s="2">
        <v>45523.666684444448</v>
      </c>
      <c r="G2419" t="s">
        <v>86</v>
      </c>
      <c r="H2419" t="s">
        <v>116</v>
      </c>
      <c r="I2419" t="s">
        <v>119</v>
      </c>
    </row>
    <row r="2420" spans="1:9" x14ac:dyDescent="0.45">
      <c r="A2420" t="s">
        <v>3239</v>
      </c>
      <c r="B2420" t="s">
        <v>90</v>
      </c>
      <c r="C2420" t="s">
        <v>135</v>
      </c>
      <c r="D2420" t="s">
        <v>92</v>
      </c>
      <c r="E2420">
        <v>11108.89</v>
      </c>
      <c r="F2420" s="2">
        <v>45644.666684444448</v>
      </c>
      <c r="G2420" t="s">
        <v>93</v>
      </c>
      <c r="H2420" t="s">
        <v>116</v>
      </c>
      <c r="I2420" t="s">
        <v>163</v>
      </c>
    </row>
    <row r="2421" spans="1:9" x14ac:dyDescent="0.45">
      <c r="A2421" t="s">
        <v>3240</v>
      </c>
      <c r="B2421" t="s">
        <v>72</v>
      </c>
      <c r="C2421" t="s">
        <v>3024</v>
      </c>
      <c r="D2421" t="s">
        <v>106</v>
      </c>
      <c r="E2421">
        <v>4892.88</v>
      </c>
      <c r="F2421" s="2">
        <v>45589.666684444448</v>
      </c>
      <c r="G2421" t="s">
        <v>75</v>
      </c>
      <c r="H2421" t="s">
        <v>133</v>
      </c>
      <c r="I2421" t="s">
        <v>82</v>
      </c>
    </row>
    <row r="2422" spans="1:9" x14ac:dyDescent="0.45">
      <c r="A2422" t="s">
        <v>3241</v>
      </c>
      <c r="B2422" t="s">
        <v>79</v>
      </c>
      <c r="C2422" t="s">
        <v>1279</v>
      </c>
      <c r="D2422" t="s">
        <v>92</v>
      </c>
      <c r="E2422">
        <v>7932</v>
      </c>
      <c r="F2422" s="2">
        <v>45691.666684444448</v>
      </c>
      <c r="G2422" t="s">
        <v>86</v>
      </c>
      <c r="H2422" t="s">
        <v>136</v>
      </c>
      <c r="I2422" t="s">
        <v>88</v>
      </c>
    </row>
    <row r="2423" spans="1:9" x14ac:dyDescent="0.45">
      <c r="A2423" t="s">
        <v>3242</v>
      </c>
      <c r="B2423" t="s">
        <v>104</v>
      </c>
      <c r="C2423" t="s">
        <v>1088</v>
      </c>
      <c r="D2423" t="s">
        <v>101</v>
      </c>
      <c r="E2423">
        <v>8930.0499999999993</v>
      </c>
      <c r="F2423" s="2">
        <v>45414.666684444448</v>
      </c>
      <c r="G2423" t="s">
        <v>115</v>
      </c>
      <c r="H2423" t="s">
        <v>136</v>
      </c>
      <c r="I2423" t="s">
        <v>77</v>
      </c>
    </row>
    <row r="2424" spans="1:9" x14ac:dyDescent="0.45">
      <c r="A2424" t="s">
        <v>1130</v>
      </c>
      <c r="B2424" t="s">
        <v>95</v>
      </c>
      <c r="C2424" t="s">
        <v>3243</v>
      </c>
      <c r="D2424" t="s">
        <v>92</v>
      </c>
      <c r="E2424">
        <v>11113.9</v>
      </c>
      <c r="F2424" s="2">
        <v>45766.666684444448</v>
      </c>
      <c r="G2424" t="s">
        <v>97</v>
      </c>
      <c r="H2424" t="s">
        <v>128</v>
      </c>
      <c r="I2424" t="s">
        <v>119</v>
      </c>
    </row>
    <row r="2425" spans="1:9" x14ac:dyDescent="0.45">
      <c r="A2425" t="s">
        <v>3244</v>
      </c>
      <c r="B2425" t="s">
        <v>79</v>
      </c>
      <c r="C2425" t="s">
        <v>2608</v>
      </c>
      <c r="D2425" t="s">
        <v>92</v>
      </c>
      <c r="E2425">
        <v>2082.73</v>
      </c>
      <c r="F2425" s="2">
        <v>45824.666684444448</v>
      </c>
      <c r="G2425" t="s">
        <v>86</v>
      </c>
      <c r="H2425" t="s">
        <v>145</v>
      </c>
      <c r="I2425" t="s">
        <v>112</v>
      </c>
    </row>
    <row r="2426" spans="1:9" x14ac:dyDescent="0.45">
      <c r="A2426" t="s">
        <v>3245</v>
      </c>
      <c r="B2426" t="s">
        <v>72</v>
      </c>
      <c r="C2426" t="s">
        <v>890</v>
      </c>
      <c r="D2426" t="s">
        <v>101</v>
      </c>
      <c r="E2426">
        <v>1110.67</v>
      </c>
      <c r="F2426" s="2">
        <v>45753.666684444448</v>
      </c>
      <c r="G2426" t="s">
        <v>521</v>
      </c>
      <c r="H2426" t="s">
        <v>81</v>
      </c>
      <c r="I2426" t="s">
        <v>82</v>
      </c>
    </row>
    <row r="2427" spans="1:9" x14ac:dyDescent="0.45">
      <c r="A2427" t="s">
        <v>3246</v>
      </c>
      <c r="B2427" t="s">
        <v>109</v>
      </c>
      <c r="C2427" t="s">
        <v>369</v>
      </c>
      <c r="D2427" t="s">
        <v>74</v>
      </c>
      <c r="E2427">
        <v>1685.97</v>
      </c>
      <c r="F2427" s="2">
        <v>45249.666684444448</v>
      </c>
      <c r="G2427" t="s">
        <v>111</v>
      </c>
      <c r="I2427" t="s">
        <v>119</v>
      </c>
    </row>
    <row r="2428" spans="1:9" x14ac:dyDescent="0.45">
      <c r="A2428" t="s">
        <v>3247</v>
      </c>
      <c r="B2428" t="s">
        <v>99</v>
      </c>
      <c r="C2428" t="s">
        <v>834</v>
      </c>
      <c r="D2428" t="s">
        <v>92</v>
      </c>
      <c r="E2428">
        <v>4938.67</v>
      </c>
      <c r="F2428" s="2">
        <v>45259.666684444448</v>
      </c>
      <c r="G2428" t="s">
        <v>102</v>
      </c>
      <c r="I2428" t="s">
        <v>77</v>
      </c>
    </row>
    <row r="2429" spans="1:9" x14ac:dyDescent="0.45">
      <c r="A2429" t="s">
        <v>3248</v>
      </c>
      <c r="B2429" t="s">
        <v>172</v>
      </c>
      <c r="C2429" t="s">
        <v>401</v>
      </c>
      <c r="D2429" t="s">
        <v>74</v>
      </c>
      <c r="E2429">
        <v>11072.18</v>
      </c>
      <c r="F2429" s="2">
        <v>45227.666684444448</v>
      </c>
      <c r="G2429" t="s">
        <v>174</v>
      </c>
      <c r="I2429" t="s">
        <v>163</v>
      </c>
    </row>
    <row r="2430" spans="1:9" x14ac:dyDescent="0.45">
      <c r="A2430" t="s">
        <v>3249</v>
      </c>
      <c r="B2430" t="s">
        <v>138</v>
      </c>
      <c r="C2430" t="s">
        <v>3250</v>
      </c>
      <c r="D2430" t="s">
        <v>85</v>
      </c>
      <c r="E2430">
        <v>0</v>
      </c>
      <c r="F2430" s="2">
        <v>45531.666684444448</v>
      </c>
      <c r="G2430" t="s">
        <v>140</v>
      </c>
      <c r="H2430" t="s">
        <v>133</v>
      </c>
      <c r="I2430" t="s">
        <v>163</v>
      </c>
    </row>
    <row r="2431" spans="1:9" x14ac:dyDescent="0.45">
      <c r="A2431" t="s">
        <v>3251</v>
      </c>
      <c r="B2431" t="s">
        <v>79</v>
      </c>
      <c r="C2431" t="s">
        <v>1524</v>
      </c>
      <c r="D2431" t="s">
        <v>74</v>
      </c>
      <c r="E2431">
        <v>10605.95</v>
      </c>
      <c r="F2431" s="2">
        <v>45510.666684444448</v>
      </c>
      <c r="G2431" t="s">
        <v>278</v>
      </c>
      <c r="H2431" t="s">
        <v>107</v>
      </c>
      <c r="I2431" t="s">
        <v>112</v>
      </c>
    </row>
    <row r="2432" spans="1:9" x14ac:dyDescent="0.45">
      <c r="A2432" t="s">
        <v>1913</v>
      </c>
      <c r="B2432" t="s">
        <v>138</v>
      </c>
      <c r="C2432" t="s">
        <v>556</v>
      </c>
      <c r="D2432" t="s">
        <v>85</v>
      </c>
      <c r="E2432">
        <v>8451.41</v>
      </c>
      <c r="F2432" s="2">
        <v>45475.666684444448</v>
      </c>
      <c r="G2432" t="s">
        <v>194</v>
      </c>
      <c r="H2432" t="s">
        <v>116</v>
      </c>
      <c r="I2432" t="s">
        <v>77</v>
      </c>
    </row>
    <row r="2433" spans="1:9" x14ac:dyDescent="0.45">
      <c r="A2433" t="s">
        <v>3252</v>
      </c>
      <c r="B2433" t="s">
        <v>172</v>
      </c>
      <c r="C2433" t="s">
        <v>1277</v>
      </c>
      <c r="D2433" t="s">
        <v>85</v>
      </c>
      <c r="E2433">
        <v>9105.2800000000007</v>
      </c>
      <c r="F2433" s="2">
        <v>45699.666684444448</v>
      </c>
      <c r="G2433" t="s">
        <v>174</v>
      </c>
      <c r="I2433" t="s">
        <v>88</v>
      </c>
    </row>
    <row r="2434" spans="1:9" x14ac:dyDescent="0.45">
      <c r="A2434" t="s">
        <v>630</v>
      </c>
      <c r="B2434" t="s">
        <v>90</v>
      </c>
      <c r="C2434" t="s">
        <v>1731</v>
      </c>
      <c r="D2434" t="s">
        <v>74</v>
      </c>
      <c r="E2434">
        <v>3602.71</v>
      </c>
      <c r="F2434" s="2">
        <v>45502.666684444448</v>
      </c>
      <c r="G2434" t="s">
        <v>93</v>
      </c>
      <c r="H2434" t="s">
        <v>76</v>
      </c>
      <c r="I2434" t="s">
        <v>88</v>
      </c>
    </row>
    <row r="2435" spans="1:9" x14ac:dyDescent="0.45">
      <c r="A2435" t="s">
        <v>3253</v>
      </c>
      <c r="B2435" t="s">
        <v>109</v>
      </c>
      <c r="C2435" t="s">
        <v>371</v>
      </c>
      <c r="D2435" t="s">
        <v>101</v>
      </c>
      <c r="E2435">
        <v>8278.66</v>
      </c>
      <c r="F2435" s="2">
        <v>45275.666684444448</v>
      </c>
      <c r="G2435" t="s">
        <v>111</v>
      </c>
      <c r="H2435" t="s">
        <v>87</v>
      </c>
      <c r="I2435" t="s">
        <v>112</v>
      </c>
    </row>
    <row r="2436" spans="1:9" x14ac:dyDescent="0.45">
      <c r="A2436" t="s">
        <v>3254</v>
      </c>
      <c r="B2436" t="s">
        <v>109</v>
      </c>
      <c r="C2436" t="s">
        <v>456</v>
      </c>
      <c r="D2436" t="s">
        <v>85</v>
      </c>
      <c r="E2436">
        <v>1568.72</v>
      </c>
      <c r="F2436" s="2">
        <v>45331.666684444448</v>
      </c>
      <c r="H2436" t="s">
        <v>133</v>
      </c>
      <c r="I2436" t="s">
        <v>112</v>
      </c>
    </row>
    <row r="2437" spans="1:9" x14ac:dyDescent="0.45">
      <c r="A2437" t="s">
        <v>3255</v>
      </c>
      <c r="B2437" t="s">
        <v>172</v>
      </c>
      <c r="C2437" t="s">
        <v>1927</v>
      </c>
      <c r="E2437">
        <v>3044.75</v>
      </c>
      <c r="F2437" s="2">
        <v>45744.666684444448</v>
      </c>
      <c r="G2437" t="s">
        <v>174</v>
      </c>
      <c r="H2437" t="s">
        <v>136</v>
      </c>
      <c r="I2437" t="s">
        <v>82</v>
      </c>
    </row>
    <row r="2438" spans="1:9" x14ac:dyDescent="0.45">
      <c r="A2438" t="s">
        <v>3256</v>
      </c>
      <c r="B2438" t="s">
        <v>72</v>
      </c>
      <c r="C2438" t="s">
        <v>1310</v>
      </c>
      <c r="D2438" t="s">
        <v>148</v>
      </c>
      <c r="E2438">
        <v>842.85</v>
      </c>
      <c r="F2438" s="2">
        <v>45649.666684444448</v>
      </c>
      <c r="G2438" t="s">
        <v>75</v>
      </c>
      <c r="H2438" t="s">
        <v>87</v>
      </c>
      <c r="I2438" t="s">
        <v>163</v>
      </c>
    </row>
    <row r="2439" spans="1:9" x14ac:dyDescent="0.45">
      <c r="A2439" t="s">
        <v>3257</v>
      </c>
      <c r="B2439" t="s">
        <v>138</v>
      </c>
      <c r="C2439" t="s">
        <v>1818</v>
      </c>
      <c r="D2439" t="s">
        <v>85</v>
      </c>
      <c r="E2439">
        <v>2099.35</v>
      </c>
      <c r="F2439" s="2">
        <v>45539.666684444448</v>
      </c>
      <c r="G2439" t="s">
        <v>140</v>
      </c>
      <c r="H2439" t="s">
        <v>107</v>
      </c>
      <c r="I2439" t="s">
        <v>163</v>
      </c>
    </row>
    <row r="2440" spans="1:9" x14ac:dyDescent="0.45">
      <c r="A2440" t="s">
        <v>3258</v>
      </c>
      <c r="B2440" t="s">
        <v>138</v>
      </c>
      <c r="C2440" t="s">
        <v>1141</v>
      </c>
      <c r="D2440" t="s">
        <v>92</v>
      </c>
      <c r="E2440">
        <v>10028.31</v>
      </c>
      <c r="F2440" s="2">
        <v>45640.666684444448</v>
      </c>
      <c r="G2440" t="s">
        <v>140</v>
      </c>
      <c r="I2440" t="s">
        <v>77</v>
      </c>
    </row>
    <row r="2441" spans="1:9" x14ac:dyDescent="0.45">
      <c r="A2441" t="s">
        <v>3259</v>
      </c>
      <c r="B2441" t="s">
        <v>172</v>
      </c>
      <c r="C2441" t="s">
        <v>1614</v>
      </c>
      <c r="D2441" t="s">
        <v>101</v>
      </c>
      <c r="E2441">
        <v>9035.31</v>
      </c>
      <c r="F2441" s="2">
        <v>45169.666684444448</v>
      </c>
      <c r="G2441" t="s">
        <v>174</v>
      </c>
      <c r="H2441" t="s">
        <v>76</v>
      </c>
      <c r="I2441" t="s">
        <v>82</v>
      </c>
    </row>
    <row r="2442" spans="1:9" x14ac:dyDescent="0.45">
      <c r="A2442" t="s">
        <v>3260</v>
      </c>
      <c r="B2442" t="s">
        <v>138</v>
      </c>
      <c r="C2442" t="s">
        <v>1007</v>
      </c>
      <c r="D2442" t="s">
        <v>101</v>
      </c>
      <c r="E2442">
        <v>10688.95</v>
      </c>
      <c r="F2442" s="2">
        <v>45174.666684444448</v>
      </c>
      <c r="G2442" t="s">
        <v>140</v>
      </c>
      <c r="H2442" t="s">
        <v>116</v>
      </c>
      <c r="I2442" t="s">
        <v>112</v>
      </c>
    </row>
    <row r="2443" spans="1:9" x14ac:dyDescent="0.45">
      <c r="A2443" t="s">
        <v>3261</v>
      </c>
      <c r="B2443" t="s">
        <v>72</v>
      </c>
      <c r="C2443" t="s">
        <v>827</v>
      </c>
      <c r="D2443" t="s">
        <v>74</v>
      </c>
      <c r="E2443">
        <v>11010.22</v>
      </c>
      <c r="F2443" s="2">
        <v>45167.666684444448</v>
      </c>
      <c r="G2443" t="s">
        <v>75</v>
      </c>
      <c r="H2443" t="s">
        <v>118</v>
      </c>
      <c r="I2443" t="s">
        <v>112</v>
      </c>
    </row>
    <row r="2444" spans="1:9" x14ac:dyDescent="0.45">
      <c r="A2444" t="s">
        <v>3262</v>
      </c>
      <c r="B2444" t="s">
        <v>109</v>
      </c>
      <c r="C2444" t="s">
        <v>2653</v>
      </c>
      <c r="D2444" t="s">
        <v>85</v>
      </c>
      <c r="E2444">
        <v>6071.59</v>
      </c>
      <c r="F2444" s="2">
        <v>45268.666684444448</v>
      </c>
      <c r="G2444" t="s">
        <v>111</v>
      </c>
      <c r="H2444" t="s">
        <v>116</v>
      </c>
      <c r="I2444" t="s">
        <v>77</v>
      </c>
    </row>
    <row r="2445" spans="1:9" x14ac:dyDescent="0.45">
      <c r="A2445" t="s">
        <v>3263</v>
      </c>
      <c r="B2445" t="s">
        <v>90</v>
      </c>
      <c r="C2445" t="s">
        <v>1249</v>
      </c>
      <c r="D2445" t="s">
        <v>101</v>
      </c>
      <c r="E2445">
        <v>6537.44</v>
      </c>
      <c r="F2445" s="2">
        <v>45858.666684444448</v>
      </c>
      <c r="G2445" t="s">
        <v>93</v>
      </c>
      <c r="H2445" t="s">
        <v>128</v>
      </c>
      <c r="I2445" t="s">
        <v>112</v>
      </c>
    </row>
    <row r="2446" spans="1:9" x14ac:dyDescent="0.45">
      <c r="A2446" t="s">
        <v>3264</v>
      </c>
      <c r="B2446" t="s">
        <v>104</v>
      </c>
      <c r="C2446" t="s">
        <v>1094</v>
      </c>
      <c r="D2446" t="s">
        <v>74</v>
      </c>
      <c r="E2446">
        <v>10436.280000000001</v>
      </c>
      <c r="F2446" s="2">
        <v>45469.666684444448</v>
      </c>
      <c r="G2446" t="s">
        <v>115</v>
      </c>
      <c r="H2446" t="s">
        <v>76</v>
      </c>
      <c r="I2446" t="s">
        <v>163</v>
      </c>
    </row>
    <row r="2447" spans="1:9" x14ac:dyDescent="0.45">
      <c r="A2447" t="s">
        <v>3265</v>
      </c>
      <c r="B2447" t="s">
        <v>109</v>
      </c>
      <c r="C2447" t="s">
        <v>73</v>
      </c>
      <c r="D2447" t="s">
        <v>92</v>
      </c>
      <c r="E2447">
        <v>11923.63</v>
      </c>
      <c r="F2447" s="2">
        <v>45613.666684444448</v>
      </c>
      <c r="G2447" t="s">
        <v>111</v>
      </c>
      <c r="H2447" t="s">
        <v>87</v>
      </c>
      <c r="I2447" t="s">
        <v>88</v>
      </c>
    </row>
    <row r="2448" spans="1:9" x14ac:dyDescent="0.45">
      <c r="A2448" t="s">
        <v>3266</v>
      </c>
      <c r="B2448" t="s">
        <v>95</v>
      </c>
      <c r="C2448" t="s">
        <v>1290</v>
      </c>
      <c r="D2448" t="s">
        <v>92</v>
      </c>
      <c r="E2448">
        <v>0</v>
      </c>
      <c r="F2448" s="2">
        <v>45659.666684444448</v>
      </c>
      <c r="G2448" t="s">
        <v>97</v>
      </c>
      <c r="H2448" t="s">
        <v>81</v>
      </c>
      <c r="I2448" t="s">
        <v>112</v>
      </c>
    </row>
    <row r="2449" spans="1:9" x14ac:dyDescent="0.45">
      <c r="A2449" t="s">
        <v>3267</v>
      </c>
      <c r="B2449" t="s">
        <v>95</v>
      </c>
      <c r="C2449" t="s">
        <v>749</v>
      </c>
      <c r="D2449" t="s">
        <v>101</v>
      </c>
      <c r="E2449">
        <v>10525.9</v>
      </c>
      <c r="F2449" s="2">
        <v>45595.666684444448</v>
      </c>
      <c r="G2449" t="s">
        <v>97</v>
      </c>
      <c r="H2449" t="s">
        <v>87</v>
      </c>
      <c r="I2449" t="s">
        <v>119</v>
      </c>
    </row>
    <row r="2450" spans="1:9" x14ac:dyDescent="0.45">
      <c r="A2450" t="s">
        <v>3268</v>
      </c>
      <c r="B2450" t="s">
        <v>109</v>
      </c>
      <c r="C2450" t="s">
        <v>2233</v>
      </c>
      <c r="D2450" t="s">
        <v>74</v>
      </c>
      <c r="E2450">
        <v>5595.64</v>
      </c>
      <c r="F2450" s="2">
        <v>45280.666684444448</v>
      </c>
      <c r="G2450" t="s">
        <v>111</v>
      </c>
      <c r="H2450" t="s">
        <v>128</v>
      </c>
      <c r="I2450" t="s">
        <v>88</v>
      </c>
    </row>
    <row r="2451" spans="1:9" x14ac:dyDescent="0.45">
      <c r="A2451" t="s">
        <v>3269</v>
      </c>
      <c r="B2451" t="s">
        <v>72</v>
      </c>
      <c r="C2451" t="s">
        <v>1247</v>
      </c>
      <c r="D2451" t="s">
        <v>101</v>
      </c>
      <c r="E2451">
        <v>6261.88</v>
      </c>
      <c r="F2451" s="2">
        <v>45748.666684444448</v>
      </c>
      <c r="G2451" t="s">
        <v>75</v>
      </c>
      <c r="H2451" t="s">
        <v>128</v>
      </c>
      <c r="I2451" t="s">
        <v>119</v>
      </c>
    </row>
    <row r="2452" spans="1:9" x14ac:dyDescent="0.45">
      <c r="A2452" t="s">
        <v>2964</v>
      </c>
      <c r="B2452" t="s">
        <v>104</v>
      </c>
      <c r="C2452" t="s">
        <v>563</v>
      </c>
      <c r="D2452" t="s">
        <v>101</v>
      </c>
      <c r="E2452">
        <v>10704.36</v>
      </c>
      <c r="F2452" s="2">
        <v>45655.666684444448</v>
      </c>
      <c r="G2452" t="s">
        <v>115</v>
      </c>
      <c r="H2452" t="s">
        <v>128</v>
      </c>
      <c r="I2452" t="s">
        <v>77</v>
      </c>
    </row>
    <row r="2453" spans="1:9" x14ac:dyDescent="0.45">
      <c r="A2453" t="s">
        <v>3270</v>
      </c>
      <c r="B2453" t="s">
        <v>90</v>
      </c>
      <c r="C2453" t="s">
        <v>645</v>
      </c>
      <c r="D2453" t="s">
        <v>92</v>
      </c>
      <c r="E2453">
        <v>0</v>
      </c>
      <c r="F2453" s="2">
        <v>45271.666684444448</v>
      </c>
      <c r="G2453" t="s">
        <v>93</v>
      </c>
      <c r="H2453" t="s">
        <v>133</v>
      </c>
      <c r="I2453" t="s">
        <v>77</v>
      </c>
    </row>
    <row r="2454" spans="1:9" x14ac:dyDescent="0.45">
      <c r="A2454" t="s">
        <v>3271</v>
      </c>
      <c r="B2454" t="s">
        <v>138</v>
      </c>
      <c r="C2454" t="s">
        <v>2949</v>
      </c>
      <c r="D2454" t="s">
        <v>101</v>
      </c>
      <c r="E2454">
        <v>606.24</v>
      </c>
      <c r="F2454" s="2">
        <v>45463.666684444448</v>
      </c>
      <c r="G2454" t="s">
        <v>140</v>
      </c>
      <c r="H2454" t="s">
        <v>116</v>
      </c>
      <c r="I2454" t="s">
        <v>119</v>
      </c>
    </row>
    <row r="2455" spans="1:9" x14ac:dyDescent="0.45">
      <c r="A2455" t="s">
        <v>3272</v>
      </c>
      <c r="B2455" t="s">
        <v>95</v>
      </c>
      <c r="C2455" t="s">
        <v>2557</v>
      </c>
      <c r="D2455" t="s">
        <v>92</v>
      </c>
      <c r="E2455">
        <v>860.15</v>
      </c>
      <c r="F2455" s="2">
        <v>45755.666684444448</v>
      </c>
      <c r="G2455" t="s">
        <v>97</v>
      </c>
      <c r="H2455" t="s">
        <v>128</v>
      </c>
      <c r="I2455" t="s">
        <v>112</v>
      </c>
    </row>
    <row r="2456" spans="1:9" x14ac:dyDescent="0.45">
      <c r="A2456" t="s">
        <v>3273</v>
      </c>
      <c r="B2456" t="s">
        <v>95</v>
      </c>
      <c r="D2456" t="s">
        <v>148</v>
      </c>
      <c r="E2456">
        <v>407.66</v>
      </c>
      <c r="F2456" s="2">
        <v>45454.666684444448</v>
      </c>
      <c r="G2456" t="s">
        <v>336</v>
      </c>
      <c r="I2456" t="s">
        <v>119</v>
      </c>
    </row>
    <row r="2457" spans="1:9" x14ac:dyDescent="0.45">
      <c r="A2457" t="s">
        <v>3274</v>
      </c>
      <c r="B2457" t="s">
        <v>95</v>
      </c>
      <c r="C2457" t="s">
        <v>992</v>
      </c>
      <c r="D2457" t="s">
        <v>74</v>
      </c>
      <c r="E2457">
        <v>5591.33</v>
      </c>
      <c r="F2457" s="2">
        <v>45294.666684444448</v>
      </c>
      <c r="G2457" t="s">
        <v>97</v>
      </c>
      <c r="H2457" t="s">
        <v>128</v>
      </c>
      <c r="I2457" t="s">
        <v>112</v>
      </c>
    </row>
    <row r="2458" spans="1:9" x14ac:dyDescent="0.45">
      <c r="A2458" t="s">
        <v>3275</v>
      </c>
      <c r="B2458" t="s">
        <v>72</v>
      </c>
      <c r="C2458" t="s">
        <v>2139</v>
      </c>
      <c r="D2458" t="s">
        <v>106</v>
      </c>
      <c r="E2458">
        <v>0</v>
      </c>
      <c r="F2458" s="2">
        <v>45530.666684444448</v>
      </c>
      <c r="G2458" t="s">
        <v>75</v>
      </c>
      <c r="H2458" t="s">
        <v>136</v>
      </c>
      <c r="I2458" t="s">
        <v>119</v>
      </c>
    </row>
    <row r="2459" spans="1:9" x14ac:dyDescent="0.45">
      <c r="A2459" t="s">
        <v>3276</v>
      </c>
      <c r="B2459" t="s">
        <v>109</v>
      </c>
      <c r="C2459" t="s">
        <v>1552</v>
      </c>
      <c r="D2459" t="s">
        <v>101</v>
      </c>
      <c r="E2459">
        <v>5871.48</v>
      </c>
      <c r="F2459" s="2">
        <v>45759.666684444448</v>
      </c>
      <c r="G2459" t="s">
        <v>111</v>
      </c>
      <c r="H2459" t="s">
        <v>116</v>
      </c>
      <c r="I2459" t="s">
        <v>82</v>
      </c>
    </row>
    <row r="2460" spans="1:9" x14ac:dyDescent="0.45">
      <c r="A2460" t="s">
        <v>3277</v>
      </c>
      <c r="B2460" t="s">
        <v>104</v>
      </c>
      <c r="C2460" t="s">
        <v>315</v>
      </c>
      <c r="D2460" t="s">
        <v>101</v>
      </c>
      <c r="E2460">
        <v>188.07</v>
      </c>
      <c r="F2460" s="2">
        <v>45434.666684444448</v>
      </c>
      <c r="G2460" t="s">
        <v>115</v>
      </c>
      <c r="H2460" t="s">
        <v>145</v>
      </c>
      <c r="I2460" t="s">
        <v>163</v>
      </c>
    </row>
    <row r="2461" spans="1:9" x14ac:dyDescent="0.45">
      <c r="A2461" t="s">
        <v>3278</v>
      </c>
      <c r="B2461" t="s">
        <v>109</v>
      </c>
      <c r="C2461" t="s">
        <v>225</v>
      </c>
      <c r="D2461" t="s">
        <v>101</v>
      </c>
      <c r="E2461">
        <v>1027.55</v>
      </c>
      <c r="F2461" s="2">
        <v>45735.666684444448</v>
      </c>
      <c r="G2461" t="s">
        <v>111</v>
      </c>
      <c r="H2461" t="s">
        <v>136</v>
      </c>
      <c r="I2461" t="s">
        <v>88</v>
      </c>
    </row>
    <row r="2462" spans="1:9" x14ac:dyDescent="0.45">
      <c r="A2462" t="s">
        <v>3279</v>
      </c>
      <c r="B2462" t="s">
        <v>95</v>
      </c>
      <c r="C2462" t="s">
        <v>2309</v>
      </c>
      <c r="D2462" t="s">
        <v>74</v>
      </c>
      <c r="E2462">
        <v>0</v>
      </c>
      <c r="F2462" s="2">
        <v>45472.666684444448</v>
      </c>
      <c r="G2462" t="s">
        <v>97</v>
      </c>
      <c r="H2462" t="s">
        <v>116</v>
      </c>
      <c r="I2462" t="s">
        <v>88</v>
      </c>
    </row>
    <row r="2463" spans="1:9" x14ac:dyDescent="0.45">
      <c r="A2463" t="s">
        <v>3280</v>
      </c>
      <c r="B2463" t="s">
        <v>172</v>
      </c>
      <c r="C2463" t="s">
        <v>210</v>
      </c>
      <c r="D2463" t="s">
        <v>74</v>
      </c>
      <c r="E2463">
        <v>7565.5</v>
      </c>
      <c r="F2463" s="2">
        <v>45647.666684444448</v>
      </c>
      <c r="G2463" t="s">
        <v>174</v>
      </c>
      <c r="H2463" t="s">
        <v>76</v>
      </c>
      <c r="I2463" t="s">
        <v>119</v>
      </c>
    </row>
    <row r="2464" spans="1:9" x14ac:dyDescent="0.45">
      <c r="A2464" t="s">
        <v>583</v>
      </c>
      <c r="B2464" t="s">
        <v>72</v>
      </c>
      <c r="C2464" t="s">
        <v>731</v>
      </c>
      <c r="D2464" t="s">
        <v>101</v>
      </c>
      <c r="E2464">
        <v>827.85</v>
      </c>
      <c r="F2464" s="2">
        <v>45649.666684444448</v>
      </c>
      <c r="G2464" t="s">
        <v>75</v>
      </c>
      <c r="I2464" t="s">
        <v>82</v>
      </c>
    </row>
    <row r="2465" spans="1:9" x14ac:dyDescent="0.45">
      <c r="A2465" t="s">
        <v>3281</v>
      </c>
      <c r="B2465" t="s">
        <v>90</v>
      </c>
      <c r="C2465" t="s">
        <v>123</v>
      </c>
      <c r="D2465" t="s">
        <v>92</v>
      </c>
      <c r="E2465">
        <v>10646.02</v>
      </c>
      <c r="F2465" s="2">
        <v>45673.666684444448</v>
      </c>
      <c r="G2465" t="s">
        <v>93</v>
      </c>
      <c r="H2465" t="s">
        <v>76</v>
      </c>
      <c r="I2465" t="s">
        <v>112</v>
      </c>
    </row>
    <row r="2466" spans="1:9" x14ac:dyDescent="0.45">
      <c r="A2466" t="s">
        <v>3282</v>
      </c>
      <c r="B2466" t="s">
        <v>138</v>
      </c>
      <c r="C2466" t="s">
        <v>3283</v>
      </c>
      <c r="D2466" t="s">
        <v>155</v>
      </c>
      <c r="E2466">
        <v>1468.06</v>
      </c>
      <c r="F2466" s="2">
        <v>45629.666684444448</v>
      </c>
      <c r="G2466" t="s">
        <v>140</v>
      </c>
      <c r="H2466" t="s">
        <v>81</v>
      </c>
      <c r="I2466" t="s">
        <v>77</v>
      </c>
    </row>
    <row r="2467" spans="1:9" x14ac:dyDescent="0.45">
      <c r="A2467" t="s">
        <v>3284</v>
      </c>
      <c r="B2467" t="s">
        <v>99</v>
      </c>
      <c r="C2467" t="s">
        <v>135</v>
      </c>
      <c r="D2467" t="s">
        <v>92</v>
      </c>
      <c r="E2467">
        <v>5533.7</v>
      </c>
      <c r="F2467" s="2">
        <v>45853.666684444448</v>
      </c>
      <c r="G2467" t="s">
        <v>285</v>
      </c>
      <c r="H2467" t="s">
        <v>128</v>
      </c>
      <c r="I2467" t="s">
        <v>77</v>
      </c>
    </row>
    <row r="2468" spans="1:9" x14ac:dyDescent="0.45">
      <c r="A2468" t="s">
        <v>3285</v>
      </c>
      <c r="B2468" t="s">
        <v>104</v>
      </c>
      <c r="C2468" t="s">
        <v>563</v>
      </c>
      <c r="D2468" t="s">
        <v>74</v>
      </c>
      <c r="E2468">
        <v>5884.3</v>
      </c>
      <c r="F2468" s="2">
        <v>45704.666684444448</v>
      </c>
      <c r="G2468" t="s">
        <v>115</v>
      </c>
      <c r="H2468" t="s">
        <v>133</v>
      </c>
      <c r="I2468" t="s">
        <v>77</v>
      </c>
    </row>
    <row r="2469" spans="1:9" x14ac:dyDescent="0.45">
      <c r="A2469" t="s">
        <v>3286</v>
      </c>
      <c r="B2469" t="s">
        <v>90</v>
      </c>
      <c r="C2469" t="s">
        <v>2824</v>
      </c>
      <c r="D2469" t="s">
        <v>92</v>
      </c>
      <c r="E2469">
        <v>2020.62</v>
      </c>
      <c r="F2469" s="2">
        <v>45434.666684444448</v>
      </c>
      <c r="G2469" t="s">
        <v>93</v>
      </c>
      <c r="H2469" t="s">
        <v>118</v>
      </c>
      <c r="I2469" t="s">
        <v>77</v>
      </c>
    </row>
    <row r="2470" spans="1:9" x14ac:dyDescent="0.45">
      <c r="A2470" t="s">
        <v>3287</v>
      </c>
      <c r="B2470" t="s">
        <v>99</v>
      </c>
      <c r="C2470" t="s">
        <v>3288</v>
      </c>
      <c r="D2470" t="s">
        <v>85</v>
      </c>
      <c r="E2470">
        <v>8993.36</v>
      </c>
      <c r="F2470" s="2">
        <v>45614.666684444448</v>
      </c>
      <c r="G2470" t="s">
        <v>102</v>
      </c>
      <c r="H2470" t="s">
        <v>116</v>
      </c>
      <c r="I2470" t="s">
        <v>88</v>
      </c>
    </row>
    <row r="2471" spans="1:9" x14ac:dyDescent="0.45">
      <c r="A2471" t="s">
        <v>3289</v>
      </c>
      <c r="B2471" t="s">
        <v>90</v>
      </c>
      <c r="C2471" t="s">
        <v>1420</v>
      </c>
      <c r="E2471">
        <v>10390.11</v>
      </c>
      <c r="F2471" s="2">
        <v>45145.666684444448</v>
      </c>
      <c r="G2471" t="s">
        <v>93</v>
      </c>
      <c r="H2471" t="s">
        <v>81</v>
      </c>
      <c r="I2471" t="s">
        <v>163</v>
      </c>
    </row>
    <row r="2472" spans="1:9" x14ac:dyDescent="0.45">
      <c r="A2472" t="s">
        <v>3290</v>
      </c>
      <c r="B2472" t="s">
        <v>109</v>
      </c>
      <c r="C2472" t="s">
        <v>823</v>
      </c>
      <c r="E2472">
        <v>7145.75</v>
      </c>
      <c r="F2472" s="2">
        <v>45505.666684444448</v>
      </c>
      <c r="G2472" t="s">
        <v>307</v>
      </c>
      <c r="H2472" t="s">
        <v>76</v>
      </c>
      <c r="I2472" t="s">
        <v>112</v>
      </c>
    </row>
    <row r="2473" spans="1:9" x14ac:dyDescent="0.45">
      <c r="A2473" t="s">
        <v>3291</v>
      </c>
      <c r="B2473" t="s">
        <v>109</v>
      </c>
      <c r="C2473" t="s">
        <v>1215</v>
      </c>
      <c r="D2473" t="s">
        <v>148</v>
      </c>
      <c r="E2473">
        <v>5067.51</v>
      </c>
      <c r="F2473" s="2">
        <v>45467.666684444448</v>
      </c>
      <c r="G2473" t="s">
        <v>111</v>
      </c>
      <c r="I2473" t="s">
        <v>112</v>
      </c>
    </row>
    <row r="2474" spans="1:9" x14ac:dyDescent="0.45">
      <c r="A2474" t="s">
        <v>1079</v>
      </c>
      <c r="B2474" t="s">
        <v>95</v>
      </c>
      <c r="C2474" t="s">
        <v>3292</v>
      </c>
      <c r="D2474" t="s">
        <v>101</v>
      </c>
      <c r="E2474">
        <v>4467.3599999999997</v>
      </c>
      <c r="F2474" s="2">
        <v>45817.666684444448</v>
      </c>
      <c r="G2474" t="s">
        <v>97</v>
      </c>
      <c r="H2474" t="s">
        <v>145</v>
      </c>
      <c r="I2474" t="s">
        <v>88</v>
      </c>
    </row>
    <row r="2475" spans="1:9" x14ac:dyDescent="0.45">
      <c r="A2475" t="s">
        <v>1484</v>
      </c>
      <c r="B2475" t="s">
        <v>79</v>
      </c>
      <c r="C2475" t="s">
        <v>344</v>
      </c>
      <c r="D2475" t="s">
        <v>92</v>
      </c>
      <c r="E2475">
        <v>3019.19</v>
      </c>
      <c r="F2475" s="2">
        <v>45240.666684444448</v>
      </c>
      <c r="G2475" t="s">
        <v>86</v>
      </c>
      <c r="H2475" t="s">
        <v>136</v>
      </c>
      <c r="I2475" t="s">
        <v>163</v>
      </c>
    </row>
    <row r="2476" spans="1:9" x14ac:dyDescent="0.45">
      <c r="A2476" t="s">
        <v>3293</v>
      </c>
      <c r="B2476" t="s">
        <v>138</v>
      </c>
      <c r="C2476" t="s">
        <v>1367</v>
      </c>
      <c r="D2476" t="s">
        <v>101</v>
      </c>
      <c r="E2476">
        <v>8648.01</v>
      </c>
      <c r="F2476" s="2">
        <v>45554.666684444448</v>
      </c>
      <c r="G2476" t="s">
        <v>140</v>
      </c>
      <c r="H2476" t="s">
        <v>76</v>
      </c>
      <c r="I2476" t="s">
        <v>88</v>
      </c>
    </row>
    <row r="2477" spans="1:9" x14ac:dyDescent="0.45">
      <c r="A2477" t="s">
        <v>3294</v>
      </c>
      <c r="B2477" t="s">
        <v>72</v>
      </c>
      <c r="D2477" t="s">
        <v>106</v>
      </c>
      <c r="E2477">
        <v>0</v>
      </c>
      <c r="F2477" s="2">
        <v>45725.666684444448</v>
      </c>
      <c r="G2477" t="s">
        <v>75</v>
      </c>
      <c r="H2477" t="s">
        <v>116</v>
      </c>
      <c r="I2477" t="s">
        <v>82</v>
      </c>
    </row>
    <row r="2478" spans="1:9" x14ac:dyDescent="0.45">
      <c r="A2478" t="s">
        <v>3295</v>
      </c>
      <c r="B2478" t="s">
        <v>72</v>
      </c>
      <c r="C2478" t="s">
        <v>466</v>
      </c>
      <c r="D2478" t="s">
        <v>74</v>
      </c>
      <c r="E2478">
        <v>2656.92</v>
      </c>
      <c r="F2478" s="2">
        <v>45443.666684444448</v>
      </c>
      <c r="G2478" t="s">
        <v>75</v>
      </c>
      <c r="H2478" t="s">
        <v>128</v>
      </c>
      <c r="I2478" t="s">
        <v>82</v>
      </c>
    </row>
    <row r="2479" spans="1:9" x14ac:dyDescent="0.45">
      <c r="A2479" t="s">
        <v>3296</v>
      </c>
      <c r="B2479" t="s">
        <v>95</v>
      </c>
      <c r="C2479" t="s">
        <v>191</v>
      </c>
      <c r="D2479" t="s">
        <v>74</v>
      </c>
      <c r="E2479">
        <v>0</v>
      </c>
      <c r="F2479" s="2">
        <v>45832.666684444448</v>
      </c>
      <c r="G2479" t="s">
        <v>97</v>
      </c>
      <c r="H2479" t="s">
        <v>107</v>
      </c>
      <c r="I2479" t="s">
        <v>88</v>
      </c>
    </row>
    <row r="2480" spans="1:9" x14ac:dyDescent="0.45">
      <c r="A2480" t="s">
        <v>3297</v>
      </c>
      <c r="B2480" t="s">
        <v>109</v>
      </c>
      <c r="C2480" t="s">
        <v>1120</v>
      </c>
      <c r="D2480" t="s">
        <v>74</v>
      </c>
      <c r="E2480">
        <v>2693.67</v>
      </c>
      <c r="F2480" s="2">
        <v>45772.666684444448</v>
      </c>
      <c r="G2480" t="s">
        <v>111</v>
      </c>
      <c r="H2480" t="s">
        <v>81</v>
      </c>
      <c r="I2480" t="s">
        <v>88</v>
      </c>
    </row>
    <row r="2481" spans="1:9" x14ac:dyDescent="0.45">
      <c r="A2481" t="s">
        <v>3298</v>
      </c>
      <c r="B2481" t="s">
        <v>95</v>
      </c>
      <c r="C2481" t="s">
        <v>913</v>
      </c>
      <c r="D2481" t="s">
        <v>92</v>
      </c>
      <c r="E2481">
        <v>4288.5200000000004</v>
      </c>
      <c r="F2481" s="2">
        <v>45155.666684444448</v>
      </c>
      <c r="G2481" t="s">
        <v>336</v>
      </c>
      <c r="H2481" t="s">
        <v>116</v>
      </c>
      <c r="I2481" t="s">
        <v>112</v>
      </c>
    </row>
    <row r="2482" spans="1:9" x14ac:dyDescent="0.45">
      <c r="A2482" t="s">
        <v>3299</v>
      </c>
      <c r="B2482" t="s">
        <v>172</v>
      </c>
      <c r="C2482" t="s">
        <v>1290</v>
      </c>
      <c r="D2482" t="s">
        <v>101</v>
      </c>
      <c r="E2482">
        <v>11562.6</v>
      </c>
      <c r="F2482" s="2">
        <v>45739.666684444448</v>
      </c>
      <c r="H2482" t="s">
        <v>116</v>
      </c>
      <c r="I2482" t="s">
        <v>119</v>
      </c>
    </row>
    <row r="2483" spans="1:9" x14ac:dyDescent="0.45">
      <c r="A2483" t="s">
        <v>3300</v>
      </c>
      <c r="B2483" t="s">
        <v>104</v>
      </c>
      <c r="C2483" t="s">
        <v>719</v>
      </c>
      <c r="D2483" t="s">
        <v>101</v>
      </c>
      <c r="E2483">
        <v>9541.0499999999993</v>
      </c>
      <c r="F2483" s="2">
        <v>45613.666684444448</v>
      </c>
      <c r="G2483" t="s">
        <v>115</v>
      </c>
      <c r="H2483" t="s">
        <v>128</v>
      </c>
      <c r="I2483" t="s">
        <v>163</v>
      </c>
    </row>
    <row r="2484" spans="1:9" x14ac:dyDescent="0.45">
      <c r="A2484" t="s">
        <v>3301</v>
      </c>
      <c r="B2484" t="s">
        <v>109</v>
      </c>
      <c r="C2484" t="s">
        <v>3302</v>
      </c>
      <c r="D2484" t="s">
        <v>106</v>
      </c>
      <c r="E2484">
        <v>0</v>
      </c>
      <c r="F2484" s="2">
        <v>45399.666684444448</v>
      </c>
      <c r="G2484" t="s">
        <v>111</v>
      </c>
      <c r="H2484" t="s">
        <v>107</v>
      </c>
      <c r="I2484" t="s">
        <v>163</v>
      </c>
    </row>
    <row r="2485" spans="1:9" x14ac:dyDescent="0.45">
      <c r="A2485" t="s">
        <v>3303</v>
      </c>
      <c r="B2485" t="s">
        <v>79</v>
      </c>
      <c r="C2485" t="s">
        <v>2413</v>
      </c>
      <c r="D2485" t="s">
        <v>155</v>
      </c>
      <c r="E2485">
        <v>8919.59</v>
      </c>
      <c r="F2485" s="2">
        <v>45799.666684444448</v>
      </c>
      <c r="G2485" t="s">
        <v>86</v>
      </c>
      <c r="H2485" t="s">
        <v>118</v>
      </c>
      <c r="I2485" t="s">
        <v>77</v>
      </c>
    </row>
    <row r="2486" spans="1:9" x14ac:dyDescent="0.45">
      <c r="A2486" t="s">
        <v>3304</v>
      </c>
      <c r="B2486" t="s">
        <v>172</v>
      </c>
      <c r="C2486" t="s">
        <v>177</v>
      </c>
      <c r="D2486" t="s">
        <v>101</v>
      </c>
      <c r="E2486">
        <v>734.06</v>
      </c>
      <c r="F2486" s="2">
        <v>45720.666684444448</v>
      </c>
      <c r="G2486" t="s">
        <v>236</v>
      </c>
      <c r="H2486" t="s">
        <v>128</v>
      </c>
      <c r="I2486" t="s">
        <v>163</v>
      </c>
    </row>
    <row r="2487" spans="1:9" x14ac:dyDescent="0.45">
      <c r="A2487" t="s">
        <v>3305</v>
      </c>
      <c r="B2487" t="s">
        <v>172</v>
      </c>
      <c r="C2487" t="s">
        <v>592</v>
      </c>
      <c r="D2487" t="s">
        <v>74</v>
      </c>
      <c r="E2487">
        <v>5302.18</v>
      </c>
      <c r="F2487" s="2">
        <v>45719.666684444448</v>
      </c>
      <c r="G2487" t="s">
        <v>174</v>
      </c>
      <c r="H2487" t="s">
        <v>76</v>
      </c>
      <c r="I2487" t="s">
        <v>119</v>
      </c>
    </row>
    <row r="2488" spans="1:9" x14ac:dyDescent="0.45">
      <c r="A2488" t="s">
        <v>3306</v>
      </c>
      <c r="B2488" t="s">
        <v>109</v>
      </c>
      <c r="C2488" t="s">
        <v>2290</v>
      </c>
      <c r="E2488">
        <v>4570.62</v>
      </c>
      <c r="F2488" s="2">
        <v>45361.666684444448</v>
      </c>
      <c r="G2488" t="s">
        <v>111</v>
      </c>
      <c r="H2488" t="s">
        <v>87</v>
      </c>
      <c r="I2488" t="s">
        <v>88</v>
      </c>
    </row>
    <row r="2489" spans="1:9" x14ac:dyDescent="0.45">
      <c r="A2489" t="s">
        <v>3249</v>
      </c>
      <c r="B2489" t="s">
        <v>99</v>
      </c>
      <c r="C2489" t="s">
        <v>2464</v>
      </c>
      <c r="D2489" t="s">
        <v>155</v>
      </c>
      <c r="E2489">
        <v>5642.82</v>
      </c>
      <c r="F2489" s="2">
        <v>45180.666684444448</v>
      </c>
      <c r="G2489" t="s">
        <v>102</v>
      </c>
      <c r="H2489" t="s">
        <v>136</v>
      </c>
      <c r="I2489" t="s">
        <v>119</v>
      </c>
    </row>
    <row r="2490" spans="1:9" x14ac:dyDescent="0.45">
      <c r="A2490" t="s">
        <v>3307</v>
      </c>
      <c r="B2490" t="s">
        <v>104</v>
      </c>
      <c r="C2490" t="s">
        <v>2033</v>
      </c>
      <c r="D2490" t="s">
        <v>85</v>
      </c>
      <c r="E2490">
        <v>1262.9000000000001</v>
      </c>
      <c r="F2490" s="2">
        <v>45725.666684444448</v>
      </c>
      <c r="G2490" t="s">
        <v>115</v>
      </c>
      <c r="H2490" t="s">
        <v>81</v>
      </c>
      <c r="I2490" t="s">
        <v>112</v>
      </c>
    </row>
    <row r="2491" spans="1:9" x14ac:dyDescent="0.45">
      <c r="A2491" t="s">
        <v>3308</v>
      </c>
      <c r="B2491" t="s">
        <v>104</v>
      </c>
      <c r="C2491" t="s">
        <v>1473</v>
      </c>
      <c r="D2491" t="s">
        <v>85</v>
      </c>
      <c r="E2491">
        <v>8263.5300000000007</v>
      </c>
      <c r="F2491" s="2">
        <v>45619.666684444448</v>
      </c>
      <c r="G2491" t="s">
        <v>115</v>
      </c>
      <c r="H2491" t="s">
        <v>145</v>
      </c>
      <c r="I2491" t="s">
        <v>88</v>
      </c>
    </row>
    <row r="2492" spans="1:9" x14ac:dyDescent="0.45">
      <c r="A2492" t="s">
        <v>3309</v>
      </c>
      <c r="B2492" t="s">
        <v>109</v>
      </c>
      <c r="C2492" t="s">
        <v>100</v>
      </c>
      <c r="D2492" t="s">
        <v>101</v>
      </c>
      <c r="E2492">
        <v>8813.6200000000008</v>
      </c>
      <c r="F2492" s="2">
        <v>45302.666684444448</v>
      </c>
      <c r="G2492" t="s">
        <v>111</v>
      </c>
      <c r="H2492" t="s">
        <v>107</v>
      </c>
      <c r="I2492" t="s">
        <v>82</v>
      </c>
    </row>
    <row r="2493" spans="1:9" x14ac:dyDescent="0.45">
      <c r="A2493" t="s">
        <v>3310</v>
      </c>
      <c r="B2493" t="s">
        <v>138</v>
      </c>
      <c r="C2493" t="s">
        <v>1741</v>
      </c>
      <c r="E2493">
        <v>2536.8000000000002</v>
      </c>
      <c r="F2493" s="2">
        <v>45664.666684444448</v>
      </c>
      <c r="G2493" t="s">
        <v>140</v>
      </c>
      <c r="H2493" t="s">
        <v>81</v>
      </c>
      <c r="I2493" t="s">
        <v>119</v>
      </c>
    </row>
    <row r="2494" spans="1:9" x14ac:dyDescent="0.45">
      <c r="A2494" t="s">
        <v>3311</v>
      </c>
      <c r="B2494" t="s">
        <v>138</v>
      </c>
      <c r="C2494" t="s">
        <v>1169</v>
      </c>
      <c r="D2494" t="s">
        <v>85</v>
      </c>
      <c r="E2494">
        <v>11495.78</v>
      </c>
      <c r="F2494" s="2">
        <v>45772.666684444448</v>
      </c>
      <c r="G2494" t="s">
        <v>140</v>
      </c>
      <c r="H2494" t="s">
        <v>128</v>
      </c>
      <c r="I2494" t="s">
        <v>119</v>
      </c>
    </row>
    <row r="2495" spans="1:9" x14ac:dyDescent="0.45">
      <c r="A2495" t="s">
        <v>3312</v>
      </c>
      <c r="B2495" t="s">
        <v>79</v>
      </c>
      <c r="C2495" t="s">
        <v>2509</v>
      </c>
      <c r="D2495" t="s">
        <v>85</v>
      </c>
      <c r="E2495">
        <v>132.57</v>
      </c>
      <c r="F2495" s="2">
        <v>45762.666684444448</v>
      </c>
      <c r="G2495" t="s">
        <v>86</v>
      </c>
      <c r="H2495" t="s">
        <v>107</v>
      </c>
      <c r="I2495" t="s">
        <v>163</v>
      </c>
    </row>
    <row r="2496" spans="1:9" x14ac:dyDescent="0.45">
      <c r="A2496" t="s">
        <v>1710</v>
      </c>
      <c r="B2496" t="s">
        <v>138</v>
      </c>
      <c r="C2496" t="s">
        <v>1064</v>
      </c>
      <c r="D2496" t="s">
        <v>74</v>
      </c>
      <c r="E2496">
        <v>0</v>
      </c>
      <c r="F2496" s="2">
        <v>45517.666684444448</v>
      </c>
      <c r="G2496" t="s">
        <v>140</v>
      </c>
      <c r="H2496" t="s">
        <v>136</v>
      </c>
      <c r="I2496" t="s">
        <v>112</v>
      </c>
    </row>
    <row r="2497" spans="1:9" x14ac:dyDescent="0.45">
      <c r="A2497" t="s">
        <v>3313</v>
      </c>
      <c r="B2497" t="s">
        <v>90</v>
      </c>
      <c r="C2497" t="s">
        <v>423</v>
      </c>
      <c r="D2497" t="s">
        <v>155</v>
      </c>
      <c r="E2497">
        <v>863.36</v>
      </c>
      <c r="F2497" s="2">
        <v>45279.666684444448</v>
      </c>
      <c r="G2497" t="s">
        <v>93</v>
      </c>
      <c r="H2497" t="s">
        <v>128</v>
      </c>
      <c r="I2497" t="s">
        <v>119</v>
      </c>
    </row>
    <row r="2498" spans="1:9" x14ac:dyDescent="0.45">
      <c r="A2498" t="s">
        <v>3314</v>
      </c>
      <c r="B2498" t="s">
        <v>90</v>
      </c>
      <c r="C2498" t="s">
        <v>2079</v>
      </c>
      <c r="D2498" t="s">
        <v>85</v>
      </c>
      <c r="E2498">
        <v>0</v>
      </c>
      <c r="F2498" s="2">
        <v>45825.666684444448</v>
      </c>
      <c r="G2498" t="s">
        <v>93</v>
      </c>
      <c r="H2498" t="s">
        <v>133</v>
      </c>
      <c r="I2498" t="s">
        <v>88</v>
      </c>
    </row>
    <row r="2499" spans="1:9" x14ac:dyDescent="0.45">
      <c r="A2499" t="s">
        <v>1811</v>
      </c>
      <c r="B2499" t="s">
        <v>72</v>
      </c>
      <c r="C2499" t="s">
        <v>1904</v>
      </c>
      <c r="D2499" t="s">
        <v>74</v>
      </c>
      <c r="E2499">
        <v>11631.81</v>
      </c>
      <c r="F2499" s="2">
        <v>45376.666684444448</v>
      </c>
      <c r="G2499" t="s">
        <v>75</v>
      </c>
      <c r="H2499" t="s">
        <v>76</v>
      </c>
      <c r="I2499" t="s">
        <v>88</v>
      </c>
    </row>
    <row r="2500" spans="1:9" x14ac:dyDescent="0.45">
      <c r="A2500" t="s">
        <v>3315</v>
      </c>
      <c r="B2500" t="s">
        <v>90</v>
      </c>
      <c r="C2500" t="s">
        <v>187</v>
      </c>
      <c r="D2500" t="s">
        <v>85</v>
      </c>
      <c r="E2500">
        <v>4918.6099999999997</v>
      </c>
      <c r="F2500" s="2">
        <v>45160.666684444448</v>
      </c>
      <c r="G2500" t="s">
        <v>93</v>
      </c>
      <c r="I2500" t="s">
        <v>82</v>
      </c>
    </row>
    <row r="2501" spans="1:9" x14ac:dyDescent="0.45">
      <c r="A2501" t="s">
        <v>3316</v>
      </c>
      <c r="B2501" t="s">
        <v>99</v>
      </c>
      <c r="C2501" t="s">
        <v>269</v>
      </c>
      <c r="D2501" t="s">
        <v>92</v>
      </c>
      <c r="E2501">
        <v>289.33999999999997</v>
      </c>
      <c r="F2501" s="2">
        <v>45714.666684444448</v>
      </c>
      <c r="G2501" t="s">
        <v>102</v>
      </c>
      <c r="H2501" t="s">
        <v>133</v>
      </c>
      <c r="I2501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5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6" customWidth="1"/>
    <col min="3" max="3" width="13" customWidth="1"/>
    <col min="4" max="5" width="16" customWidth="1"/>
    <col min="6" max="6" width="18" customWidth="1"/>
    <col min="7" max="7" width="26" customWidth="1"/>
    <col min="8" max="8" width="10" customWidth="1"/>
    <col min="9" max="9" width="16" customWidth="1"/>
    <col min="10" max="10" width="12" customWidth="1"/>
    <col min="11" max="11" width="13" customWidth="1"/>
    <col min="12" max="12" width="16" customWidth="1"/>
    <col min="13" max="13" width="15" customWidth="1"/>
    <col min="14" max="15" width="16" customWidth="1"/>
    <col min="16" max="16" width="22" customWidth="1"/>
    <col min="17" max="17" width="18" customWidth="1"/>
    <col min="19" max="19" width="16" customWidth="1"/>
  </cols>
  <sheetData>
    <row r="1" spans="1:19" ht="28.5" x14ac:dyDescent="0.45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3317</v>
      </c>
      <c r="K1" s="6" t="s">
        <v>3318</v>
      </c>
      <c r="L1" s="6" t="s">
        <v>3319</v>
      </c>
      <c r="M1" s="6" t="s">
        <v>3320</v>
      </c>
      <c r="N1" s="6" t="s">
        <v>3321</v>
      </c>
      <c r="O1" s="6" t="s">
        <v>3322</v>
      </c>
      <c r="P1" s="6" t="s">
        <v>3323</v>
      </c>
      <c r="Q1" s="6" t="s">
        <v>3324</v>
      </c>
      <c r="S1" s="7" t="s">
        <v>3325</v>
      </c>
    </row>
    <row r="2" spans="1:19" x14ac:dyDescent="0.45">
      <c r="A2" t="s">
        <v>71</v>
      </c>
      <c r="B2" t="s">
        <v>72</v>
      </c>
      <c r="C2" t="s">
        <v>73</v>
      </c>
      <c r="D2" t="s">
        <v>74</v>
      </c>
      <c r="E2" s="8">
        <v>8617.2199999999993</v>
      </c>
      <c r="F2" s="9">
        <v>45782.666684444448</v>
      </c>
      <c r="G2" t="s">
        <v>75</v>
      </c>
      <c r="H2" t="s">
        <v>76</v>
      </c>
      <c r="I2" t="s">
        <v>77</v>
      </c>
      <c r="J2" t="str">
        <f t="shared" ref="J2:J65" si="0">IF(OR(ISBLANK(C2),ISBLANK(D2)),"Missing","")</f>
        <v/>
      </c>
      <c r="K2" t="str">
        <f t="shared" ref="K2:K65" si="1">IF(COUNTIF($A$2:$A$2501,A2)&gt;1,"Duplicate","")</f>
        <v/>
      </c>
      <c r="L2" t="str">
        <f t="shared" ref="L2:L65" si="2">IF(OR(E2=0,E2&gt;10000),"Unusual","")</f>
        <v/>
      </c>
      <c r="M2" t="str">
        <f t="shared" ref="M2:M65" si="3">IF(OR(ISBLANK(G2),ISERROR(FIND("@",G2)),ISERROR(FIND(".",G2,FIND("@",G2)+1))),"Invalid","")</f>
        <v/>
      </c>
      <c r="N2" t="str">
        <f t="shared" ref="N2:N65" si="4">IF(COUNTIF($S$2:$S$6,H2)=0,"Invalid","")</f>
        <v/>
      </c>
      <c r="O2" t="str">
        <f t="shared" ref="O2:O65" ca="1" si="5">IF(F2&lt;EDATE(TODAY(),-12),"Outdated","")</f>
        <v>Outdated</v>
      </c>
      <c r="P2" t="str">
        <f t="shared" ref="P2:P65" si="6">IF(ISBLANK(D2),"",PROPER(TRIM(D2)))</f>
        <v>Wrong Item</v>
      </c>
      <c r="Q2" t="str">
        <f t="shared" ref="Q2:Q65" si="7">IF(ISBLANK(D2),"",IF(EXACT(D2,P2),"","Inconsistent"))</f>
        <v/>
      </c>
      <c r="S2" t="s">
        <v>81</v>
      </c>
    </row>
    <row r="3" spans="1:19" x14ac:dyDescent="0.45">
      <c r="A3" t="s">
        <v>78</v>
      </c>
      <c r="B3" t="s">
        <v>79</v>
      </c>
      <c r="C3" t="s">
        <v>80</v>
      </c>
      <c r="D3" t="s">
        <v>74</v>
      </c>
      <c r="E3" s="8">
        <v>11373.23</v>
      </c>
      <c r="F3" s="9">
        <v>45242.666684444448</v>
      </c>
      <c r="H3" t="s">
        <v>81</v>
      </c>
      <c r="I3" t="s">
        <v>82</v>
      </c>
      <c r="J3" t="str">
        <f t="shared" si="0"/>
        <v/>
      </c>
      <c r="K3" t="str">
        <f t="shared" si="1"/>
        <v/>
      </c>
      <c r="L3" t="str">
        <f t="shared" si="2"/>
        <v>Unusual</v>
      </c>
      <c r="M3" t="str">
        <f t="shared" si="3"/>
        <v>Invalid</v>
      </c>
      <c r="N3" t="str">
        <f t="shared" si="4"/>
        <v/>
      </c>
      <c r="O3" t="str">
        <f t="shared" ca="1" si="5"/>
        <v>Outdated</v>
      </c>
      <c r="P3" t="str">
        <f t="shared" si="6"/>
        <v>Wrong Item</v>
      </c>
      <c r="Q3" t="str">
        <f t="shared" si="7"/>
        <v/>
      </c>
      <c r="S3" t="s">
        <v>116</v>
      </c>
    </row>
    <row r="4" spans="1:19" x14ac:dyDescent="0.45">
      <c r="A4" t="s">
        <v>83</v>
      </c>
      <c r="B4" t="s">
        <v>79</v>
      </c>
      <c r="C4" t="s">
        <v>84</v>
      </c>
      <c r="D4" t="s">
        <v>85</v>
      </c>
      <c r="E4" s="8">
        <v>0</v>
      </c>
      <c r="F4" s="9">
        <v>45153.666684444448</v>
      </c>
      <c r="G4" t="s">
        <v>86</v>
      </c>
      <c r="H4" t="s">
        <v>87</v>
      </c>
      <c r="I4" t="s">
        <v>88</v>
      </c>
      <c r="J4" t="str">
        <f t="shared" si="0"/>
        <v/>
      </c>
      <c r="K4" t="str">
        <f t="shared" si="1"/>
        <v/>
      </c>
      <c r="L4" t="str">
        <f t="shared" si="2"/>
        <v>Unusual</v>
      </c>
      <c r="M4" t="str">
        <f t="shared" si="3"/>
        <v/>
      </c>
      <c r="N4" t="str">
        <f t="shared" si="4"/>
        <v>Invalid</v>
      </c>
      <c r="O4" t="str">
        <f t="shared" ca="1" si="5"/>
        <v>Outdated</v>
      </c>
      <c r="P4" t="str">
        <f t="shared" si="6"/>
        <v>Late Delivery</v>
      </c>
      <c r="Q4" t="str">
        <f t="shared" si="7"/>
        <v/>
      </c>
      <c r="S4" t="s">
        <v>76</v>
      </c>
    </row>
    <row r="5" spans="1:19" x14ac:dyDescent="0.45">
      <c r="A5" t="s">
        <v>89</v>
      </c>
      <c r="B5" t="s">
        <v>90</v>
      </c>
      <c r="C5" t="s">
        <v>91</v>
      </c>
      <c r="D5" t="s">
        <v>92</v>
      </c>
      <c r="E5" s="8">
        <v>2084.06</v>
      </c>
      <c r="F5" s="9">
        <v>45409.666684444448</v>
      </c>
      <c r="G5" t="s">
        <v>93</v>
      </c>
      <c r="I5" t="s">
        <v>82</v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>Invalid</v>
      </c>
      <c r="O5" t="str">
        <f t="shared" ca="1" si="5"/>
        <v>Outdated</v>
      </c>
      <c r="P5" t="str">
        <f t="shared" si="6"/>
        <v>Not As Described</v>
      </c>
      <c r="Q5" t="str">
        <f t="shared" si="7"/>
        <v/>
      </c>
      <c r="S5" t="s">
        <v>145</v>
      </c>
    </row>
    <row r="6" spans="1:19" x14ac:dyDescent="0.45">
      <c r="A6" t="s">
        <v>94</v>
      </c>
      <c r="B6" t="s">
        <v>95</v>
      </c>
      <c r="C6" t="s">
        <v>96</v>
      </c>
      <c r="D6" t="s">
        <v>74</v>
      </c>
      <c r="E6" s="8">
        <v>7747.15</v>
      </c>
      <c r="F6" s="9">
        <v>45378.666684444448</v>
      </c>
      <c r="G6" t="s">
        <v>97</v>
      </c>
      <c r="H6" t="s">
        <v>87</v>
      </c>
      <c r="I6" t="s">
        <v>88</v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>Invalid</v>
      </c>
      <c r="O6" t="str">
        <f t="shared" ca="1" si="5"/>
        <v>Outdated</v>
      </c>
      <c r="P6" t="str">
        <f t="shared" si="6"/>
        <v>Wrong Item</v>
      </c>
      <c r="Q6" t="str">
        <f t="shared" si="7"/>
        <v/>
      </c>
      <c r="S6" t="s">
        <v>107</v>
      </c>
    </row>
    <row r="7" spans="1:19" x14ac:dyDescent="0.45">
      <c r="A7" t="s">
        <v>98</v>
      </c>
      <c r="B7" t="s">
        <v>99</v>
      </c>
      <c r="C7" t="s">
        <v>100</v>
      </c>
      <c r="D7" t="s">
        <v>101</v>
      </c>
      <c r="E7" s="8">
        <v>8794.5300000000007</v>
      </c>
      <c r="F7" s="9">
        <v>45356.666684444448</v>
      </c>
      <c r="G7" t="s">
        <v>102</v>
      </c>
      <c r="I7" t="s">
        <v>88</v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>Invalid</v>
      </c>
      <c r="O7" t="str">
        <f t="shared" ca="1" si="5"/>
        <v>Outdated</v>
      </c>
      <c r="P7" t="str">
        <f t="shared" si="6"/>
        <v>Damaged</v>
      </c>
      <c r="Q7" t="str">
        <f t="shared" si="7"/>
        <v/>
      </c>
    </row>
    <row r="8" spans="1:19" x14ac:dyDescent="0.45">
      <c r="A8" t="s">
        <v>103</v>
      </c>
      <c r="B8" t="s">
        <v>104</v>
      </c>
      <c r="C8" t="s">
        <v>105</v>
      </c>
      <c r="D8" t="s">
        <v>106</v>
      </c>
      <c r="E8" s="8">
        <v>11901.98</v>
      </c>
      <c r="F8" s="9">
        <v>45270.666684444448</v>
      </c>
      <c r="H8" t="s">
        <v>107</v>
      </c>
      <c r="I8" t="s">
        <v>88</v>
      </c>
      <c r="J8" t="str">
        <f t="shared" si="0"/>
        <v/>
      </c>
      <c r="K8" t="str">
        <f t="shared" si="1"/>
        <v/>
      </c>
      <c r="L8" t="str">
        <f t="shared" si="2"/>
        <v>Unusual</v>
      </c>
      <c r="M8" t="str">
        <f t="shared" si="3"/>
        <v>Invalid</v>
      </c>
      <c r="N8" t="str">
        <f t="shared" si="4"/>
        <v/>
      </c>
      <c r="O8" t="str">
        <f t="shared" ca="1" si="5"/>
        <v>Outdated</v>
      </c>
      <c r="P8" t="str">
        <f t="shared" si="6"/>
        <v>Damaged</v>
      </c>
      <c r="Q8" t="str">
        <f t="shared" si="7"/>
        <v>Inconsistent</v>
      </c>
    </row>
    <row r="9" spans="1:19" x14ac:dyDescent="0.45">
      <c r="A9" t="s">
        <v>108</v>
      </c>
      <c r="B9" t="s">
        <v>109</v>
      </c>
      <c r="C9" t="s">
        <v>110</v>
      </c>
      <c r="D9" t="s">
        <v>101</v>
      </c>
      <c r="E9" s="8">
        <v>9998.2999999999993</v>
      </c>
      <c r="F9" s="9">
        <v>45232.666684444448</v>
      </c>
      <c r="G9" t="s">
        <v>111</v>
      </c>
      <c r="H9" t="s">
        <v>76</v>
      </c>
      <c r="I9" t="s">
        <v>112</v>
      </c>
      <c r="J9" t="str">
        <f t="shared" si="0"/>
        <v/>
      </c>
      <c r="K9" t="str">
        <f t="shared" si="1"/>
        <v>Duplicate</v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ca="1" si="5"/>
        <v>Outdated</v>
      </c>
      <c r="P9" t="str">
        <f t="shared" si="6"/>
        <v>Damaged</v>
      </c>
      <c r="Q9" t="str">
        <f t="shared" si="7"/>
        <v/>
      </c>
    </row>
    <row r="10" spans="1:19" x14ac:dyDescent="0.45">
      <c r="A10" t="s">
        <v>113</v>
      </c>
      <c r="B10" t="s">
        <v>104</v>
      </c>
      <c r="C10" t="s">
        <v>114</v>
      </c>
      <c r="D10" t="s">
        <v>101</v>
      </c>
      <c r="E10" s="8">
        <v>7784.82</v>
      </c>
      <c r="F10" s="9">
        <v>45820.666684444448</v>
      </c>
      <c r="G10" t="s">
        <v>115</v>
      </c>
      <c r="H10" t="s">
        <v>116</v>
      </c>
      <c r="I10" t="s">
        <v>77</v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ca="1" si="5"/>
        <v>Outdated</v>
      </c>
      <c r="P10" t="str">
        <f t="shared" si="6"/>
        <v>Damaged</v>
      </c>
      <c r="Q10" t="str">
        <f t="shared" si="7"/>
        <v/>
      </c>
    </row>
    <row r="11" spans="1:19" x14ac:dyDescent="0.45">
      <c r="A11" t="s">
        <v>117</v>
      </c>
      <c r="B11" t="s">
        <v>99</v>
      </c>
      <c r="E11" s="8">
        <v>7605.05</v>
      </c>
      <c r="F11" s="9">
        <v>45686.666684444448</v>
      </c>
      <c r="G11" t="s">
        <v>102</v>
      </c>
      <c r="H11" t="s">
        <v>118</v>
      </c>
      <c r="I11" t="s">
        <v>119</v>
      </c>
      <c r="J11" t="str">
        <f t="shared" si="0"/>
        <v>Missing</v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>Invalid</v>
      </c>
      <c r="O11" t="str">
        <f t="shared" ca="1" si="5"/>
        <v>Outdated</v>
      </c>
      <c r="P11" t="str">
        <f t="shared" si="6"/>
        <v/>
      </c>
      <c r="Q11" t="str">
        <f t="shared" si="7"/>
        <v/>
      </c>
    </row>
    <row r="12" spans="1:19" x14ac:dyDescent="0.45">
      <c r="A12" t="s">
        <v>120</v>
      </c>
      <c r="B12" t="s">
        <v>109</v>
      </c>
      <c r="C12" t="s">
        <v>121</v>
      </c>
      <c r="D12" t="s">
        <v>74</v>
      </c>
      <c r="E12" s="8">
        <v>5315.41</v>
      </c>
      <c r="F12" s="9">
        <v>45217.666684444448</v>
      </c>
      <c r="G12" t="s">
        <v>111</v>
      </c>
      <c r="H12" t="s">
        <v>76</v>
      </c>
      <c r="I12" t="s">
        <v>77</v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ca="1" si="5"/>
        <v>Outdated</v>
      </c>
      <c r="P12" t="str">
        <f t="shared" si="6"/>
        <v>Wrong Item</v>
      </c>
      <c r="Q12" t="str">
        <f t="shared" si="7"/>
        <v/>
      </c>
    </row>
    <row r="13" spans="1:19" x14ac:dyDescent="0.45">
      <c r="A13" t="s">
        <v>122</v>
      </c>
      <c r="B13" t="s">
        <v>90</v>
      </c>
      <c r="C13" t="s">
        <v>123</v>
      </c>
      <c r="D13" t="s">
        <v>85</v>
      </c>
      <c r="E13" s="8">
        <v>10188.530000000001</v>
      </c>
      <c r="F13" s="9">
        <v>45732.666684444448</v>
      </c>
      <c r="G13" t="s">
        <v>93</v>
      </c>
      <c r="I13" t="s">
        <v>119</v>
      </c>
      <c r="J13" t="str">
        <f t="shared" si="0"/>
        <v/>
      </c>
      <c r="K13" t="str">
        <f t="shared" si="1"/>
        <v>Duplicate</v>
      </c>
      <c r="L13" t="str">
        <f t="shared" si="2"/>
        <v>Unusual</v>
      </c>
      <c r="M13" t="str">
        <f t="shared" si="3"/>
        <v/>
      </c>
      <c r="N13" t="str">
        <f t="shared" si="4"/>
        <v>Invalid</v>
      </c>
      <c r="O13" t="str">
        <f t="shared" ca="1" si="5"/>
        <v>Outdated</v>
      </c>
      <c r="P13" t="str">
        <f t="shared" si="6"/>
        <v>Late Delivery</v>
      </c>
      <c r="Q13" t="str">
        <f t="shared" si="7"/>
        <v/>
      </c>
    </row>
    <row r="14" spans="1:19" x14ac:dyDescent="0.45">
      <c r="A14" t="s">
        <v>124</v>
      </c>
      <c r="B14" t="s">
        <v>99</v>
      </c>
      <c r="D14" t="s">
        <v>101</v>
      </c>
      <c r="E14" s="8">
        <v>11024.97</v>
      </c>
      <c r="F14" s="9">
        <v>45560.666684444448</v>
      </c>
      <c r="G14" t="s">
        <v>102</v>
      </c>
      <c r="H14" t="s">
        <v>116</v>
      </c>
      <c r="I14" t="s">
        <v>112</v>
      </c>
      <c r="J14" t="str">
        <f t="shared" si="0"/>
        <v>Missing</v>
      </c>
      <c r="K14" t="str">
        <f t="shared" si="1"/>
        <v/>
      </c>
      <c r="L14" t="str">
        <f t="shared" si="2"/>
        <v>Unusual</v>
      </c>
      <c r="M14" t="str">
        <f t="shared" si="3"/>
        <v/>
      </c>
      <c r="N14" t="str">
        <f t="shared" si="4"/>
        <v/>
      </c>
      <c r="O14" t="str">
        <f t="shared" ca="1" si="5"/>
        <v>Outdated</v>
      </c>
      <c r="P14" t="str">
        <f t="shared" si="6"/>
        <v>Damaged</v>
      </c>
      <c r="Q14" t="str">
        <f t="shared" si="7"/>
        <v/>
      </c>
    </row>
    <row r="15" spans="1:19" x14ac:dyDescent="0.45">
      <c r="A15" t="s">
        <v>125</v>
      </c>
      <c r="B15" t="s">
        <v>95</v>
      </c>
      <c r="D15" t="s">
        <v>101</v>
      </c>
      <c r="E15" s="8">
        <v>6585.36</v>
      </c>
      <c r="F15" s="9">
        <v>45160.666684444448</v>
      </c>
      <c r="G15" t="s">
        <v>97</v>
      </c>
      <c r="H15" t="s">
        <v>81</v>
      </c>
      <c r="I15" t="s">
        <v>119</v>
      </c>
      <c r="J15" t="str">
        <f t="shared" si="0"/>
        <v>Missing</v>
      </c>
      <c r="K15" t="str">
        <f t="shared" si="1"/>
        <v>Duplicate</v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ca="1" si="5"/>
        <v>Outdated</v>
      </c>
      <c r="P15" t="str">
        <f t="shared" si="6"/>
        <v>Damaged</v>
      </c>
      <c r="Q15" t="str">
        <f t="shared" si="7"/>
        <v/>
      </c>
    </row>
    <row r="16" spans="1:19" x14ac:dyDescent="0.45">
      <c r="A16" t="s">
        <v>126</v>
      </c>
      <c r="B16" t="s">
        <v>99</v>
      </c>
      <c r="C16" t="s">
        <v>127</v>
      </c>
      <c r="D16" t="s">
        <v>101</v>
      </c>
      <c r="E16" s="8">
        <v>6996.81</v>
      </c>
      <c r="F16" s="9">
        <v>45158.666684444448</v>
      </c>
      <c r="G16" t="s">
        <v>102</v>
      </c>
      <c r="H16" t="s">
        <v>128</v>
      </c>
      <c r="I16" t="s">
        <v>112</v>
      </c>
      <c r="J16" t="str">
        <f t="shared" si="0"/>
        <v/>
      </c>
      <c r="K16" t="str">
        <f t="shared" si="1"/>
        <v>Duplicate</v>
      </c>
      <c r="L16" t="str">
        <f t="shared" si="2"/>
        <v/>
      </c>
      <c r="M16" t="str">
        <f t="shared" si="3"/>
        <v/>
      </c>
      <c r="N16" t="str">
        <f t="shared" si="4"/>
        <v>Invalid</v>
      </c>
      <c r="O16" t="str">
        <f t="shared" ca="1" si="5"/>
        <v>Outdated</v>
      </c>
      <c r="P16" t="str">
        <f t="shared" si="6"/>
        <v>Damaged</v>
      </c>
      <c r="Q16" t="str">
        <f t="shared" si="7"/>
        <v/>
      </c>
    </row>
    <row r="17" spans="1:17" x14ac:dyDescent="0.45">
      <c r="A17" t="s">
        <v>129</v>
      </c>
      <c r="B17" t="s">
        <v>95</v>
      </c>
      <c r="C17" t="s">
        <v>130</v>
      </c>
      <c r="D17" t="s">
        <v>74</v>
      </c>
      <c r="E17" s="8">
        <v>7924.03</v>
      </c>
      <c r="F17" s="9">
        <v>45223.666684444448</v>
      </c>
      <c r="G17" t="s">
        <v>97</v>
      </c>
      <c r="H17" t="s">
        <v>87</v>
      </c>
      <c r="I17" t="s">
        <v>112</v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>Invalid</v>
      </c>
      <c r="O17" t="str">
        <f t="shared" ca="1" si="5"/>
        <v>Outdated</v>
      </c>
      <c r="P17" t="str">
        <f t="shared" si="6"/>
        <v>Wrong Item</v>
      </c>
      <c r="Q17" t="str">
        <f t="shared" si="7"/>
        <v/>
      </c>
    </row>
    <row r="18" spans="1:17" x14ac:dyDescent="0.45">
      <c r="A18" t="s">
        <v>131</v>
      </c>
      <c r="B18" t="s">
        <v>99</v>
      </c>
      <c r="C18" t="s">
        <v>132</v>
      </c>
      <c r="D18" t="s">
        <v>101</v>
      </c>
      <c r="E18" s="8">
        <v>283.10000000000002</v>
      </c>
      <c r="F18" s="9">
        <v>45351.666684444448</v>
      </c>
      <c r="G18" t="s">
        <v>102</v>
      </c>
      <c r="H18" t="s">
        <v>133</v>
      </c>
      <c r="I18" t="s">
        <v>82</v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>Invalid</v>
      </c>
      <c r="O18" t="str">
        <f t="shared" ca="1" si="5"/>
        <v>Outdated</v>
      </c>
      <c r="P18" t="str">
        <f t="shared" si="6"/>
        <v>Damaged</v>
      </c>
      <c r="Q18" t="str">
        <f t="shared" si="7"/>
        <v/>
      </c>
    </row>
    <row r="19" spans="1:17" x14ac:dyDescent="0.45">
      <c r="A19" t="s">
        <v>134</v>
      </c>
      <c r="B19" t="s">
        <v>99</v>
      </c>
      <c r="C19" t="s">
        <v>135</v>
      </c>
      <c r="D19" t="s">
        <v>74</v>
      </c>
      <c r="E19" s="8">
        <v>3590.98</v>
      </c>
      <c r="F19" s="9">
        <v>45366.666684444448</v>
      </c>
      <c r="G19" t="s">
        <v>102</v>
      </c>
      <c r="H19" t="s">
        <v>136</v>
      </c>
      <c r="I19" t="s">
        <v>112</v>
      </c>
      <c r="J19" t="str">
        <f t="shared" si="0"/>
        <v/>
      </c>
      <c r="K19" t="str">
        <f t="shared" si="1"/>
        <v>Duplicate</v>
      </c>
      <c r="L19" t="str">
        <f t="shared" si="2"/>
        <v/>
      </c>
      <c r="M19" t="str">
        <f t="shared" si="3"/>
        <v/>
      </c>
      <c r="N19" t="str">
        <f t="shared" si="4"/>
        <v>Invalid</v>
      </c>
      <c r="O19" t="str">
        <f t="shared" ca="1" si="5"/>
        <v>Outdated</v>
      </c>
      <c r="P19" t="str">
        <f t="shared" si="6"/>
        <v>Wrong Item</v>
      </c>
      <c r="Q19" t="str">
        <f t="shared" si="7"/>
        <v/>
      </c>
    </row>
    <row r="20" spans="1:17" x14ac:dyDescent="0.45">
      <c r="A20" t="s">
        <v>137</v>
      </c>
      <c r="B20" t="s">
        <v>138</v>
      </c>
      <c r="C20" t="s">
        <v>139</v>
      </c>
      <c r="D20" t="s">
        <v>92</v>
      </c>
      <c r="E20" s="8">
        <v>2499.33</v>
      </c>
      <c r="F20" s="9">
        <v>45645.666684444448</v>
      </c>
      <c r="G20" t="s">
        <v>140</v>
      </c>
      <c r="H20" t="s">
        <v>133</v>
      </c>
      <c r="I20" t="s">
        <v>112</v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>Invalid</v>
      </c>
      <c r="O20" t="str">
        <f t="shared" ca="1" si="5"/>
        <v>Outdated</v>
      </c>
      <c r="P20" t="str">
        <f t="shared" si="6"/>
        <v>Not As Described</v>
      </c>
      <c r="Q20" t="str">
        <f t="shared" si="7"/>
        <v/>
      </c>
    </row>
    <row r="21" spans="1:17" x14ac:dyDescent="0.45">
      <c r="A21" t="s">
        <v>141</v>
      </c>
      <c r="B21" t="s">
        <v>104</v>
      </c>
      <c r="C21" t="s">
        <v>142</v>
      </c>
      <c r="D21" t="s">
        <v>101</v>
      </c>
      <c r="E21" s="8">
        <v>2274.23</v>
      </c>
      <c r="F21" s="9">
        <v>45744.666684444448</v>
      </c>
      <c r="G21" t="s">
        <v>115</v>
      </c>
      <c r="H21" t="s">
        <v>116</v>
      </c>
      <c r="I21" t="s">
        <v>88</v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ca="1" si="5"/>
        <v>Outdated</v>
      </c>
      <c r="P21" t="str">
        <f t="shared" si="6"/>
        <v>Damaged</v>
      </c>
      <c r="Q21" t="str">
        <f t="shared" si="7"/>
        <v/>
      </c>
    </row>
    <row r="22" spans="1:17" x14ac:dyDescent="0.45">
      <c r="A22" t="s">
        <v>143</v>
      </c>
      <c r="B22" t="s">
        <v>79</v>
      </c>
      <c r="C22" t="s">
        <v>144</v>
      </c>
      <c r="D22" t="s">
        <v>101</v>
      </c>
      <c r="E22" s="8">
        <v>3732.08</v>
      </c>
      <c r="F22" s="9">
        <v>45155.666684444448</v>
      </c>
      <c r="G22" t="s">
        <v>86</v>
      </c>
      <c r="H22" t="s">
        <v>145</v>
      </c>
      <c r="I22" t="s">
        <v>88</v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ca="1" si="5"/>
        <v>Outdated</v>
      </c>
      <c r="P22" t="str">
        <f t="shared" si="6"/>
        <v>Damaged</v>
      </c>
      <c r="Q22" t="str">
        <f t="shared" si="7"/>
        <v/>
      </c>
    </row>
    <row r="23" spans="1:17" x14ac:dyDescent="0.45">
      <c r="A23" t="s">
        <v>146</v>
      </c>
      <c r="B23" t="s">
        <v>138</v>
      </c>
      <c r="C23" t="s">
        <v>147</v>
      </c>
      <c r="D23" t="s">
        <v>148</v>
      </c>
      <c r="E23" s="8">
        <v>9299.14</v>
      </c>
      <c r="F23" s="9">
        <v>45702.666684444448</v>
      </c>
      <c r="G23" t="s">
        <v>140</v>
      </c>
      <c r="H23" t="s">
        <v>145</v>
      </c>
      <c r="I23" t="s">
        <v>112</v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ca="1" si="5"/>
        <v>Outdated</v>
      </c>
      <c r="P23" t="str">
        <f t="shared" si="6"/>
        <v>Wrong Item</v>
      </c>
      <c r="Q23" t="str">
        <f t="shared" si="7"/>
        <v>Inconsistent</v>
      </c>
    </row>
    <row r="24" spans="1:17" x14ac:dyDescent="0.45">
      <c r="A24" t="s">
        <v>149</v>
      </c>
      <c r="B24" t="s">
        <v>79</v>
      </c>
      <c r="C24" t="s">
        <v>150</v>
      </c>
      <c r="D24" t="s">
        <v>92</v>
      </c>
      <c r="E24" s="8">
        <v>9568.0400000000009</v>
      </c>
      <c r="F24" s="9">
        <v>45331.666684444448</v>
      </c>
      <c r="G24" t="s">
        <v>86</v>
      </c>
      <c r="H24" t="s">
        <v>145</v>
      </c>
      <c r="I24" t="s">
        <v>88</v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ca="1" si="5"/>
        <v>Outdated</v>
      </c>
      <c r="P24" t="str">
        <f t="shared" si="6"/>
        <v>Not As Described</v>
      </c>
      <c r="Q24" t="str">
        <f t="shared" si="7"/>
        <v/>
      </c>
    </row>
    <row r="25" spans="1:17" x14ac:dyDescent="0.45">
      <c r="A25" t="s">
        <v>151</v>
      </c>
      <c r="B25" t="s">
        <v>138</v>
      </c>
      <c r="C25" t="s">
        <v>152</v>
      </c>
      <c r="D25" t="s">
        <v>74</v>
      </c>
      <c r="E25" s="8">
        <v>10649.3</v>
      </c>
      <c r="F25" s="9">
        <v>45793.666684444448</v>
      </c>
      <c r="G25" t="s">
        <v>140</v>
      </c>
      <c r="H25" t="s">
        <v>107</v>
      </c>
      <c r="I25" t="s">
        <v>82</v>
      </c>
      <c r="J25" t="str">
        <f t="shared" si="0"/>
        <v/>
      </c>
      <c r="K25" t="str">
        <f t="shared" si="1"/>
        <v/>
      </c>
      <c r="L25" t="str">
        <f t="shared" si="2"/>
        <v>Unusual</v>
      </c>
      <c r="M25" t="str">
        <f t="shared" si="3"/>
        <v/>
      </c>
      <c r="N25" t="str">
        <f t="shared" si="4"/>
        <v/>
      </c>
      <c r="O25" t="str">
        <f t="shared" ca="1" si="5"/>
        <v>Outdated</v>
      </c>
      <c r="P25" t="str">
        <f t="shared" si="6"/>
        <v>Wrong Item</v>
      </c>
      <c r="Q25" t="str">
        <f t="shared" si="7"/>
        <v/>
      </c>
    </row>
    <row r="26" spans="1:17" x14ac:dyDescent="0.45">
      <c r="A26" t="s">
        <v>153</v>
      </c>
      <c r="B26" t="s">
        <v>72</v>
      </c>
      <c r="C26" t="s">
        <v>154</v>
      </c>
      <c r="D26" t="s">
        <v>155</v>
      </c>
      <c r="E26" s="8">
        <v>4036.15</v>
      </c>
      <c r="F26" s="9">
        <v>45846.666684444448</v>
      </c>
      <c r="G26" t="s">
        <v>75</v>
      </c>
      <c r="H26" t="s">
        <v>107</v>
      </c>
      <c r="I26" t="s">
        <v>82</v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ca="1" si="5"/>
        <v/>
      </c>
      <c r="P26" t="str">
        <f t="shared" si="6"/>
        <v>Damaged</v>
      </c>
      <c r="Q26" t="str">
        <f t="shared" si="7"/>
        <v>Inconsistent</v>
      </c>
    </row>
    <row r="27" spans="1:17" x14ac:dyDescent="0.45">
      <c r="A27" t="s">
        <v>156</v>
      </c>
      <c r="B27" t="s">
        <v>109</v>
      </c>
      <c r="D27" t="s">
        <v>74</v>
      </c>
      <c r="E27" s="8">
        <v>1234.8599999999999</v>
      </c>
      <c r="F27" s="9">
        <v>45686.666684444448</v>
      </c>
      <c r="G27" t="s">
        <v>111</v>
      </c>
      <c r="H27" t="s">
        <v>133</v>
      </c>
      <c r="I27" t="s">
        <v>112</v>
      </c>
      <c r="J27" t="str">
        <f t="shared" si="0"/>
        <v>Missing</v>
      </c>
      <c r="K27" t="str">
        <f t="shared" si="1"/>
        <v>Duplicate</v>
      </c>
      <c r="L27" t="str">
        <f t="shared" si="2"/>
        <v/>
      </c>
      <c r="M27" t="str">
        <f t="shared" si="3"/>
        <v/>
      </c>
      <c r="N27" t="str">
        <f t="shared" si="4"/>
        <v>Invalid</v>
      </c>
      <c r="O27" t="str">
        <f t="shared" ca="1" si="5"/>
        <v>Outdated</v>
      </c>
      <c r="P27" t="str">
        <f t="shared" si="6"/>
        <v>Wrong Item</v>
      </c>
      <c r="Q27" t="str">
        <f t="shared" si="7"/>
        <v/>
      </c>
    </row>
    <row r="28" spans="1:17" x14ac:dyDescent="0.45">
      <c r="A28" t="s">
        <v>157</v>
      </c>
      <c r="B28" t="s">
        <v>95</v>
      </c>
      <c r="C28" t="s">
        <v>158</v>
      </c>
      <c r="D28" t="s">
        <v>74</v>
      </c>
      <c r="E28" s="8">
        <v>4646.95</v>
      </c>
      <c r="F28" s="9">
        <v>45557.666684444448</v>
      </c>
      <c r="G28" t="s">
        <v>97</v>
      </c>
      <c r="H28" t="s">
        <v>87</v>
      </c>
      <c r="I28" t="s">
        <v>77</v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>Invalid</v>
      </c>
      <c r="O28" t="str">
        <f t="shared" ca="1" si="5"/>
        <v>Outdated</v>
      </c>
      <c r="P28" t="str">
        <f t="shared" si="6"/>
        <v>Wrong Item</v>
      </c>
      <c r="Q28" t="str">
        <f t="shared" si="7"/>
        <v/>
      </c>
    </row>
    <row r="29" spans="1:17" x14ac:dyDescent="0.45">
      <c r="A29" t="s">
        <v>159</v>
      </c>
      <c r="B29" t="s">
        <v>138</v>
      </c>
      <c r="C29" t="s">
        <v>160</v>
      </c>
      <c r="D29" t="s">
        <v>92</v>
      </c>
      <c r="E29" s="8">
        <v>5914.76</v>
      </c>
      <c r="F29" s="9">
        <v>45353.666684444448</v>
      </c>
      <c r="G29" t="s">
        <v>140</v>
      </c>
      <c r="H29" t="s">
        <v>76</v>
      </c>
      <c r="I29" t="s">
        <v>88</v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ca="1" si="5"/>
        <v>Outdated</v>
      </c>
      <c r="P29" t="str">
        <f t="shared" si="6"/>
        <v>Not As Described</v>
      </c>
      <c r="Q29" t="str">
        <f t="shared" si="7"/>
        <v/>
      </c>
    </row>
    <row r="30" spans="1:17" x14ac:dyDescent="0.45">
      <c r="A30" t="s">
        <v>161</v>
      </c>
      <c r="B30" t="s">
        <v>138</v>
      </c>
      <c r="C30" t="s">
        <v>162</v>
      </c>
      <c r="D30" t="s">
        <v>85</v>
      </c>
      <c r="E30" s="8">
        <v>8817.14</v>
      </c>
      <c r="F30" s="9">
        <v>45587.666684444448</v>
      </c>
      <c r="G30" t="s">
        <v>140</v>
      </c>
      <c r="H30" t="s">
        <v>87</v>
      </c>
      <c r="I30" t="s">
        <v>163</v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>Invalid</v>
      </c>
      <c r="O30" t="str">
        <f t="shared" ca="1" si="5"/>
        <v>Outdated</v>
      </c>
      <c r="P30" t="str">
        <f t="shared" si="6"/>
        <v>Late Delivery</v>
      </c>
      <c r="Q30" t="str">
        <f t="shared" si="7"/>
        <v/>
      </c>
    </row>
    <row r="31" spans="1:17" x14ac:dyDescent="0.45">
      <c r="A31" t="s">
        <v>164</v>
      </c>
      <c r="B31" t="s">
        <v>90</v>
      </c>
      <c r="D31" t="s">
        <v>101</v>
      </c>
      <c r="E31" s="8">
        <v>5889.72</v>
      </c>
      <c r="F31" s="9">
        <v>45731.666684444448</v>
      </c>
      <c r="G31" t="s">
        <v>93</v>
      </c>
      <c r="H31" t="s">
        <v>145</v>
      </c>
      <c r="I31" t="s">
        <v>119</v>
      </c>
      <c r="J31" t="str">
        <f t="shared" si="0"/>
        <v>Missing</v>
      </c>
      <c r="K31" t="str">
        <f t="shared" si="1"/>
        <v>Duplicate</v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ca="1" si="5"/>
        <v>Outdated</v>
      </c>
      <c r="P31" t="str">
        <f t="shared" si="6"/>
        <v>Damaged</v>
      </c>
      <c r="Q31" t="str">
        <f t="shared" si="7"/>
        <v/>
      </c>
    </row>
    <row r="32" spans="1:17" x14ac:dyDescent="0.45">
      <c r="A32" t="s">
        <v>165</v>
      </c>
      <c r="B32" t="s">
        <v>99</v>
      </c>
      <c r="C32" t="s">
        <v>166</v>
      </c>
      <c r="D32" t="s">
        <v>74</v>
      </c>
      <c r="E32" s="8">
        <v>0</v>
      </c>
      <c r="F32" s="9">
        <v>45412.666684444448</v>
      </c>
      <c r="G32" t="s">
        <v>102</v>
      </c>
      <c r="I32" t="s">
        <v>88</v>
      </c>
      <c r="J32" t="str">
        <f t="shared" si="0"/>
        <v/>
      </c>
      <c r="K32" t="str">
        <f t="shared" si="1"/>
        <v/>
      </c>
      <c r="L32" t="str">
        <f t="shared" si="2"/>
        <v>Unusual</v>
      </c>
      <c r="M32" t="str">
        <f t="shared" si="3"/>
        <v/>
      </c>
      <c r="N32" t="str">
        <f t="shared" si="4"/>
        <v>Invalid</v>
      </c>
      <c r="O32" t="str">
        <f t="shared" ca="1" si="5"/>
        <v>Outdated</v>
      </c>
      <c r="P32" t="str">
        <f t="shared" si="6"/>
        <v>Wrong Item</v>
      </c>
      <c r="Q32" t="str">
        <f t="shared" si="7"/>
        <v/>
      </c>
    </row>
    <row r="33" spans="1:17" x14ac:dyDescent="0.45">
      <c r="A33" t="s">
        <v>167</v>
      </c>
      <c r="B33" t="s">
        <v>72</v>
      </c>
      <c r="C33" t="s">
        <v>168</v>
      </c>
      <c r="D33" t="s">
        <v>85</v>
      </c>
      <c r="E33" s="8">
        <v>7990.29</v>
      </c>
      <c r="F33" s="9">
        <v>45134.666684444448</v>
      </c>
      <c r="G33" t="s">
        <v>75</v>
      </c>
      <c r="H33" t="s">
        <v>145</v>
      </c>
      <c r="I33" t="s">
        <v>82</v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ca="1" si="5"/>
        <v>Outdated</v>
      </c>
      <c r="P33" t="str">
        <f t="shared" si="6"/>
        <v>Late Delivery</v>
      </c>
      <c r="Q33" t="str">
        <f t="shared" si="7"/>
        <v/>
      </c>
    </row>
    <row r="34" spans="1:17" x14ac:dyDescent="0.45">
      <c r="A34" t="s">
        <v>169</v>
      </c>
      <c r="B34" t="s">
        <v>109</v>
      </c>
      <c r="C34" t="s">
        <v>170</v>
      </c>
      <c r="D34" t="s">
        <v>101</v>
      </c>
      <c r="E34" s="8">
        <v>11453.07</v>
      </c>
      <c r="F34" s="9">
        <v>45291.666684444448</v>
      </c>
      <c r="G34" t="s">
        <v>111</v>
      </c>
      <c r="H34" t="s">
        <v>107</v>
      </c>
      <c r="I34" t="s">
        <v>82</v>
      </c>
      <c r="J34" t="str">
        <f t="shared" si="0"/>
        <v/>
      </c>
      <c r="K34" t="str">
        <f t="shared" si="1"/>
        <v/>
      </c>
      <c r="L34" t="str">
        <f t="shared" si="2"/>
        <v>Unusual</v>
      </c>
      <c r="M34" t="str">
        <f t="shared" si="3"/>
        <v/>
      </c>
      <c r="N34" t="str">
        <f t="shared" si="4"/>
        <v/>
      </c>
      <c r="O34" t="str">
        <f t="shared" ca="1" si="5"/>
        <v>Outdated</v>
      </c>
      <c r="P34" t="str">
        <f t="shared" si="6"/>
        <v>Damaged</v>
      </c>
      <c r="Q34" t="str">
        <f t="shared" si="7"/>
        <v/>
      </c>
    </row>
    <row r="35" spans="1:17" x14ac:dyDescent="0.45">
      <c r="A35" t="s">
        <v>171</v>
      </c>
      <c r="B35" t="s">
        <v>172</v>
      </c>
      <c r="C35" t="s">
        <v>173</v>
      </c>
      <c r="D35" t="s">
        <v>155</v>
      </c>
      <c r="E35" s="8">
        <v>8495.2900000000009</v>
      </c>
      <c r="F35" s="9">
        <v>45842.666684444448</v>
      </c>
      <c r="G35" t="s">
        <v>174</v>
      </c>
      <c r="H35" t="s">
        <v>136</v>
      </c>
      <c r="I35" t="s">
        <v>163</v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>Invalid</v>
      </c>
      <c r="O35" t="str">
        <f t="shared" ca="1" si="5"/>
        <v>Outdated</v>
      </c>
      <c r="P35" t="str">
        <f t="shared" si="6"/>
        <v>Damaged</v>
      </c>
      <c r="Q35" t="str">
        <f t="shared" si="7"/>
        <v>Inconsistent</v>
      </c>
    </row>
    <row r="36" spans="1:17" x14ac:dyDescent="0.45">
      <c r="A36" t="s">
        <v>175</v>
      </c>
      <c r="B36" t="s">
        <v>138</v>
      </c>
      <c r="D36" t="s">
        <v>74</v>
      </c>
      <c r="E36" s="8">
        <v>3028.82</v>
      </c>
      <c r="F36" s="9">
        <v>45560.666684444448</v>
      </c>
      <c r="H36" t="s">
        <v>145</v>
      </c>
      <c r="I36" t="s">
        <v>77</v>
      </c>
      <c r="J36" t="str">
        <f t="shared" si="0"/>
        <v>Missing</v>
      </c>
      <c r="K36" t="str">
        <f t="shared" si="1"/>
        <v/>
      </c>
      <c r="L36" t="str">
        <f t="shared" si="2"/>
        <v/>
      </c>
      <c r="M36" t="str">
        <f t="shared" si="3"/>
        <v>Invalid</v>
      </c>
      <c r="N36" t="str">
        <f t="shared" si="4"/>
        <v/>
      </c>
      <c r="O36" t="str">
        <f t="shared" ca="1" si="5"/>
        <v>Outdated</v>
      </c>
      <c r="P36" t="str">
        <f t="shared" si="6"/>
        <v>Wrong Item</v>
      </c>
      <c r="Q36" t="str">
        <f t="shared" si="7"/>
        <v/>
      </c>
    </row>
    <row r="37" spans="1:17" x14ac:dyDescent="0.45">
      <c r="A37" t="s">
        <v>176</v>
      </c>
      <c r="B37" t="s">
        <v>172</v>
      </c>
      <c r="C37" t="s">
        <v>177</v>
      </c>
      <c r="D37" t="s">
        <v>148</v>
      </c>
      <c r="E37" s="8">
        <v>2378.48</v>
      </c>
      <c r="F37" s="9">
        <v>45476.666684444448</v>
      </c>
      <c r="G37" t="s">
        <v>174</v>
      </c>
      <c r="H37" t="s">
        <v>87</v>
      </c>
      <c r="I37" t="s">
        <v>112</v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>Invalid</v>
      </c>
      <c r="O37" t="str">
        <f t="shared" ca="1" si="5"/>
        <v>Outdated</v>
      </c>
      <c r="P37" t="str">
        <f t="shared" si="6"/>
        <v>Wrong Item</v>
      </c>
      <c r="Q37" t="str">
        <f t="shared" si="7"/>
        <v>Inconsistent</v>
      </c>
    </row>
    <row r="38" spans="1:17" x14ac:dyDescent="0.45">
      <c r="A38" t="s">
        <v>178</v>
      </c>
      <c r="B38" t="s">
        <v>79</v>
      </c>
      <c r="C38" t="s">
        <v>179</v>
      </c>
      <c r="D38" t="s">
        <v>85</v>
      </c>
      <c r="E38" s="8">
        <v>11993.61</v>
      </c>
      <c r="F38" s="9">
        <v>45412.666684444448</v>
      </c>
      <c r="G38" t="s">
        <v>86</v>
      </c>
      <c r="H38" t="s">
        <v>76</v>
      </c>
      <c r="I38" t="s">
        <v>163</v>
      </c>
      <c r="J38" t="str">
        <f t="shared" si="0"/>
        <v/>
      </c>
      <c r="K38" t="str">
        <f t="shared" si="1"/>
        <v/>
      </c>
      <c r="L38" t="str">
        <f t="shared" si="2"/>
        <v>Unusual</v>
      </c>
      <c r="M38" t="str">
        <f t="shared" si="3"/>
        <v/>
      </c>
      <c r="N38" t="str">
        <f t="shared" si="4"/>
        <v/>
      </c>
      <c r="O38" t="str">
        <f t="shared" ca="1" si="5"/>
        <v>Outdated</v>
      </c>
      <c r="P38" t="str">
        <f t="shared" si="6"/>
        <v>Late Delivery</v>
      </c>
      <c r="Q38" t="str">
        <f t="shared" si="7"/>
        <v/>
      </c>
    </row>
    <row r="39" spans="1:17" x14ac:dyDescent="0.45">
      <c r="A39" t="s">
        <v>180</v>
      </c>
      <c r="B39" t="s">
        <v>99</v>
      </c>
      <c r="C39" t="s">
        <v>181</v>
      </c>
      <c r="E39" s="8">
        <v>5171.8500000000004</v>
      </c>
      <c r="F39" s="9">
        <v>45287.666684444448</v>
      </c>
      <c r="H39" t="s">
        <v>87</v>
      </c>
      <c r="I39" t="s">
        <v>163</v>
      </c>
      <c r="J39" t="str">
        <f t="shared" si="0"/>
        <v>Missing</v>
      </c>
      <c r="K39" t="str">
        <f t="shared" si="1"/>
        <v>Duplicate</v>
      </c>
      <c r="L39" t="str">
        <f t="shared" si="2"/>
        <v/>
      </c>
      <c r="M39" t="str">
        <f t="shared" si="3"/>
        <v>Invalid</v>
      </c>
      <c r="N39" t="str">
        <f t="shared" si="4"/>
        <v>Invalid</v>
      </c>
      <c r="O39" t="str">
        <f t="shared" ca="1" si="5"/>
        <v>Outdated</v>
      </c>
      <c r="P39" t="str">
        <f t="shared" si="6"/>
        <v/>
      </c>
      <c r="Q39" t="str">
        <f t="shared" si="7"/>
        <v/>
      </c>
    </row>
    <row r="40" spans="1:17" x14ac:dyDescent="0.45">
      <c r="A40" t="s">
        <v>182</v>
      </c>
      <c r="B40" t="s">
        <v>172</v>
      </c>
      <c r="C40" t="s">
        <v>183</v>
      </c>
      <c r="D40" t="s">
        <v>92</v>
      </c>
      <c r="E40" s="8">
        <v>7247.05</v>
      </c>
      <c r="F40" s="9">
        <v>45348.666684444448</v>
      </c>
      <c r="G40" t="s">
        <v>174</v>
      </c>
      <c r="H40" t="s">
        <v>76</v>
      </c>
      <c r="I40" t="s">
        <v>119</v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ca="1" si="5"/>
        <v>Outdated</v>
      </c>
      <c r="P40" t="str">
        <f t="shared" si="6"/>
        <v>Not As Described</v>
      </c>
      <c r="Q40" t="str">
        <f t="shared" si="7"/>
        <v/>
      </c>
    </row>
    <row r="41" spans="1:17" x14ac:dyDescent="0.45">
      <c r="A41" t="s">
        <v>184</v>
      </c>
      <c r="B41" t="s">
        <v>79</v>
      </c>
      <c r="C41" t="s">
        <v>185</v>
      </c>
      <c r="D41" t="s">
        <v>92</v>
      </c>
      <c r="E41" s="8">
        <v>0</v>
      </c>
      <c r="F41" s="9">
        <v>45472.666684444448</v>
      </c>
      <c r="G41" t="s">
        <v>86</v>
      </c>
      <c r="H41" t="s">
        <v>81</v>
      </c>
      <c r="I41" t="s">
        <v>82</v>
      </c>
      <c r="J41" t="str">
        <f t="shared" si="0"/>
        <v/>
      </c>
      <c r="K41" t="str">
        <f t="shared" si="1"/>
        <v/>
      </c>
      <c r="L41" t="str">
        <f t="shared" si="2"/>
        <v>Unusual</v>
      </c>
      <c r="M41" t="str">
        <f t="shared" si="3"/>
        <v/>
      </c>
      <c r="N41" t="str">
        <f t="shared" si="4"/>
        <v/>
      </c>
      <c r="O41" t="str">
        <f t="shared" ca="1" si="5"/>
        <v>Outdated</v>
      </c>
      <c r="P41" t="str">
        <f t="shared" si="6"/>
        <v>Not As Described</v>
      </c>
      <c r="Q41" t="str">
        <f t="shared" si="7"/>
        <v/>
      </c>
    </row>
    <row r="42" spans="1:17" x14ac:dyDescent="0.45">
      <c r="A42" t="s">
        <v>186</v>
      </c>
      <c r="B42" t="s">
        <v>72</v>
      </c>
      <c r="C42" t="s">
        <v>187</v>
      </c>
      <c r="D42" t="s">
        <v>101</v>
      </c>
      <c r="E42" s="8">
        <v>0</v>
      </c>
      <c r="F42" s="9">
        <v>45232.666684444448</v>
      </c>
      <c r="G42" t="s">
        <v>75</v>
      </c>
      <c r="H42" t="s">
        <v>107</v>
      </c>
      <c r="I42" t="s">
        <v>77</v>
      </c>
      <c r="J42" t="str">
        <f t="shared" si="0"/>
        <v/>
      </c>
      <c r="K42" t="str">
        <f t="shared" si="1"/>
        <v/>
      </c>
      <c r="L42" t="str">
        <f t="shared" si="2"/>
        <v>Unusual</v>
      </c>
      <c r="M42" t="str">
        <f t="shared" si="3"/>
        <v/>
      </c>
      <c r="N42" t="str">
        <f t="shared" si="4"/>
        <v/>
      </c>
      <c r="O42" t="str">
        <f t="shared" ca="1" si="5"/>
        <v>Outdated</v>
      </c>
      <c r="P42" t="str">
        <f t="shared" si="6"/>
        <v>Damaged</v>
      </c>
      <c r="Q42" t="str">
        <f t="shared" si="7"/>
        <v/>
      </c>
    </row>
    <row r="43" spans="1:17" x14ac:dyDescent="0.45">
      <c r="A43" t="s">
        <v>188</v>
      </c>
      <c r="B43" t="s">
        <v>104</v>
      </c>
      <c r="C43" t="s">
        <v>189</v>
      </c>
      <c r="D43" t="s">
        <v>74</v>
      </c>
      <c r="E43" s="8">
        <v>0</v>
      </c>
      <c r="F43" s="9">
        <v>45222.666684444448</v>
      </c>
      <c r="G43" t="s">
        <v>115</v>
      </c>
      <c r="H43" t="s">
        <v>107</v>
      </c>
      <c r="I43" t="s">
        <v>163</v>
      </c>
      <c r="J43" t="str">
        <f t="shared" si="0"/>
        <v/>
      </c>
      <c r="K43" t="str">
        <f t="shared" si="1"/>
        <v/>
      </c>
      <c r="L43" t="str">
        <f t="shared" si="2"/>
        <v>Unusual</v>
      </c>
      <c r="M43" t="str">
        <f t="shared" si="3"/>
        <v/>
      </c>
      <c r="N43" t="str">
        <f t="shared" si="4"/>
        <v/>
      </c>
      <c r="O43" t="str">
        <f t="shared" ca="1" si="5"/>
        <v>Outdated</v>
      </c>
      <c r="P43" t="str">
        <f t="shared" si="6"/>
        <v>Wrong Item</v>
      </c>
      <c r="Q43" t="str">
        <f t="shared" si="7"/>
        <v/>
      </c>
    </row>
    <row r="44" spans="1:17" x14ac:dyDescent="0.45">
      <c r="A44" t="s">
        <v>190</v>
      </c>
      <c r="B44" t="s">
        <v>95</v>
      </c>
      <c r="C44" t="s">
        <v>191</v>
      </c>
      <c r="D44" t="s">
        <v>74</v>
      </c>
      <c r="E44" s="8">
        <v>7207.28</v>
      </c>
      <c r="F44" s="9">
        <v>45517.666684444448</v>
      </c>
      <c r="G44" t="s">
        <v>97</v>
      </c>
      <c r="H44" t="s">
        <v>145</v>
      </c>
      <c r="I44" t="s">
        <v>77</v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ca="1" si="5"/>
        <v>Outdated</v>
      </c>
      <c r="P44" t="str">
        <f t="shared" si="6"/>
        <v>Wrong Item</v>
      </c>
      <c r="Q44" t="str">
        <f t="shared" si="7"/>
        <v/>
      </c>
    </row>
    <row r="45" spans="1:17" x14ac:dyDescent="0.45">
      <c r="A45" t="s">
        <v>192</v>
      </c>
      <c r="B45" t="s">
        <v>138</v>
      </c>
      <c r="C45" t="s">
        <v>193</v>
      </c>
      <c r="D45" t="s">
        <v>148</v>
      </c>
      <c r="E45" s="8">
        <v>0</v>
      </c>
      <c r="F45" s="9">
        <v>45227.666684444448</v>
      </c>
      <c r="G45" t="s">
        <v>194</v>
      </c>
      <c r="I45" t="s">
        <v>112</v>
      </c>
      <c r="J45" t="str">
        <f t="shared" si="0"/>
        <v/>
      </c>
      <c r="K45" t="str">
        <f t="shared" si="1"/>
        <v/>
      </c>
      <c r="L45" t="str">
        <f t="shared" si="2"/>
        <v>Unusual</v>
      </c>
      <c r="M45" t="str">
        <f t="shared" si="3"/>
        <v>Invalid</v>
      </c>
      <c r="N45" t="str">
        <f t="shared" si="4"/>
        <v>Invalid</v>
      </c>
      <c r="O45" t="str">
        <f t="shared" ca="1" si="5"/>
        <v>Outdated</v>
      </c>
      <c r="P45" t="str">
        <f t="shared" si="6"/>
        <v>Wrong Item</v>
      </c>
      <c r="Q45" t="str">
        <f t="shared" si="7"/>
        <v>Inconsistent</v>
      </c>
    </row>
    <row r="46" spans="1:17" x14ac:dyDescent="0.45">
      <c r="A46" t="s">
        <v>195</v>
      </c>
      <c r="B46" t="s">
        <v>172</v>
      </c>
      <c r="C46" t="s">
        <v>196</v>
      </c>
      <c r="E46" s="8">
        <v>2764.74</v>
      </c>
      <c r="F46" s="9">
        <v>45495.666684444448</v>
      </c>
      <c r="G46" t="s">
        <v>174</v>
      </c>
      <c r="H46" t="s">
        <v>133</v>
      </c>
      <c r="I46" t="s">
        <v>88</v>
      </c>
      <c r="J46" t="str">
        <f t="shared" si="0"/>
        <v>Missing</v>
      </c>
      <c r="K46" t="str">
        <f t="shared" si="1"/>
        <v>Duplicate</v>
      </c>
      <c r="L46" t="str">
        <f t="shared" si="2"/>
        <v/>
      </c>
      <c r="M46" t="str">
        <f t="shared" si="3"/>
        <v/>
      </c>
      <c r="N46" t="str">
        <f t="shared" si="4"/>
        <v>Invalid</v>
      </c>
      <c r="O46" t="str">
        <f t="shared" ca="1" si="5"/>
        <v>Outdated</v>
      </c>
      <c r="P46" t="str">
        <f t="shared" si="6"/>
        <v/>
      </c>
      <c r="Q46" t="str">
        <f t="shared" si="7"/>
        <v/>
      </c>
    </row>
    <row r="47" spans="1:17" x14ac:dyDescent="0.45">
      <c r="A47" t="s">
        <v>197</v>
      </c>
      <c r="B47" t="s">
        <v>104</v>
      </c>
      <c r="C47" t="s">
        <v>198</v>
      </c>
      <c r="D47" t="s">
        <v>101</v>
      </c>
      <c r="E47" s="8">
        <v>11782.77</v>
      </c>
      <c r="F47" s="9">
        <v>45480.666684444448</v>
      </c>
      <c r="G47" t="s">
        <v>115</v>
      </c>
      <c r="H47" t="s">
        <v>145</v>
      </c>
      <c r="I47" t="s">
        <v>112</v>
      </c>
      <c r="J47" t="str">
        <f t="shared" si="0"/>
        <v/>
      </c>
      <c r="K47" t="str">
        <f t="shared" si="1"/>
        <v/>
      </c>
      <c r="L47" t="str">
        <f t="shared" si="2"/>
        <v>Unusual</v>
      </c>
      <c r="M47" t="str">
        <f t="shared" si="3"/>
        <v/>
      </c>
      <c r="N47" t="str">
        <f t="shared" si="4"/>
        <v/>
      </c>
      <c r="O47" t="str">
        <f t="shared" ca="1" si="5"/>
        <v>Outdated</v>
      </c>
      <c r="P47" t="str">
        <f t="shared" si="6"/>
        <v>Damaged</v>
      </c>
      <c r="Q47" t="str">
        <f t="shared" si="7"/>
        <v/>
      </c>
    </row>
    <row r="48" spans="1:17" x14ac:dyDescent="0.45">
      <c r="A48" t="s">
        <v>199</v>
      </c>
      <c r="B48" t="s">
        <v>99</v>
      </c>
      <c r="D48" t="s">
        <v>74</v>
      </c>
      <c r="E48" s="8">
        <v>10598.32</v>
      </c>
      <c r="F48" s="9">
        <v>45746.666684444448</v>
      </c>
      <c r="G48" t="s">
        <v>102</v>
      </c>
      <c r="H48" t="s">
        <v>118</v>
      </c>
      <c r="I48" t="s">
        <v>119</v>
      </c>
      <c r="J48" t="str">
        <f t="shared" si="0"/>
        <v>Missing</v>
      </c>
      <c r="K48" t="str">
        <f t="shared" si="1"/>
        <v/>
      </c>
      <c r="L48" t="str">
        <f t="shared" si="2"/>
        <v>Unusual</v>
      </c>
      <c r="M48" t="str">
        <f t="shared" si="3"/>
        <v/>
      </c>
      <c r="N48" t="str">
        <f t="shared" si="4"/>
        <v>Invalid</v>
      </c>
      <c r="O48" t="str">
        <f t="shared" ca="1" si="5"/>
        <v>Outdated</v>
      </c>
      <c r="P48" t="str">
        <f t="shared" si="6"/>
        <v>Wrong Item</v>
      </c>
      <c r="Q48" t="str">
        <f t="shared" si="7"/>
        <v/>
      </c>
    </row>
    <row r="49" spans="1:17" x14ac:dyDescent="0.45">
      <c r="A49" t="s">
        <v>200</v>
      </c>
      <c r="B49" t="s">
        <v>90</v>
      </c>
      <c r="C49" t="s">
        <v>201</v>
      </c>
      <c r="D49" t="s">
        <v>101</v>
      </c>
      <c r="E49" s="8">
        <v>5841.01</v>
      </c>
      <c r="F49" s="9">
        <v>45398.666684444448</v>
      </c>
      <c r="G49" t="s">
        <v>93</v>
      </c>
      <c r="I49" t="s">
        <v>77</v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>Invalid</v>
      </c>
      <c r="O49" t="str">
        <f t="shared" ca="1" si="5"/>
        <v>Outdated</v>
      </c>
      <c r="P49" t="str">
        <f t="shared" si="6"/>
        <v>Damaged</v>
      </c>
      <c r="Q49" t="str">
        <f t="shared" si="7"/>
        <v/>
      </c>
    </row>
    <row r="50" spans="1:17" x14ac:dyDescent="0.45">
      <c r="A50" t="s">
        <v>202</v>
      </c>
      <c r="B50" t="s">
        <v>72</v>
      </c>
      <c r="C50" t="s">
        <v>203</v>
      </c>
      <c r="D50" t="s">
        <v>85</v>
      </c>
      <c r="E50" s="8">
        <v>10223.629999999999</v>
      </c>
      <c r="F50" s="9">
        <v>45172.666684444448</v>
      </c>
      <c r="G50" t="s">
        <v>75</v>
      </c>
      <c r="H50" t="s">
        <v>136</v>
      </c>
      <c r="I50" t="s">
        <v>77</v>
      </c>
      <c r="J50" t="str">
        <f t="shared" si="0"/>
        <v/>
      </c>
      <c r="K50" t="str">
        <f t="shared" si="1"/>
        <v/>
      </c>
      <c r="L50" t="str">
        <f t="shared" si="2"/>
        <v>Unusual</v>
      </c>
      <c r="M50" t="str">
        <f t="shared" si="3"/>
        <v/>
      </c>
      <c r="N50" t="str">
        <f t="shared" si="4"/>
        <v>Invalid</v>
      </c>
      <c r="O50" t="str">
        <f t="shared" ca="1" si="5"/>
        <v>Outdated</v>
      </c>
      <c r="P50" t="str">
        <f t="shared" si="6"/>
        <v>Late Delivery</v>
      </c>
      <c r="Q50" t="str">
        <f t="shared" si="7"/>
        <v/>
      </c>
    </row>
    <row r="51" spans="1:17" x14ac:dyDescent="0.45">
      <c r="A51" t="s">
        <v>204</v>
      </c>
      <c r="B51" t="s">
        <v>95</v>
      </c>
      <c r="D51" t="s">
        <v>85</v>
      </c>
      <c r="E51" s="8">
        <v>3136.77</v>
      </c>
      <c r="F51" s="9">
        <v>45598.666684444448</v>
      </c>
      <c r="G51" t="s">
        <v>97</v>
      </c>
      <c r="H51" t="s">
        <v>136</v>
      </c>
      <c r="I51" t="s">
        <v>82</v>
      </c>
      <c r="J51" t="str">
        <f t="shared" si="0"/>
        <v>Missing</v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>Invalid</v>
      </c>
      <c r="O51" t="str">
        <f t="shared" ca="1" si="5"/>
        <v>Outdated</v>
      </c>
      <c r="P51" t="str">
        <f t="shared" si="6"/>
        <v>Late Delivery</v>
      </c>
      <c r="Q51" t="str">
        <f t="shared" si="7"/>
        <v/>
      </c>
    </row>
    <row r="52" spans="1:17" x14ac:dyDescent="0.45">
      <c r="A52" t="s">
        <v>205</v>
      </c>
      <c r="B52" t="s">
        <v>99</v>
      </c>
      <c r="C52" t="s">
        <v>206</v>
      </c>
      <c r="D52" t="s">
        <v>92</v>
      </c>
      <c r="E52" s="8">
        <v>8715.64</v>
      </c>
      <c r="F52" s="9">
        <v>45677.666684444448</v>
      </c>
      <c r="G52" t="s">
        <v>102</v>
      </c>
      <c r="H52" t="s">
        <v>133</v>
      </c>
      <c r="I52" t="s">
        <v>77</v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>Invalid</v>
      </c>
      <c r="O52" t="str">
        <f t="shared" ca="1" si="5"/>
        <v>Outdated</v>
      </c>
      <c r="P52" t="str">
        <f t="shared" si="6"/>
        <v>Not As Described</v>
      </c>
      <c r="Q52" t="str">
        <f t="shared" si="7"/>
        <v/>
      </c>
    </row>
    <row r="53" spans="1:17" x14ac:dyDescent="0.45">
      <c r="A53" t="s">
        <v>207</v>
      </c>
      <c r="B53" t="s">
        <v>72</v>
      </c>
      <c r="C53" t="s">
        <v>208</v>
      </c>
      <c r="D53" t="s">
        <v>106</v>
      </c>
      <c r="E53" s="8">
        <v>5389</v>
      </c>
      <c r="F53" s="9">
        <v>45255.666684444448</v>
      </c>
      <c r="G53" t="s">
        <v>75</v>
      </c>
      <c r="H53" t="s">
        <v>116</v>
      </c>
      <c r="I53" t="s">
        <v>77</v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ca="1" si="5"/>
        <v>Outdated</v>
      </c>
      <c r="P53" t="str">
        <f t="shared" si="6"/>
        <v>Damaged</v>
      </c>
      <c r="Q53" t="str">
        <f t="shared" si="7"/>
        <v>Inconsistent</v>
      </c>
    </row>
    <row r="54" spans="1:17" x14ac:dyDescent="0.45">
      <c r="A54" t="s">
        <v>209</v>
      </c>
      <c r="B54" t="s">
        <v>90</v>
      </c>
      <c r="C54" t="s">
        <v>210</v>
      </c>
      <c r="D54" t="s">
        <v>74</v>
      </c>
      <c r="E54" s="8">
        <v>6564.76</v>
      </c>
      <c r="F54" s="9">
        <v>45515.666684444448</v>
      </c>
      <c r="H54" t="s">
        <v>81</v>
      </c>
      <c r="I54" t="s">
        <v>77</v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>Invalid</v>
      </c>
      <c r="N54" t="str">
        <f t="shared" si="4"/>
        <v/>
      </c>
      <c r="O54" t="str">
        <f t="shared" ca="1" si="5"/>
        <v>Outdated</v>
      </c>
      <c r="P54" t="str">
        <f t="shared" si="6"/>
        <v>Wrong Item</v>
      </c>
      <c r="Q54" t="str">
        <f t="shared" si="7"/>
        <v/>
      </c>
    </row>
    <row r="55" spans="1:17" x14ac:dyDescent="0.45">
      <c r="A55" t="s">
        <v>211</v>
      </c>
      <c r="B55" t="s">
        <v>79</v>
      </c>
      <c r="C55" t="s">
        <v>212</v>
      </c>
      <c r="D55" t="s">
        <v>85</v>
      </c>
      <c r="E55" s="8">
        <v>9045.2199999999993</v>
      </c>
      <c r="F55" s="9">
        <v>45208.666684444448</v>
      </c>
      <c r="G55" t="s">
        <v>86</v>
      </c>
      <c r="H55" t="s">
        <v>133</v>
      </c>
      <c r="I55" t="s">
        <v>112</v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>Invalid</v>
      </c>
      <c r="O55" t="str">
        <f t="shared" ca="1" si="5"/>
        <v>Outdated</v>
      </c>
      <c r="P55" t="str">
        <f t="shared" si="6"/>
        <v>Late Delivery</v>
      </c>
      <c r="Q55" t="str">
        <f t="shared" si="7"/>
        <v/>
      </c>
    </row>
    <row r="56" spans="1:17" x14ac:dyDescent="0.45">
      <c r="A56" t="s">
        <v>213</v>
      </c>
      <c r="B56" t="s">
        <v>90</v>
      </c>
      <c r="C56" t="s">
        <v>214</v>
      </c>
      <c r="D56" t="s">
        <v>101</v>
      </c>
      <c r="E56" s="8">
        <v>6480.95</v>
      </c>
      <c r="F56" s="9">
        <v>45693.666684444448</v>
      </c>
      <c r="G56" t="s">
        <v>93</v>
      </c>
      <c r="H56" t="s">
        <v>76</v>
      </c>
      <c r="I56" t="s">
        <v>77</v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ca="1" si="5"/>
        <v>Outdated</v>
      </c>
      <c r="P56" t="str">
        <f t="shared" si="6"/>
        <v>Damaged</v>
      </c>
      <c r="Q56" t="str">
        <f t="shared" si="7"/>
        <v/>
      </c>
    </row>
    <row r="57" spans="1:17" x14ac:dyDescent="0.45">
      <c r="A57" t="s">
        <v>215</v>
      </c>
      <c r="B57" t="s">
        <v>172</v>
      </c>
      <c r="C57" t="s">
        <v>216</v>
      </c>
      <c r="D57" t="s">
        <v>101</v>
      </c>
      <c r="E57" s="8">
        <v>8730.76</v>
      </c>
      <c r="F57" s="9">
        <v>45428.666684444448</v>
      </c>
      <c r="G57" t="s">
        <v>174</v>
      </c>
      <c r="H57" t="s">
        <v>118</v>
      </c>
      <c r="I57" t="s">
        <v>82</v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>Invalid</v>
      </c>
      <c r="O57" t="str">
        <f t="shared" ca="1" si="5"/>
        <v>Outdated</v>
      </c>
      <c r="P57" t="str">
        <f t="shared" si="6"/>
        <v>Damaged</v>
      </c>
      <c r="Q57" t="str">
        <f t="shared" si="7"/>
        <v/>
      </c>
    </row>
    <row r="58" spans="1:17" x14ac:dyDescent="0.45">
      <c r="A58" t="s">
        <v>217</v>
      </c>
      <c r="B58" t="s">
        <v>95</v>
      </c>
      <c r="C58" t="s">
        <v>218</v>
      </c>
      <c r="D58" t="s">
        <v>74</v>
      </c>
      <c r="E58" s="8">
        <v>4317.47</v>
      </c>
      <c r="F58" s="9">
        <v>45771.666684444448</v>
      </c>
      <c r="G58" t="s">
        <v>97</v>
      </c>
      <c r="H58" t="s">
        <v>87</v>
      </c>
      <c r="I58" t="s">
        <v>88</v>
      </c>
      <c r="J58" t="str">
        <f t="shared" si="0"/>
        <v/>
      </c>
      <c r="K58" t="str">
        <f t="shared" si="1"/>
        <v>Duplicate</v>
      </c>
      <c r="L58" t="str">
        <f t="shared" si="2"/>
        <v/>
      </c>
      <c r="M58" t="str">
        <f t="shared" si="3"/>
        <v/>
      </c>
      <c r="N58" t="str">
        <f t="shared" si="4"/>
        <v>Invalid</v>
      </c>
      <c r="O58" t="str">
        <f t="shared" ca="1" si="5"/>
        <v>Outdated</v>
      </c>
      <c r="P58" t="str">
        <f t="shared" si="6"/>
        <v>Wrong Item</v>
      </c>
      <c r="Q58" t="str">
        <f t="shared" si="7"/>
        <v/>
      </c>
    </row>
    <row r="59" spans="1:17" x14ac:dyDescent="0.45">
      <c r="A59" t="s">
        <v>219</v>
      </c>
      <c r="B59" t="s">
        <v>109</v>
      </c>
      <c r="C59" t="s">
        <v>220</v>
      </c>
      <c r="D59" t="s">
        <v>74</v>
      </c>
      <c r="E59" s="8">
        <v>11645.26</v>
      </c>
      <c r="F59" s="9">
        <v>45761.666684444448</v>
      </c>
      <c r="G59" t="s">
        <v>111</v>
      </c>
      <c r="H59" t="s">
        <v>136</v>
      </c>
      <c r="I59" t="s">
        <v>77</v>
      </c>
      <c r="J59" t="str">
        <f t="shared" si="0"/>
        <v/>
      </c>
      <c r="K59" t="str">
        <f t="shared" si="1"/>
        <v/>
      </c>
      <c r="L59" t="str">
        <f t="shared" si="2"/>
        <v>Unusual</v>
      </c>
      <c r="M59" t="str">
        <f t="shared" si="3"/>
        <v/>
      </c>
      <c r="N59" t="str">
        <f t="shared" si="4"/>
        <v>Invalid</v>
      </c>
      <c r="O59" t="str">
        <f t="shared" ca="1" si="5"/>
        <v>Outdated</v>
      </c>
      <c r="P59" t="str">
        <f t="shared" si="6"/>
        <v>Wrong Item</v>
      </c>
      <c r="Q59" t="str">
        <f t="shared" si="7"/>
        <v/>
      </c>
    </row>
    <row r="60" spans="1:17" x14ac:dyDescent="0.45">
      <c r="A60" t="s">
        <v>221</v>
      </c>
      <c r="B60" t="s">
        <v>138</v>
      </c>
      <c r="C60" t="s">
        <v>100</v>
      </c>
      <c r="D60" t="s">
        <v>148</v>
      </c>
      <c r="E60" s="8">
        <v>3222.06</v>
      </c>
      <c r="F60" s="9">
        <v>45498.666684444448</v>
      </c>
      <c r="G60" t="s">
        <v>140</v>
      </c>
      <c r="H60" t="s">
        <v>145</v>
      </c>
      <c r="I60" t="s">
        <v>77</v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ca="1" si="5"/>
        <v>Outdated</v>
      </c>
      <c r="P60" t="str">
        <f t="shared" si="6"/>
        <v>Wrong Item</v>
      </c>
      <c r="Q60" t="str">
        <f t="shared" si="7"/>
        <v>Inconsistent</v>
      </c>
    </row>
    <row r="61" spans="1:17" x14ac:dyDescent="0.45">
      <c r="A61" t="s">
        <v>222</v>
      </c>
      <c r="B61" t="s">
        <v>138</v>
      </c>
      <c r="C61" t="s">
        <v>223</v>
      </c>
      <c r="D61" t="s">
        <v>101</v>
      </c>
      <c r="E61" s="8">
        <v>10040.76</v>
      </c>
      <c r="F61" s="9">
        <v>45719.666684444448</v>
      </c>
      <c r="G61" t="s">
        <v>140</v>
      </c>
      <c r="H61" t="s">
        <v>87</v>
      </c>
      <c r="I61" t="s">
        <v>88</v>
      </c>
      <c r="J61" t="str">
        <f t="shared" si="0"/>
        <v/>
      </c>
      <c r="K61" t="str">
        <f t="shared" si="1"/>
        <v/>
      </c>
      <c r="L61" t="str">
        <f t="shared" si="2"/>
        <v>Unusual</v>
      </c>
      <c r="M61" t="str">
        <f t="shared" si="3"/>
        <v/>
      </c>
      <c r="N61" t="str">
        <f t="shared" si="4"/>
        <v>Invalid</v>
      </c>
      <c r="O61" t="str">
        <f t="shared" ca="1" si="5"/>
        <v>Outdated</v>
      </c>
      <c r="P61" t="str">
        <f t="shared" si="6"/>
        <v>Damaged</v>
      </c>
      <c r="Q61" t="str">
        <f t="shared" si="7"/>
        <v/>
      </c>
    </row>
    <row r="62" spans="1:17" x14ac:dyDescent="0.45">
      <c r="A62" t="s">
        <v>224</v>
      </c>
      <c r="B62" t="s">
        <v>79</v>
      </c>
      <c r="C62" t="s">
        <v>225</v>
      </c>
      <c r="D62" t="s">
        <v>85</v>
      </c>
      <c r="E62" s="8">
        <v>3323.46</v>
      </c>
      <c r="F62" s="9">
        <v>45324.666684444448</v>
      </c>
      <c r="G62" t="s">
        <v>86</v>
      </c>
      <c r="H62" t="s">
        <v>87</v>
      </c>
      <c r="I62" t="s">
        <v>88</v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>Invalid</v>
      </c>
      <c r="O62" t="str">
        <f t="shared" ca="1" si="5"/>
        <v>Outdated</v>
      </c>
      <c r="P62" t="str">
        <f t="shared" si="6"/>
        <v>Late Delivery</v>
      </c>
      <c r="Q62" t="str">
        <f t="shared" si="7"/>
        <v/>
      </c>
    </row>
    <row r="63" spans="1:17" x14ac:dyDescent="0.45">
      <c r="A63" t="s">
        <v>226</v>
      </c>
      <c r="B63" t="s">
        <v>99</v>
      </c>
      <c r="C63" t="s">
        <v>227</v>
      </c>
      <c r="D63" t="s">
        <v>155</v>
      </c>
      <c r="E63" s="8">
        <v>0</v>
      </c>
      <c r="F63" s="9">
        <v>45849.666684444448</v>
      </c>
      <c r="G63" t="s">
        <v>102</v>
      </c>
      <c r="I63" t="s">
        <v>112</v>
      </c>
      <c r="J63" t="str">
        <f t="shared" si="0"/>
        <v/>
      </c>
      <c r="K63" t="str">
        <f t="shared" si="1"/>
        <v/>
      </c>
      <c r="L63" t="str">
        <f t="shared" si="2"/>
        <v>Unusual</v>
      </c>
      <c r="M63" t="str">
        <f t="shared" si="3"/>
        <v/>
      </c>
      <c r="N63" t="str">
        <f t="shared" si="4"/>
        <v>Invalid</v>
      </c>
      <c r="O63" t="str">
        <f t="shared" ca="1" si="5"/>
        <v/>
      </c>
      <c r="P63" t="str">
        <f t="shared" si="6"/>
        <v>Damaged</v>
      </c>
      <c r="Q63" t="str">
        <f t="shared" si="7"/>
        <v>Inconsistent</v>
      </c>
    </row>
    <row r="64" spans="1:17" x14ac:dyDescent="0.45">
      <c r="A64" t="s">
        <v>228</v>
      </c>
      <c r="B64" t="s">
        <v>95</v>
      </c>
      <c r="C64" t="s">
        <v>229</v>
      </c>
      <c r="D64" t="s">
        <v>92</v>
      </c>
      <c r="E64" s="8">
        <v>2858.51</v>
      </c>
      <c r="F64" s="9">
        <v>45199.666684444448</v>
      </c>
      <c r="G64" t="s">
        <v>97</v>
      </c>
      <c r="H64" t="s">
        <v>107</v>
      </c>
      <c r="I64" t="s">
        <v>163</v>
      </c>
      <c r="J64" t="str">
        <f t="shared" si="0"/>
        <v/>
      </c>
      <c r="K64" t="str">
        <f t="shared" si="1"/>
        <v>Duplicate</v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ca="1" si="5"/>
        <v>Outdated</v>
      </c>
      <c r="P64" t="str">
        <f t="shared" si="6"/>
        <v>Not As Described</v>
      </c>
      <c r="Q64" t="str">
        <f t="shared" si="7"/>
        <v/>
      </c>
    </row>
    <row r="65" spans="1:17" x14ac:dyDescent="0.45">
      <c r="A65" t="s">
        <v>230</v>
      </c>
      <c r="B65" t="s">
        <v>79</v>
      </c>
      <c r="C65" t="s">
        <v>231</v>
      </c>
      <c r="D65" t="s">
        <v>74</v>
      </c>
      <c r="E65" s="8">
        <v>5324.42</v>
      </c>
      <c r="F65" s="9">
        <v>45174.666684444448</v>
      </c>
      <c r="G65" t="s">
        <v>86</v>
      </c>
      <c r="H65" t="s">
        <v>116</v>
      </c>
      <c r="I65" t="s">
        <v>112</v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ca="1" si="5"/>
        <v>Outdated</v>
      </c>
      <c r="P65" t="str">
        <f t="shared" si="6"/>
        <v>Wrong Item</v>
      </c>
      <c r="Q65" t="str">
        <f t="shared" si="7"/>
        <v/>
      </c>
    </row>
    <row r="66" spans="1:17" x14ac:dyDescent="0.45">
      <c r="A66" t="s">
        <v>232</v>
      </c>
      <c r="B66" t="s">
        <v>109</v>
      </c>
      <c r="C66" t="s">
        <v>233</v>
      </c>
      <c r="D66" t="s">
        <v>85</v>
      </c>
      <c r="E66" s="8">
        <v>4935.96</v>
      </c>
      <c r="F66" s="9">
        <v>45805.666684444448</v>
      </c>
      <c r="G66" t="s">
        <v>111</v>
      </c>
      <c r="H66" t="s">
        <v>116</v>
      </c>
      <c r="I66" t="s">
        <v>82</v>
      </c>
      <c r="J66" t="str">
        <f t="shared" ref="J66:J129" si="8">IF(OR(ISBLANK(C66),ISBLANK(D66)),"Missing","")</f>
        <v/>
      </c>
      <c r="K66" t="str">
        <f t="shared" ref="K66:K129" si="9">IF(COUNTIF($A$2:$A$2501,A66)&gt;1,"Duplicate","")</f>
        <v/>
      </c>
      <c r="L66" t="str">
        <f t="shared" ref="L66:L129" si="10">IF(OR(E66=0,E66&gt;10000),"Unusual","")</f>
        <v/>
      </c>
      <c r="M66" t="str">
        <f t="shared" ref="M66:M129" si="11">IF(OR(ISBLANK(G66),ISERROR(FIND("@",G66)),ISERROR(FIND(".",G66,FIND("@",G66)+1))),"Invalid","")</f>
        <v/>
      </c>
      <c r="N66" t="str">
        <f t="shared" ref="N66:N129" si="12">IF(COUNTIF($S$2:$S$6,H66)=0,"Invalid","")</f>
        <v/>
      </c>
      <c r="O66" t="str">
        <f t="shared" ref="O66:O129" ca="1" si="13">IF(F66&lt;EDATE(TODAY(),-12),"Outdated","")</f>
        <v>Outdated</v>
      </c>
      <c r="P66" t="str">
        <f t="shared" ref="P66:P129" si="14">IF(ISBLANK(D66),"",PROPER(TRIM(D66)))</f>
        <v>Late Delivery</v>
      </c>
      <c r="Q66" t="str">
        <f t="shared" ref="Q66:Q129" si="15">IF(ISBLANK(D66),"",IF(EXACT(D66,P66),"","Inconsistent"))</f>
        <v/>
      </c>
    </row>
    <row r="67" spans="1:17" x14ac:dyDescent="0.45">
      <c r="A67" t="s">
        <v>234</v>
      </c>
      <c r="B67" t="s">
        <v>172</v>
      </c>
      <c r="C67" t="s">
        <v>235</v>
      </c>
      <c r="D67" t="s">
        <v>101</v>
      </c>
      <c r="E67" s="8">
        <v>6291.78</v>
      </c>
      <c r="F67" s="9">
        <v>45361.666684444448</v>
      </c>
      <c r="G67" t="s">
        <v>236</v>
      </c>
      <c r="H67" t="s">
        <v>128</v>
      </c>
      <c r="I67" t="s">
        <v>163</v>
      </c>
      <c r="J67" t="str">
        <f t="shared" si="8"/>
        <v/>
      </c>
      <c r="K67" t="str">
        <f t="shared" si="9"/>
        <v/>
      </c>
      <c r="L67" t="str">
        <f t="shared" si="10"/>
        <v/>
      </c>
      <c r="M67" t="str">
        <f t="shared" si="11"/>
        <v>Invalid</v>
      </c>
      <c r="N67" t="str">
        <f t="shared" si="12"/>
        <v>Invalid</v>
      </c>
      <c r="O67" t="str">
        <f t="shared" ca="1" si="13"/>
        <v>Outdated</v>
      </c>
      <c r="P67" t="str">
        <f t="shared" si="14"/>
        <v>Damaged</v>
      </c>
      <c r="Q67" t="str">
        <f t="shared" si="15"/>
        <v/>
      </c>
    </row>
    <row r="68" spans="1:17" x14ac:dyDescent="0.45">
      <c r="A68" t="s">
        <v>237</v>
      </c>
      <c r="B68" t="s">
        <v>172</v>
      </c>
      <c r="D68" t="s">
        <v>92</v>
      </c>
      <c r="E68" s="8">
        <v>7292.23</v>
      </c>
      <c r="F68" s="9">
        <v>45424.666684444448</v>
      </c>
      <c r="G68" t="s">
        <v>174</v>
      </c>
      <c r="H68" t="s">
        <v>81</v>
      </c>
      <c r="I68" t="s">
        <v>163</v>
      </c>
      <c r="J68" t="str">
        <f t="shared" si="8"/>
        <v>Missing</v>
      </c>
      <c r="K68" t="str">
        <f t="shared" si="9"/>
        <v/>
      </c>
      <c r="L68" t="str">
        <f t="shared" si="10"/>
        <v/>
      </c>
      <c r="M68" t="str">
        <f t="shared" si="11"/>
        <v/>
      </c>
      <c r="N68" t="str">
        <f t="shared" si="12"/>
        <v/>
      </c>
      <c r="O68" t="str">
        <f t="shared" ca="1" si="13"/>
        <v>Outdated</v>
      </c>
      <c r="P68" t="str">
        <f t="shared" si="14"/>
        <v>Not As Described</v>
      </c>
      <c r="Q68" t="str">
        <f t="shared" si="15"/>
        <v/>
      </c>
    </row>
    <row r="69" spans="1:17" x14ac:dyDescent="0.45">
      <c r="A69" t="s">
        <v>238</v>
      </c>
      <c r="B69" t="s">
        <v>90</v>
      </c>
      <c r="C69" t="s">
        <v>239</v>
      </c>
      <c r="D69" t="s">
        <v>92</v>
      </c>
      <c r="E69" s="8">
        <v>10093.290000000001</v>
      </c>
      <c r="F69" s="9">
        <v>45209.666684444448</v>
      </c>
      <c r="G69" t="s">
        <v>93</v>
      </c>
      <c r="H69" t="s">
        <v>81</v>
      </c>
      <c r="I69" t="s">
        <v>119</v>
      </c>
      <c r="J69" t="str">
        <f t="shared" si="8"/>
        <v/>
      </c>
      <c r="K69" t="str">
        <f t="shared" si="9"/>
        <v/>
      </c>
      <c r="L69" t="str">
        <f t="shared" si="10"/>
        <v>Unusual</v>
      </c>
      <c r="M69" t="str">
        <f t="shared" si="11"/>
        <v/>
      </c>
      <c r="N69" t="str">
        <f t="shared" si="12"/>
        <v/>
      </c>
      <c r="O69" t="str">
        <f t="shared" ca="1" si="13"/>
        <v>Outdated</v>
      </c>
      <c r="P69" t="str">
        <f t="shared" si="14"/>
        <v>Not As Described</v>
      </c>
      <c r="Q69" t="str">
        <f t="shared" si="15"/>
        <v/>
      </c>
    </row>
    <row r="70" spans="1:17" x14ac:dyDescent="0.45">
      <c r="A70" t="s">
        <v>240</v>
      </c>
      <c r="B70" t="s">
        <v>138</v>
      </c>
      <c r="C70" t="s">
        <v>241</v>
      </c>
      <c r="D70" t="s">
        <v>92</v>
      </c>
      <c r="E70" s="8">
        <v>0</v>
      </c>
      <c r="F70" s="9">
        <v>45366.666684444448</v>
      </c>
      <c r="G70" t="s">
        <v>140</v>
      </c>
      <c r="H70" t="s">
        <v>118</v>
      </c>
      <c r="I70" t="s">
        <v>88</v>
      </c>
      <c r="J70" t="str">
        <f t="shared" si="8"/>
        <v/>
      </c>
      <c r="K70" t="str">
        <f t="shared" si="9"/>
        <v/>
      </c>
      <c r="L70" t="str">
        <f t="shared" si="10"/>
        <v>Unusual</v>
      </c>
      <c r="M70" t="str">
        <f t="shared" si="11"/>
        <v/>
      </c>
      <c r="N70" t="str">
        <f t="shared" si="12"/>
        <v>Invalid</v>
      </c>
      <c r="O70" t="str">
        <f t="shared" ca="1" si="13"/>
        <v>Outdated</v>
      </c>
      <c r="P70" t="str">
        <f t="shared" si="14"/>
        <v>Not As Described</v>
      </c>
      <c r="Q70" t="str">
        <f t="shared" si="15"/>
        <v/>
      </c>
    </row>
    <row r="71" spans="1:17" x14ac:dyDescent="0.45">
      <c r="A71" t="s">
        <v>242</v>
      </c>
      <c r="B71" t="s">
        <v>104</v>
      </c>
      <c r="C71" t="s">
        <v>243</v>
      </c>
      <c r="D71" t="s">
        <v>101</v>
      </c>
      <c r="E71" s="8">
        <v>3441.2</v>
      </c>
      <c r="F71" s="9">
        <v>45231.666684444448</v>
      </c>
      <c r="G71" t="s">
        <v>115</v>
      </c>
      <c r="H71" t="s">
        <v>145</v>
      </c>
      <c r="I71" t="s">
        <v>112</v>
      </c>
      <c r="J71" t="str">
        <f t="shared" si="8"/>
        <v/>
      </c>
      <c r="K71" t="str">
        <f t="shared" si="9"/>
        <v>Duplicate</v>
      </c>
      <c r="L71" t="str">
        <f t="shared" si="10"/>
        <v/>
      </c>
      <c r="M71" t="str">
        <f t="shared" si="11"/>
        <v/>
      </c>
      <c r="N71" t="str">
        <f t="shared" si="12"/>
        <v/>
      </c>
      <c r="O71" t="str">
        <f t="shared" ca="1" si="13"/>
        <v>Outdated</v>
      </c>
      <c r="P71" t="str">
        <f t="shared" si="14"/>
        <v>Damaged</v>
      </c>
      <c r="Q71" t="str">
        <f t="shared" si="15"/>
        <v/>
      </c>
    </row>
    <row r="72" spans="1:17" x14ac:dyDescent="0.45">
      <c r="A72" t="s">
        <v>244</v>
      </c>
      <c r="B72" t="s">
        <v>95</v>
      </c>
      <c r="C72" t="s">
        <v>144</v>
      </c>
      <c r="E72" s="8">
        <v>3352.14</v>
      </c>
      <c r="F72" s="9">
        <v>45517.666684444448</v>
      </c>
      <c r="G72" t="s">
        <v>97</v>
      </c>
      <c r="H72" t="s">
        <v>133</v>
      </c>
      <c r="I72" t="s">
        <v>119</v>
      </c>
      <c r="J72" t="str">
        <f t="shared" si="8"/>
        <v>Missing</v>
      </c>
      <c r="K72" t="str">
        <f t="shared" si="9"/>
        <v/>
      </c>
      <c r="L72" t="str">
        <f t="shared" si="10"/>
        <v/>
      </c>
      <c r="M72" t="str">
        <f t="shared" si="11"/>
        <v/>
      </c>
      <c r="N72" t="str">
        <f t="shared" si="12"/>
        <v>Invalid</v>
      </c>
      <c r="O72" t="str">
        <f t="shared" ca="1" si="13"/>
        <v>Outdated</v>
      </c>
      <c r="P72" t="str">
        <f t="shared" si="14"/>
        <v/>
      </c>
      <c r="Q72" t="str">
        <f t="shared" si="15"/>
        <v/>
      </c>
    </row>
    <row r="73" spans="1:17" x14ac:dyDescent="0.45">
      <c r="A73" t="s">
        <v>245</v>
      </c>
      <c r="B73" t="s">
        <v>104</v>
      </c>
      <c r="C73" t="s">
        <v>246</v>
      </c>
      <c r="D73" t="s">
        <v>74</v>
      </c>
      <c r="E73" s="8">
        <v>11078.02</v>
      </c>
      <c r="F73" s="9">
        <v>45412.666684444448</v>
      </c>
      <c r="G73" t="s">
        <v>247</v>
      </c>
      <c r="H73" t="s">
        <v>118</v>
      </c>
      <c r="I73" t="s">
        <v>82</v>
      </c>
      <c r="J73" t="str">
        <f t="shared" si="8"/>
        <v/>
      </c>
      <c r="K73" t="str">
        <f t="shared" si="9"/>
        <v/>
      </c>
      <c r="L73" t="str">
        <f t="shared" si="10"/>
        <v>Unusual</v>
      </c>
      <c r="M73" t="str">
        <f t="shared" si="11"/>
        <v>Invalid</v>
      </c>
      <c r="N73" t="str">
        <f t="shared" si="12"/>
        <v>Invalid</v>
      </c>
      <c r="O73" t="str">
        <f t="shared" ca="1" si="13"/>
        <v>Outdated</v>
      </c>
      <c r="P73" t="str">
        <f t="shared" si="14"/>
        <v>Wrong Item</v>
      </c>
      <c r="Q73" t="str">
        <f t="shared" si="15"/>
        <v/>
      </c>
    </row>
    <row r="74" spans="1:17" x14ac:dyDescent="0.45">
      <c r="A74" t="s">
        <v>248</v>
      </c>
      <c r="B74" t="s">
        <v>90</v>
      </c>
      <c r="C74" t="s">
        <v>249</v>
      </c>
      <c r="D74" t="s">
        <v>74</v>
      </c>
      <c r="E74" s="8">
        <v>10489.31</v>
      </c>
      <c r="F74" s="9">
        <v>45592.666684444448</v>
      </c>
      <c r="G74" t="s">
        <v>93</v>
      </c>
      <c r="I74" t="s">
        <v>119</v>
      </c>
      <c r="J74" t="str">
        <f t="shared" si="8"/>
        <v/>
      </c>
      <c r="K74" t="str">
        <f t="shared" si="9"/>
        <v/>
      </c>
      <c r="L74" t="str">
        <f t="shared" si="10"/>
        <v>Unusual</v>
      </c>
      <c r="M74" t="str">
        <f t="shared" si="11"/>
        <v/>
      </c>
      <c r="N74" t="str">
        <f t="shared" si="12"/>
        <v>Invalid</v>
      </c>
      <c r="O74" t="str">
        <f t="shared" ca="1" si="13"/>
        <v>Outdated</v>
      </c>
      <c r="P74" t="str">
        <f t="shared" si="14"/>
        <v>Wrong Item</v>
      </c>
      <c r="Q74" t="str">
        <f t="shared" si="15"/>
        <v/>
      </c>
    </row>
    <row r="75" spans="1:17" x14ac:dyDescent="0.45">
      <c r="A75" t="s">
        <v>250</v>
      </c>
      <c r="B75" t="s">
        <v>99</v>
      </c>
      <c r="C75" t="s">
        <v>251</v>
      </c>
      <c r="D75" t="s">
        <v>101</v>
      </c>
      <c r="E75" s="8">
        <v>0</v>
      </c>
      <c r="F75" s="9">
        <v>45778.666684444448</v>
      </c>
      <c r="H75" t="s">
        <v>136</v>
      </c>
      <c r="I75" t="s">
        <v>88</v>
      </c>
      <c r="J75" t="str">
        <f t="shared" si="8"/>
        <v/>
      </c>
      <c r="K75" t="str">
        <f t="shared" si="9"/>
        <v/>
      </c>
      <c r="L75" t="str">
        <f t="shared" si="10"/>
        <v>Unusual</v>
      </c>
      <c r="M75" t="str">
        <f t="shared" si="11"/>
        <v>Invalid</v>
      </c>
      <c r="N75" t="str">
        <f t="shared" si="12"/>
        <v>Invalid</v>
      </c>
      <c r="O75" t="str">
        <f t="shared" ca="1" si="13"/>
        <v>Outdated</v>
      </c>
      <c r="P75" t="str">
        <f t="shared" si="14"/>
        <v>Damaged</v>
      </c>
      <c r="Q75" t="str">
        <f t="shared" si="15"/>
        <v/>
      </c>
    </row>
    <row r="76" spans="1:17" x14ac:dyDescent="0.45">
      <c r="A76" t="s">
        <v>252</v>
      </c>
      <c r="B76" t="s">
        <v>172</v>
      </c>
      <c r="C76" t="s">
        <v>253</v>
      </c>
      <c r="D76" t="s">
        <v>74</v>
      </c>
      <c r="E76" s="8">
        <v>0</v>
      </c>
      <c r="F76" s="9">
        <v>45501.666684444448</v>
      </c>
      <c r="G76" t="s">
        <v>174</v>
      </c>
      <c r="I76" t="s">
        <v>119</v>
      </c>
      <c r="J76" t="str">
        <f t="shared" si="8"/>
        <v/>
      </c>
      <c r="K76" t="str">
        <f t="shared" si="9"/>
        <v/>
      </c>
      <c r="L76" t="str">
        <f t="shared" si="10"/>
        <v>Unusual</v>
      </c>
      <c r="M76" t="str">
        <f t="shared" si="11"/>
        <v/>
      </c>
      <c r="N76" t="str">
        <f t="shared" si="12"/>
        <v>Invalid</v>
      </c>
      <c r="O76" t="str">
        <f t="shared" ca="1" si="13"/>
        <v>Outdated</v>
      </c>
      <c r="P76" t="str">
        <f t="shared" si="14"/>
        <v>Wrong Item</v>
      </c>
      <c r="Q76" t="str">
        <f t="shared" si="15"/>
        <v/>
      </c>
    </row>
    <row r="77" spans="1:17" x14ac:dyDescent="0.45">
      <c r="A77" t="s">
        <v>254</v>
      </c>
      <c r="B77" t="s">
        <v>138</v>
      </c>
      <c r="C77" t="s">
        <v>255</v>
      </c>
      <c r="D77" t="s">
        <v>74</v>
      </c>
      <c r="E77" s="8">
        <v>7566.67</v>
      </c>
      <c r="F77" s="9">
        <v>45294.666684444448</v>
      </c>
      <c r="G77" t="s">
        <v>140</v>
      </c>
      <c r="H77" t="s">
        <v>81</v>
      </c>
      <c r="I77" t="s">
        <v>77</v>
      </c>
      <c r="J77" t="str">
        <f t="shared" si="8"/>
        <v/>
      </c>
      <c r="K77" t="str">
        <f t="shared" si="9"/>
        <v/>
      </c>
      <c r="L77" t="str">
        <f t="shared" si="10"/>
        <v/>
      </c>
      <c r="M77" t="str">
        <f t="shared" si="11"/>
        <v/>
      </c>
      <c r="N77" t="str">
        <f t="shared" si="12"/>
        <v/>
      </c>
      <c r="O77" t="str">
        <f t="shared" ca="1" si="13"/>
        <v>Outdated</v>
      </c>
      <c r="P77" t="str">
        <f t="shared" si="14"/>
        <v>Wrong Item</v>
      </c>
      <c r="Q77" t="str">
        <f t="shared" si="15"/>
        <v/>
      </c>
    </row>
    <row r="78" spans="1:17" x14ac:dyDescent="0.45">
      <c r="A78" t="s">
        <v>256</v>
      </c>
      <c r="B78" t="s">
        <v>109</v>
      </c>
      <c r="C78" t="s">
        <v>257</v>
      </c>
      <c r="E78" s="8">
        <v>2513.0100000000002</v>
      </c>
      <c r="F78" s="9">
        <v>45507.666684444448</v>
      </c>
      <c r="G78" t="s">
        <v>111</v>
      </c>
      <c r="H78" t="s">
        <v>81</v>
      </c>
      <c r="I78" t="s">
        <v>88</v>
      </c>
      <c r="J78" t="str">
        <f t="shared" si="8"/>
        <v>Missing</v>
      </c>
      <c r="K78" t="str">
        <f t="shared" si="9"/>
        <v/>
      </c>
      <c r="L78" t="str">
        <f t="shared" si="10"/>
        <v/>
      </c>
      <c r="M78" t="str">
        <f t="shared" si="11"/>
        <v/>
      </c>
      <c r="N78" t="str">
        <f t="shared" si="12"/>
        <v/>
      </c>
      <c r="O78" t="str">
        <f t="shared" ca="1" si="13"/>
        <v>Outdated</v>
      </c>
      <c r="P78" t="str">
        <f t="shared" si="14"/>
        <v/>
      </c>
      <c r="Q78" t="str">
        <f t="shared" si="15"/>
        <v/>
      </c>
    </row>
    <row r="79" spans="1:17" x14ac:dyDescent="0.45">
      <c r="A79" t="s">
        <v>258</v>
      </c>
      <c r="B79" t="s">
        <v>109</v>
      </c>
      <c r="C79" t="s">
        <v>259</v>
      </c>
      <c r="D79" t="s">
        <v>155</v>
      </c>
      <c r="E79" s="8">
        <v>8846.6299999999992</v>
      </c>
      <c r="F79" s="9">
        <v>45491.666684444448</v>
      </c>
      <c r="G79" t="s">
        <v>111</v>
      </c>
      <c r="H79" t="s">
        <v>107</v>
      </c>
      <c r="I79" t="s">
        <v>163</v>
      </c>
      <c r="J79" t="str">
        <f t="shared" si="8"/>
        <v/>
      </c>
      <c r="K79" t="str">
        <f t="shared" si="9"/>
        <v/>
      </c>
      <c r="L79" t="str">
        <f t="shared" si="10"/>
        <v/>
      </c>
      <c r="M79" t="str">
        <f t="shared" si="11"/>
        <v/>
      </c>
      <c r="N79" t="str">
        <f t="shared" si="12"/>
        <v/>
      </c>
      <c r="O79" t="str">
        <f t="shared" ca="1" si="13"/>
        <v>Outdated</v>
      </c>
      <c r="P79" t="str">
        <f t="shared" si="14"/>
        <v>Damaged</v>
      </c>
      <c r="Q79" t="str">
        <f t="shared" si="15"/>
        <v>Inconsistent</v>
      </c>
    </row>
    <row r="80" spans="1:17" x14ac:dyDescent="0.45">
      <c r="A80" t="s">
        <v>260</v>
      </c>
      <c r="B80" t="s">
        <v>109</v>
      </c>
      <c r="C80" t="s">
        <v>261</v>
      </c>
      <c r="D80" t="s">
        <v>101</v>
      </c>
      <c r="E80" s="8">
        <v>5660.39</v>
      </c>
      <c r="F80" s="9">
        <v>45342.666684444448</v>
      </c>
      <c r="G80" t="s">
        <v>111</v>
      </c>
      <c r="H80" t="s">
        <v>128</v>
      </c>
      <c r="I80" t="s">
        <v>119</v>
      </c>
      <c r="J80" t="str">
        <f t="shared" si="8"/>
        <v/>
      </c>
      <c r="K80" t="str">
        <f t="shared" si="9"/>
        <v/>
      </c>
      <c r="L80" t="str">
        <f t="shared" si="10"/>
        <v/>
      </c>
      <c r="M80" t="str">
        <f t="shared" si="11"/>
        <v/>
      </c>
      <c r="N80" t="str">
        <f t="shared" si="12"/>
        <v>Invalid</v>
      </c>
      <c r="O80" t="str">
        <f t="shared" ca="1" si="13"/>
        <v>Outdated</v>
      </c>
      <c r="P80" t="str">
        <f t="shared" si="14"/>
        <v>Damaged</v>
      </c>
      <c r="Q80" t="str">
        <f t="shared" si="15"/>
        <v/>
      </c>
    </row>
    <row r="81" spans="1:17" x14ac:dyDescent="0.45">
      <c r="A81" t="s">
        <v>262</v>
      </c>
      <c r="B81" t="s">
        <v>95</v>
      </c>
      <c r="C81" t="s">
        <v>263</v>
      </c>
      <c r="D81" t="s">
        <v>101</v>
      </c>
      <c r="E81" s="8">
        <v>8113.89</v>
      </c>
      <c r="F81" s="9">
        <v>45814.666684444448</v>
      </c>
      <c r="G81" t="s">
        <v>97</v>
      </c>
      <c r="I81" t="s">
        <v>82</v>
      </c>
      <c r="J81" t="str">
        <f t="shared" si="8"/>
        <v/>
      </c>
      <c r="K81" t="str">
        <f t="shared" si="9"/>
        <v/>
      </c>
      <c r="L81" t="str">
        <f t="shared" si="10"/>
        <v/>
      </c>
      <c r="M81" t="str">
        <f t="shared" si="11"/>
        <v/>
      </c>
      <c r="N81" t="str">
        <f t="shared" si="12"/>
        <v>Invalid</v>
      </c>
      <c r="O81" t="str">
        <f t="shared" ca="1" si="13"/>
        <v>Outdated</v>
      </c>
      <c r="P81" t="str">
        <f t="shared" si="14"/>
        <v>Damaged</v>
      </c>
      <c r="Q81" t="str">
        <f t="shared" si="15"/>
        <v/>
      </c>
    </row>
    <row r="82" spans="1:17" x14ac:dyDescent="0.45">
      <c r="A82" t="s">
        <v>264</v>
      </c>
      <c r="B82" t="s">
        <v>138</v>
      </c>
      <c r="C82" t="s">
        <v>265</v>
      </c>
      <c r="D82" t="s">
        <v>101</v>
      </c>
      <c r="E82" s="8">
        <v>8757.25</v>
      </c>
      <c r="F82" s="9">
        <v>45401.666684444448</v>
      </c>
      <c r="G82" t="s">
        <v>140</v>
      </c>
      <c r="H82" t="s">
        <v>87</v>
      </c>
      <c r="I82" t="s">
        <v>77</v>
      </c>
      <c r="J82" t="str">
        <f t="shared" si="8"/>
        <v/>
      </c>
      <c r="K82" t="str">
        <f t="shared" si="9"/>
        <v/>
      </c>
      <c r="L82" t="str">
        <f t="shared" si="10"/>
        <v/>
      </c>
      <c r="M82" t="str">
        <f t="shared" si="11"/>
        <v/>
      </c>
      <c r="N82" t="str">
        <f t="shared" si="12"/>
        <v>Invalid</v>
      </c>
      <c r="O82" t="str">
        <f t="shared" ca="1" si="13"/>
        <v>Outdated</v>
      </c>
      <c r="P82" t="str">
        <f t="shared" si="14"/>
        <v>Damaged</v>
      </c>
      <c r="Q82" t="str">
        <f t="shared" si="15"/>
        <v/>
      </c>
    </row>
    <row r="83" spans="1:17" x14ac:dyDescent="0.45">
      <c r="A83" t="s">
        <v>266</v>
      </c>
      <c r="B83" t="s">
        <v>172</v>
      </c>
      <c r="C83" t="s">
        <v>267</v>
      </c>
      <c r="D83" t="s">
        <v>101</v>
      </c>
      <c r="E83" s="8">
        <v>960.22</v>
      </c>
      <c r="F83" s="9">
        <v>45846.666684444448</v>
      </c>
      <c r="G83" t="s">
        <v>174</v>
      </c>
      <c r="H83" t="s">
        <v>107</v>
      </c>
      <c r="I83" t="s">
        <v>119</v>
      </c>
      <c r="J83" t="str">
        <f t="shared" si="8"/>
        <v/>
      </c>
      <c r="K83" t="str">
        <f t="shared" si="9"/>
        <v/>
      </c>
      <c r="L83" t="str">
        <f t="shared" si="10"/>
        <v/>
      </c>
      <c r="M83" t="str">
        <f t="shared" si="11"/>
        <v/>
      </c>
      <c r="N83" t="str">
        <f t="shared" si="12"/>
        <v/>
      </c>
      <c r="O83" t="str">
        <f t="shared" ca="1" si="13"/>
        <v/>
      </c>
      <c r="P83" t="str">
        <f t="shared" si="14"/>
        <v>Damaged</v>
      </c>
      <c r="Q83" t="str">
        <f t="shared" si="15"/>
        <v/>
      </c>
    </row>
    <row r="84" spans="1:17" x14ac:dyDescent="0.45">
      <c r="A84" t="s">
        <v>268</v>
      </c>
      <c r="B84" t="s">
        <v>104</v>
      </c>
      <c r="C84" t="s">
        <v>269</v>
      </c>
      <c r="D84" t="s">
        <v>74</v>
      </c>
      <c r="E84" s="8">
        <v>10300.43</v>
      </c>
      <c r="F84" s="9">
        <v>45827.666684444448</v>
      </c>
      <c r="G84" t="s">
        <v>115</v>
      </c>
      <c r="H84" t="s">
        <v>87</v>
      </c>
      <c r="I84" t="s">
        <v>82</v>
      </c>
      <c r="J84" t="str">
        <f t="shared" si="8"/>
        <v/>
      </c>
      <c r="K84" t="str">
        <f t="shared" si="9"/>
        <v/>
      </c>
      <c r="L84" t="str">
        <f t="shared" si="10"/>
        <v>Unusual</v>
      </c>
      <c r="M84" t="str">
        <f t="shared" si="11"/>
        <v/>
      </c>
      <c r="N84" t="str">
        <f t="shared" si="12"/>
        <v>Invalid</v>
      </c>
      <c r="O84" t="str">
        <f t="shared" ca="1" si="13"/>
        <v>Outdated</v>
      </c>
      <c r="P84" t="str">
        <f t="shared" si="14"/>
        <v>Wrong Item</v>
      </c>
      <c r="Q84" t="str">
        <f t="shared" si="15"/>
        <v/>
      </c>
    </row>
    <row r="85" spans="1:17" x14ac:dyDescent="0.45">
      <c r="A85" t="s">
        <v>270</v>
      </c>
      <c r="B85" t="s">
        <v>90</v>
      </c>
      <c r="C85" t="s">
        <v>271</v>
      </c>
      <c r="D85" t="s">
        <v>155</v>
      </c>
      <c r="E85" s="8">
        <v>1386.07</v>
      </c>
      <c r="F85" s="9">
        <v>45791.666684444448</v>
      </c>
      <c r="G85" t="s">
        <v>93</v>
      </c>
      <c r="H85" t="s">
        <v>136</v>
      </c>
      <c r="I85" t="s">
        <v>82</v>
      </c>
      <c r="J85" t="str">
        <f t="shared" si="8"/>
        <v/>
      </c>
      <c r="K85" t="str">
        <f t="shared" si="9"/>
        <v>Duplicate</v>
      </c>
      <c r="L85" t="str">
        <f t="shared" si="10"/>
        <v/>
      </c>
      <c r="M85" t="str">
        <f t="shared" si="11"/>
        <v/>
      </c>
      <c r="N85" t="str">
        <f t="shared" si="12"/>
        <v>Invalid</v>
      </c>
      <c r="O85" t="str">
        <f t="shared" ca="1" si="13"/>
        <v>Outdated</v>
      </c>
      <c r="P85" t="str">
        <f t="shared" si="14"/>
        <v>Damaged</v>
      </c>
      <c r="Q85" t="str">
        <f t="shared" si="15"/>
        <v>Inconsistent</v>
      </c>
    </row>
    <row r="86" spans="1:17" x14ac:dyDescent="0.45">
      <c r="A86" t="s">
        <v>272</v>
      </c>
      <c r="B86" t="s">
        <v>99</v>
      </c>
      <c r="C86" t="s">
        <v>273</v>
      </c>
      <c r="D86" t="s">
        <v>74</v>
      </c>
      <c r="E86" s="8">
        <v>2645.25</v>
      </c>
      <c r="F86" s="9">
        <v>45201.666684444448</v>
      </c>
      <c r="G86" t="s">
        <v>102</v>
      </c>
      <c r="H86" t="s">
        <v>118</v>
      </c>
      <c r="I86" t="s">
        <v>82</v>
      </c>
      <c r="J86" t="str">
        <f t="shared" si="8"/>
        <v/>
      </c>
      <c r="K86" t="str">
        <f t="shared" si="9"/>
        <v/>
      </c>
      <c r="L86" t="str">
        <f t="shared" si="10"/>
        <v/>
      </c>
      <c r="M86" t="str">
        <f t="shared" si="11"/>
        <v/>
      </c>
      <c r="N86" t="str">
        <f t="shared" si="12"/>
        <v>Invalid</v>
      </c>
      <c r="O86" t="str">
        <f t="shared" ca="1" si="13"/>
        <v>Outdated</v>
      </c>
      <c r="P86" t="str">
        <f t="shared" si="14"/>
        <v>Wrong Item</v>
      </c>
      <c r="Q86" t="str">
        <f t="shared" si="15"/>
        <v/>
      </c>
    </row>
    <row r="87" spans="1:17" x14ac:dyDescent="0.45">
      <c r="A87" t="s">
        <v>274</v>
      </c>
      <c r="B87" t="s">
        <v>109</v>
      </c>
      <c r="C87" t="s">
        <v>275</v>
      </c>
      <c r="D87" t="s">
        <v>101</v>
      </c>
      <c r="E87" s="8">
        <v>10415.6</v>
      </c>
      <c r="F87" s="9">
        <v>45751.666684444448</v>
      </c>
      <c r="G87" t="s">
        <v>111</v>
      </c>
      <c r="H87" t="s">
        <v>76</v>
      </c>
      <c r="I87" t="s">
        <v>112</v>
      </c>
      <c r="J87" t="str">
        <f t="shared" si="8"/>
        <v/>
      </c>
      <c r="K87" t="str">
        <f t="shared" si="9"/>
        <v/>
      </c>
      <c r="L87" t="str">
        <f t="shared" si="10"/>
        <v>Unusual</v>
      </c>
      <c r="M87" t="str">
        <f t="shared" si="11"/>
        <v/>
      </c>
      <c r="N87" t="str">
        <f t="shared" si="12"/>
        <v/>
      </c>
      <c r="O87" t="str">
        <f t="shared" ca="1" si="13"/>
        <v>Outdated</v>
      </c>
      <c r="P87" t="str">
        <f t="shared" si="14"/>
        <v>Damaged</v>
      </c>
      <c r="Q87" t="str">
        <f t="shared" si="15"/>
        <v/>
      </c>
    </row>
    <row r="88" spans="1:17" x14ac:dyDescent="0.45">
      <c r="A88" t="s">
        <v>276</v>
      </c>
      <c r="B88" t="s">
        <v>79</v>
      </c>
      <c r="C88" t="s">
        <v>277</v>
      </c>
      <c r="D88" t="s">
        <v>74</v>
      </c>
      <c r="E88" s="8">
        <v>736.13</v>
      </c>
      <c r="F88" s="9">
        <v>45778.666684444448</v>
      </c>
      <c r="G88" t="s">
        <v>278</v>
      </c>
      <c r="H88" t="s">
        <v>128</v>
      </c>
      <c r="I88" t="s">
        <v>112</v>
      </c>
      <c r="J88" t="str">
        <f t="shared" si="8"/>
        <v/>
      </c>
      <c r="K88" t="str">
        <f t="shared" si="9"/>
        <v/>
      </c>
      <c r="L88" t="str">
        <f t="shared" si="10"/>
        <v/>
      </c>
      <c r="M88" t="str">
        <f t="shared" si="11"/>
        <v>Invalid</v>
      </c>
      <c r="N88" t="str">
        <f t="shared" si="12"/>
        <v>Invalid</v>
      </c>
      <c r="O88" t="str">
        <f t="shared" ca="1" si="13"/>
        <v>Outdated</v>
      </c>
      <c r="P88" t="str">
        <f t="shared" si="14"/>
        <v>Wrong Item</v>
      </c>
      <c r="Q88" t="str">
        <f t="shared" si="15"/>
        <v/>
      </c>
    </row>
    <row r="89" spans="1:17" x14ac:dyDescent="0.45">
      <c r="A89" t="s">
        <v>279</v>
      </c>
      <c r="B89" t="s">
        <v>138</v>
      </c>
      <c r="C89" t="s">
        <v>280</v>
      </c>
      <c r="D89" t="s">
        <v>148</v>
      </c>
      <c r="E89" s="8">
        <v>7480.94</v>
      </c>
      <c r="F89" s="9">
        <v>45303.666684444448</v>
      </c>
      <c r="G89" t="s">
        <v>140</v>
      </c>
      <c r="H89" t="s">
        <v>81</v>
      </c>
      <c r="I89" t="s">
        <v>82</v>
      </c>
      <c r="J89" t="str">
        <f t="shared" si="8"/>
        <v/>
      </c>
      <c r="K89" t="str">
        <f t="shared" si="9"/>
        <v/>
      </c>
      <c r="L89" t="str">
        <f t="shared" si="10"/>
        <v/>
      </c>
      <c r="M89" t="str">
        <f t="shared" si="11"/>
        <v/>
      </c>
      <c r="N89" t="str">
        <f t="shared" si="12"/>
        <v/>
      </c>
      <c r="O89" t="str">
        <f t="shared" ca="1" si="13"/>
        <v>Outdated</v>
      </c>
      <c r="P89" t="str">
        <f t="shared" si="14"/>
        <v>Wrong Item</v>
      </c>
      <c r="Q89" t="str">
        <f t="shared" si="15"/>
        <v>Inconsistent</v>
      </c>
    </row>
    <row r="90" spans="1:17" x14ac:dyDescent="0.45">
      <c r="A90" t="s">
        <v>281</v>
      </c>
      <c r="B90" t="s">
        <v>90</v>
      </c>
      <c r="C90" t="s">
        <v>282</v>
      </c>
      <c r="D90" t="s">
        <v>92</v>
      </c>
      <c r="E90" s="8">
        <v>6707.44</v>
      </c>
      <c r="F90" s="9">
        <v>45674.666684444448</v>
      </c>
      <c r="I90" t="s">
        <v>119</v>
      </c>
      <c r="J90" t="str">
        <f t="shared" si="8"/>
        <v/>
      </c>
      <c r="K90" t="str">
        <f t="shared" si="9"/>
        <v/>
      </c>
      <c r="L90" t="str">
        <f t="shared" si="10"/>
        <v/>
      </c>
      <c r="M90" t="str">
        <f t="shared" si="11"/>
        <v>Invalid</v>
      </c>
      <c r="N90" t="str">
        <f t="shared" si="12"/>
        <v>Invalid</v>
      </c>
      <c r="O90" t="str">
        <f t="shared" ca="1" si="13"/>
        <v>Outdated</v>
      </c>
      <c r="P90" t="str">
        <f t="shared" si="14"/>
        <v>Not As Described</v>
      </c>
      <c r="Q90" t="str">
        <f t="shared" si="15"/>
        <v/>
      </c>
    </row>
    <row r="91" spans="1:17" x14ac:dyDescent="0.45">
      <c r="A91" t="s">
        <v>283</v>
      </c>
      <c r="B91" t="s">
        <v>99</v>
      </c>
      <c r="C91" t="s">
        <v>284</v>
      </c>
      <c r="D91" t="s">
        <v>155</v>
      </c>
      <c r="E91" s="8">
        <v>6228.26</v>
      </c>
      <c r="F91" s="9">
        <v>45378.666684444448</v>
      </c>
      <c r="G91" t="s">
        <v>285</v>
      </c>
      <c r="H91" t="s">
        <v>76</v>
      </c>
      <c r="I91" t="s">
        <v>119</v>
      </c>
      <c r="J91" t="str">
        <f t="shared" si="8"/>
        <v/>
      </c>
      <c r="K91" t="str">
        <f t="shared" si="9"/>
        <v/>
      </c>
      <c r="L91" t="str">
        <f t="shared" si="10"/>
        <v/>
      </c>
      <c r="M91" t="str">
        <f t="shared" si="11"/>
        <v>Invalid</v>
      </c>
      <c r="N91" t="str">
        <f t="shared" si="12"/>
        <v/>
      </c>
      <c r="O91" t="str">
        <f t="shared" ca="1" si="13"/>
        <v>Outdated</v>
      </c>
      <c r="P91" t="str">
        <f t="shared" si="14"/>
        <v>Damaged</v>
      </c>
      <c r="Q91" t="str">
        <f t="shared" si="15"/>
        <v>Inconsistent</v>
      </c>
    </row>
    <row r="92" spans="1:17" x14ac:dyDescent="0.45">
      <c r="A92" t="s">
        <v>286</v>
      </c>
      <c r="B92" t="s">
        <v>99</v>
      </c>
      <c r="C92" t="s">
        <v>287</v>
      </c>
      <c r="D92" t="s">
        <v>92</v>
      </c>
      <c r="E92" s="8">
        <v>8356.35</v>
      </c>
      <c r="F92" s="9">
        <v>45295.666684444448</v>
      </c>
      <c r="G92" t="s">
        <v>102</v>
      </c>
      <c r="H92" t="s">
        <v>107</v>
      </c>
      <c r="I92" t="s">
        <v>163</v>
      </c>
      <c r="J92" t="str">
        <f t="shared" si="8"/>
        <v/>
      </c>
      <c r="K92" t="str">
        <f t="shared" si="9"/>
        <v/>
      </c>
      <c r="L92" t="str">
        <f t="shared" si="10"/>
        <v/>
      </c>
      <c r="M92" t="str">
        <f t="shared" si="11"/>
        <v/>
      </c>
      <c r="N92" t="str">
        <f t="shared" si="12"/>
        <v/>
      </c>
      <c r="O92" t="str">
        <f t="shared" ca="1" si="13"/>
        <v>Outdated</v>
      </c>
      <c r="P92" t="str">
        <f t="shared" si="14"/>
        <v>Not As Described</v>
      </c>
      <c r="Q92" t="str">
        <f t="shared" si="15"/>
        <v/>
      </c>
    </row>
    <row r="93" spans="1:17" x14ac:dyDescent="0.45">
      <c r="A93" t="s">
        <v>288</v>
      </c>
      <c r="B93" t="s">
        <v>72</v>
      </c>
      <c r="C93" t="s">
        <v>289</v>
      </c>
      <c r="D93" t="s">
        <v>101</v>
      </c>
      <c r="E93" s="8">
        <v>2888.18</v>
      </c>
      <c r="F93" s="9">
        <v>45601.666684444448</v>
      </c>
      <c r="G93" t="s">
        <v>75</v>
      </c>
      <c r="H93" t="s">
        <v>76</v>
      </c>
      <c r="I93" t="s">
        <v>112</v>
      </c>
      <c r="J93" t="str">
        <f t="shared" si="8"/>
        <v/>
      </c>
      <c r="K93" t="str">
        <f t="shared" si="9"/>
        <v/>
      </c>
      <c r="L93" t="str">
        <f t="shared" si="10"/>
        <v/>
      </c>
      <c r="M93" t="str">
        <f t="shared" si="11"/>
        <v/>
      </c>
      <c r="N93" t="str">
        <f t="shared" si="12"/>
        <v/>
      </c>
      <c r="O93" t="str">
        <f t="shared" ca="1" si="13"/>
        <v>Outdated</v>
      </c>
      <c r="P93" t="str">
        <f t="shared" si="14"/>
        <v>Damaged</v>
      </c>
      <c r="Q93" t="str">
        <f t="shared" si="15"/>
        <v/>
      </c>
    </row>
    <row r="94" spans="1:17" x14ac:dyDescent="0.45">
      <c r="A94" t="s">
        <v>290</v>
      </c>
      <c r="B94" t="s">
        <v>109</v>
      </c>
      <c r="C94" t="s">
        <v>291</v>
      </c>
      <c r="D94" t="s">
        <v>74</v>
      </c>
      <c r="E94" s="8">
        <v>9003.26</v>
      </c>
      <c r="F94" s="9">
        <v>45516.666684444448</v>
      </c>
      <c r="G94" t="s">
        <v>111</v>
      </c>
      <c r="H94" t="s">
        <v>128</v>
      </c>
      <c r="I94" t="s">
        <v>163</v>
      </c>
      <c r="J94" t="str">
        <f t="shared" si="8"/>
        <v/>
      </c>
      <c r="K94" t="str">
        <f t="shared" si="9"/>
        <v/>
      </c>
      <c r="L94" t="str">
        <f t="shared" si="10"/>
        <v/>
      </c>
      <c r="M94" t="str">
        <f t="shared" si="11"/>
        <v/>
      </c>
      <c r="N94" t="str">
        <f t="shared" si="12"/>
        <v>Invalid</v>
      </c>
      <c r="O94" t="str">
        <f t="shared" ca="1" si="13"/>
        <v>Outdated</v>
      </c>
      <c r="P94" t="str">
        <f t="shared" si="14"/>
        <v>Wrong Item</v>
      </c>
      <c r="Q94" t="str">
        <f t="shared" si="15"/>
        <v/>
      </c>
    </row>
    <row r="95" spans="1:17" x14ac:dyDescent="0.45">
      <c r="A95" t="s">
        <v>292</v>
      </c>
      <c r="B95" t="s">
        <v>72</v>
      </c>
      <c r="C95" t="s">
        <v>293</v>
      </c>
      <c r="D95" t="s">
        <v>92</v>
      </c>
      <c r="E95" s="8">
        <v>5804.57</v>
      </c>
      <c r="F95" s="9">
        <v>45404.666684444448</v>
      </c>
      <c r="G95" t="s">
        <v>75</v>
      </c>
      <c r="H95" t="s">
        <v>133</v>
      </c>
      <c r="I95" t="s">
        <v>119</v>
      </c>
      <c r="J95" t="str">
        <f t="shared" si="8"/>
        <v/>
      </c>
      <c r="K95" t="str">
        <f t="shared" si="9"/>
        <v/>
      </c>
      <c r="L95" t="str">
        <f t="shared" si="10"/>
        <v/>
      </c>
      <c r="M95" t="str">
        <f t="shared" si="11"/>
        <v/>
      </c>
      <c r="N95" t="str">
        <f t="shared" si="12"/>
        <v>Invalid</v>
      </c>
      <c r="O95" t="str">
        <f t="shared" ca="1" si="13"/>
        <v>Outdated</v>
      </c>
      <c r="P95" t="str">
        <f t="shared" si="14"/>
        <v>Not As Described</v>
      </c>
      <c r="Q95" t="str">
        <f t="shared" si="15"/>
        <v/>
      </c>
    </row>
    <row r="96" spans="1:17" x14ac:dyDescent="0.45">
      <c r="A96" t="s">
        <v>294</v>
      </c>
      <c r="B96" t="s">
        <v>90</v>
      </c>
      <c r="C96" t="s">
        <v>295</v>
      </c>
      <c r="D96" t="s">
        <v>101</v>
      </c>
      <c r="E96" s="8">
        <v>3104.46</v>
      </c>
      <c r="F96" s="9">
        <v>45783.666684444448</v>
      </c>
      <c r="G96" t="s">
        <v>296</v>
      </c>
      <c r="H96" t="s">
        <v>118</v>
      </c>
      <c r="I96" t="s">
        <v>119</v>
      </c>
      <c r="J96" t="str">
        <f t="shared" si="8"/>
        <v/>
      </c>
      <c r="K96" t="str">
        <f t="shared" si="9"/>
        <v/>
      </c>
      <c r="L96" t="str">
        <f t="shared" si="10"/>
        <v/>
      </c>
      <c r="M96" t="str">
        <f t="shared" si="11"/>
        <v>Invalid</v>
      </c>
      <c r="N96" t="str">
        <f t="shared" si="12"/>
        <v>Invalid</v>
      </c>
      <c r="O96" t="str">
        <f t="shared" ca="1" si="13"/>
        <v>Outdated</v>
      </c>
      <c r="P96" t="str">
        <f t="shared" si="14"/>
        <v>Damaged</v>
      </c>
      <c r="Q96" t="str">
        <f t="shared" si="15"/>
        <v/>
      </c>
    </row>
    <row r="97" spans="1:17" x14ac:dyDescent="0.45">
      <c r="A97" t="s">
        <v>297</v>
      </c>
      <c r="B97" t="s">
        <v>99</v>
      </c>
      <c r="C97" t="s">
        <v>298</v>
      </c>
      <c r="D97" t="s">
        <v>85</v>
      </c>
      <c r="E97" s="8">
        <v>0</v>
      </c>
      <c r="F97" s="9">
        <v>45832.666684444448</v>
      </c>
      <c r="G97" t="s">
        <v>102</v>
      </c>
      <c r="H97" t="s">
        <v>133</v>
      </c>
      <c r="I97" t="s">
        <v>112</v>
      </c>
      <c r="J97" t="str">
        <f t="shared" si="8"/>
        <v/>
      </c>
      <c r="K97" t="str">
        <f t="shared" si="9"/>
        <v/>
      </c>
      <c r="L97" t="str">
        <f t="shared" si="10"/>
        <v>Unusual</v>
      </c>
      <c r="M97" t="str">
        <f t="shared" si="11"/>
        <v/>
      </c>
      <c r="N97" t="str">
        <f t="shared" si="12"/>
        <v>Invalid</v>
      </c>
      <c r="O97" t="str">
        <f t="shared" ca="1" si="13"/>
        <v>Outdated</v>
      </c>
      <c r="P97" t="str">
        <f t="shared" si="14"/>
        <v>Late Delivery</v>
      </c>
      <c r="Q97" t="str">
        <f t="shared" si="15"/>
        <v/>
      </c>
    </row>
    <row r="98" spans="1:17" x14ac:dyDescent="0.45">
      <c r="A98" t="s">
        <v>299</v>
      </c>
      <c r="B98" t="s">
        <v>79</v>
      </c>
      <c r="C98" t="s">
        <v>225</v>
      </c>
      <c r="D98" t="s">
        <v>74</v>
      </c>
      <c r="E98" s="8">
        <v>6647.64</v>
      </c>
      <c r="F98" s="9">
        <v>45698.666684444448</v>
      </c>
      <c r="G98" t="s">
        <v>86</v>
      </c>
      <c r="H98" t="s">
        <v>76</v>
      </c>
      <c r="I98" t="s">
        <v>88</v>
      </c>
      <c r="J98" t="str">
        <f t="shared" si="8"/>
        <v/>
      </c>
      <c r="K98" t="str">
        <f t="shared" si="9"/>
        <v/>
      </c>
      <c r="L98" t="str">
        <f t="shared" si="10"/>
        <v/>
      </c>
      <c r="M98" t="str">
        <f t="shared" si="11"/>
        <v/>
      </c>
      <c r="N98" t="str">
        <f t="shared" si="12"/>
        <v/>
      </c>
      <c r="O98" t="str">
        <f t="shared" ca="1" si="13"/>
        <v>Outdated</v>
      </c>
      <c r="P98" t="str">
        <f t="shared" si="14"/>
        <v>Wrong Item</v>
      </c>
      <c r="Q98" t="str">
        <f t="shared" si="15"/>
        <v/>
      </c>
    </row>
    <row r="99" spans="1:17" x14ac:dyDescent="0.45">
      <c r="A99" t="s">
        <v>300</v>
      </c>
      <c r="B99" t="s">
        <v>138</v>
      </c>
      <c r="C99" t="s">
        <v>301</v>
      </c>
      <c r="D99" t="s">
        <v>74</v>
      </c>
      <c r="E99" s="8">
        <v>0</v>
      </c>
      <c r="F99" s="9">
        <v>45352.666684444448</v>
      </c>
      <c r="G99" t="s">
        <v>194</v>
      </c>
      <c r="H99" t="s">
        <v>116</v>
      </c>
      <c r="I99" t="s">
        <v>77</v>
      </c>
      <c r="J99" t="str">
        <f t="shared" si="8"/>
        <v/>
      </c>
      <c r="K99" t="str">
        <f t="shared" si="9"/>
        <v/>
      </c>
      <c r="L99" t="str">
        <f t="shared" si="10"/>
        <v>Unusual</v>
      </c>
      <c r="M99" t="str">
        <f t="shared" si="11"/>
        <v>Invalid</v>
      </c>
      <c r="N99" t="str">
        <f t="shared" si="12"/>
        <v/>
      </c>
      <c r="O99" t="str">
        <f t="shared" ca="1" si="13"/>
        <v>Outdated</v>
      </c>
      <c r="P99" t="str">
        <f t="shared" si="14"/>
        <v>Wrong Item</v>
      </c>
      <c r="Q99" t="str">
        <f t="shared" si="15"/>
        <v/>
      </c>
    </row>
    <row r="100" spans="1:17" x14ac:dyDescent="0.45">
      <c r="A100" t="s">
        <v>302</v>
      </c>
      <c r="B100" t="s">
        <v>72</v>
      </c>
      <c r="C100" t="s">
        <v>168</v>
      </c>
      <c r="D100" t="s">
        <v>85</v>
      </c>
      <c r="E100" s="8">
        <v>10576.92</v>
      </c>
      <c r="F100" s="9">
        <v>45829.666684444448</v>
      </c>
      <c r="G100" t="s">
        <v>75</v>
      </c>
      <c r="H100" t="s">
        <v>118</v>
      </c>
      <c r="I100" t="s">
        <v>82</v>
      </c>
      <c r="J100" t="str">
        <f t="shared" si="8"/>
        <v/>
      </c>
      <c r="K100" t="str">
        <f t="shared" si="9"/>
        <v/>
      </c>
      <c r="L100" t="str">
        <f t="shared" si="10"/>
        <v>Unusual</v>
      </c>
      <c r="M100" t="str">
        <f t="shared" si="11"/>
        <v/>
      </c>
      <c r="N100" t="str">
        <f t="shared" si="12"/>
        <v>Invalid</v>
      </c>
      <c r="O100" t="str">
        <f t="shared" ca="1" si="13"/>
        <v>Outdated</v>
      </c>
      <c r="P100" t="str">
        <f t="shared" si="14"/>
        <v>Late Delivery</v>
      </c>
      <c r="Q100" t="str">
        <f t="shared" si="15"/>
        <v/>
      </c>
    </row>
    <row r="101" spans="1:17" x14ac:dyDescent="0.45">
      <c r="A101" t="s">
        <v>303</v>
      </c>
      <c r="B101" t="s">
        <v>99</v>
      </c>
      <c r="C101" t="s">
        <v>170</v>
      </c>
      <c r="D101" t="s">
        <v>85</v>
      </c>
      <c r="E101" s="8">
        <v>7294.35</v>
      </c>
      <c r="F101" s="9">
        <v>45460.666684444448</v>
      </c>
      <c r="G101" t="s">
        <v>102</v>
      </c>
      <c r="H101" t="s">
        <v>128</v>
      </c>
      <c r="I101" t="s">
        <v>88</v>
      </c>
      <c r="J101" t="str">
        <f t="shared" si="8"/>
        <v/>
      </c>
      <c r="K101" t="str">
        <f t="shared" si="9"/>
        <v/>
      </c>
      <c r="L101" t="str">
        <f t="shared" si="10"/>
        <v/>
      </c>
      <c r="M101" t="str">
        <f t="shared" si="11"/>
        <v/>
      </c>
      <c r="N101" t="str">
        <f t="shared" si="12"/>
        <v>Invalid</v>
      </c>
      <c r="O101" t="str">
        <f t="shared" ca="1" si="13"/>
        <v>Outdated</v>
      </c>
      <c r="P101" t="str">
        <f t="shared" si="14"/>
        <v>Late Delivery</v>
      </c>
      <c r="Q101" t="str">
        <f t="shared" si="15"/>
        <v/>
      </c>
    </row>
    <row r="102" spans="1:17" x14ac:dyDescent="0.45">
      <c r="A102" t="s">
        <v>304</v>
      </c>
      <c r="B102" t="s">
        <v>138</v>
      </c>
      <c r="D102" t="s">
        <v>92</v>
      </c>
      <c r="E102" s="8">
        <v>8117.67</v>
      </c>
      <c r="F102" s="9">
        <v>45185.666684444448</v>
      </c>
      <c r="G102" t="s">
        <v>140</v>
      </c>
      <c r="H102" t="s">
        <v>87</v>
      </c>
      <c r="I102" t="s">
        <v>163</v>
      </c>
      <c r="J102" t="str">
        <f t="shared" si="8"/>
        <v>Missing</v>
      </c>
      <c r="K102" t="str">
        <f t="shared" si="9"/>
        <v/>
      </c>
      <c r="L102" t="str">
        <f t="shared" si="10"/>
        <v/>
      </c>
      <c r="M102" t="str">
        <f t="shared" si="11"/>
        <v/>
      </c>
      <c r="N102" t="str">
        <f t="shared" si="12"/>
        <v>Invalid</v>
      </c>
      <c r="O102" t="str">
        <f t="shared" ca="1" si="13"/>
        <v>Outdated</v>
      </c>
      <c r="P102" t="str">
        <f t="shared" si="14"/>
        <v>Not As Described</v>
      </c>
      <c r="Q102" t="str">
        <f t="shared" si="15"/>
        <v/>
      </c>
    </row>
    <row r="103" spans="1:17" x14ac:dyDescent="0.45">
      <c r="A103" t="s">
        <v>305</v>
      </c>
      <c r="B103" t="s">
        <v>109</v>
      </c>
      <c r="C103" t="s">
        <v>306</v>
      </c>
      <c r="D103" t="s">
        <v>74</v>
      </c>
      <c r="E103" s="8">
        <v>9824.9599999999991</v>
      </c>
      <c r="F103" s="9">
        <v>45362.666684444448</v>
      </c>
      <c r="G103" t="s">
        <v>307</v>
      </c>
      <c r="H103" t="s">
        <v>76</v>
      </c>
      <c r="I103" t="s">
        <v>119</v>
      </c>
      <c r="J103" t="str">
        <f t="shared" si="8"/>
        <v/>
      </c>
      <c r="K103" t="str">
        <f t="shared" si="9"/>
        <v/>
      </c>
      <c r="L103" t="str">
        <f t="shared" si="10"/>
        <v/>
      </c>
      <c r="M103" t="str">
        <f t="shared" si="11"/>
        <v>Invalid</v>
      </c>
      <c r="N103" t="str">
        <f t="shared" si="12"/>
        <v/>
      </c>
      <c r="O103" t="str">
        <f t="shared" ca="1" si="13"/>
        <v>Outdated</v>
      </c>
      <c r="P103" t="str">
        <f t="shared" si="14"/>
        <v>Wrong Item</v>
      </c>
      <c r="Q103" t="str">
        <f t="shared" si="15"/>
        <v/>
      </c>
    </row>
    <row r="104" spans="1:17" x14ac:dyDescent="0.45">
      <c r="A104" t="s">
        <v>308</v>
      </c>
      <c r="B104" t="s">
        <v>104</v>
      </c>
      <c r="C104" t="s">
        <v>309</v>
      </c>
      <c r="D104" t="s">
        <v>85</v>
      </c>
      <c r="E104" s="8">
        <v>7872.02</v>
      </c>
      <c r="F104" s="9">
        <v>45160.666684444448</v>
      </c>
      <c r="G104" t="s">
        <v>247</v>
      </c>
      <c r="H104" t="s">
        <v>107</v>
      </c>
      <c r="I104" t="s">
        <v>88</v>
      </c>
      <c r="J104" t="str">
        <f t="shared" si="8"/>
        <v/>
      </c>
      <c r="K104" t="str">
        <f t="shared" si="9"/>
        <v/>
      </c>
      <c r="L104" t="str">
        <f t="shared" si="10"/>
        <v/>
      </c>
      <c r="M104" t="str">
        <f t="shared" si="11"/>
        <v>Invalid</v>
      </c>
      <c r="N104" t="str">
        <f t="shared" si="12"/>
        <v/>
      </c>
      <c r="O104" t="str">
        <f t="shared" ca="1" si="13"/>
        <v>Outdated</v>
      </c>
      <c r="P104" t="str">
        <f t="shared" si="14"/>
        <v>Late Delivery</v>
      </c>
      <c r="Q104" t="str">
        <f t="shared" si="15"/>
        <v/>
      </c>
    </row>
    <row r="105" spans="1:17" x14ac:dyDescent="0.45">
      <c r="A105" t="s">
        <v>310</v>
      </c>
      <c r="B105" t="s">
        <v>138</v>
      </c>
      <c r="C105" t="s">
        <v>311</v>
      </c>
      <c r="D105" t="s">
        <v>74</v>
      </c>
      <c r="E105" s="8">
        <v>8970.16</v>
      </c>
      <c r="F105" s="9">
        <v>45451.666684444448</v>
      </c>
      <c r="G105" t="s">
        <v>140</v>
      </c>
      <c r="H105" t="s">
        <v>116</v>
      </c>
      <c r="I105" t="s">
        <v>82</v>
      </c>
      <c r="J105" t="str">
        <f t="shared" si="8"/>
        <v/>
      </c>
      <c r="K105" t="str">
        <f t="shared" si="9"/>
        <v/>
      </c>
      <c r="L105" t="str">
        <f t="shared" si="10"/>
        <v/>
      </c>
      <c r="M105" t="str">
        <f t="shared" si="11"/>
        <v/>
      </c>
      <c r="N105" t="str">
        <f t="shared" si="12"/>
        <v/>
      </c>
      <c r="O105" t="str">
        <f t="shared" ca="1" si="13"/>
        <v>Outdated</v>
      </c>
      <c r="P105" t="str">
        <f t="shared" si="14"/>
        <v>Wrong Item</v>
      </c>
      <c r="Q105" t="str">
        <f t="shared" si="15"/>
        <v/>
      </c>
    </row>
    <row r="106" spans="1:17" x14ac:dyDescent="0.45">
      <c r="A106" t="s">
        <v>312</v>
      </c>
      <c r="B106" t="s">
        <v>99</v>
      </c>
      <c r="C106" t="s">
        <v>313</v>
      </c>
      <c r="D106" t="s">
        <v>74</v>
      </c>
      <c r="E106" s="8">
        <v>5428.24</v>
      </c>
      <c r="F106" s="9">
        <v>45538.666684444448</v>
      </c>
      <c r="H106" t="s">
        <v>118</v>
      </c>
      <c r="I106" t="s">
        <v>77</v>
      </c>
      <c r="J106" t="str">
        <f t="shared" si="8"/>
        <v/>
      </c>
      <c r="K106" t="str">
        <f t="shared" si="9"/>
        <v/>
      </c>
      <c r="L106" t="str">
        <f t="shared" si="10"/>
        <v/>
      </c>
      <c r="M106" t="str">
        <f t="shared" si="11"/>
        <v>Invalid</v>
      </c>
      <c r="N106" t="str">
        <f t="shared" si="12"/>
        <v>Invalid</v>
      </c>
      <c r="O106" t="str">
        <f t="shared" ca="1" si="13"/>
        <v>Outdated</v>
      </c>
      <c r="P106" t="str">
        <f t="shared" si="14"/>
        <v>Wrong Item</v>
      </c>
      <c r="Q106" t="str">
        <f t="shared" si="15"/>
        <v/>
      </c>
    </row>
    <row r="107" spans="1:17" x14ac:dyDescent="0.45">
      <c r="A107" t="s">
        <v>314</v>
      </c>
      <c r="B107" t="s">
        <v>90</v>
      </c>
      <c r="C107" t="s">
        <v>315</v>
      </c>
      <c r="D107" t="s">
        <v>101</v>
      </c>
      <c r="E107" s="8">
        <v>7641.86</v>
      </c>
      <c r="F107" s="9">
        <v>45402.666684444448</v>
      </c>
      <c r="G107" t="s">
        <v>296</v>
      </c>
      <c r="H107" t="s">
        <v>81</v>
      </c>
      <c r="I107" t="s">
        <v>88</v>
      </c>
      <c r="J107" t="str">
        <f t="shared" si="8"/>
        <v/>
      </c>
      <c r="K107" t="str">
        <f t="shared" si="9"/>
        <v/>
      </c>
      <c r="L107" t="str">
        <f t="shared" si="10"/>
        <v/>
      </c>
      <c r="M107" t="str">
        <f t="shared" si="11"/>
        <v>Invalid</v>
      </c>
      <c r="N107" t="str">
        <f t="shared" si="12"/>
        <v/>
      </c>
      <c r="O107" t="str">
        <f t="shared" ca="1" si="13"/>
        <v>Outdated</v>
      </c>
      <c r="P107" t="str">
        <f t="shared" si="14"/>
        <v>Damaged</v>
      </c>
      <c r="Q107" t="str">
        <f t="shared" si="15"/>
        <v/>
      </c>
    </row>
    <row r="108" spans="1:17" x14ac:dyDescent="0.45">
      <c r="A108" t="s">
        <v>316</v>
      </c>
      <c r="B108" t="s">
        <v>72</v>
      </c>
      <c r="C108" t="s">
        <v>317</v>
      </c>
      <c r="D108" t="s">
        <v>74</v>
      </c>
      <c r="E108" s="8">
        <v>9907.24</v>
      </c>
      <c r="F108" s="9">
        <v>45195.666684444448</v>
      </c>
      <c r="G108" t="s">
        <v>75</v>
      </c>
      <c r="H108" t="s">
        <v>76</v>
      </c>
      <c r="I108" t="s">
        <v>82</v>
      </c>
      <c r="J108" t="str">
        <f t="shared" si="8"/>
        <v/>
      </c>
      <c r="K108" t="str">
        <f t="shared" si="9"/>
        <v/>
      </c>
      <c r="L108" t="str">
        <f t="shared" si="10"/>
        <v/>
      </c>
      <c r="M108" t="str">
        <f t="shared" si="11"/>
        <v/>
      </c>
      <c r="N108" t="str">
        <f t="shared" si="12"/>
        <v/>
      </c>
      <c r="O108" t="str">
        <f t="shared" ca="1" si="13"/>
        <v>Outdated</v>
      </c>
      <c r="P108" t="str">
        <f t="shared" si="14"/>
        <v>Wrong Item</v>
      </c>
      <c r="Q108" t="str">
        <f t="shared" si="15"/>
        <v/>
      </c>
    </row>
    <row r="109" spans="1:17" x14ac:dyDescent="0.45">
      <c r="A109" t="s">
        <v>318</v>
      </c>
      <c r="B109" t="s">
        <v>72</v>
      </c>
      <c r="C109" t="s">
        <v>319</v>
      </c>
      <c r="D109" t="s">
        <v>74</v>
      </c>
      <c r="E109" s="8">
        <v>0</v>
      </c>
      <c r="F109" s="9">
        <v>45344.666684444448</v>
      </c>
      <c r="G109" t="s">
        <v>75</v>
      </c>
      <c r="H109" t="s">
        <v>133</v>
      </c>
      <c r="I109" t="s">
        <v>88</v>
      </c>
      <c r="J109" t="str">
        <f t="shared" si="8"/>
        <v/>
      </c>
      <c r="K109" t="str">
        <f t="shared" si="9"/>
        <v/>
      </c>
      <c r="L109" t="str">
        <f t="shared" si="10"/>
        <v>Unusual</v>
      </c>
      <c r="M109" t="str">
        <f t="shared" si="11"/>
        <v/>
      </c>
      <c r="N109" t="str">
        <f t="shared" si="12"/>
        <v>Invalid</v>
      </c>
      <c r="O109" t="str">
        <f t="shared" ca="1" si="13"/>
        <v>Outdated</v>
      </c>
      <c r="P109" t="str">
        <f t="shared" si="14"/>
        <v>Wrong Item</v>
      </c>
      <c r="Q109" t="str">
        <f t="shared" si="15"/>
        <v/>
      </c>
    </row>
    <row r="110" spans="1:17" x14ac:dyDescent="0.45">
      <c r="A110" t="s">
        <v>320</v>
      </c>
      <c r="B110" t="s">
        <v>172</v>
      </c>
      <c r="C110" t="s">
        <v>321</v>
      </c>
      <c r="D110" t="s">
        <v>101</v>
      </c>
      <c r="E110" s="8">
        <v>11107</v>
      </c>
      <c r="F110" s="9">
        <v>45708.666684444448</v>
      </c>
      <c r="G110" t="s">
        <v>174</v>
      </c>
      <c r="H110" t="s">
        <v>107</v>
      </c>
      <c r="I110" t="s">
        <v>82</v>
      </c>
      <c r="J110" t="str">
        <f t="shared" si="8"/>
        <v/>
      </c>
      <c r="K110" t="str">
        <f t="shared" si="9"/>
        <v/>
      </c>
      <c r="L110" t="str">
        <f t="shared" si="10"/>
        <v>Unusual</v>
      </c>
      <c r="M110" t="str">
        <f t="shared" si="11"/>
        <v/>
      </c>
      <c r="N110" t="str">
        <f t="shared" si="12"/>
        <v/>
      </c>
      <c r="O110" t="str">
        <f t="shared" ca="1" si="13"/>
        <v>Outdated</v>
      </c>
      <c r="P110" t="str">
        <f t="shared" si="14"/>
        <v>Damaged</v>
      </c>
      <c r="Q110" t="str">
        <f t="shared" si="15"/>
        <v/>
      </c>
    </row>
    <row r="111" spans="1:17" x14ac:dyDescent="0.45">
      <c r="A111" t="s">
        <v>322</v>
      </c>
      <c r="B111" t="s">
        <v>99</v>
      </c>
      <c r="C111" t="s">
        <v>127</v>
      </c>
      <c r="D111" t="s">
        <v>101</v>
      </c>
      <c r="E111" s="8">
        <v>7945.34</v>
      </c>
      <c r="F111" s="9">
        <v>45450.666684444448</v>
      </c>
      <c r="G111" t="s">
        <v>102</v>
      </c>
      <c r="H111" t="s">
        <v>118</v>
      </c>
      <c r="I111" t="s">
        <v>88</v>
      </c>
      <c r="J111" t="str">
        <f t="shared" si="8"/>
        <v/>
      </c>
      <c r="K111" t="str">
        <f t="shared" si="9"/>
        <v/>
      </c>
      <c r="L111" t="str">
        <f t="shared" si="10"/>
        <v/>
      </c>
      <c r="M111" t="str">
        <f t="shared" si="11"/>
        <v/>
      </c>
      <c r="N111" t="str">
        <f t="shared" si="12"/>
        <v>Invalid</v>
      </c>
      <c r="O111" t="str">
        <f t="shared" ca="1" si="13"/>
        <v>Outdated</v>
      </c>
      <c r="P111" t="str">
        <f t="shared" si="14"/>
        <v>Damaged</v>
      </c>
      <c r="Q111" t="str">
        <f t="shared" si="15"/>
        <v/>
      </c>
    </row>
    <row r="112" spans="1:17" x14ac:dyDescent="0.45">
      <c r="A112" t="s">
        <v>323</v>
      </c>
      <c r="B112" t="s">
        <v>172</v>
      </c>
      <c r="C112" t="s">
        <v>324</v>
      </c>
      <c r="D112" t="s">
        <v>74</v>
      </c>
      <c r="E112" s="8">
        <v>10485.540000000001</v>
      </c>
      <c r="F112" s="9">
        <v>45345.666684444448</v>
      </c>
      <c r="G112" t="s">
        <v>174</v>
      </c>
      <c r="H112" t="s">
        <v>87</v>
      </c>
      <c r="I112" t="s">
        <v>119</v>
      </c>
      <c r="J112" t="str">
        <f t="shared" si="8"/>
        <v/>
      </c>
      <c r="K112" t="str">
        <f t="shared" si="9"/>
        <v/>
      </c>
      <c r="L112" t="str">
        <f t="shared" si="10"/>
        <v>Unusual</v>
      </c>
      <c r="M112" t="str">
        <f t="shared" si="11"/>
        <v/>
      </c>
      <c r="N112" t="str">
        <f t="shared" si="12"/>
        <v>Invalid</v>
      </c>
      <c r="O112" t="str">
        <f t="shared" ca="1" si="13"/>
        <v>Outdated</v>
      </c>
      <c r="P112" t="str">
        <f t="shared" si="14"/>
        <v>Wrong Item</v>
      </c>
      <c r="Q112" t="str">
        <f t="shared" si="15"/>
        <v/>
      </c>
    </row>
    <row r="113" spans="1:17" x14ac:dyDescent="0.45">
      <c r="A113" t="s">
        <v>325</v>
      </c>
      <c r="B113" t="s">
        <v>79</v>
      </c>
      <c r="C113" t="s">
        <v>326</v>
      </c>
      <c r="D113" t="s">
        <v>74</v>
      </c>
      <c r="E113" s="8">
        <v>5251.76</v>
      </c>
      <c r="F113" s="9">
        <v>45799.666684444448</v>
      </c>
      <c r="G113" t="s">
        <v>86</v>
      </c>
      <c r="H113" t="s">
        <v>107</v>
      </c>
      <c r="I113" t="s">
        <v>119</v>
      </c>
      <c r="J113" t="str">
        <f t="shared" si="8"/>
        <v/>
      </c>
      <c r="K113" t="str">
        <f t="shared" si="9"/>
        <v/>
      </c>
      <c r="L113" t="str">
        <f t="shared" si="10"/>
        <v/>
      </c>
      <c r="M113" t="str">
        <f t="shared" si="11"/>
        <v/>
      </c>
      <c r="N113" t="str">
        <f t="shared" si="12"/>
        <v/>
      </c>
      <c r="O113" t="str">
        <f t="shared" ca="1" si="13"/>
        <v>Outdated</v>
      </c>
      <c r="P113" t="str">
        <f t="shared" si="14"/>
        <v>Wrong Item</v>
      </c>
      <c r="Q113" t="str">
        <f t="shared" si="15"/>
        <v/>
      </c>
    </row>
    <row r="114" spans="1:17" x14ac:dyDescent="0.45">
      <c r="A114" t="s">
        <v>327</v>
      </c>
      <c r="B114" t="s">
        <v>79</v>
      </c>
      <c r="C114" t="s">
        <v>328</v>
      </c>
      <c r="D114" t="s">
        <v>74</v>
      </c>
      <c r="E114" s="8">
        <v>8628.23</v>
      </c>
      <c r="F114" s="9">
        <v>45639.666684444448</v>
      </c>
      <c r="G114" t="s">
        <v>86</v>
      </c>
      <c r="H114" t="s">
        <v>107</v>
      </c>
      <c r="I114" t="s">
        <v>112</v>
      </c>
      <c r="J114" t="str">
        <f t="shared" si="8"/>
        <v/>
      </c>
      <c r="K114" t="str">
        <f t="shared" si="9"/>
        <v/>
      </c>
      <c r="L114" t="str">
        <f t="shared" si="10"/>
        <v/>
      </c>
      <c r="M114" t="str">
        <f t="shared" si="11"/>
        <v/>
      </c>
      <c r="N114" t="str">
        <f t="shared" si="12"/>
        <v/>
      </c>
      <c r="O114" t="str">
        <f t="shared" ca="1" si="13"/>
        <v>Outdated</v>
      </c>
      <c r="P114" t="str">
        <f t="shared" si="14"/>
        <v>Wrong Item</v>
      </c>
      <c r="Q114" t="str">
        <f t="shared" si="15"/>
        <v/>
      </c>
    </row>
    <row r="115" spans="1:17" x14ac:dyDescent="0.45">
      <c r="A115" t="s">
        <v>329</v>
      </c>
      <c r="B115" t="s">
        <v>99</v>
      </c>
      <c r="C115" t="s">
        <v>330</v>
      </c>
      <c r="D115" t="s">
        <v>74</v>
      </c>
      <c r="E115" s="8">
        <v>2998.65</v>
      </c>
      <c r="F115" s="9">
        <v>45533.666684444448</v>
      </c>
      <c r="G115" t="s">
        <v>102</v>
      </c>
      <c r="I115" t="s">
        <v>82</v>
      </c>
      <c r="J115" t="str">
        <f t="shared" si="8"/>
        <v/>
      </c>
      <c r="K115" t="str">
        <f t="shared" si="9"/>
        <v/>
      </c>
      <c r="L115" t="str">
        <f t="shared" si="10"/>
        <v/>
      </c>
      <c r="M115" t="str">
        <f t="shared" si="11"/>
        <v/>
      </c>
      <c r="N115" t="str">
        <f t="shared" si="12"/>
        <v>Invalid</v>
      </c>
      <c r="O115" t="str">
        <f t="shared" ca="1" si="13"/>
        <v>Outdated</v>
      </c>
      <c r="P115" t="str">
        <f t="shared" si="14"/>
        <v>Wrong Item</v>
      </c>
      <c r="Q115" t="str">
        <f t="shared" si="15"/>
        <v/>
      </c>
    </row>
    <row r="116" spans="1:17" x14ac:dyDescent="0.45">
      <c r="A116" t="s">
        <v>331</v>
      </c>
      <c r="B116" t="s">
        <v>72</v>
      </c>
      <c r="C116" t="s">
        <v>332</v>
      </c>
      <c r="D116" t="s">
        <v>85</v>
      </c>
      <c r="E116" s="8">
        <v>2126.58</v>
      </c>
      <c r="F116" s="9">
        <v>45786.666684444448</v>
      </c>
      <c r="G116" t="s">
        <v>75</v>
      </c>
      <c r="H116" t="s">
        <v>107</v>
      </c>
      <c r="I116" t="s">
        <v>163</v>
      </c>
      <c r="J116" t="str">
        <f t="shared" si="8"/>
        <v/>
      </c>
      <c r="K116" t="str">
        <f t="shared" si="9"/>
        <v/>
      </c>
      <c r="L116" t="str">
        <f t="shared" si="10"/>
        <v/>
      </c>
      <c r="M116" t="str">
        <f t="shared" si="11"/>
        <v/>
      </c>
      <c r="N116" t="str">
        <f t="shared" si="12"/>
        <v/>
      </c>
      <c r="O116" t="str">
        <f t="shared" ca="1" si="13"/>
        <v>Outdated</v>
      </c>
      <c r="P116" t="str">
        <f t="shared" si="14"/>
        <v>Late Delivery</v>
      </c>
      <c r="Q116" t="str">
        <f t="shared" si="15"/>
        <v/>
      </c>
    </row>
    <row r="117" spans="1:17" x14ac:dyDescent="0.45">
      <c r="A117" t="s">
        <v>333</v>
      </c>
      <c r="B117" t="s">
        <v>109</v>
      </c>
      <c r="C117" t="s">
        <v>127</v>
      </c>
      <c r="D117" t="s">
        <v>101</v>
      </c>
      <c r="E117" s="8">
        <v>7394.89</v>
      </c>
      <c r="F117" s="9">
        <v>45597.666684444448</v>
      </c>
      <c r="G117" t="s">
        <v>111</v>
      </c>
      <c r="H117" t="s">
        <v>128</v>
      </c>
      <c r="I117" t="s">
        <v>112</v>
      </c>
      <c r="J117" t="str">
        <f t="shared" si="8"/>
        <v/>
      </c>
      <c r="K117" t="str">
        <f t="shared" si="9"/>
        <v/>
      </c>
      <c r="L117" t="str">
        <f t="shared" si="10"/>
        <v/>
      </c>
      <c r="M117" t="str">
        <f t="shared" si="11"/>
        <v/>
      </c>
      <c r="N117" t="str">
        <f t="shared" si="12"/>
        <v>Invalid</v>
      </c>
      <c r="O117" t="str">
        <f t="shared" ca="1" si="13"/>
        <v>Outdated</v>
      </c>
      <c r="P117" t="str">
        <f t="shared" si="14"/>
        <v>Damaged</v>
      </c>
      <c r="Q117" t="str">
        <f t="shared" si="15"/>
        <v/>
      </c>
    </row>
    <row r="118" spans="1:17" x14ac:dyDescent="0.45">
      <c r="A118" t="s">
        <v>334</v>
      </c>
      <c r="B118" t="s">
        <v>95</v>
      </c>
      <c r="C118" t="s">
        <v>335</v>
      </c>
      <c r="D118" t="s">
        <v>101</v>
      </c>
      <c r="E118" s="8">
        <v>4683.91</v>
      </c>
      <c r="F118" s="9">
        <v>45274.666684444448</v>
      </c>
      <c r="G118" t="s">
        <v>336</v>
      </c>
      <c r="H118" t="s">
        <v>118</v>
      </c>
      <c r="I118" t="s">
        <v>82</v>
      </c>
      <c r="J118" t="str">
        <f t="shared" si="8"/>
        <v/>
      </c>
      <c r="K118" t="str">
        <f t="shared" si="9"/>
        <v/>
      </c>
      <c r="L118" t="str">
        <f t="shared" si="10"/>
        <v/>
      </c>
      <c r="M118" t="str">
        <f t="shared" si="11"/>
        <v>Invalid</v>
      </c>
      <c r="N118" t="str">
        <f t="shared" si="12"/>
        <v>Invalid</v>
      </c>
      <c r="O118" t="str">
        <f t="shared" ca="1" si="13"/>
        <v>Outdated</v>
      </c>
      <c r="P118" t="str">
        <f t="shared" si="14"/>
        <v>Damaged</v>
      </c>
      <c r="Q118" t="str">
        <f t="shared" si="15"/>
        <v/>
      </c>
    </row>
    <row r="119" spans="1:17" x14ac:dyDescent="0.45">
      <c r="A119" t="s">
        <v>337</v>
      </c>
      <c r="B119" t="s">
        <v>79</v>
      </c>
      <c r="C119" t="s">
        <v>338</v>
      </c>
      <c r="D119" t="s">
        <v>101</v>
      </c>
      <c r="E119" s="8">
        <v>349.49</v>
      </c>
      <c r="F119" s="9">
        <v>45399.666684444448</v>
      </c>
      <c r="H119" t="s">
        <v>87</v>
      </c>
      <c r="I119" t="s">
        <v>77</v>
      </c>
      <c r="J119" t="str">
        <f t="shared" si="8"/>
        <v/>
      </c>
      <c r="K119" t="str">
        <f t="shared" si="9"/>
        <v>Duplicate</v>
      </c>
      <c r="L119" t="str">
        <f t="shared" si="10"/>
        <v/>
      </c>
      <c r="M119" t="str">
        <f t="shared" si="11"/>
        <v>Invalid</v>
      </c>
      <c r="N119" t="str">
        <f t="shared" si="12"/>
        <v>Invalid</v>
      </c>
      <c r="O119" t="str">
        <f t="shared" ca="1" si="13"/>
        <v>Outdated</v>
      </c>
      <c r="P119" t="str">
        <f t="shared" si="14"/>
        <v>Damaged</v>
      </c>
      <c r="Q119" t="str">
        <f t="shared" si="15"/>
        <v/>
      </c>
    </row>
    <row r="120" spans="1:17" x14ac:dyDescent="0.45">
      <c r="A120" t="s">
        <v>339</v>
      </c>
      <c r="B120" t="s">
        <v>72</v>
      </c>
      <c r="C120" t="s">
        <v>265</v>
      </c>
      <c r="D120" t="s">
        <v>92</v>
      </c>
      <c r="E120" s="8">
        <v>10822.91</v>
      </c>
      <c r="F120" s="9">
        <v>45270.666684444448</v>
      </c>
      <c r="G120" t="s">
        <v>75</v>
      </c>
      <c r="H120" t="s">
        <v>76</v>
      </c>
      <c r="I120" t="s">
        <v>77</v>
      </c>
      <c r="J120" t="str">
        <f t="shared" si="8"/>
        <v/>
      </c>
      <c r="K120" t="str">
        <f t="shared" si="9"/>
        <v/>
      </c>
      <c r="L120" t="str">
        <f t="shared" si="10"/>
        <v>Unusual</v>
      </c>
      <c r="M120" t="str">
        <f t="shared" si="11"/>
        <v/>
      </c>
      <c r="N120" t="str">
        <f t="shared" si="12"/>
        <v/>
      </c>
      <c r="O120" t="str">
        <f t="shared" ca="1" si="13"/>
        <v>Outdated</v>
      </c>
      <c r="P120" t="str">
        <f t="shared" si="14"/>
        <v>Not As Described</v>
      </c>
      <c r="Q120" t="str">
        <f t="shared" si="15"/>
        <v/>
      </c>
    </row>
    <row r="121" spans="1:17" x14ac:dyDescent="0.45">
      <c r="A121" t="s">
        <v>340</v>
      </c>
      <c r="B121" t="s">
        <v>172</v>
      </c>
      <c r="C121" t="s">
        <v>100</v>
      </c>
      <c r="D121" t="s">
        <v>148</v>
      </c>
      <c r="E121" s="8">
        <v>6608.29</v>
      </c>
      <c r="F121" s="9">
        <v>45380.666684444448</v>
      </c>
      <c r="G121" t="s">
        <v>174</v>
      </c>
      <c r="H121" t="s">
        <v>118</v>
      </c>
      <c r="I121" t="s">
        <v>88</v>
      </c>
      <c r="J121" t="str">
        <f t="shared" si="8"/>
        <v/>
      </c>
      <c r="K121" t="str">
        <f t="shared" si="9"/>
        <v/>
      </c>
      <c r="L121" t="str">
        <f t="shared" si="10"/>
        <v/>
      </c>
      <c r="M121" t="str">
        <f t="shared" si="11"/>
        <v/>
      </c>
      <c r="N121" t="str">
        <f t="shared" si="12"/>
        <v>Invalid</v>
      </c>
      <c r="O121" t="str">
        <f t="shared" ca="1" si="13"/>
        <v>Outdated</v>
      </c>
      <c r="P121" t="str">
        <f t="shared" si="14"/>
        <v>Wrong Item</v>
      </c>
      <c r="Q121" t="str">
        <f t="shared" si="15"/>
        <v>Inconsistent</v>
      </c>
    </row>
    <row r="122" spans="1:17" x14ac:dyDescent="0.45">
      <c r="A122" t="s">
        <v>341</v>
      </c>
      <c r="B122" t="s">
        <v>138</v>
      </c>
      <c r="C122" t="s">
        <v>342</v>
      </c>
      <c r="D122" t="s">
        <v>92</v>
      </c>
      <c r="E122" s="8">
        <v>2547.33</v>
      </c>
      <c r="F122" s="9">
        <v>45702.666684444448</v>
      </c>
      <c r="G122" t="s">
        <v>140</v>
      </c>
      <c r="H122" t="s">
        <v>133</v>
      </c>
      <c r="I122" t="s">
        <v>88</v>
      </c>
      <c r="J122" t="str">
        <f t="shared" si="8"/>
        <v/>
      </c>
      <c r="K122" t="str">
        <f t="shared" si="9"/>
        <v/>
      </c>
      <c r="L122" t="str">
        <f t="shared" si="10"/>
        <v/>
      </c>
      <c r="M122" t="str">
        <f t="shared" si="11"/>
        <v/>
      </c>
      <c r="N122" t="str">
        <f t="shared" si="12"/>
        <v>Invalid</v>
      </c>
      <c r="O122" t="str">
        <f t="shared" ca="1" si="13"/>
        <v>Outdated</v>
      </c>
      <c r="P122" t="str">
        <f t="shared" si="14"/>
        <v>Not As Described</v>
      </c>
      <c r="Q122" t="str">
        <f t="shared" si="15"/>
        <v/>
      </c>
    </row>
    <row r="123" spans="1:17" x14ac:dyDescent="0.45">
      <c r="A123" t="s">
        <v>343</v>
      </c>
      <c r="B123" t="s">
        <v>109</v>
      </c>
      <c r="C123" t="s">
        <v>344</v>
      </c>
      <c r="D123" t="s">
        <v>92</v>
      </c>
      <c r="E123" s="8">
        <v>5696.65</v>
      </c>
      <c r="F123" s="9">
        <v>45679.666684444448</v>
      </c>
      <c r="G123" t="s">
        <v>111</v>
      </c>
      <c r="H123" t="s">
        <v>76</v>
      </c>
      <c r="I123" t="s">
        <v>88</v>
      </c>
      <c r="J123" t="str">
        <f t="shared" si="8"/>
        <v/>
      </c>
      <c r="K123" t="str">
        <f t="shared" si="9"/>
        <v/>
      </c>
      <c r="L123" t="str">
        <f t="shared" si="10"/>
        <v/>
      </c>
      <c r="M123" t="str">
        <f t="shared" si="11"/>
        <v/>
      </c>
      <c r="N123" t="str">
        <f t="shared" si="12"/>
        <v/>
      </c>
      <c r="O123" t="str">
        <f t="shared" ca="1" si="13"/>
        <v>Outdated</v>
      </c>
      <c r="P123" t="str">
        <f t="shared" si="14"/>
        <v>Not As Described</v>
      </c>
      <c r="Q123" t="str">
        <f t="shared" si="15"/>
        <v/>
      </c>
    </row>
    <row r="124" spans="1:17" x14ac:dyDescent="0.45">
      <c r="A124" t="s">
        <v>345</v>
      </c>
      <c r="B124" t="s">
        <v>172</v>
      </c>
      <c r="C124" t="s">
        <v>346</v>
      </c>
      <c r="D124" t="s">
        <v>85</v>
      </c>
      <c r="E124" s="8">
        <v>9823.1200000000008</v>
      </c>
      <c r="F124" s="9">
        <v>45397.666684444448</v>
      </c>
      <c r="G124" t="s">
        <v>174</v>
      </c>
      <c r="H124" t="s">
        <v>128</v>
      </c>
      <c r="I124" t="s">
        <v>163</v>
      </c>
      <c r="J124" t="str">
        <f t="shared" si="8"/>
        <v/>
      </c>
      <c r="K124" t="str">
        <f t="shared" si="9"/>
        <v/>
      </c>
      <c r="L124" t="str">
        <f t="shared" si="10"/>
        <v/>
      </c>
      <c r="M124" t="str">
        <f t="shared" si="11"/>
        <v/>
      </c>
      <c r="N124" t="str">
        <f t="shared" si="12"/>
        <v>Invalid</v>
      </c>
      <c r="O124" t="str">
        <f t="shared" ca="1" si="13"/>
        <v>Outdated</v>
      </c>
      <c r="P124" t="str">
        <f t="shared" si="14"/>
        <v>Late Delivery</v>
      </c>
      <c r="Q124" t="str">
        <f t="shared" si="15"/>
        <v/>
      </c>
    </row>
    <row r="125" spans="1:17" x14ac:dyDescent="0.45">
      <c r="A125" t="s">
        <v>347</v>
      </c>
      <c r="B125" t="s">
        <v>109</v>
      </c>
      <c r="C125" t="s">
        <v>348</v>
      </c>
      <c r="D125" t="s">
        <v>92</v>
      </c>
      <c r="E125" s="8">
        <v>9383.19</v>
      </c>
      <c r="F125" s="9">
        <v>45726.666684444448</v>
      </c>
      <c r="G125" t="s">
        <v>111</v>
      </c>
      <c r="H125" t="s">
        <v>136</v>
      </c>
      <c r="I125" t="s">
        <v>163</v>
      </c>
      <c r="J125" t="str">
        <f t="shared" si="8"/>
        <v/>
      </c>
      <c r="K125" t="str">
        <f t="shared" si="9"/>
        <v>Duplicate</v>
      </c>
      <c r="L125" t="str">
        <f t="shared" si="10"/>
        <v/>
      </c>
      <c r="M125" t="str">
        <f t="shared" si="11"/>
        <v/>
      </c>
      <c r="N125" t="str">
        <f t="shared" si="12"/>
        <v>Invalid</v>
      </c>
      <c r="O125" t="str">
        <f t="shared" ca="1" si="13"/>
        <v>Outdated</v>
      </c>
      <c r="P125" t="str">
        <f t="shared" si="14"/>
        <v>Not As Described</v>
      </c>
      <c r="Q125" t="str">
        <f t="shared" si="15"/>
        <v/>
      </c>
    </row>
    <row r="126" spans="1:17" x14ac:dyDescent="0.45">
      <c r="A126" t="s">
        <v>349</v>
      </c>
      <c r="B126" t="s">
        <v>95</v>
      </c>
      <c r="C126" t="s">
        <v>350</v>
      </c>
      <c r="D126" t="s">
        <v>85</v>
      </c>
      <c r="E126" s="8">
        <v>1040.98</v>
      </c>
      <c r="F126" s="9">
        <v>45566.666684444448</v>
      </c>
      <c r="G126" t="s">
        <v>97</v>
      </c>
      <c r="H126" t="s">
        <v>136</v>
      </c>
      <c r="I126" t="s">
        <v>88</v>
      </c>
      <c r="J126" t="str">
        <f t="shared" si="8"/>
        <v/>
      </c>
      <c r="K126" t="str">
        <f t="shared" si="9"/>
        <v/>
      </c>
      <c r="L126" t="str">
        <f t="shared" si="10"/>
        <v/>
      </c>
      <c r="M126" t="str">
        <f t="shared" si="11"/>
        <v/>
      </c>
      <c r="N126" t="str">
        <f t="shared" si="12"/>
        <v>Invalid</v>
      </c>
      <c r="O126" t="str">
        <f t="shared" ca="1" si="13"/>
        <v>Outdated</v>
      </c>
      <c r="P126" t="str">
        <f t="shared" si="14"/>
        <v>Late Delivery</v>
      </c>
      <c r="Q126" t="str">
        <f t="shared" si="15"/>
        <v/>
      </c>
    </row>
    <row r="127" spans="1:17" x14ac:dyDescent="0.45">
      <c r="A127" t="s">
        <v>351</v>
      </c>
      <c r="B127" t="s">
        <v>138</v>
      </c>
      <c r="C127" t="s">
        <v>352</v>
      </c>
      <c r="D127" t="s">
        <v>74</v>
      </c>
      <c r="E127" s="8">
        <v>685.14</v>
      </c>
      <c r="F127" s="9">
        <v>45725.666684444448</v>
      </c>
      <c r="G127" t="s">
        <v>194</v>
      </c>
      <c r="H127" t="s">
        <v>133</v>
      </c>
      <c r="I127" t="s">
        <v>112</v>
      </c>
      <c r="J127" t="str">
        <f t="shared" si="8"/>
        <v/>
      </c>
      <c r="K127" t="str">
        <f t="shared" si="9"/>
        <v/>
      </c>
      <c r="L127" t="str">
        <f t="shared" si="10"/>
        <v/>
      </c>
      <c r="M127" t="str">
        <f t="shared" si="11"/>
        <v>Invalid</v>
      </c>
      <c r="N127" t="str">
        <f t="shared" si="12"/>
        <v>Invalid</v>
      </c>
      <c r="O127" t="str">
        <f t="shared" ca="1" si="13"/>
        <v>Outdated</v>
      </c>
      <c r="P127" t="str">
        <f t="shared" si="14"/>
        <v>Wrong Item</v>
      </c>
      <c r="Q127" t="str">
        <f t="shared" si="15"/>
        <v/>
      </c>
    </row>
    <row r="128" spans="1:17" x14ac:dyDescent="0.45">
      <c r="A128" t="s">
        <v>353</v>
      </c>
      <c r="B128" t="s">
        <v>172</v>
      </c>
      <c r="C128" t="s">
        <v>354</v>
      </c>
      <c r="D128" t="s">
        <v>74</v>
      </c>
      <c r="E128" s="8">
        <v>6365.09</v>
      </c>
      <c r="F128" s="9">
        <v>45536.666684444448</v>
      </c>
      <c r="G128" t="s">
        <v>174</v>
      </c>
      <c r="H128" t="s">
        <v>81</v>
      </c>
      <c r="I128" t="s">
        <v>82</v>
      </c>
      <c r="J128" t="str">
        <f t="shared" si="8"/>
        <v/>
      </c>
      <c r="K128" t="str">
        <f t="shared" si="9"/>
        <v/>
      </c>
      <c r="L128" t="str">
        <f t="shared" si="10"/>
        <v/>
      </c>
      <c r="M128" t="str">
        <f t="shared" si="11"/>
        <v/>
      </c>
      <c r="N128" t="str">
        <f t="shared" si="12"/>
        <v/>
      </c>
      <c r="O128" t="str">
        <f t="shared" ca="1" si="13"/>
        <v>Outdated</v>
      </c>
      <c r="P128" t="str">
        <f t="shared" si="14"/>
        <v>Wrong Item</v>
      </c>
      <c r="Q128" t="str">
        <f t="shared" si="15"/>
        <v/>
      </c>
    </row>
    <row r="129" spans="1:17" x14ac:dyDescent="0.45">
      <c r="A129" t="s">
        <v>355</v>
      </c>
      <c r="B129" t="s">
        <v>79</v>
      </c>
      <c r="C129" t="s">
        <v>251</v>
      </c>
      <c r="D129" t="s">
        <v>101</v>
      </c>
      <c r="E129" s="8">
        <v>7082.05</v>
      </c>
      <c r="F129" s="9">
        <v>45498.666684444448</v>
      </c>
      <c r="H129" t="s">
        <v>145</v>
      </c>
      <c r="I129" t="s">
        <v>119</v>
      </c>
      <c r="J129" t="str">
        <f t="shared" si="8"/>
        <v/>
      </c>
      <c r="K129" t="str">
        <f t="shared" si="9"/>
        <v/>
      </c>
      <c r="L129" t="str">
        <f t="shared" si="10"/>
        <v/>
      </c>
      <c r="M129" t="str">
        <f t="shared" si="11"/>
        <v>Invalid</v>
      </c>
      <c r="N129" t="str">
        <f t="shared" si="12"/>
        <v/>
      </c>
      <c r="O129" t="str">
        <f t="shared" ca="1" si="13"/>
        <v>Outdated</v>
      </c>
      <c r="P129" t="str">
        <f t="shared" si="14"/>
        <v>Damaged</v>
      </c>
      <c r="Q129" t="str">
        <f t="shared" si="15"/>
        <v/>
      </c>
    </row>
    <row r="130" spans="1:17" x14ac:dyDescent="0.45">
      <c r="A130" t="s">
        <v>356</v>
      </c>
      <c r="B130" t="s">
        <v>79</v>
      </c>
      <c r="C130" t="s">
        <v>357</v>
      </c>
      <c r="D130" t="s">
        <v>155</v>
      </c>
      <c r="E130" s="8">
        <v>2410.5300000000002</v>
      </c>
      <c r="F130" s="9">
        <v>45352.666684444448</v>
      </c>
      <c r="G130" t="s">
        <v>86</v>
      </c>
      <c r="H130" t="s">
        <v>76</v>
      </c>
      <c r="I130" t="s">
        <v>77</v>
      </c>
      <c r="J130" t="str">
        <f t="shared" ref="J130:J193" si="16">IF(OR(ISBLANK(C130),ISBLANK(D130)),"Missing","")</f>
        <v/>
      </c>
      <c r="K130" t="str">
        <f t="shared" ref="K130:K193" si="17">IF(COUNTIF($A$2:$A$2501,A130)&gt;1,"Duplicate","")</f>
        <v/>
      </c>
      <c r="L130" t="str">
        <f t="shared" ref="L130:L193" si="18">IF(OR(E130=0,E130&gt;10000),"Unusual","")</f>
        <v/>
      </c>
      <c r="M130" t="str">
        <f t="shared" ref="M130:M193" si="19">IF(OR(ISBLANK(G130),ISERROR(FIND("@",G130)),ISERROR(FIND(".",G130,FIND("@",G130)+1))),"Invalid","")</f>
        <v/>
      </c>
      <c r="N130" t="str">
        <f t="shared" ref="N130:N193" si="20">IF(COUNTIF($S$2:$S$6,H130)=0,"Invalid","")</f>
        <v/>
      </c>
      <c r="O130" t="str">
        <f t="shared" ref="O130:O193" ca="1" si="21">IF(F130&lt;EDATE(TODAY(),-12),"Outdated","")</f>
        <v>Outdated</v>
      </c>
      <c r="P130" t="str">
        <f t="shared" ref="P130:P193" si="22">IF(ISBLANK(D130),"",PROPER(TRIM(D130)))</f>
        <v>Damaged</v>
      </c>
      <c r="Q130" t="str">
        <f t="shared" ref="Q130:Q193" si="23">IF(ISBLANK(D130),"",IF(EXACT(D130,P130),"","Inconsistent"))</f>
        <v>Inconsistent</v>
      </c>
    </row>
    <row r="131" spans="1:17" x14ac:dyDescent="0.45">
      <c r="A131" t="s">
        <v>358</v>
      </c>
      <c r="B131" t="s">
        <v>172</v>
      </c>
      <c r="C131" t="s">
        <v>359</v>
      </c>
      <c r="D131" t="s">
        <v>85</v>
      </c>
      <c r="E131" s="8">
        <v>6294.01</v>
      </c>
      <c r="F131" s="9">
        <v>45269.666684444448</v>
      </c>
      <c r="H131" t="s">
        <v>81</v>
      </c>
      <c r="I131" t="s">
        <v>88</v>
      </c>
      <c r="J131" t="str">
        <f t="shared" si="16"/>
        <v/>
      </c>
      <c r="K131" t="str">
        <f t="shared" si="17"/>
        <v/>
      </c>
      <c r="L131" t="str">
        <f t="shared" si="18"/>
        <v/>
      </c>
      <c r="M131" t="str">
        <f t="shared" si="19"/>
        <v>Invalid</v>
      </c>
      <c r="N131" t="str">
        <f t="shared" si="20"/>
        <v/>
      </c>
      <c r="O131" t="str">
        <f t="shared" ca="1" si="21"/>
        <v>Outdated</v>
      </c>
      <c r="P131" t="str">
        <f t="shared" si="22"/>
        <v>Late Delivery</v>
      </c>
      <c r="Q131" t="str">
        <f t="shared" si="23"/>
        <v/>
      </c>
    </row>
    <row r="132" spans="1:17" x14ac:dyDescent="0.45">
      <c r="A132" t="s">
        <v>360</v>
      </c>
      <c r="B132" t="s">
        <v>95</v>
      </c>
      <c r="C132" t="s">
        <v>361</v>
      </c>
      <c r="D132" t="s">
        <v>92</v>
      </c>
      <c r="E132" s="8">
        <v>9353.7999999999993</v>
      </c>
      <c r="F132" s="9">
        <v>45649.666684444448</v>
      </c>
      <c r="G132" t="s">
        <v>97</v>
      </c>
      <c r="H132" t="s">
        <v>145</v>
      </c>
      <c r="I132" t="s">
        <v>77</v>
      </c>
      <c r="J132" t="str">
        <f t="shared" si="16"/>
        <v/>
      </c>
      <c r="K132" t="str">
        <f t="shared" si="17"/>
        <v/>
      </c>
      <c r="L132" t="str">
        <f t="shared" si="18"/>
        <v/>
      </c>
      <c r="M132" t="str">
        <f t="shared" si="19"/>
        <v/>
      </c>
      <c r="N132" t="str">
        <f t="shared" si="20"/>
        <v/>
      </c>
      <c r="O132" t="str">
        <f t="shared" ca="1" si="21"/>
        <v>Outdated</v>
      </c>
      <c r="P132" t="str">
        <f t="shared" si="22"/>
        <v>Not As Described</v>
      </c>
      <c r="Q132" t="str">
        <f t="shared" si="23"/>
        <v/>
      </c>
    </row>
    <row r="133" spans="1:17" x14ac:dyDescent="0.45">
      <c r="A133" t="s">
        <v>362</v>
      </c>
      <c r="B133" t="s">
        <v>95</v>
      </c>
      <c r="C133" t="s">
        <v>363</v>
      </c>
      <c r="D133" t="s">
        <v>101</v>
      </c>
      <c r="E133" s="8">
        <v>11672.26</v>
      </c>
      <c r="F133" s="9">
        <v>45633.666684444448</v>
      </c>
      <c r="G133" t="s">
        <v>97</v>
      </c>
      <c r="H133" t="s">
        <v>76</v>
      </c>
      <c r="I133" t="s">
        <v>112</v>
      </c>
      <c r="J133" t="str">
        <f t="shared" si="16"/>
        <v/>
      </c>
      <c r="K133" t="str">
        <f t="shared" si="17"/>
        <v/>
      </c>
      <c r="L133" t="str">
        <f t="shared" si="18"/>
        <v>Unusual</v>
      </c>
      <c r="M133" t="str">
        <f t="shared" si="19"/>
        <v/>
      </c>
      <c r="N133" t="str">
        <f t="shared" si="20"/>
        <v/>
      </c>
      <c r="O133" t="str">
        <f t="shared" ca="1" si="21"/>
        <v>Outdated</v>
      </c>
      <c r="P133" t="str">
        <f t="shared" si="22"/>
        <v>Damaged</v>
      </c>
      <c r="Q133" t="str">
        <f t="shared" si="23"/>
        <v/>
      </c>
    </row>
    <row r="134" spans="1:17" x14ac:dyDescent="0.45">
      <c r="A134" t="s">
        <v>364</v>
      </c>
      <c r="B134" t="s">
        <v>99</v>
      </c>
      <c r="C134" t="s">
        <v>365</v>
      </c>
      <c r="D134" t="s">
        <v>101</v>
      </c>
      <c r="E134" s="8">
        <v>853.33</v>
      </c>
      <c r="F134" s="9">
        <v>45221.666684444448</v>
      </c>
      <c r="G134" t="s">
        <v>285</v>
      </c>
      <c r="H134" t="s">
        <v>81</v>
      </c>
      <c r="I134" t="s">
        <v>77</v>
      </c>
      <c r="J134" t="str">
        <f t="shared" si="16"/>
        <v/>
      </c>
      <c r="K134" t="str">
        <f t="shared" si="17"/>
        <v/>
      </c>
      <c r="L134" t="str">
        <f t="shared" si="18"/>
        <v/>
      </c>
      <c r="M134" t="str">
        <f t="shared" si="19"/>
        <v>Invalid</v>
      </c>
      <c r="N134" t="str">
        <f t="shared" si="20"/>
        <v/>
      </c>
      <c r="O134" t="str">
        <f t="shared" ca="1" si="21"/>
        <v>Outdated</v>
      </c>
      <c r="P134" t="str">
        <f t="shared" si="22"/>
        <v>Damaged</v>
      </c>
      <c r="Q134" t="str">
        <f t="shared" si="23"/>
        <v/>
      </c>
    </row>
    <row r="135" spans="1:17" x14ac:dyDescent="0.45">
      <c r="A135" t="s">
        <v>366</v>
      </c>
      <c r="B135" t="s">
        <v>138</v>
      </c>
      <c r="C135" t="s">
        <v>367</v>
      </c>
      <c r="D135" t="s">
        <v>74</v>
      </c>
      <c r="E135" s="8">
        <v>8919.5300000000007</v>
      </c>
      <c r="F135" s="9">
        <v>45176.666684444448</v>
      </c>
      <c r="G135" t="s">
        <v>140</v>
      </c>
      <c r="H135" t="s">
        <v>133</v>
      </c>
      <c r="I135" t="s">
        <v>112</v>
      </c>
      <c r="J135" t="str">
        <f t="shared" si="16"/>
        <v/>
      </c>
      <c r="K135" t="str">
        <f t="shared" si="17"/>
        <v/>
      </c>
      <c r="L135" t="str">
        <f t="shared" si="18"/>
        <v/>
      </c>
      <c r="M135" t="str">
        <f t="shared" si="19"/>
        <v/>
      </c>
      <c r="N135" t="str">
        <f t="shared" si="20"/>
        <v>Invalid</v>
      </c>
      <c r="O135" t="str">
        <f t="shared" ca="1" si="21"/>
        <v>Outdated</v>
      </c>
      <c r="P135" t="str">
        <f t="shared" si="22"/>
        <v>Wrong Item</v>
      </c>
      <c r="Q135" t="str">
        <f t="shared" si="23"/>
        <v/>
      </c>
    </row>
    <row r="136" spans="1:17" x14ac:dyDescent="0.45">
      <c r="A136" t="s">
        <v>368</v>
      </c>
      <c r="B136" t="s">
        <v>72</v>
      </c>
      <c r="C136" t="s">
        <v>369</v>
      </c>
      <c r="D136" t="s">
        <v>74</v>
      </c>
      <c r="E136" s="8">
        <v>9813.4599999999991</v>
      </c>
      <c r="F136" s="9">
        <v>45240.666684444448</v>
      </c>
      <c r="G136" t="s">
        <v>75</v>
      </c>
      <c r="H136" t="s">
        <v>107</v>
      </c>
      <c r="I136" t="s">
        <v>112</v>
      </c>
      <c r="J136" t="str">
        <f t="shared" si="16"/>
        <v/>
      </c>
      <c r="K136" t="str">
        <f t="shared" si="17"/>
        <v/>
      </c>
      <c r="L136" t="str">
        <f t="shared" si="18"/>
        <v/>
      </c>
      <c r="M136" t="str">
        <f t="shared" si="19"/>
        <v/>
      </c>
      <c r="N136" t="str">
        <f t="shared" si="20"/>
        <v/>
      </c>
      <c r="O136" t="str">
        <f t="shared" ca="1" si="21"/>
        <v>Outdated</v>
      </c>
      <c r="P136" t="str">
        <f t="shared" si="22"/>
        <v>Wrong Item</v>
      </c>
      <c r="Q136" t="str">
        <f t="shared" si="23"/>
        <v/>
      </c>
    </row>
    <row r="137" spans="1:17" x14ac:dyDescent="0.45">
      <c r="A137" t="s">
        <v>370</v>
      </c>
      <c r="B137" t="s">
        <v>95</v>
      </c>
      <c r="C137" t="s">
        <v>371</v>
      </c>
      <c r="E137" s="8">
        <v>11157.5</v>
      </c>
      <c r="F137" s="9">
        <v>45284.666684444448</v>
      </c>
      <c r="G137" t="s">
        <v>97</v>
      </c>
      <c r="H137" t="s">
        <v>76</v>
      </c>
      <c r="I137" t="s">
        <v>163</v>
      </c>
      <c r="J137" t="str">
        <f t="shared" si="16"/>
        <v>Missing</v>
      </c>
      <c r="K137" t="str">
        <f t="shared" si="17"/>
        <v>Duplicate</v>
      </c>
      <c r="L137" t="str">
        <f t="shared" si="18"/>
        <v>Unusual</v>
      </c>
      <c r="M137" t="str">
        <f t="shared" si="19"/>
        <v/>
      </c>
      <c r="N137" t="str">
        <f t="shared" si="20"/>
        <v/>
      </c>
      <c r="O137" t="str">
        <f t="shared" ca="1" si="21"/>
        <v>Outdated</v>
      </c>
      <c r="P137" t="str">
        <f t="shared" si="22"/>
        <v/>
      </c>
      <c r="Q137" t="str">
        <f t="shared" si="23"/>
        <v/>
      </c>
    </row>
    <row r="138" spans="1:17" x14ac:dyDescent="0.45">
      <c r="A138" t="s">
        <v>372</v>
      </c>
      <c r="B138" t="s">
        <v>138</v>
      </c>
      <c r="C138" t="s">
        <v>373</v>
      </c>
      <c r="D138" t="s">
        <v>85</v>
      </c>
      <c r="E138" s="8">
        <v>831.65</v>
      </c>
      <c r="F138" s="9">
        <v>45770.666684444448</v>
      </c>
      <c r="G138" t="s">
        <v>140</v>
      </c>
      <c r="H138" t="s">
        <v>133</v>
      </c>
      <c r="I138" t="s">
        <v>88</v>
      </c>
      <c r="J138" t="str">
        <f t="shared" si="16"/>
        <v/>
      </c>
      <c r="K138" t="str">
        <f t="shared" si="17"/>
        <v/>
      </c>
      <c r="L138" t="str">
        <f t="shared" si="18"/>
        <v/>
      </c>
      <c r="M138" t="str">
        <f t="shared" si="19"/>
        <v/>
      </c>
      <c r="N138" t="str">
        <f t="shared" si="20"/>
        <v>Invalid</v>
      </c>
      <c r="O138" t="str">
        <f t="shared" ca="1" si="21"/>
        <v>Outdated</v>
      </c>
      <c r="P138" t="str">
        <f t="shared" si="22"/>
        <v>Late Delivery</v>
      </c>
      <c r="Q138" t="str">
        <f t="shared" si="23"/>
        <v/>
      </c>
    </row>
    <row r="139" spans="1:17" x14ac:dyDescent="0.45">
      <c r="A139" t="s">
        <v>374</v>
      </c>
      <c r="B139" t="s">
        <v>95</v>
      </c>
      <c r="C139" t="s">
        <v>375</v>
      </c>
      <c r="D139" t="s">
        <v>101</v>
      </c>
      <c r="E139" s="8">
        <v>7316.27</v>
      </c>
      <c r="F139" s="9">
        <v>45291.666684444448</v>
      </c>
      <c r="G139" t="s">
        <v>97</v>
      </c>
      <c r="H139" t="s">
        <v>87</v>
      </c>
      <c r="I139" t="s">
        <v>77</v>
      </c>
      <c r="J139" t="str">
        <f t="shared" si="16"/>
        <v/>
      </c>
      <c r="K139" t="str">
        <f t="shared" si="17"/>
        <v/>
      </c>
      <c r="L139" t="str">
        <f t="shared" si="18"/>
        <v/>
      </c>
      <c r="M139" t="str">
        <f t="shared" si="19"/>
        <v/>
      </c>
      <c r="N139" t="str">
        <f t="shared" si="20"/>
        <v>Invalid</v>
      </c>
      <c r="O139" t="str">
        <f t="shared" ca="1" si="21"/>
        <v>Outdated</v>
      </c>
      <c r="P139" t="str">
        <f t="shared" si="22"/>
        <v>Damaged</v>
      </c>
      <c r="Q139" t="str">
        <f t="shared" si="23"/>
        <v/>
      </c>
    </row>
    <row r="140" spans="1:17" x14ac:dyDescent="0.45">
      <c r="A140" t="s">
        <v>376</v>
      </c>
      <c r="B140" t="s">
        <v>99</v>
      </c>
      <c r="C140" t="s">
        <v>377</v>
      </c>
      <c r="E140" s="8">
        <v>4884.92</v>
      </c>
      <c r="F140" s="9">
        <v>45824.666684444448</v>
      </c>
      <c r="G140" t="s">
        <v>102</v>
      </c>
      <c r="H140" t="s">
        <v>116</v>
      </c>
      <c r="I140" t="s">
        <v>82</v>
      </c>
      <c r="J140" t="str">
        <f t="shared" si="16"/>
        <v>Missing</v>
      </c>
      <c r="K140" t="str">
        <f t="shared" si="17"/>
        <v/>
      </c>
      <c r="L140" t="str">
        <f t="shared" si="18"/>
        <v/>
      </c>
      <c r="M140" t="str">
        <f t="shared" si="19"/>
        <v/>
      </c>
      <c r="N140" t="str">
        <f t="shared" si="20"/>
        <v/>
      </c>
      <c r="O140" t="str">
        <f t="shared" ca="1" si="21"/>
        <v>Outdated</v>
      </c>
      <c r="P140" t="str">
        <f t="shared" si="22"/>
        <v/>
      </c>
      <c r="Q140" t="str">
        <f t="shared" si="23"/>
        <v/>
      </c>
    </row>
    <row r="141" spans="1:17" x14ac:dyDescent="0.45">
      <c r="A141" t="s">
        <v>378</v>
      </c>
      <c r="B141" t="s">
        <v>104</v>
      </c>
      <c r="C141" t="s">
        <v>187</v>
      </c>
      <c r="D141" t="s">
        <v>74</v>
      </c>
      <c r="E141" s="8">
        <v>2720.81</v>
      </c>
      <c r="F141" s="9">
        <v>45560.666684444448</v>
      </c>
      <c r="G141" t="s">
        <v>247</v>
      </c>
      <c r="H141" t="s">
        <v>133</v>
      </c>
      <c r="I141" t="s">
        <v>119</v>
      </c>
      <c r="J141" t="str">
        <f t="shared" si="16"/>
        <v/>
      </c>
      <c r="K141" t="str">
        <f t="shared" si="17"/>
        <v>Duplicate</v>
      </c>
      <c r="L141" t="str">
        <f t="shared" si="18"/>
        <v/>
      </c>
      <c r="M141" t="str">
        <f t="shared" si="19"/>
        <v>Invalid</v>
      </c>
      <c r="N141" t="str">
        <f t="shared" si="20"/>
        <v>Invalid</v>
      </c>
      <c r="O141" t="str">
        <f t="shared" ca="1" si="21"/>
        <v>Outdated</v>
      </c>
      <c r="P141" t="str">
        <f t="shared" si="22"/>
        <v>Wrong Item</v>
      </c>
      <c r="Q141" t="str">
        <f t="shared" si="23"/>
        <v/>
      </c>
    </row>
    <row r="142" spans="1:17" x14ac:dyDescent="0.45">
      <c r="A142" t="s">
        <v>379</v>
      </c>
      <c r="B142" t="s">
        <v>95</v>
      </c>
      <c r="C142" t="s">
        <v>121</v>
      </c>
      <c r="D142" t="s">
        <v>106</v>
      </c>
      <c r="E142" s="8">
        <v>8369.3700000000008</v>
      </c>
      <c r="F142" s="9">
        <v>45738.666684444448</v>
      </c>
      <c r="G142" t="s">
        <v>97</v>
      </c>
      <c r="H142" t="s">
        <v>81</v>
      </c>
      <c r="I142" t="s">
        <v>77</v>
      </c>
      <c r="J142" t="str">
        <f t="shared" si="16"/>
        <v/>
      </c>
      <c r="K142" t="str">
        <f t="shared" si="17"/>
        <v/>
      </c>
      <c r="L142" t="str">
        <f t="shared" si="18"/>
        <v/>
      </c>
      <c r="M142" t="str">
        <f t="shared" si="19"/>
        <v/>
      </c>
      <c r="N142" t="str">
        <f t="shared" si="20"/>
        <v/>
      </c>
      <c r="O142" t="str">
        <f t="shared" ca="1" si="21"/>
        <v>Outdated</v>
      </c>
      <c r="P142" t="str">
        <f t="shared" si="22"/>
        <v>Damaged</v>
      </c>
      <c r="Q142" t="str">
        <f t="shared" si="23"/>
        <v>Inconsistent</v>
      </c>
    </row>
    <row r="143" spans="1:17" x14ac:dyDescent="0.45">
      <c r="A143" t="s">
        <v>380</v>
      </c>
      <c r="B143" t="s">
        <v>138</v>
      </c>
      <c r="D143" t="s">
        <v>101</v>
      </c>
      <c r="E143" s="8">
        <v>0</v>
      </c>
      <c r="F143" s="9">
        <v>45193.666684444448</v>
      </c>
      <c r="G143" t="s">
        <v>140</v>
      </c>
      <c r="H143" t="s">
        <v>133</v>
      </c>
      <c r="I143" t="s">
        <v>77</v>
      </c>
      <c r="J143" t="str">
        <f t="shared" si="16"/>
        <v>Missing</v>
      </c>
      <c r="K143" t="str">
        <f t="shared" si="17"/>
        <v/>
      </c>
      <c r="L143" t="str">
        <f t="shared" si="18"/>
        <v>Unusual</v>
      </c>
      <c r="M143" t="str">
        <f t="shared" si="19"/>
        <v/>
      </c>
      <c r="N143" t="str">
        <f t="shared" si="20"/>
        <v>Invalid</v>
      </c>
      <c r="O143" t="str">
        <f t="shared" ca="1" si="21"/>
        <v>Outdated</v>
      </c>
      <c r="P143" t="str">
        <f t="shared" si="22"/>
        <v>Damaged</v>
      </c>
      <c r="Q143" t="str">
        <f t="shared" si="23"/>
        <v/>
      </c>
    </row>
    <row r="144" spans="1:17" x14ac:dyDescent="0.45">
      <c r="A144" t="s">
        <v>381</v>
      </c>
      <c r="B144" t="s">
        <v>99</v>
      </c>
      <c r="C144" t="s">
        <v>382</v>
      </c>
      <c r="D144" t="s">
        <v>101</v>
      </c>
      <c r="E144" s="8">
        <v>3156.96</v>
      </c>
      <c r="F144" s="9">
        <v>45522.666684444448</v>
      </c>
      <c r="G144" t="s">
        <v>102</v>
      </c>
      <c r="H144" t="s">
        <v>118</v>
      </c>
      <c r="I144" t="s">
        <v>82</v>
      </c>
      <c r="J144" t="str">
        <f t="shared" si="16"/>
        <v/>
      </c>
      <c r="K144" t="str">
        <f t="shared" si="17"/>
        <v/>
      </c>
      <c r="L144" t="str">
        <f t="shared" si="18"/>
        <v/>
      </c>
      <c r="M144" t="str">
        <f t="shared" si="19"/>
        <v/>
      </c>
      <c r="N144" t="str">
        <f t="shared" si="20"/>
        <v>Invalid</v>
      </c>
      <c r="O144" t="str">
        <f t="shared" ca="1" si="21"/>
        <v>Outdated</v>
      </c>
      <c r="P144" t="str">
        <f t="shared" si="22"/>
        <v>Damaged</v>
      </c>
      <c r="Q144" t="str">
        <f t="shared" si="23"/>
        <v/>
      </c>
    </row>
    <row r="145" spans="1:17" x14ac:dyDescent="0.45">
      <c r="A145" t="s">
        <v>383</v>
      </c>
      <c r="B145" t="s">
        <v>99</v>
      </c>
      <c r="C145" t="s">
        <v>375</v>
      </c>
      <c r="D145" t="s">
        <v>101</v>
      </c>
      <c r="E145" s="8">
        <v>2274.67</v>
      </c>
      <c r="F145" s="9">
        <v>45518.666684444448</v>
      </c>
      <c r="G145" t="s">
        <v>102</v>
      </c>
      <c r="H145" t="s">
        <v>128</v>
      </c>
      <c r="I145" t="s">
        <v>77</v>
      </c>
      <c r="J145" t="str">
        <f t="shared" si="16"/>
        <v/>
      </c>
      <c r="K145" t="str">
        <f t="shared" si="17"/>
        <v/>
      </c>
      <c r="L145" t="str">
        <f t="shared" si="18"/>
        <v/>
      </c>
      <c r="M145" t="str">
        <f t="shared" si="19"/>
        <v/>
      </c>
      <c r="N145" t="str">
        <f t="shared" si="20"/>
        <v>Invalid</v>
      </c>
      <c r="O145" t="str">
        <f t="shared" ca="1" si="21"/>
        <v>Outdated</v>
      </c>
      <c r="P145" t="str">
        <f t="shared" si="22"/>
        <v>Damaged</v>
      </c>
      <c r="Q145" t="str">
        <f t="shared" si="23"/>
        <v/>
      </c>
    </row>
    <row r="146" spans="1:17" x14ac:dyDescent="0.45">
      <c r="A146" t="s">
        <v>384</v>
      </c>
      <c r="B146" t="s">
        <v>138</v>
      </c>
      <c r="C146" t="s">
        <v>385</v>
      </c>
      <c r="D146" t="s">
        <v>74</v>
      </c>
      <c r="E146" s="8">
        <v>5171.3</v>
      </c>
      <c r="F146" s="9">
        <v>45738.666684444448</v>
      </c>
      <c r="G146" t="s">
        <v>140</v>
      </c>
      <c r="H146" t="s">
        <v>133</v>
      </c>
      <c r="I146" t="s">
        <v>112</v>
      </c>
      <c r="J146" t="str">
        <f t="shared" si="16"/>
        <v/>
      </c>
      <c r="K146" t="str">
        <f t="shared" si="17"/>
        <v/>
      </c>
      <c r="L146" t="str">
        <f t="shared" si="18"/>
        <v/>
      </c>
      <c r="M146" t="str">
        <f t="shared" si="19"/>
        <v/>
      </c>
      <c r="N146" t="str">
        <f t="shared" si="20"/>
        <v>Invalid</v>
      </c>
      <c r="O146" t="str">
        <f t="shared" ca="1" si="21"/>
        <v>Outdated</v>
      </c>
      <c r="P146" t="str">
        <f t="shared" si="22"/>
        <v>Wrong Item</v>
      </c>
      <c r="Q146" t="str">
        <f t="shared" si="23"/>
        <v/>
      </c>
    </row>
    <row r="147" spans="1:17" x14ac:dyDescent="0.45">
      <c r="A147" t="s">
        <v>386</v>
      </c>
      <c r="B147" t="s">
        <v>138</v>
      </c>
      <c r="C147" t="s">
        <v>216</v>
      </c>
      <c r="D147" t="s">
        <v>74</v>
      </c>
      <c r="E147" s="8">
        <v>5256.26</v>
      </c>
      <c r="F147" s="9">
        <v>45607.666684444448</v>
      </c>
      <c r="G147" t="s">
        <v>140</v>
      </c>
      <c r="H147" t="s">
        <v>133</v>
      </c>
      <c r="I147" t="s">
        <v>77</v>
      </c>
      <c r="J147" t="str">
        <f t="shared" si="16"/>
        <v/>
      </c>
      <c r="K147" t="str">
        <f t="shared" si="17"/>
        <v>Duplicate</v>
      </c>
      <c r="L147" t="str">
        <f t="shared" si="18"/>
        <v/>
      </c>
      <c r="M147" t="str">
        <f t="shared" si="19"/>
        <v/>
      </c>
      <c r="N147" t="str">
        <f t="shared" si="20"/>
        <v>Invalid</v>
      </c>
      <c r="O147" t="str">
        <f t="shared" ca="1" si="21"/>
        <v>Outdated</v>
      </c>
      <c r="P147" t="str">
        <f t="shared" si="22"/>
        <v>Wrong Item</v>
      </c>
      <c r="Q147" t="str">
        <f t="shared" si="23"/>
        <v/>
      </c>
    </row>
    <row r="148" spans="1:17" x14ac:dyDescent="0.45">
      <c r="A148" t="s">
        <v>387</v>
      </c>
      <c r="B148" t="s">
        <v>79</v>
      </c>
      <c r="C148" t="s">
        <v>388</v>
      </c>
      <c r="D148" t="s">
        <v>85</v>
      </c>
      <c r="E148" s="8">
        <v>5147.03</v>
      </c>
      <c r="F148" s="9">
        <v>45669.666684444448</v>
      </c>
      <c r="G148" t="s">
        <v>86</v>
      </c>
      <c r="H148" t="s">
        <v>133</v>
      </c>
      <c r="I148" t="s">
        <v>88</v>
      </c>
      <c r="J148" t="str">
        <f t="shared" si="16"/>
        <v/>
      </c>
      <c r="K148" t="str">
        <f t="shared" si="17"/>
        <v>Duplicate</v>
      </c>
      <c r="L148" t="str">
        <f t="shared" si="18"/>
        <v/>
      </c>
      <c r="M148" t="str">
        <f t="shared" si="19"/>
        <v/>
      </c>
      <c r="N148" t="str">
        <f t="shared" si="20"/>
        <v>Invalid</v>
      </c>
      <c r="O148" t="str">
        <f t="shared" ca="1" si="21"/>
        <v>Outdated</v>
      </c>
      <c r="P148" t="str">
        <f t="shared" si="22"/>
        <v>Late Delivery</v>
      </c>
      <c r="Q148" t="str">
        <f t="shared" si="23"/>
        <v/>
      </c>
    </row>
    <row r="149" spans="1:17" x14ac:dyDescent="0.45">
      <c r="A149" t="s">
        <v>389</v>
      </c>
      <c r="B149" t="s">
        <v>104</v>
      </c>
      <c r="C149" t="s">
        <v>123</v>
      </c>
      <c r="D149" t="s">
        <v>148</v>
      </c>
      <c r="E149" s="8">
        <v>6254.08</v>
      </c>
      <c r="F149" s="9">
        <v>45385.666684444448</v>
      </c>
      <c r="G149" t="s">
        <v>115</v>
      </c>
      <c r="H149" t="s">
        <v>116</v>
      </c>
      <c r="I149" t="s">
        <v>163</v>
      </c>
      <c r="J149" t="str">
        <f t="shared" si="16"/>
        <v/>
      </c>
      <c r="K149" t="str">
        <f t="shared" si="17"/>
        <v>Duplicate</v>
      </c>
      <c r="L149" t="str">
        <f t="shared" si="18"/>
        <v/>
      </c>
      <c r="M149" t="str">
        <f t="shared" si="19"/>
        <v/>
      </c>
      <c r="N149" t="str">
        <f t="shared" si="20"/>
        <v/>
      </c>
      <c r="O149" t="str">
        <f t="shared" ca="1" si="21"/>
        <v>Outdated</v>
      </c>
      <c r="P149" t="str">
        <f t="shared" si="22"/>
        <v>Wrong Item</v>
      </c>
      <c r="Q149" t="str">
        <f t="shared" si="23"/>
        <v>Inconsistent</v>
      </c>
    </row>
    <row r="150" spans="1:17" x14ac:dyDescent="0.45">
      <c r="A150" t="s">
        <v>390</v>
      </c>
      <c r="B150" t="s">
        <v>99</v>
      </c>
      <c r="C150" t="s">
        <v>391</v>
      </c>
      <c r="D150" t="s">
        <v>92</v>
      </c>
      <c r="E150" s="8">
        <v>786.95</v>
      </c>
      <c r="F150" s="9">
        <v>45694.666684444448</v>
      </c>
      <c r="G150" t="s">
        <v>102</v>
      </c>
      <c r="H150" t="s">
        <v>76</v>
      </c>
      <c r="I150" t="s">
        <v>77</v>
      </c>
      <c r="J150" t="str">
        <f t="shared" si="16"/>
        <v/>
      </c>
      <c r="K150" t="str">
        <f t="shared" si="17"/>
        <v/>
      </c>
      <c r="L150" t="str">
        <f t="shared" si="18"/>
        <v/>
      </c>
      <c r="M150" t="str">
        <f t="shared" si="19"/>
        <v/>
      </c>
      <c r="N150" t="str">
        <f t="shared" si="20"/>
        <v/>
      </c>
      <c r="O150" t="str">
        <f t="shared" ca="1" si="21"/>
        <v>Outdated</v>
      </c>
      <c r="P150" t="str">
        <f t="shared" si="22"/>
        <v>Not As Described</v>
      </c>
      <c r="Q150" t="str">
        <f t="shared" si="23"/>
        <v/>
      </c>
    </row>
    <row r="151" spans="1:17" x14ac:dyDescent="0.45">
      <c r="A151" t="s">
        <v>392</v>
      </c>
      <c r="B151" t="s">
        <v>79</v>
      </c>
      <c r="C151" t="s">
        <v>393</v>
      </c>
      <c r="D151" t="s">
        <v>74</v>
      </c>
      <c r="E151" s="8">
        <v>6716.61</v>
      </c>
      <c r="F151" s="9">
        <v>45139.666684444448</v>
      </c>
      <c r="G151" t="s">
        <v>86</v>
      </c>
      <c r="H151" t="s">
        <v>116</v>
      </c>
      <c r="I151" t="s">
        <v>163</v>
      </c>
      <c r="J151" t="str">
        <f t="shared" si="16"/>
        <v/>
      </c>
      <c r="K151" t="str">
        <f t="shared" si="17"/>
        <v/>
      </c>
      <c r="L151" t="str">
        <f t="shared" si="18"/>
        <v/>
      </c>
      <c r="M151" t="str">
        <f t="shared" si="19"/>
        <v/>
      </c>
      <c r="N151" t="str">
        <f t="shared" si="20"/>
        <v/>
      </c>
      <c r="O151" t="str">
        <f t="shared" ca="1" si="21"/>
        <v>Outdated</v>
      </c>
      <c r="P151" t="str">
        <f t="shared" si="22"/>
        <v>Wrong Item</v>
      </c>
      <c r="Q151" t="str">
        <f t="shared" si="23"/>
        <v/>
      </c>
    </row>
    <row r="152" spans="1:17" x14ac:dyDescent="0.45">
      <c r="A152" t="s">
        <v>394</v>
      </c>
      <c r="B152" t="s">
        <v>109</v>
      </c>
      <c r="C152" t="s">
        <v>395</v>
      </c>
      <c r="D152" t="s">
        <v>85</v>
      </c>
      <c r="E152" s="8">
        <v>9700.2900000000009</v>
      </c>
      <c r="F152" s="9">
        <v>45824.666684444448</v>
      </c>
      <c r="G152" t="s">
        <v>111</v>
      </c>
      <c r="H152" t="s">
        <v>118</v>
      </c>
      <c r="I152" t="s">
        <v>112</v>
      </c>
      <c r="J152" t="str">
        <f t="shared" si="16"/>
        <v/>
      </c>
      <c r="K152" t="str">
        <f t="shared" si="17"/>
        <v/>
      </c>
      <c r="L152" t="str">
        <f t="shared" si="18"/>
        <v/>
      </c>
      <c r="M152" t="str">
        <f t="shared" si="19"/>
        <v/>
      </c>
      <c r="N152" t="str">
        <f t="shared" si="20"/>
        <v>Invalid</v>
      </c>
      <c r="O152" t="str">
        <f t="shared" ca="1" si="21"/>
        <v>Outdated</v>
      </c>
      <c r="P152" t="str">
        <f t="shared" si="22"/>
        <v>Late Delivery</v>
      </c>
      <c r="Q152" t="str">
        <f t="shared" si="23"/>
        <v/>
      </c>
    </row>
    <row r="153" spans="1:17" x14ac:dyDescent="0.45">
      <c r="A153" t="s">
        <v>396</v>
      </c>
      <c r="B153" t="s">
        <v>172</v>
      </c>
      <c r="C153" t="s">
        <v>397</v>
      </c>
      <c r="D153" t="s">
        <v>74</v>
      </c>
      <c r="E153" s="8">
        <v>9551.58</v>
      </c>
      <c r="F153" s="9">
        <v>45245.666684444448</v>
      </c>
      <c r="G153" t="s">
        <v>174</v>
      </c>
      <c r="H153" t="s">
        <v>116</v>
      </c>
      <c r="I153" t="s">
        <v>163</v>
      </c>
      <c r="J153" t="str">
        <f t="shared" si="16"/>
        <v/>
      </c>
      <c r="K153" t="str">
        <f t="shared" si="17"/>
        <v/>
      </c>
      <c r="L153" t="str">
        <f t="shared" si="18"/>
        <v/>
      </c>
      <c r="M153" t="str">
        <f t="shared" si="19"/>
        <v/>
      </c>
      <c r="N153" t="str">
        <f t="shared" si="20"/>
        <v/>
      </c>
      <c r="O153" t="str">
        <f t="shared" ca="1" si="21"/>
        <v>Outdated</v>
      </c>
      <c r="P153" t="str">
        <f t="shared" si="22"/>
        <v>Wrong Item</v>
      </c>
      <c r="Q153" t="str">
        <f t="shared" si="23"/>
        <v/>
      </c>
    </row>
    <row r="154" spans="1:17" x14ac:dyDescent="0.45">
      <c r="A154" t="s">
        <v>398</v>
      </c>
      <c r="B154" t="s">
        <v>172</v>
      </c>
      <c r="C154" t="s">
        <v>399</v>
      </c>
      <c r="D154" t="s">
        <v>74</v>
      </c>
      <c r="E154" s="8">
        <v>874.14</v>
      </c>
      <c r="F154" s="9">
        <v>45826.666684444448</v>
      </c>
      <c r="G154" t="s">
        <v>174</v>
      </c>
      <c r="H154" t="s">
        <v>145</v>
      </c>
      <c r="I154" t="s">
        <v>82</v>
      </c>
      <c r="J154" t="str">
        <f t="shared" si="16"/>
        <v/>
      </c>
      <c r="K154" t="str">
        <f t="shared" si="17"/>
        <v/>
      </c>
      <c r="L154" t="str">
        <f t="shared" si="18"/>
        <v/>
      </c>
      <c r="M154" t="str">
        <f t="shared" si="19"/>
        <v/>
      </c>
      <c r="N154" t="str">
        <f t="shared" si="20"/>
        <v/>
      </c>
      <c r="O154" t="str">
        <f t="shared" ca="1" si="21"/>
        <v>Outdated</v>
      </c>
      <c r="P154" t="str">
        <f t="shared" si="22"/>
        <v>Wrong Item</v>
      </c>
      <c r="Q154" t="str">
        <f t="shared" si="23"/>
        <v/>
      </c>
    </row>
    <row r="155" spans="1:17" x14ac:dyDescent="0.45">
      <c r="A155" t="s">
        <v>400</v>
      </c>
      <c r="B155" t="s">
        <v>99</v>
      </c>
      <c r="C155" t="s">
        <v>401</v>
      </c>
      <c r="D155" t="s">
        <v>92</v>
      </c>
      <c r="E155" s="8">
        <v>4734.6099999999997</v>
      </c>
      <c r="F155" s="9">
        <v>45677.666684444448</v>
      </c>
      <c r="G155" t="s">
        <v>102</v>
      </c>
      <c r="H155" t="s">
        <v>107</v>
      </c>
      <c r="I155" t="s">
        <v>163</v>
      </c>
      <c r="J155" t="str">
        <f t="shared" si="16"/>
        <v/>
      </c>
      <c r="K155" t="str">
        <f t="shared" si="17"/>
        <v/>
      </c>
      <c r="L155" t="str">
        <f t="shared" si="18"/>
        <v/>
      </c>
      <c r="M155" t="str">
        <f t="shared" si="19"/>
        <v/>
      </c>
      <c r="N155" t="str">
        <f t="shared" si="20"/>
        <v/>
      </c>
      <c r="O155" t="str">
        <f t="shared" ca="1" si="21"/>
        <v>Outdated</v>
      </c>
      <c r="P155" t="str">
        <f t="shared" si="22"/>
        <v>Not As Described</v>
      </c>
      <c r="Q155" t="str">
        <f t="shared" si="23"/>
        <v/>
      </c>
    </row>
    <row r="156" spans="1:17" x14ac:dyDescent="0.45">
      <c r="A156" t="s">
        <v>402</v>
      </c>
      <c r="B156" t="s">
        <v>79</v>
      </c>
      <c r="C156" t="s">
        <v>403</v>
      </c>
      <c r="D156" t="s">
        <v>85</v>
      </c>
      <c r="E156" s="8">
        <v>3349.73</v>
      </c>
      <c r="F156" s="9">
        <v>45401.666684444448</v>
      </c>
      <c r="G156" t="s">
        <v>86</v>
      </c>
      <c r="H156" t="s">
        <v>76</v>
      </c>
      <c r="I156" t="s">
        <v>88</v>
      </c>
      <c r="J156" t="str">
        <f t="shared" si="16"/>
        <v/>
      </c>
      <c r="K156" t="str">
        <f t="shared" si="17"/>
        <v/>
      </c>
      <c r="L156" t="str">
        <f t="shared" si="18"/>
        <v/>
      </c>
      <c r="M156" t="str">
        <f t="shared" si="19"/>
        <v/>
      </c>
      <c r="N156" t="str">
        <f t="shared" si="20"/>
        <v/>
      </c>
      <c r="O156" t="str">
        <f t="shared" ca="1" si="21"/>
        <v>Outdated</v>
      </c>
      <c r="P156" t="str">
        <f t="shared" si="22"/>
        <v>Late Delivery</v>
      </c>
      <c r="Q156" t="str">
        <f t="shared" si="23"/>
        <v/>
      </c>
    </row>
    <row r="157" spans="1:17" x14ac:dyDescent="0.45">
      <c r="A157" t="s">
        <v>404</v>
      </c>
      <c r="B157" t="s">
        <v>104</v>
      </c>
      <c r="C157" t="s">
        <v>405</v>
      </c>
      <c r="D157" t="s">
        <v>74</v>
      </c>
      <c r="E157" s="8">
        <v>10479.73</v>
      </c>
      <c r="F157" s="9">
        <v>45784.666684444448</v>
      </c>
      <c r="H157" t="s">
        <v>76</v>
      </c>
      <c r="I157" t="s">
        <v>82</v>
      </c>
      <c r="J157" t="str">
        <f t="shared" si="16"/>
        <v/>
      </c>
      <c r="K157" t="str">
        <f t="shared" si="17"/>
        <v/>
      </c>
      <c r="L157" t="str">
        <f t="shared" si="18"/>
        <v>Unusual</v>
      </c>
      <c r="M157" t="str">
        <f t="shared" si="19"/>
        <v>Invalid</v>
      </c>
      <c r="N157" t="str">
        <f t="shared" si="20"/>
        <v/>
      </c>
      <c r="O157" t="str">
        <f t="shared" ca="1" si="21"/>
        <v>Outdated</v>
      </c>
      <c r="P157" t="str">
        <f t="shared" si="22"/>
        <v>Wrong Item</v>
      </c>
      <c r="Q157" t="str">
        <f t="shared" si="23"/>
        <v/>
      </c>
    </row>
    <row r="158" spans="1:17" x14ac:dyDescent="0.45">
      <c r="A158" t="s">
        <v>406</v>
      </c>
      <c r="B158" t="s">
        <v>104</v>
      </c>
      <c r="D158" t="s">
        <v>74</v>
      </c>
      <c r="E158" s="8">
        <v>0</v>
      </c>
      <c r="F158" s="9">
        <v>45476.666684444448</v>
      </c>
      <c r="G158" t="s">
        <v>115</v>
      </c>
      <c r="H158" t="s">
        <v>128</v>
      </c>
      <c r="I158" t="s">
        <v>82</v>
      </c>
      <c r="J158" t="str">
        <f t="shared" si="16"/>
        <v>Missing</v>
      </c>
      <c r="K158" t="str">
        <f t="shared" si="17"/>
        <v/>
      </c>
      <c r="L158" t="str">
        <f t="shared" si="18"/>
        <v>Unusual</v>
      </c>
      <c r="M158" t="str">
        <f t="shared" si="19"/>
        <v/>
      </c>
      <c r="N158" t="str">
        <f t="shared" si="20"/>
        <v>Invalid</v>
      </c>
      <c r="O158" t="str">
        <f t="shared" ca="1" si="21"/>
        <v>Outdated</v>
      </c>
      <c r="P158" t="str">
        <f t="shared" si="22"/>
        <v>Wrong Item</v>
      </c>
      <c r="Q158" t="str">
        <f t="shared" si="23"/>
        <v/>
      </c>
    </row>
    <row r="159" spans="1:17" x14ac:dyDescent="0.45">
      <c r="A159" t="s">
        <v>407</v>
      </c>
      <c r="B159" t="s">
        <v>109</v>
      </c>
      <c r="C159" t="s">
        <v>408</v>
      </c>
      <c r="D159" t="s">
        <v>106</v>
      </c>
      <c r="E159" s="8">
        <v>6856</v>
      </c>
      <c r="F159" s="9">
        <v>45242.666684444448</v>
      </c>
      <c r="G159" t="s">
        <v>111</v>
      </c>
      <c r="H159" t="s">
        <v>107</v>
      </c>
      <c r="I159" t="s">
        <v>163</v>
      </c>
      <c r="J159" t="str">
        <f t="shared" si="16"/>
        <v/>
      </c>
      <c r="K159" t="str">
        <f t="shared" si="17"/>
        <v/>
      </c>
      <c r="L159" t="str">
        <f t="shared" si="18"/>
        <v/>
      </c>
      <c r="M159" t="str">
        <f t="shared" si="19"/>
        <v/>
      </c>
      <c r="N159" t="str">
        <f t="shared" si="20"/>
        <v/>
      </c>
      <c r="O159" t="str">
        <f t="shared" ca="1" si="21"/>
        <v>Outdated</v>
      </c>
      <c r="P159" t="str">
        <f t="shared" si="22"/>
        <v>Damaged</v>
      </c>
      <c r="Q159" t="str">
        <f t="shared" si="23"/>
        <v>Inconsistent</v>
      </c>
    </row>
    <row r="160" spans="1:17" x14ac:dyDescent="0.45">
      <c r="A160" t="s">
        <v>409</v>
      </c>
      <c r="B160" t="s">
        <v>99</v>
      </c>
      <c r="C160" t="s">
        <v>410</v>
      </c>
      <c r="D160" t="s">
        <v>74</v>
      </c>
      <c r="E160" s="8">
        <v>6277.9</v>
      </c>
      <c r="F160" s="9">
        <v>45428.666684444448</v>
      </c>
      <c r="G160" t="s">
        <v>102</v>
      </c>
      <c r="I160" t="s">
        <v>88</v>
      </c>
      <c r="J160" t="str">
        <f t="shared" si="16"/>
        <v/>
      </c>
      <c r="K160" t="str">
        <f t="shared" si="17"/>
        <v/>
      </c>
      <c r="L160" t="str">
        <f t="shared" si="18"/>
        <v/>
      </c>
      <c r="M160" t="str">
        <f t="shared" si="19"/>
        <v/>
      </c>
      <c r="N160" t="str">
        <f t="shared" si="20"/>
        <v>Invalid</v>
      </c>
      <c r="O160" t="str">
        <f t="shared" ca="1" si="21"/>
        <v>Outdated</v>
      </c>
      <c r="P160" t="str">
        <f t="shared" si="22"/>
        <v>Wrong Item</v>
      </c>
      <c r="Q160" t="str">
        <f t="shared" si="23"/>
        <v/>
      </c>
    </row>
    <row r="161" spans="1:17" x14ac:dyDescent="0.45">
      <c r="A161" t="s">
        <v>411</v>
      </c>
      <c r="B161" t="s">
        <v>95</v>
      </c>
      <c r="C161" t="s">
        <v>412</v>
      </c>
      <c r="D161" t="s">
        <v>101</v>
      </c>
      <c r="E161" s="8">
        <v>521.20000000000005</v>
      </c>
      <c r="F161" s="9">
        <v>45573.666684444448</v>
      </c>
      <c r="G161" t="s">
        <v>97</v>
      </c>
      <c r="H161" t="s">
        <v>136</v>
      </c>
      <c r="I161" t="s">
        <v>77</v>
      </c>
      <c r="J161" t="str">
        <f t="shared" si="16"/>
        <v/>
      </c>
      <c r="K161" t="str">
        <f t="shared" si="17"/>
        <v/>
      </c>
      <c r="L161" t="str">
        <f t="shared" si="18"/>
        <v/>
      </c>
      <c r="M161" t="str">
        <f t="shared" si="19"/>
        <v/>
      </c>
      <c r="N161" t="str">
        <f t="shared" si="20"/>
        <v>Invalid</v>
      </c>
      <c r="O161" t="str">
        <f t="shared" ca="1" si="21"/>
        <v>Outdated</v>
      </c>
      <c r="P161" t="str">
        <f t="shared" si="22"/>
        <v>Damaged</v>
      </c>
      <c r="Q161" t="str">
        <f t="shared" si="23"/>
        <v/>
      </c>
    </row>
    <row r="162" spans="1:17" x14ac:dyDescent="0.45">
      <c r="A162" t="s">
        <v>413</v>
      </c>
      <c r="B162" t="s">
        <v>109</v>
      </c>
      <c r="C162" t="s">
        <v>414</v>
      </c>
      <c r="D162" t="s">
        <v>85</v>
      </c>
      <c r="E162" s="8">
        <v>10509.15</v>
      </c>
      <c r="F162" s="9">
        <v>45289.666684444448</v>
      </c>
      <c r="G162" t="s">
        <v>111</v>
      </c>
      <c r="I162" t="s">
        <v>112</v>
      </c>
      <c r="J162" t="str">
        <f t="shared" si="16"/>
        <v/>
      </c>
      <c r="K162" t="str">
        <f t="shared" si="17"/>
        <v/>
      </c>
      <c r="L162" t="str">
        <f t="shared" si="18"/>
        <v>Unusual</v>
      </c>
      <c r="M162" t="str">
        <f t="shared" si="19"/>
        <v/>
      </c>
      <c r="N162" t="str">
        <f t="shared" si="20"/>
        <v>Invalid</v>
      </c>
      <c r="O162" t="str">
        <f t="shared" ca="1" si="21"/>
        <v>Outdated</v>
      </c>
      <c r="P162" t="str">
        <f t="shared" si="22"/>
        <v>Late Delivery</v>
      </c>
      <c r="Q162" t="str">
        <f t="shared" si="23"/>
        <v/>
      </c>
    </row>
    <row r="163" spans="1:17" x14ac:dyDescent="0.45">
      <c r="A163" t="s">
        <v>415</v>
      </c>
      <c r="B163" t="s">
        <v>79</v>
      </c>
      <c r="D163" t="s">
        <v>74</v>
      </c>
      <c r="E163" s="8">
        <v>211.74</v>
      </c>
      <c r="F163" s="9">
        <v>45592.666684444448</v>
      </c>
      <c r="G163" t="s">
        <v>86</v>
      </c>
      <c r="H163" t="s">
        <v>145</v>
      </c>
      <c r="I163" t="s">
        <v>82</v>
      </c>
      <c r="J163" t="str">
        <f t="shared" si="16"/>
        <v>Missing</v>
      </c>
      <c r="K163" t="str">
        <f t="shared" si="17"/>
        <v/>
      </c>
      <c r="L163" t="str">
        <f t="shared" si="18"/>
        <v/>
      </c>
      <c r="M163" t="str">
        <f t="shared" si="19"/>
        <v/>
      </c>
      <c r="N163" t="str">
        <f t="shared" si="20"/>
        <v/>
      </c>
      <c r="O163" t="str">
        <f t="shared" ca="1" si="21"/>
        <v>Outdated</v>
      </c>
      <c r="P163" t="str">
        <f t="shared" si="22"/>
        <v>Wrong Item</v>
      </c>
      <c r="Q163" t="str">
        <f t="shared" si="23"/>
        <v/>
      </c>
    </row>
    <row r="164" spans="1:17" x14ac:dyDescent="0.45">
      <c r="A164" t="s">
        <v>416</v>
      </c>
      <c r="B164" t="s">
        <v>95</v>
      </c>
      <c r="C164" t="s">
        <v>293</v>
      </c>
      <c r="D164" t="s">
        <v>74</v>
      </c>
      <c r="E164" s="8">
        <v>6354.87</v>
      </c>
      <c r="F164" s="9">
        <v>45131.666684444448</v>
      </c>
      <c r="G164" t="s">
        <v>97</v>
      </c>
      <c r="I164" t="s">
        <v>77</v>
      </c>
      <c r="J164" t="str">
        <f t="shared" si="16"/>
        <v/>
      </c>
      <c r="K164" t="str">
        <f t="shared" si="17"/>
        <v/>
      </c>
      <c r="L164" t="str">
        <f t="shared" si="18"/>
        <v/>
      </c>
      <c r="M164" t="str">
        <f t="shared" si="19"/>
        <v/>
      </c>
      <c r="N164" t="str">
        <f t="shared" si="20"/>
        <v>Invalid</v>
      </c>
      <c r="O164" t="str">
        <f t="shared" ca="1" si="21"/>
        <v>Outdated</v>
      </c>
      <c r="P164" t="str">
        <f t="shared" si="22"/>
        <v>Wrong Item</v>
      </c>
      <c r="Q164" t="str">
        <f t="shared" si="23"/>
        <v/>
      </c>
    </row>
    <row r="165" spans="1:17" x14ac:dyDescent="0.45">
      <c r="A165" t="s">
        <v>417</v>
      </c>
      <c r="B165" t="s">
        <v>172</v>
      </c>
      <c r="C165" t="s">
        <v>418</v>
      </c>
      <c r="D165" t="s">
        <v>101</v>
      </c>
      <c r="E165" s="8">
        <v>3568.72</v>
      </c>
      <c r="F165" s="9">
        <v>45397.666684444448</v>
      </c>
      <c r="H165" t="s">
        <v>81</v>
      </c>
      <c r="I165" t="s">
        <v>119</v>
      </c>
      <c r="J165" t="str">
        <f t="shared" si="16"/>
        <v/>
      </c>
      <c r="K165" t="str">
        <f t="shared" si="17"/>
        <v/>
      </c>
      <c r="L165" t="str">
        <f t="shared" si="18"/>
        <v/>
      </c>
      <c r="M165" t="str">
        <f t="shared" si="19"/>
        <v>Invalid</v>
      </c>
      <c r="N165" t="str">
        <f t="shared" si="20"/>
        <v/>
      </c>
      <c r="O165" t="str">
        <f t="shared" ca="1" si="21"/>
        <v>Outdated</v>
      </c>
      <c r="P165" t="str">
        <f t="shared" si="22"/>
        <v>Damaged</v>
      </c>
      <c r="Q165" t="str">
        <f t="shared" si="23"/>
        <v/>
      </c>
    </row>
    <row r="166" spans="1:17" x14ac:dyDescent="0.45">
      <c r="A166" t="s">
        <v>419</v>
      </c>
      <c r="B166" t="s">
        <v>90</v>
      </c>
      <c r="C166" t="s">
        <v>420</v>
      </c>
      <c r="D166" t="s">
        <v>92</v>
      </c>
      <c r="E166" s="8">
        <v>2493.4899999999998</v>
      </c>
      <c r="F166" s="9">
        <v>45640.666684444448</v>
      </c>
      <c r="G166" t="s">
        <v>93</v>
      </c>
      <c r="H166" t="s">
        <v>128</v>
      </c>
      <c r="I166" t="s">
        <v>82</v>
      </c>
      <c r="J166" t="str">
        <f t="shared" si="16"/>
        <v/>
      </c>
      <c r="K166" t="str">
        <f t="shared" si="17"/>
        <v/>
      </c>
      <c r="L166" t="str">
        <f t="shared" si="18"/>
        <v/>
      </c>
      <c r="M166" t="str">
        <f t="shared" si="19"/>
        <v/>
      </c>
      <c r="N166" t="str">
        <f t="shared" si="20"/>
        <v>Invalid</v>
      </c>
      <c r="O166" t="str">
        <f t="shared" ca="1" si="21"/>
        <v>Outdated</v>
      </c>
      <c r="P166" t="str">
        <f t="shared" si="22"/>
        <v>Not As Described</v>
      </c>
      <c r="Q166" t="str">
        <f t="shared" si="23"/>
        <v/>
      </c>
    </row>
    <row r="167" spans="1:17" x14ac:dyDescent="0.45">
      <c r="A167" t="s">
        <v>421</v>
      </c>
      <c r="B167" t="s">
        <v>172</v>
      </c>
      <c r="C167" t="s">
        <v>121</v>
      </c>
      <c r="D167" t="s">
        <v>85</v>
      </c>
      <c r="E167" s="8">
        <v>9636.4500000000007</v>
      </c>
      <c r="F167" s="9">
        <v>45310.666684444448</v>
      </c>
      <c r="G167" t="s">
        <v>174</v>
      </c>
      <c r="I167" t="s">
        <v>163</v>
      </c>
      <c r="J167" t="str">
        <f t="shared" si="16"/>
        <v/>
      </c>
      <c r="K167" t="str">
        <f t="shared" si="17"/>
        <v/>
      </c>
      <c r="L167" t="str">
        <f t="shared" si="18"/>
        <v/>
      </c>
      <c r="M167" t="str">
        <f t="shared" si="19"/>
        <v/>
      </c>
      <c r="N167" t="str">
        <f t="shared" si="20"/>
        <v>Invalid</v>
      </c>
      <c r="O167" t="str">
        <f t="shared" ca="1" si="21"/>
        <v>Outdated</v>
      </c>
      <c r="P167" t="str">
        <f t="shared" si="22"/>
        <v>Late Delivery</v>
      </c>
      <c r="Q167" t="str">
        <f t="shared" si="23"/>
        <v/>
      </c>
    </row>
    <row r="168" spans="1:17" x14ac:dyDescent="0.45">
      <c r="A168" t="s">
        <v>422</v>
      </c>
      <c r="B168" t="s">
        <v>99</v>
      </c>
      <c r="C168" t="s">
        <v>423</v>
      </c>
      <c r="D168" t="s">
        <v>85</v>
      </c>
      <c r="E168" s="8">
        <v>3402.58</v>
      </c>
      <c r="F168" s="9">
        <v>45647.666684444448</v>
      </c>
      <c r="G168" t="s">
        <v>102</v>
      </c>
      <c r="H168" t="s">
        <v>76</v>
      </c>
      <c r="I168" t="s">
        <v>82</v>
      </c>
      <c r="J168" t="str">
        <f t="shared" si="16"/>
        <v/>
      </c>
      <c r="K168" t="str">
        <f t="shared" si="17"/>
        <v/>
      </c>
      <c r="L168" t="str">
        <f t="shared" si="18"/>
        <v/>
      </c>
      <c r="M168" t="str">
        <f t="shared" si="19"/>
        <v/>
      </c>
      <c r="N168" t="str">
        <f t="shared" si="20"/>
        <v/>
      </c>
      <c r="O168" t="str">
        <f t="shared" ca="1" si="21"/>
        <v>Outdated</v>
      </c>
      <c r="P168" t="str">
        <f t="shared" si="22"/>
        <v>Late Delivery</v>
      </c>
      <c r="Q168" t="str">
        <f t="shared" si="23"/>
        <v/>
      </c>
    </row>
    <row r="169" spans="1:17" x14ac:dyDescent="0.45">
      <c r="A169" t="s">
        <v>424</v>
      </c>
      <c r="B169" t="s">
        <v>138</v>
      </c>
      <c r="C169" t="s">
        <v>425</v>
      </c>
      <c r="D169" t="s">
        <v>106</v>
      </c>
      <c r="E169" s="8">
        <v>5787.5</v>
      </c>
      <c r="F169" s="9">
        <v>45236.666684444448</v>
      </c>
      <c r="G169" t="s">
        <v>140</v>
      </c>
      <c r="H169" t="s">
        <v>87</v>
      </c>
      <c r="I169" t="s">
        <v>119</v>
      </c>
      <c r="J169" t="str">
        <f t="shared" si="16"/>
        <v/>
      </c>
      <c r="K169" t="str">
        <f t="shared" si="17"/>
        <v/>
      </c>
      <c r="L169" t="str">
        <f t="shared" si="18"/>
        <v/>
      </c>
      <c r="M169" t="str">
        <f t="shared" si="19"/>
        <v/>
      </c>
      <c r="N169" t="str">
        <f t="shared" si="20"/>
        <v>Invalid</v>
      </c>
      <c r="O169" t="str">
        <f t="shared" ca="1" si="21"/>
        <v>Outdated</v>
      </c>
      <c r="P169" t="str">
        <f t="shared" si="22"/>
        <v>Damaged</v>
      </c>
      <c r="Q169" t="str">
        <f t="shared" si="23"/>
        <v>Inconsistent</v>
      </c>
    </row>
    <row r="170" spans="1:17" x14ac:dyDescent="0.45">
      <c r="A170" t="s">
        <v>426</v>
      </c>
      <c r="B170" t="s">
        <v>172</v>
      </c>
      <c r="C170" t="s">
        <v>427</v>
      </c>
      <c r="D170" t="s">
        <v>92</v>
      </c>
      <c r="E170" s="8">
        <v>4306.42</v>
      </c>
      <c r="F170" s="9">
        <v>45768.666684444448</v>
      </c>
      <c r="G170" t="s">
        <v>174</v>
      </c>
      <c r="H170" t="s">
        <v>116</v>
      </c>
      <c r="I170" t="s">
        <v>77</v>
      </c>
      <c r="J170" t="str">
        <f t="shared" si="16"/>
        <v/>
      </c>
      <c r="K170" t="str">
        <f t="shared" si="17"/>
        <v/>
      </c>
      <c r="L170" t="str">
        <f t="shared" si="18"/>
        <v/>
      </c>
      <c r="M170" t="str">
        <f t="shared" si="19"/>
        <v/>
      </c>
      <c r="N170" t="str">
        <f t="shared" si="20"/>
        <v/>
      </c>
      <c r="O170" t="str">
        <f t="shared" ca="1" si="21"/>
        <v>Outdated</v>
      </c>
      <c r="P170" t="str">
        <f t="shared" si="22"/>
        <v>Not As Described</v>
      </c>
      <c r="Q170" t="str">
        <f t="shared" si="23"/>
        <v/>
      </c>
    </row>
    <row r="171" spans="1:17" x14ac:dyDescent="0.45">
      <c r="A171" t="s">
        <v>428</v>
      </c>
      <c r="B171" t="s">
        <v>172</v>
      </c>
      <c r="C171" t="s">
        <v>429</v>
      </c>
      <c r="D171" t="s">
        <v>101</v>
      </c>
      <c r="E171" s="8">
        <v>4589.8100000000004</v>
      </c>
      <c r="F171" s="9">
        <v>45433.666684444448</v>
      </c>
      <c r="G171" t="s">
        <v>174</v>
      </c>
      <c r="H171" t="s">
        <v>145</v>
      </c>
      <c r="I171" t="s">
        <v>119</v>
      </c>
      <c r="J171" t="str">
        <f t="shared" si="16"/>
        <v/>
      </c>
      <c r="K171" t="str">
        <f t="shared" si="17"/>
        <v/>
      </c>
      <c r="L171" t="str">
        <f t="shared" si="18"/>
        <v/>
      </c>
      <c r="M171" t="str">
        <f t="shared" si="19"/>
        <v/>
      </c>
      <c r="N171" t="str">
        <f t="shared" si="20"/>
        <v/>
      </c>
      <c r="O171" t="str">
        <f t="shared" ca="1" si="21"/>
        <v>Outdated</v>
      </c>
      <c r="P171" t="str">
        <f t="shared" si="22"/>
        <v>Damaged</v>
      </c>
      <c r="Q171" t="str">
        <f t="shared" si="23"/>
        <v/>
      </c>
    </row>
    <row r="172" spans="1:17" x14ac:dyDescent="0.45">
      <c r="A172" t="s">
        <v>430</v>
      </c>
      <c r="B172" t="s">
        <v>172</v>
      </c>
      <c r="C172" t="s">
        <v>431</v>
      </c>
      <c r="D172" t="s">
        <v>101</v>
      </c>
      <c r="E172" s="8">
        <v>298.31</v>
      </c>
      <c r="F172" s="9">
        <v>45782.666684444448</v>
      </c>
      <c r="G172" t="s">
        <v>174</v>
      </c>
      <c r="H172" t="s">
        <v>133</v>
      </c>
      <c r="I172" t="s">
        <v>119</v>
      </c>
      <c r="J172" t="str">
        <f t="shared" si="16"/>
        <v/>
      </c>
      <c r="K172" t="str">
        <f t="shared" si="17"/>
        <v/>
      </c>
      <c r="L172" t="str">
        <f t="shared" si="18"/>
        <v/>
      </c>
      <c r="M172" t="str">
        <f t="shared" si="19"/>
        <v/>
      </c>
      <c r="N172" t="str">
        <f t="shared" si="20"/>
        <v>Invalid</v>
      </c>
      <c r="O172" t="str">
        <f t="shared" ca="1" si="21"/>
        <v>Outdated</v>
      </c>
      <c r="P172" t="str">
        <f t="shared" si="22"/>
        <v>Damaged</v>
      </c>
      <c r="Q172" t="str">
        <f t="shared" si="23"/>
        <v/>
      </c>
    </row>
    <row r="173" spans="1:17" x14ac:dyDescent="0.45">
      <c r="A173" t="s">
        <v>432</v>
      </c>
      <c r="B173" t="s">
        <v>172</v>
      </c>
      <c r="C173" t="s">
        <v>433</v>
      </c>
      <c r="D173" t="s">
        <v>85</v>
      </c>
      <c r="E173" s="8">
        <v>0</v>
      </c>
      <c r="F173" s="9">
        <v>45647.666684444448</v>
      </c>
      <c r="G173" t="s">
        <v>174</v>
      </c>
      <c r="H173" t="s">
        <v>136</v>
      </c>
      <c r="I173" t="s">
        <v>77</v>
      </c>
      <c r="J173" t="str">
        <f t="shared" si="16"/>
        <v/>
      </c>
      <c r="K173" t="str">
        <f t="shared" si="17"/>
        <v/>
      </c>
      <c r="L173" t="str">
        <f t="shared" si="18"/>
        <v>Unusual</v>
      </c>
      <c r="M173" t="str">
        <f t="shared" si="19"/>
        <v/>
      </c>
      <c r="N173" t="str">
        <f t="shared" si="20"/>
        <v>Invalid</v>
      </c>
      <c r="O173" t="str">
        <f t="shared" ca="1" si="21"/>
        <v>Outdated</v>
      </c>
      <c r="P173" t="str">
        <f t="shared" si="22"/>
        <v>Late Delivery</v>
      </c>
      <c r="Q173" t="str">
        <f t="shared" si="23"/>
        <v/>
      </c>
    </row>
    <row r="174" spans="1:17" x14ac:dyDescent="0.45">
      <c r="A174" t="s">
        <v>434</v>
      </c>
      <c r="B174" t="s">
        <v>172</v>
      </c>
      <c r="C174" t="s">
        <v>298</v>
      </c>
      <c r="D174" t="s">
        <v>92</v>
      </c>
      <c r="E174" s="8">
        <v>4876.88</v>
      </c>
      <c r="F174" s="9">
        <v>45751.666684444448</v>
      </c>
      <c r="G174" t="s">
        <v>236</v>
      </c>
      <c r="H174" t="s">
        <v>116</v>
      </c>
      <c r="I174" t="s">
        <v>112</v>
      </c>
      <c r="J174" t="str">
        <f t="shared" si="16"/>
        <v/>
      </c>
      <c r="K174" t="str">
        <f t="shared" si="17"/>
        <v/>
      </c>
      <c r="L174" t="str">
        <f t="shared" si="18"/>
        <v/>
      </c>
      <c r="M174" t="str">
        <f t="shared" si="19"/>
        <v>Invalid</v>
      </c>
      <c r="N174" t="str">
        <f t="shared" si="20"/>
        <v/>
      </c>
      <c r="O174" t="str">
        <f t="shared" ca="1" si="21"/>
        <v>Outdated</v>
      </c>
      <c r="P174" t="str">
        <f t="shared" si="22"/>
        <v>Not As Described</v>
      </c>
      <c r="Q174" t="str">
        <f t="shared" si="23"/>
        <v/>
      </c>
    </row>
    <row r="175" spans="1:17" x14ac:dyDescent="0.45">
      <c r="A175" t="s">
        <v>435</v>
      </c>
      <c r="B175" t="s">
        <v>95</v>
      </c>
      <c r="C175" t="s">
        <v>436</v>
      </c>
      <c r="D175" t="s">
        <v>85</v>
      </c>
      <c r="E175" s="8">
        <v>9581.81</v>
      </c>
      <c r="F175" s="9">
        <v>45331.666684444448</v>
      </c>
      <c r="G175" t="s">
        <v>97</v>
      </c>
      <c r="H175" t="s">
        <v>118</v>
      </c>
      <c r="I175" t="s">
        <v>119</v>
      </c>
      <c r="J175" t="str">
        <f t="shared" si="16"/>
        <v/>
      </c>
      <c r="K175" t="str">
        <f t="shared" si="17"/>
        <v>Duplicate</v>
      </c>
      <c r="L175" t="str">
        <f t="shared" si="18"/>
        <v/>
      </c>
      <c r="M175" t="str">
        <f t="shared" si="19"/>
        <v/>
      </c>
      <c r="N175" t="str">
        <f t="shared" si="20"/>
        <v>Invalid</v>
      </c>
      <c r="O175" t="str">
        <f t="shared" ca="1" si="21"/>
        <v>Outdated</v>
      </c>
      <c r="P175" t="str">
        <f t="shared" si="22"/>
        <v>Late Delivery</v>
      </c>
      <c r="Q175" t="str">
        <f t="shared" si="23"/>
        <v/>
      </c>
    </row>
    <row r="176" spans="1:17" x14ac:dyDescent="0.45">
      <c r="A176" t="s">
        <v>437</v>
      </c>
      <c r="B176" t="s">
        <v>95</v>
      </c>
      <c r="C176" t="s">
        <v>438</v>
      </c>
      <c r="D176" t="s">
        <v>85</v>
      </c>
      <c r="E176" s="8">
        <v>2934.49</v>
      </c>
      <c r="F176" s="9">
        <v>45284.666684444448</v>
      </c>
      <c r="G176" t="s">
        <v>97</v>
      </c>
      <c r="H176" t="s">
        <v>81</v>
      </c>
      <c r="I176" t="s">
        <v>112</v>
      </c>
      <c r="J176" t="str">
        <f t="shared" si="16"/>
        <v/>
      </c>
      <c r="K176" t="str">
        <f t="shared" si="17"/>
        <v/>
      </c>
      <c r="L176" t="str">
        <f t="shared" si="18"/>
        <v/>
      </c>
      <c r="M176" t="str">
        <f t="shared" si="19"/>
        <v/>
      </c>
      <c r="N176" t="str">
        <f t="shared" si="20"/>
        <v/>
      </c>
      <c r="O176" t="str">
        <f t="shared" ca="1" si="21"/>
        <v>Outdated</v>
      </c>
      <c r="P176" t="str">
        <f t="shared" si="22"/>
        <v>Late Delivery</v>
      </c>
      <c r="Q176" t="str">
        <f t="shared" si="23"/>
        <v/>
      </c>
    </row>
    <row r="177" spans="1:17" x14ac:dyDescent="0.45">
      <c r="A177" t="s">
        <v>439</v>
      </c>
      <c r="B177" t="s">
        <v>172</v>
      </c>
      <c r="C177" t="s">
        <v>440</v>
      </c>
      <c r="D177" t="s">
        <v>74</v>
      </c>
      <c r="E177" s="8">
        <v>4070.85</v>
      </c>
      <c r="F177" s="9">
        <v>45510.666684444448</v>
      </c>
      <c r="G177" t="s">
        <v>174</v>
      </c>
      <c r="H177" t="s">
        <v>107</v>
      </c>
      <c r="I177" t="s">
        <v>88</v>
      </c>
      <c r="J177" t="str">
        <f t="shared" si="16"/>
        <v/>
      </c>
      <c r="K177" t="str">
        <f t="shared" si="17"/>
        <v/>
      </c>
      <c r="L177" t="str">
        <f t="shared" si="18"/>
        <v/>
      </c>
      <c r="M177" t="str">
        <f t="shared" si="19"/>
        <v/>
      </c>
      <c r="N177" t="str">
        <f t="shared" si="20"/>
        <v/>
      </c>
      <c r="O177" t="str">
        <f t="shared" ca="1" si="21"/>
        <v>Outdated</v>
      </c>
      <c r="P177" t="str">
        <f t="shared" si="22"/>
        <v>Wrong Item</v>
      </c>
      <c r="Q177" t="str">
        <f t="shared" si="23"/>
        <v/>
      </c>
    </row>
    <row r="178" spans="1:17" x14ac:dyDescent="0.45">
      <c r="A178" t="s">
        <v>441</v>
      </c>
      <c r="B178" t="s">
        <v>72</v>
      </c>
      <c r="C178" t="s">
        <v>442</v>
      </c>
      <c r="D178" t="s">
        <v>101</v>
      </c>
      <c r="E178" s="8">
        <v>5264.01</v>
      </c>
      <c r="F178" s="9">
        <v>45293.666684444448</v>
      </c>
      <c r="G178" t="s">
        <v>75</v>
      </c>
      <c r="H178" t="s">
        <v>136</v>
      </c>
      <c r="I178" t="s">
        <v>119</v>
      </c>
      <c r="J178" t="str">
        <f t="shared" si="16"/>
        <v/>
      </c>
      <c r="K178" t="str">
        <f t="shared" si="17"/>
        <v/>
      </c>
      <c r="L178" t="str">
        <f t="shared" si="18"/>
        <v/>
      </c>
      <c r="M178" t="str">
        <f t="shared" si="19"/>
        <v/>
      </c>
      <c r="N178" t="str">
        <f t="shared" si="20"/>
        <v>Invalid</v>
      </c>
      <c r="O178" t="str">
        <f t="shared" ca="1" si="21"/>
        <v>Outdated</v>
      </c>
      <c r="P178" t="str">
        <f t="shared" si="22"/>
        <v>Damaged</v>
      </c>
      <c r="Q178" t="str">
        <f t="shared" si="23"/>
        <v/>
      </c>
    </row>
    <row r="179" spans="1:17" x14ac:dyDescent="0.45">
      <c r="A179" t="s">
        <v>443</v>
      </c>
      <c r="B179" t="s">
        <v>72</v>
      </c>
      <c r="C179" t="s">
        <v>444</v>
      </c>
      <c r="D179" t="s">
        <v>101</v>
      </c>
      <c r="E179" s="8">
        <v>1565.42</v>
      </c>
      <c r="F179" s="9">
        <v>45680.666684444448</v>
      </c>
      <c r="G179" t="s">
        <v>75</v>
      </c>
      <c r="H179" t="s">
        <v>136</v>
      </c>
      <c r="I179" t="s">
        <v>119</v>
      </c>
      <c r="J179" t="str">
        <f t="shared" si="16"/>
        <v/>
      </c>
      <c r="K179" t="str">
        <f t="shared" si="17"/>
        <v/>
      </c>
      <c r="L179" t="str">
        <f t="shared" si="18"/>
        <v/>
      </c>
      <c r="M179" t="str">
        <f t="shared" si="19"/>
        <v/>
      </c>
      <c r="N179" t="str">
        <f t="shared" si="20"/>
        <v>Invalid</v>
      </c>
      <c r="O179" t="str">
        <f t="shared" ca="1" si="21"/>
        <v>Outdated</v>
      </c>
      <c r="P179" t="str">
        <f t="shared" si="22"/>
        <v>Damaged</v>
      </c>
      <c r="Q179" t="str">
        <f t="shared" si="23"/>
        <v/>
      </c>
    </row>
    <row r="180" spans="1:17" x14ac:dyDescent="0.45">
      <c r="A180" t="s">
        <v>445</v>
      </c>
      <c r="B180" t="s">
        <v>95</v>
      </c>
      <c r="C180" t="s">
        <v>446</v>
      </c>
      <c r="D180" t="s">
        <v>74</v>
      </c>
      <c r="E180" s="8">
        <v>0</v>
      </c>
      <c r="F180" s="9">
        <v>45671.666684444448</v>
      </c>
      <c r="G180" t="s">
        <v>97</v>
      </c>
      <c r="H180" t="s">
        <v>116</v>
      </c>
      <c r="I180" t="s">
        <v>77</v>
      </c>
      <c r="J180" t="str">
        <f t="shared" si="16"/>
        <v/>
      </c>
      <c r="K180" t="str">
        <f t="shared" si="17"/>
        <v/>
      </c>
      <c r="L180" t="str">
        <f t="shared" si="18"/>
        <v>Unusual</v>
      </c>
      <c r="M180" t="str">
        <f t="shared" si="19"/>
        <v/>
      </c>
      <c r="N180" t="str">
        <f t="shared" si="20"/>
        <v/>
      </c>
      <c r="O180" t="str">
        <f t="shared" ca="1" si="21"/>
        <v>Outdated</v>
      </c>
      <c r="P180" t="str">
        <f t="shared" si="22"/>
        <v>Wrong Item</v>
      </c>
      <c r="Q180" t="str">
        <f t="shared" si="23"/>
        <v/>
      </c>
    </row>
    <row r="181" spans="1:17" x14ac:dyDescent="0.45">
      <c r="A181" t="s">
        <v>447</v>
      </c>
      <c r="B181" t="s">
        <v>90</v>
      </c>
      <c r="C181" t="s">
        <v>448</v>
      </c>
      <c r="D181" t="s">
        <v>74</v>
      </c>
      <c r="E181" s="8">
        <v>8464.2800000000007</v>
      </c>
      <c r="F181" s="9">
        <v>45128.666684444448</v>
      </c>
      <c r="G181" t="s">
        <v>93</v>
      </c>
      <c r="H181" t="s">
        <v>87</v>
      </c>
      <c r="I181" t="s">
        <v>82</v>
      </c>
      <c r="J181" t="str">
        <f t="shared" si="16"/>
        <v/>
      </c>
      <c r="K181" t="str">
        <f t="shared" si="17"/>
        <v>Duplicate</v>
      </c>
      <c r="L181" t="str">
        <f t="shared" si="18"/>
        <v/>
      </c>
      <c r="M181" t="str">
        <f t="shared" si="19"/>
        <v/>
      </c>
      <c r="N181" t="str">
        <f t="shared" si="20"/>
        <v>Invalid</v>
      </c>
      <c r="O181" t="str">
        <f t="shared" ca="1" si="21"/>
        <v>Outdated</v>
      </c>
      <c r="P181" t="str">
        <f t="shared" si="22"/>
        <v>Wrong Item</v>
      </c>
      <c r="Q181" t="str">
        <f t="shared" si="23"/>
        <v/>
      </c>
    </row>
    <row r="182" spans="1:17" x14ac:dyDescent="0.45">
      <c r="A182" t="s">
        <v>449</v>
      </c>
      <c r="B182" t="s">
        <v>138</v>
      </c>
      <c r="C182" t="s">
        <v>450</v>
      </c>
      <c r="D182" t="s">
        <v>85</v>
      </c>
      <c r="E182" s="8">
        <v>5623.22</v>
      </c>
      <c r="F182" s="9">
        <v>45741.666684444448</v>
      </c>
      <c r="G182" t="s">
        <v>140</v>
      </c>
      <c r="H182" t="s">
        <v>118</v>
      </c>
      <c r="I182" t="s">
        <v>88</v>
      </c>
      <c r="J182" t="str">
        <f t="shared" si="16"/>
        <v/>
      </c>
      <c r="K182" t="str">
        <f t="shared" si="17"/>
        <v/>
      </c>
      <c r="L182" t="str">
        <f t="shared" si="18"/>
        <v/>
      </c>
      <c r="M182" t="str">
        <f t="shared" si="19"/>
        <v/>
      </c>
      <c r="N182" t="str">
        <f t="shared" si="20"/>
        <v>Invalid</v>
      </c>
      <c r="O182" t="str">
        <f t="shared" ca="1" si="21"/>
        <v>Outdated</v>
      </c>
      <c r="P182" t="str">
        <f t="shared" si="22"/>
        <v>Late Delivery</v>
      </c>
      <c r="Q182" t="str">
        <f t="shared" si="23"/>
        <v/>
      </c>
    </row>
    <row r="183" spans="1:17" x14ac:dyDescent="0.45">
      <c r="A183" t="s">
        <v>451</v>
      </c>
      <c r="B183" t="s">
        <v>109</v>
      </c>
      <c r="C183" t="s">
        <v>452</v>
      </c>
      <c r="D183" t="s">
        <v>85</v>
      </c>
      <c r="E183" s="8">
        <v>10642.09</v>
      </c>
      <c r="F183" s="9">
        <v>45459.666684444448</v>
      </c>
      <c r="G183" t="s">
        <v>111</v>
      </c>
      <c r="I183" t="s">
        <v>163</v>
      </c>
      <c r="J183" t="str">
        <f t="shared" si="16"/>
        <v/>
      </c>
      <c r="K183" t="str">
        <f t="shared" si="17"/>
        <v/>
      </c>
      <c r="L183" t="str">
        <f t="shared" si="18"/>
        <v>Unusual</v>
      </c>
      <c r="M183" t="str">
        <f t="shared" si="19"/>
        <v/>
      </c>
      <c r="N183" t="str">
        <f t="shared" si="20"/>
        <v>Invalid</v>
      </c>
      <c r="O183" t="str">
        <f t="shared" ca="1" si="21"/>
        <v>Outdated</v>
      </c>
      <c r="P183" t="str">
        <f t="shared" si="22"/>
        <v>Late Delivery</v>
      </c>
      <c r="Q183" t="str">
        <f t="shared" si="23"/>
        <v/>
      </c>
    </row>
    <row r="184" spans="1:17" x14ac:dyDescent="0.45">
      <c r="A184" t="s">
        <v>453</v>
      </c>
      <c r="B184" t="s">
        <v>172</v>
      </c>
      <c r="C184" t="s">
        <v>454</v>
      </c>
      <c r="D184" t="s">
        <v>101</v>
      </c>
      <c r="E184" s="8">
        <v>8948.7999999999993</v>
      </c>
      <c r="F184" s="9">
        <v>45628.666684444448</v>
      </c>
      <c r="G184" t="s">
        <v>174</v>
      </c>
      <c r="H184" t="s">
        <v>116</v>
      </c>
      <c r="I184" t="s">
        <v>119</v>
      </c>
      <c r="J184" t="str">
        <f t="shared" si="16"/>
        <v/>
      </c>
      <c r="K184" t="str">
        <f t="shared" si="17"/>
        <v>Duplicate</v>
      </c>
      <c r="L184" t="str">
        <f t="shared" si="18"/>
        <v/>
      </c>
      <c r="M184" t="str">
        <f t="shared" si="19"/>
        <v/>
      </c>
      <c r="N184" t="str">
        <f t="shared" si="20"/>
        <v/>
      </c>
      <c r="O184" t="str">
        <f t="shared" ca="1" si="21"/>
        <v>Outdated</v>
      </c>
      <c r="P184" t="str">
        <f t="shared" si="22"/>
        <v>Damaged</v>
      </c>
      <c r="Q184" t="str">
        <f t="shared" si="23"/>
        <v/>
      </c>
    </row>
    <row r="185" spans="1:17" x14ac:dyDescent="0.45">
      <c r="A185" t="s">
        <v>455</v>
      </c>
      <c r="B185" t="s">
        <v>90</v>
      </c>
      <c r="C185" t="s">
        <v>456</v>
      </c>
      <c r="D185" t="s">
        <v>85</v>
      </c>
      <c r="E185" s="8">
        <v>0</v>
      </c>
      <c r="F185" s="9">
        <v>45147.666684444448</v>
      </c>
      <c r="G185" t="s">
        <v>93</v>
      </c>
      <c r="H185" t="s">
        <v>118</v>
      </c>
      <c r="I185" t="s">
        <v>163</v>
      </c>
      <c r="J185" t="str">
        <f t="shared" si="16"/>
        <v/>
      </c>
      <c r="K185" t="str">
        <f t="shared" si="17"/>
        <v/>
      </c>
      <c r="L185" t="str">
        <f t="shared" si="18"/>
        <v>Unusual</v>
      </c>
      <c r="M185" t="str">
        <f t="shared" si="19"/>
        <v/>
      </c>
      <c r="N185" t="str">
        <f t="shared" si="20"/>
        <v>Invalid</v>
      </c>
      <c r="O185" t="str">
        <f t="shared" ca="1" si="21"/>
        <v>Outdated</v>
      </c>
      <c r="P185" t="str">
        <f t="shared" si="22"/>
        <v>Late Delivery</v>
      </c>
      <c r="Q185" t="str">
        <f t="shared" si="23"/>
        <v/>
      </c>
    </row>
    <row r="186" spans="1:17" x14ac:dyDescent="0.45">
      <c r="A186" t="s">
        <v>457</v>
      </c>
      <c r="B186" t="s">
        <v>72</v>
      </c>
      <c r="D186" t="s">
        <v>85</v>
      </c>
      <c r="E186" s="8">
        <v>9439</v>
      </c>
      <c r="F186" s="9">
        <v>45242.666684444448</v>
      </c>
      <c r="G186" t="s">
        <v>75</v>
      </c>
      <c r="H186" t="s">
        <v>76</v>
      </c>
      <c r="I186" t="s">
        <v>77</v>
      </c>
      <c r="J186" t="str">
        <f t="shared" si="16"/>
        <v>Missing</v>
      </c>
      <c r="K186" t="str">
        <f t="shared" si="17"/>
        <v/>
      </c>
      <c r="L186" t="str">
        <f t="shared" si="18"/>
        <v/>
      </c>
      <c r="M186" t="str">
        <f t="shared" si="19"/>
        <v/>
      </c>
      <c r="N186" t="str">
        <f t="shared" si="20"/>
        <v/>
      </c>
      <c r="O186" t="str">
        <f t="shared" ca="1" si="21"/>
        <v>Outdated</v>
      </c>
      <c r="P186" t="str">
        <f t="shared" si="22"/>
        <v>Late Delivery</v>
      </c>
      <c r="Q186" t="str">
        <f t="shared" si="23"/>
        <v/>
      </c>
    </row>
    <row r="187" spans="1:17" x14ac:dyDescent="0.45">
      <c r="A187" t="s">
        <v>458</v>
      </c>
      <c r="B187" t="s">
        <v>72</v>
      </c>
      <c r="C187" t="s">
        <v>459</v>
      </c>
      <c r="D187" t="s">
        <v>74</v>
      </c>
      <c r="E187" s="8">
        <v>0</v>
      </c>
      <c r="F187" s="9">
        <v>45499.666684444448</v>
      </c>
      <c r="G187" t="s">
        <v>75</v>
      </c>
      <c r="H187" t="s">
        <v>81</v>
      </c>
      <c r="I187" t="s">
        <v>88</v>
      </c>
      <c r="J187" t="str">
        <f t="shared" si="16"/>
        <v/>
      </c>
      <c r="K187" t="str">
        <f t="shared" si="17"/>
        <v/>
      </c>
      <c r="L187" t="str">
        <f t="shared" si="18"/>
        <v>Unusual</v>
      </c>
      <c r="M187" t="str">
        <f t="shared" si="19"/>
        <v/>
      </c>
      <c r="N187" t="str">
        <f t="shared" si="20"/>
        <v/>
      </c>
      <c r="O187" t="str">
        <f t="shared" ca="1" si="21"/>
        <v>Outdated</v>
      </c>
      <c r="P187" t="str">
        <f t="shared" si="22"/>
        <v>Wrong Item</v>
      </c>
      <c r="Q187" t="str">
        <f t="shared" si="23"/>
        <v/>
      </c>
    </row>
    <row r="188" spans="1:17" x14ac:dyDescent="0.45">
      <c r="A188" t="s">
        <v>460</v>
      </c>
      <c r="B188" t="s">
        <v>90</v>
      </c>
      <c r="C188" t="s">
        <v>431</v>
      </c>
      <c r="D188" t="s">
        <v>92</v>
      </c>
      <c r="E188" s="8">
        <v>10293.17</v>
      </c>
      <c r="F188" s="9">
        <v>45442.666684444448</v>
      </c>
      <c r="G188" t="s">
        <v>93</v>
      </c>
      <c r="H188" t="s">
        <v>116</v>
      </c>
      <c r="I188" t="s">
        <v>77</v>
      </c>
      <c r="J188" t="str">
        <f t="shared" si="16"/>
        <v/>
      </c>
      <c r="K188" t="str">
        <f t="shared" si="17"/>
        <v/>
      </c>
      <c r="L188" t="str">
        <f t="shared" si="18"/>
        <v>Unusual</v>
      </c>
      <c r="M188" t="str">
        <f t="shared" si="19"/>
        <v/>
      </c>
      <c r="N188" t="str">
        <f t="shared" si="20"/>
        <v/>
      </c>
      <c r="O188" t="str">
        <f t="shared" ca="1" si="21"/>
        <v>Outdated</v>
      </c>
      <c r="P188" t="str">
        <f t="shared" si="22"/>
        <v>Not As Described</v>
      </c>
      <c r="Q188" t="str">
        <f t="shared" si="23"/>
        <v/>
      </c>
    </row>
    <row r="189" spans="1:17" x14ac:dyDescent="0.45">
      <c r="A189" t="s">
        <v>461</v>
      </c>
      <c r="B189" t="s">
        <v>138</v>
      </c>
      <c r="C189" t="s">
        <v>462</v>
      </c>
      <c r="D189" t="s">
        <v>92</v>
      </c>
      <c r="E189" s="8">
        <v>49.27</v>
      </c>
      <c r="F189" s="9">
        <v>45373.666684444448</v>
      </c>
      <c r="G189" t="s">
        <v>140</v>
      </c>
      <c r="H189" t="s">
        <v>133</v>
      </c>
      <c r="I189" t="s">
        <v>112</v>
      </c>
      <c r="J189" t="str">
        <f t="shared" si="16"/>
        <v/>
      </c>
      <c r="K189" t="str">
        <f t="shared" si="17"/>
        <v/>
      </c>
      <c r="L189" t="str">
        <f t="shared" si="18"/>
        <v/>
      </c>
      <c r="M189" t="str">
        <f t="shared" si="19"/>
        <v/>
      </c>
      <c r="N189" t="str">
        <f t="shared" si="20"/>
        <v>Invalid</v>
      </c>
      <c r="O189" t="str">
        <f t="shared" ca="1" si="21"/>
        <v>Outdated</v>
      </c>
      <c r="P189" t="str">
        <f t="shared" si="22"/>
        <v>Not As Described</v>
      </c>
      <c r="Q189" t="str">
        <f t="shared" si="23"/>
        <v/>
      </c>
    </row>
    <row r="190" spans="1:17" x14ac:dyDescent="0.45">
      <c r="A190" t="s">
        <v>463</v>
      </c>
      <c r="B190" t="s">
        <v>95</v>
      </c>
      <c r="C190" t="s">
        <v>464</v>
      </c>
      <c r="D190" t="s">
        <v>92</v>
      </c>
      <c r="E190" s="8">
        <v>0</v>
      </c>
      <c r="F190" s="9">
        <v>45187.666684444448</v>
      </c>
      <c r="G190" t="s">
        <v>97</v>
      </c>
      <c r="H190" t="s">
        <v>136</v>
      </c>
      <c r="I190" t="s">
        <v>163</v>
      </c>
      <c r="J190" t="str">
        <f t="shared" si="16"/>
        <v/>
      </c>
      <c r="K190" t="str">
        <f t="shared" si="17"/>
        <v/>
      </c>
      <c r="L190" t="str">
        <f t="shared" si="18"/>
        <v>Unusual</v>
      </c>
      <c r="M190" t="str">
        <f t="shared" si="19"/>
        <v/>
      </c>
      <c r="N190" t="str">
        <f t="shared" si="20"/>
        <v>Invalid</v>
      </c>
      <c r="O190" t="str">
        <f t="shared" ca="1" si="21"/>
        <v>Outdated</v>
      </c>
      <c r="P190" t="str">
        <f t="shared" si="22"/>
        <v>Not As Described</v>
      </c>
      <c r="Q190" t="str">
        <f t="shared" si="23"/>
        <v/>
      </c>
    </row>
    <row r="191" spans="1:17" x14ac:dyDescent="0.45">
      <c r="A191" t="s">
        <v>465</v>
      </c>
      <c r="B191" t="s">
        <v>138</v>
      </c>
      <c r="C191" t="s">
        <v>466</v>
      </c>
      <c r="D191" t="s">
        <v>85</v>
      </c>
      <c r="E191" s="8">
        <v>1860.1</v>
      </c>
      <c r="F191" s="9">
        <v>45374.666684444448</v>
      </c>
      <c r="G191" t="s">
        <v>194</v>
      </c>
      <c r="H191" t="s">
        <v>133</v>
      </c>
      <c r="I191" t="s">
        <v>163</v>
      </c>
      <c r="J191" t="str">
        <f t="shared" si="16"/>
        <v/>
      </c>
      <c r="K191" t="str">
        <f t="shared" si="17"/>
        <v/>
      </c>
      <c r="L191" t="str">
        <f t="shared" si="18"/>
        <v/>
      </c>
      <c r="M191" t="str">
        <f t="shared" si="19"/>
        <v>Invalid</v>
      </c>
      <c r="N191" t="str">
        <f t="shared" si="20"/>
        <v>Invalid</v>
      </c>
      <c r="O191" t="str">
        <f t="shared" ca="1" si="21"/>
        <v>Outdated</v>
      </c>
      <c r="P191" t="str">
        <f t="shared" si="22"/>
        <v>Late Delivery</v>
      </c>
      <c r="Q191" t="str">
        <f t="shared" si="23"/>
        <v/>
      </c>
    </row>
    <row r="192" spans="1:17" x14ac:dyDescent="0.45">
      <c r="A192" t="s">
        <v>467</v>
      </c>
      <c r="B192" t="s">
        <v>99</v>
      </c>
      <c r="D192" t="s">
        <v>85</v>
      </c>
      <c r="E192" s="8">
        <v>8505.59</v>
      </c>
      <c r="F192" s="9">
        <v>45708.666684444448</v>
      </c>
      <c r="H192" t="s">
        <v>133</v>
      </c>
      <c r="I192" t="s">
        <v>88</v>
      </c>
      <c r="J192" t="str">
        <f t="shared" si="16"/>
        <v>Missing</v>
      </c>
      <c r="K192" t="str">
        <f t="shared" si="17"/>
        <v/>
      </c>
      <c r="L192" t="str">
        <f t="shared" si="18"/>
        <v/>
      </c>
      <c r="M192" t="str">
        <f t="shared" si="19"/>
        <v>Invalid</v>
      </c>
      <c r="N192" t="str">
        <f t="shared" si="20"/>
        <v>Invalid</v>
      </c>
      <c r="O192" t="str">
        <f t="shared" ca="1" si="21"/>
        <v>Outdated</v>
      </c>
      <c r="P192" t="str">
        <f t="shared" si="22"/>
        <v>Late Delivery</v>
      </c>
      <c r="Q192" t="str">
        <f t="shared" si="23"/>
        <v/>
      </c>
    </row>
    <row r="193" spans="1:17" x14ac:dyDescent="0.45">
      <c r="A193" t="s">
        <v>468</v>
      </c>
      <c r="B193" t="s">
        <v>99</v>
      </c>
      <c r="D193" t="s">
        <v>74</v>
      </c>
      <c r="E193" s="8">
        <v>10662.4</v>
      </c>
      <c r="F193" s="9">
        <v>45208.666684444448</v>
      </c>
      <c r="G193" t="s">
        <v>102</v>
      </c>
      <c r="H193" t="s">
        <v>136</v>
      </c>
      <c r="I193" t="s">
        <v>77</v>
      </c>
      <c r="J193" t="str">
        <f t="shared" si="16"/>
        <v>Missing</v>
      </c>
      <c r="K193" t="str">
        <f t="shared" si="17"/>
        <v/>
      </c>
      <c r="L193" t="str">
        <f t="shared" si="18"/>
        <v>Unusual</v>
      </c>
      <c r="M193" t="str">
        <f t="shared" si="19"/>
        <v/>
      </c>
      <c r="N193" t="str">
        <f t="shared" si="20"/>
        <v>Invalid</v>
      </c>
      <c r="O193" t="str">
        <f t="shared" ca="1" si="21"/>
        <v>Outdated</v>
      </c>
      <c r="P193" t="str">
        <f t="shared" si="22"/>
        <v>Wrong Item</v>
      </c>
      <c r="Q193" t="str">
        <f t="shared" si="23"/>
        <v/>
      </c>
    </row>
    <row r="194" spans="1:17" x14ac:dyDescent="0.45">
      <c r="A194" t="s">
        <v>469</v>
      </c>
      <c r="B194" t="s">
        <v>72</v>
      </c>
      <c r="C194" t="s">
        <v>363</v>
      </c>
      <c r="D194" t="s">
        <v>101</v>
      </c>
      <c r="E194" s="8">
        <v>1714.15</v>
      </c>
      <c r="F194" s="9">
        <v>45215.666684444448</v>
      </c>
      <c r="G194" t="s">
        <v>75</v>
      </c>
      <c r="H194" t="s">
        <v>107</v>
      </c>
      <c r="I194" t="s">
        <v>77</v>
      </c>
      <c r="J194" t="str">
        <f t="shared" ref="J194:J257" si="24">IF(OR(ISBLANK(C194),ISBLANK(D194)),"Missing","")</f>
        <v/>
      </c>
      <c r="K194" t="str">
        <f t="shared" ref="K194:K257" si="25">IF(COUNTIF($A$2:$A$2501,A194)&gt;1,"Duplicate","")</f>
        <v/>
      </c>
      <c r="L194" t="str">
        <f t="shared" ref="L194:L257" si="26">IF(OR(E194=0,E194&gt;10000),"Unusual","")</f>
        <v/>
      </c>
      <c r="M194" t="str">
        <f t="shared" ref="M194:M257" si="27">IF(OR(ISBLANK(G194),ISERROR(FIND("@",G194)),ISERROR(FIND(".",G194,FIND("@",G194)+1))),"Invalid","")</f>
        <v/>
      </c>
      <c r="N194" t="str">
        <f t="shared" ref="N194:N257" si="28">IF(COUNTIF($S$2:$S$6,H194)=0,"Invalid","")</f>
        <v/>
      </c>
      <c r="O194" t="str">
        <f t="shared" ref="O194:O257" ca="1" si="29">IF(F194&lt;EDATE(TODAY(),-12),"Outdated","")</f>
        <v>Outdated</v>
      </c>
      <c r="P194" t="str">
        <f t="shared" ref="P194:P257" si="30">IF(ISBLANK(D194),"",PROPER(TRIM(D194)))</f>
        <v>Damaged</v>
      </c>
      <c r="Q194" t="str">
        <f t="shared" ref="Q194:Q257" si="31">IF(ISBLANK(D194),"",IF(EXACT(D194,P194),"","Inconsistent"))</f>
        <v/>
      </c>
    </row>
    <row r="195" spans="1:17" x14ac:dyDescent="0.45">
      <c r="A195" t="s">
        <v>470</v>
      </c>
      <c r="B195" t="s">
        <v>109</v>
      </c>
      <c r="C195" t="s">
        <v>225</v>
      </c>
      <c r="D195" t="s">
        <v>74</v>
      </c>
      <c r="E195" s="8">
        <v>9479.69</v>
      </c>
      <c r="F195" s="9">
        <v>45625.666684444448</v>
      </c>
      <c r="G195" t="s">
        <v>111</v>
      </c>
      <c r="I195" t="s">
        <v>88</v>
      </c>
      <c r="J195" t="str">
        <f t="shared" si="24"/>
        <v/>
      </c>
      <c r="K195" t="str">
        <f t="shared" si="25"/>
        <v>Duplicate</v>
      </c>
      <c r="L195" t="str">
        <f t="shared" si="26"/>
        <v/>
      </c>
      <c r="M195" t="str">
        <f t="shared" si="27"/>
        <v/>
      </c>
      <c r="N195" t="str">
        <f t="shared" si="28"/>
        <v>Invalid</v>
      </c>
      <c r="O195" t="str">
        <f t="shared" ca="1" si="29"/>
        <v>Outdated</v>
      </c>
      <c r="P195" t="str">
        <f t="shared" si="30"/>
        <v>Wrong Item</v>
      </c>
      <c r="Q195" t="str">
        <f t="shared" si="31"/>
        <v/>
      </c>
    </row>
    <row r="196" spans="1:17" x14ac:dyDescent="0.45">
      <c r="A196" t="s">
        <v>471</v>
      </c>
      <c r="B196" t="s">
        <v>99</v>
      </c>
      <c r="C196" t="s">
        <v>472</v>
      </c>
      <c r="D196" t="s">
        <v>106</v>
      </c>
      <c r="E196" s="8">
        <v>10241.59</v>
      </c>
      <c r="F196" s="9">
        <v>45198.666684444448</v>
      </c>
      <c r="G196" t="s">
        <v>102</v>
      </c>
      <c r="H196" t="s">
        <v>136</v>
      </c>
      <c r="I196" t="s">
        <v>77</v>
      </c>
      <c r="J196" t="str">
        <f t="shared" si="24"/>
        <v/>
      </c>
      <c r="K196" t="str">
        <f t="shared" si="25"/>
        <v/>
      </c>
      <c r="L196" t="str">
        <f t="shared" si="26"/>
        <v>Unusual</v>
      </c>
      <c r="M196" t="str">
        <f t="shared" si="27"/>
        <v/>
      </c>
      <c r="N196" t="str">
        <f t="shared" si="28"/>
        <v>Invalid</v>
      </c>
      <c r="O196" t="str">
        <f t="shared" ca="1" si="29"/>
        <v>Outdated</v>
      </c>
      <c r="P196" t="str">
        <f t="shared" si="30"/>
        <v>Damaged</v>
      </c>
      <c r="Q196" t="str">
        <f t="shared" si="31"/>
        <v>Inconsistent</v>
      </c>
    </row>
    <row r="197" spans="1:17" x14ac:dyDescent="0.45">
      <c r="A197" t="s">
        <v>473</v>
      </c>
      <c r="B197" t="s">
        <v>72</v>
      </c>
      <c r="C197" t="s">
        <v>261</v>
      </c>
      <c r="D197" t="s">
        <v>74</v>
      </c>
      <c r="E197" s="8">
        <v>10586.47</v>
      </c>
      <c r="F197" s="9">
        <v>45673.666684444448</v>
      </c>
      <c r="H197" t="s">
        <v>81</v>
      </c>
      <c r="I197" t="s">
        <v>119</v>
      </c>
      <c r="J197" t="str">
        <f t="shared" si="24"/>
        <v/>
      </c>
      <c r="K197" t="str">
        <f t="shared" si="25"/>
        <v/>
      </c>
      <c r="L197" t="str">
        <f t="shared" si="26"/>
        <v>Unusual</v>
      </c>
      <c r="M197" t="str">
        <f t="shared" si="27"/>
        <v>Invalid</v>
      </c>
      <c r="N197" t="str">
        <f t="shared" si="28"/>
        <v/>
      </c>
      <c r="O197" t="str">
        <f t="shared" ca="1" si="29"/>
        <v>Outdated</v>
      </c>
      <c r="P197" t="str">
        <f t="shared" si="30"/>
        <v>Wrong Item</v>
      </c>
      <c r="Q197" t="str">
        <f t="shared" si="31"/>
        <v/>
      </c>
    </row>
    <row r="198" spans="1:17" x14ac:dyDescent="0.45">
      <c r="A198" t="s">
        <v>474</v>
      </c>
      <c r="B198" t="s">
        <v>172</v>
      </c>
      <c r="C198" t="s">
        <v>475</v>
      </c>
      <c r="D198" t="s">
        <v>74</v>
      </c>
      <c r="E198" s="8">
        <v>8971.17</v>
      </c>
      <c r="F198" s="9">
        <v>45256.666684444448</v>
      </c>
      <c r="G198" t="s">
        <v>174</v>
      </c>
      <c r="H198" t="s">
        <v>118</v>
      </c>
      <c r="I198" t="s">
        <v>163</v>
      </c>
      <c r="J198" t="str">
        <f t="shared" si="24"/>
        <v/>
      </c>
      <c r="K198" t="str">
        <f t="shared" si="25"/>
        <v/>
      </c>
      <c r="L198" t="str">
        <f t="shared" si="26"/>
        <v/>
      </c>
      <c r="M198" t="str">
        <f t="shared" si="27"/>
        <v/>
      </c>
      <c r="N198" t="str">
        <f t="shared" si="28"/>
        <v>Invalid</v>
      </c>
      <c r="O198" t="str">
        <f t="shared" ca="1" si="29"/>
        <v>Outdated</v>
      </c>
      <c r="P198" t="str">
        <f t="shared" si="30"/>
        <v>Wrong Item</v>
      </c>
      <c r="Q198" t="str">
        <f t="shared" si="31"/>
        <v/>
      </c>
    </row>
    <row r="199" spans="1:17" x14ac:dyDescent="0.45">
      <c r="A199" t="s">
        <v>476</v>
      </c>
      <c r="B199" t="s">
        <v>104</v>
      </c>
      <c r="C199" t="s">
        <v>321</v>
      </c>
      <c r="D199" t="s">
        <v>148</v>
      </c>
      <c r="E199" s="8">
        <v>8699.17</v>
      </c>
      <c r="F199" s="9">
        <v>45259.666684444448</v>
      </c>
      <c r="G199" t="s">
        <v>115</v>
      </c>
      <c r="H199" t="s">
        <v>81</v>
      </c>
      <c r="I199" t="s">
        <v>119</v>
      </c>
      <c r="J199" t="str">
        <f t="shared" si="24"/>
        <v/>
      </c>
      <c r="K199" t="str">
        <f t="shared" si="25"/>
        <v>Duplicate</v>
      </c>
      <c r="L199" t="str">
        <f t="shared" si="26"/>
        <v/>
      </c>
      <c r="M199" t="str">
        <f t="shared" si="27"/>
        <v/>
      </c>
      <c r="N199" t="str">
        <f t="shared" si="28"/>
        <v/>
      </c>
      <c r="O199" t="str">
        <f t="shared" ca="1" si="29"/>
        <v>Outdated</v>
      </c>
      <c r="P199" t="str">
        <f t="shared" si="30"/>
        <v>Wrong Item</v>
      </c>
      <c r="Q199" t="str">
        <f t="shared" si="31"/>
        <v>Inconsistent</v>
      </c>
    </row>
    <row r="200" spans="1:17" x14ac:dyDescent="0.45">
      <c r="A200" t="s">
        <v>477</v>
      </c>
      <c r="B200" t="s">
        <v>104</v>
      </c>
      <c r="C200" t="s">
        <v>478</v>
      </c>
      <c r="D200" t="s">
        <v>155</v>
      </c>
      <c r="E200" s="8">
        <v>6219.82</v>
      </c>
      <c r="F200" s="9">
        <v>45803.666684444448</v>
      </c>
      <c r="G200" t="s">
        <v>115</v>
      </c>
      <c r="H200" t="s">
        <v>136</v>
      </c>
      <c r="I200" t="s">
        <v>88</v>
      </c>
      <c r="J200" t="str">
        <f t="shared" si="24"/>
        <v/>
      </c>
      <c r="K200" t="str">
        <f t="shared" si="25"/>
        <v/>
      </c>
      <c r="L200" t="str">
        <f t="shared" si="26"/>
        <v/>
      </c>
      <c r="M200" t="str">
        <f t="shared" si="27"/>
        <v/>
      </c>
      <c r="N200" t="str">
        <f t="shared" si="28"/>
        <v>Invalid</v>
      </c>
      <c r="O200" t="str">
        <f t="shared" ca="1" si="29"/>
        <v>Outdated</v>
      </c>
      <c r="P200" t="str">
        <f t="shared" si="30"/>
        <v>Damaged</v>
      </c>
      <c r="Q200" t="str">
        <f t="shared" si="31"/>
        <v>Inconsistent</v>
      </c>
    </row>
    <row r="201" spans="1:17" x14ac:dyDescent="0.45">
      <c r="A201" t="s">
        <v>479</v>
      </c>
      <c r="B201" t="s">
        <v>79</v>
      </c>
      <c r="C201" t="s">
        <v>480</v>
      </c>
      <c r="D201" t="s">
        <v>92</v>
      </c>
      <c r="E201" s="8">
        <v>2090.5300000000002</v>
      </c>
      <c r="F201" s="9">
        <v>45614.666684444448</v>
      </c>
      <c r="G201" t="s">
        <v>278</v>
      </c>
      <c r="I201" t="s">
        <v>112</v>
      </c>
      <c r="J201" t="str">
        <f t="shared" si="24"/>
        <v/>
      </c>
      <c r="K201" t="str">
        <f t="shared" si="25"/>
        <v/>
      </c>
      <c r="L201" t="str">
        <f t="shared" si="26"/>
        <v/>
      </c>
      <c r="M201" t="str">
        <f t="shared" si="27"/>
        <v>Invalid</v>
      </c>
      <c r="N201" t="str">
        <f t="shared" si="28"/>
        <v>Invalid</v>
      </c>
      <c r="O201" t="str">
        <f t="shared" ca="1" si="29"/>
        <v>Outdated</v>
      </c>
      <c r="P201" t="str">
        <f t="shared" si="30"/>
        <v>Not As Described</v>
      </c>
      <c r="Q201" t="str">
        <f t="shared" si="31"/>
        <v/>
      </c>
    </row>
    <row r="202" spans="1:17" x14ac:dyDescent="0.45">
      <c r="A202" t="s">
        <v>481</v>
      </c>
      <c r="B202" t="s">
        <v>172</v>
      </c>
      <c r="C202" t="s">
        <v>482</v>
      </c>
      <c r="D202" t="s">
        <v>74</v>
      </c>
      <c r="E202" s="8">
        <v>2106.96</v>
      </c>
      <c r="F202" s="9">
        <v>45690.666684444448</v>
      </c>
      <c r="G202" t="s">
        <v>236</v>
      </c>
      <c r="H202" t="s">
        <v>133</v>
      </c>
      <c r="I202" t="s">
        <v>77</v>
      </c>
      <c r="J202" t="str">
        <f t="shared" si="24"/>
        <v/>
      </c>
      <c r="K202" t="str">
        <f t="shared" si="25"/>
        <v/>
      </c>
      <c r="L202" t="str">
        <f t="shared" si="26"/>
        <v/>
      </c>
      <c r="M202" t="str">
        <f t="shared" si="27"/>
        <v>Invalid</v>
      </c>
      <c r="N202" t="str">
        <f t="shared" si="28"/>
        <v>Invalid</v>
      </c>
      <c r="O202" t="str">
        <f t="shared" ca="1" si="29"/>
        <v>Outdated</v>
      </c>
      <c r="P202" t="str">
        <f t="shared" si="30"/>
        <v>Wrong Item</v>
      </c>
      <c r="Q202" t="str">
        <f t="shared" si="31"/>
        <v/>
      </c>
    </row>
    <row r="203" spans="1:17" x14ac:dyDescent="0.45">
      <c r="A203" t="s">
        <v>483</v>
      </c>
      <c r="B203" t="s">
        <v>104</v>
      </c>
      <c r="C203" t="s">
        <v>484</v>
      </c>
      <c r="D203" t="s">
        <v>74</v>
      </c>
      <c r="E203" s="8">
        <v>10982.01</v>
      </c>
      <c r="F203" s="9">
        <v>45297.666684444448</v>
      </c>
      <c r="G203" t="s">
        <v>115</v>
      </c>
      <c r="H203" t="s">
        <v>118</v>
      </c>
      <c r="I203" t="s">
        <v>119</v>
      </c>
      <c r="J203" t="str">
        <f t="shared" si="24"/>
        <v/>
      </c>
      <c r="K203" t="str">
        <f t="shared" si="25"/>
        <v/>
      </c>
      <c r="L203" t="str">
        <f t="shared" si="26"/>
        <v>Unusual</v>
      </c>
      <c r="M203" t="str">
        <f t="shared" si="27"/>
        <v/>
      </c>
      <c r="N203" t="str">
        <f t="shared" si="28"/>
        <v>Invalid</v>
      </c>
      <c r="O203" t="str">
        <f t="shared" ca="1" si="29"/>
        <v>Outdated</v>
      </c>
      <c r="P203" t="str">
        <f t="shared" si="30"/>
        <v>Wrong Item</v>
      </c>
      <c r="Q203" t="str">
        <f t="shared" si="31"/>
        <v/>
      </c>
    </row>
    <row r="204" spans="1:17" x14ac:dyDescent="0.45">
      <c r="A204" t="s">
        <v>485</v>
      </c>
      <c r="B204" t="s">
        <v>138</v>
      </c>
      <c r="D204" t="s">
        <v>101</v>
      </c>
      <c r="E204" s="8">
        <v>758.26</v>
      </c>
      <c r="F204" s="9">
        <v>45399.666684444448</v>
      </c>
      <c r="G204" t="s">
        <v>194</v>
      </c>
      <c r="I204" t="s">
        <v>77</v>
      </c>
      <c r="J204" t="str">
        <f t="shared" si="24"/>
        <v>Missing</v>
      </c>
      <c r="K204" t="str">
        <f t="shared" si="25"/>
        <v/>
      </c>
      <c r="L204" t="str">
        <f t="shared" si="26"/>
        <v/>
      </c>
      <c r="M204" t="str">
        <f t="shared" si="27"/>
        <v>Invalid</v>
      </c>
      <c r="N204" t="str">
        <f t="shared" si="28"/>
        <v>Invalid</v>
      </c>
      <c r="O204" t="str">
        <f t="shared" ca="1" si="29"/>
        <v>Outdated</v>
      </c>
      <c r="P204" t="str">
        <f t="shared" si="30"/>
        <v>Damaged</v>
      </c>
      <c r="Q204" t="str">
        <f t="shared" si="31"/>
        <v/>
      </c>
    </row>
    <row r="205" spans="1:17" x14ac:dyDescent="0.45">
      <c r="A205" t="s">
        <v>486</v>
      </c>
      <c r="B205" t="s">
        <v>79</v>
      </c>
      <c r="C205" t="s">
        <v>487</v>
      </c>
      <c r="D205" t="s">
        <v>74</v>
      </c>
      <c r="E205" s="8">
        <v>7221.92</v>
      </c>
      <c r="F205" s="9">
        <v>45668.666684444448</v>
      </c>
      <c r="G205" t="s">
        <v>86</v>
      </c>
      <c r="H205" t="s">
        <v>76</v>
      </c>
      <c r="I205" t="s">
        <v>163</v>
      </c>
      <c r="J205" t="str">
        <f t="shared" si="24"/>
        <v/>
      </c>
      <c r="K205" t="str">
        <f t="shared" si="25"/>
        <v/>
      </c>
      <c r="L205" t="str">
        <f t="shared" si="26"/>
        <v/>
      </c>
      <c r="M205" t="str">
        <f t="shared" si="27"/>
        <v/>
      </c>
      <c r="N205" t="str">
        <f t="shared" si="28"/>
        <v/>
      </c>
      <c r="O205" t="str">
        <f t="shared" ca="1" si="29"/>
        <v>Outdated</v>
      </c>
      <c r="P205" t="str">
        <f t="shared" si="30"/>
        <v>Wrong Item</v>
      </c>
      <c r="Q205" t="str">
        <f t="shared" si="31"/>
        <v/>
      </c>
    </row>
    <row r="206" spans="1:17" x14ac:dyDescent="0.45">
      <c r="A206" t="s">
        <v>488</v>
      </c>
      <c r="B206" t="s">
        <v>72</v>
      </c>
      <c r="C206" t="s">
        <v>489</v>
      </c>
      <c r="D206" t="s">
        <v>74</v>
      </c>
      <c r="E206" s="8">
        <v>0</v>
      </c>
      <c r="F206" s="9">
        <v>45749.666684444448</v>
      </c>
      <c r="G206" t="s">
        <v>75</v>
      </c>
      <c r="H206" t="s">
        <v>145</v>
      </c>
      <c r="I206" t="s">
        <v>77</v>
      </c>
      <c r="J206" t="str">
        <f t="shared" si="24"/>
        <v/>
      </c>
      <c r="K206" t="str">
        <f t="shared" si="25"/>
        <v>Duplicate</v>
      </c>
      <c r="L206" t="str">
        <f t="shared" si="26"/>
        <v>Unusual</v>
      </c>
      <c r="M206" t="str">
        <f t="shared" si="27"/>
        <v/>
      </c>
      <c r="N206" t="str">
        <f t="shared" si="28"/>
        <v/>
      </c>
      <c r="O206" t="str">
        <f t="shared" ca="1" si="29"/>
        <v>Outdated</v>
      </c>
      <c r="P206" t="str">
        <f t="shared" si="30"/>
        <v>Wrong Item</v>
      </c>
      <c r="Q206" t="str">
        <f t="shared" si="31"/>
        <v/>
      </c>
    </row>
    <row r="207" spans="1:17" x14ac:dyDescent="0.45">
      <c r="A207" t="s">
        <v>490</v>
      </c>
      <c r="B207" t="s">
        <v>90</v>
      </c>
      <c r="D207" t="s">
        <v>85</v>
      </c>
      <c r="E207" s="8">
        <v>6528.36</v>
      </c>
      <c r="F207" s="9">
        <v>45561.666684444448</v>
      </c>
      <c r="G207" t="s">
        <v>296</v>
      </c>
      <c r="H207" t="s">
        <v>81</v>
      </c>
      <c r="I207" t="s">
        <v>88</v>
      </c>
      <c r="J207" t="str">
        <f t="shared" si="24"/>
        <v>Missing</v>
      </c>
      <c r="K207" t="str">
        <f t="shared" si="25"/>
        <v/>
      </c>
      <c r="L207" t="str">
        <f t="shared" si="26"/>
        <v/>
      </c>
      <c r="M207" t="str">
        <f t="shared" si="27"/>
        <v>Invalid</v>
      </c>
      <c r="N207" t="str">
        <f t="shared" si="28"/>
        <v/>
      </c>
      <c r="O207" t="str">
        <f t="shared" ca="1" si="29"/>
        <v>Outdated</v>
      </c>
      <c r="P207" t="str">
        <f t="shared" si="30"/>
        <v>Late Delivery</v>
      </c>
      <c r="Q207" t="str">
        <f t="shared" si="31"/>
        <v/>
      </c>
    </row>
    <row r="208" spans="1:17" x14ac:dyDescent="0.45">
      <c r="A208" t="s">
        <v>491</v>
      </c>
      <c r="B208" t="s">
        <v>90</v>
      </c>
      <c r="C208" t="s">
        <v>492</v>
      </c>
      <c r="D208" t="s">
        <v>155</v>
      </c>
      <c r="E208" s="8">
        <v>6241.38</v>
      </c>
      <c r="F208" s="9">
        <v>45344.666684444448</v>
      </c>
      <c r="G208" t="s">
        <v>93</v>
      </c>
      <c r="H208" t="s">
        <v>136</v>
      </c>
      <c r="I208" t="s">
        <v>77</v>
      </c>
      <c r="J208" t="str">
        <f t="shared" si="24"/>
        <v/>
      </c>
      <c r="K208" t="str">
        <f t="shared" si="25"/>
        <v/>
      </c>
      <c r="L208" t="str">
        <f t="shared" si="26"/>
        <v/>
      </c>
      <c r="M208" t="str">
        <f t="shared" si="27"/>
        <v/>
      </c>
      <c r="N208" t="str">
        <f t="shared" si="28"/>
        <v>Invalid</v>
      </c>
      <c r="O208" t="str">
        <f t="shared" ca="1" si="29"/>
        <v>Outdated</v>
      </c>
      <c r="P208" t="str">
        <f t="shared" si="30"/>
        <v>Damaged</v>
      </c>
      <c r="Q208" t="str">
        <f t="shared" si="31"/>
        <v>Inconsistent</v>
      </c>
    </row>
    <row r="209" spans="1:17" x14ac:dyDescent="0.45">
      <c r="A209" t="s">
        <v>493</v>
      </c>
      <c r="B209" t="s">
        <v>72</v>
      </c>
      <c r="C209" t="s">
        <v>494</v>
      </c>
      <c r="D209" t="s">
        <v>101</v>
      </c>
      <c r="E209" s="8">
        <v>3171.6</v>
      </c>
      <c r="F209" s="9">
        <v>45680.666684444448</v>
      </c>
      <c r="G209" t="s">
        <v>75</v>
      </c>
      <c r="H209" t="s">
        <v>107</v>
      </c>
      <c r="I209" t="s">
        <v>82</v>
      </c>
      <c r="J209" t="str">
        <f t="shared" si="24"/>
        <v/>
      </c>
      <c r="K209" t="str">
        <f t="shared" si="25"/>
        <v/>
      </c>
      <c r="L209" t="str">
        <f t="shared" si="26"/>
        <v/>
      </c>
      <c r="M209" t="str">
        <f t="shared" si="27"/>
        <v/>
      </c>
      <c r="N209" t="str">
        <f t="shared" si="28"/>
        <v/>
      </c>
      <c r="O209" t="str">
        <f t="shared" ca="1" si="29"/>
        <v>Outdated</v>
      </c>
      <c r="P209" t="str">
        <f t="shared" si="30"/>
        <v>Damaged</v>
      </c>
      <c r="Q209" t="str">
        <f t="shared" si="31"/>
        <v/>
      </c>
    </row>
    <row r="210" spans="1:17" x14ac:dyDescent="0.45">
      <c r="A210" t="s">
        <v>495</v>
      </c>
      <c r="B210" t="s">
        <v>109</v>
      </c>
      <c r="C210" t="s">
        <v>496</v>
      </c>
      <c r="D210" t="s">
        <v>92</v>
      </c>
      <c r="E210" s="8">
        <v>6136.07</v>
      </c>
      <c r="F210" s="9">
        <v>45834.666684444448</v>
      </c>
      <c r="G210" t="s">
        <v>111</v>
      </c>
      <c r="H210" t="s">
        <v>118</v>
      </c>
      <c r="I210" t="s">
        <v>112</v>
      </c>
      <c r="J210" t="str">
        <f t="shared" si="24"/>
        <v/>
      </c>
      <c r="K210" t="str">
        <f t="shared" si="25"/>
        <v/>
      </c>
      <c r="L210" t="str">
        <f t="shared" si="26"/>
        <v/>
      </c>
      <c r="M210" t="str">
        <f t="shared" si="27"/>
        <v/>
      </c>
      <c r="N210" t="str">
        <f t="shared" si="28"/>
        <v>Invalid</v>
      </c>
      <c r="O210" t="str">
        <f t="shared" ca="1" si="29"/>
        <v>Outdated</v>
      </c>
      <c r="P210" t="str">
        <f t="shared" si="30"/>
        <v>Not As Described</v>
      </c>
      <c r="Q210" t="str">
        <f t="shared" si="31"/>
        <v/>
      </c>
    </row>
    <row r="211" spans="1:17" x14ac:dyDescent="0.45">
      <c r="A211" t="s">
        <v>497</v>
      </c>
      <c r="B211" t="s">
        <v>72</v>
      </c>
      <c r="C211" t="s">
        <v>243</v>
      </c>
      <c r="D211" t="s">
        <v>92</v>
      </c>
      <c r="E211" s="8">
        <v>598.37</v>
      </c>
      <c r="F211" s="9">
        <v>45333.666684444448</v>
      </c>
      <c r="G211" t="s">
        <v>75</v>
      </c>
      <c r="H211" t="s">
        <v>81</v>
      </c>
      <c r="I211" t="s">
        <v>77</v>
      </c>
      <c r="J211" t="str">
        <f t="shared" si="24"/>
        <v/>
      </c>
      <c r="K211" t="str">
        <f t="shared" si="25"/>
        <v/>
      </c>
      <c r="L211" t="str">
        <f t="shared" si="26"/>
        <v/>
      </c>
      <c r="M211" t="str">
        <f t="shared" si="27"/>
        <v/>
      </c>
      <c r="N211" t="str">
        <f t="shared" si="28"/>
        <v/>
      </c>
      <c r="O211" t="str">
        <f t="shared" ca="1" si="29"/>
        <v>Outdated</v>
      </c>
      <c r="P211" t="str">
        <f t="shared" si="30"/>
        <v>Not As Described</v>
      </c>
      <c r="Q211" t="str">
        <f t="shared" si="31"/>
        <v/>
      </c>
    </row>
    <row r="212" spans="1:17" x14ac:dyDescent="0.45">
      <c r="A212" t="s">
        <v>498</v>
      </c>
      <c r="B212" t="s">
        <v>95</v>
      </c>
      <c r="C212" t="s">
        <v>499</v>
      </c>
      <c r="D212" t="s">
        <v>101</v>
      </c>
      <c r="E212" s="8">
        <v>9681.34</v>
      </c>
      <c r="F212" s="9">
        <v>45858.666684444448</v>
      </c>
      <c r="G212" t="s">
        <v>97</v>
      </c>
      <c r="H212" t="s">
        <v>116</v>
      </c>
      <c r="I212" t="s">
        <v>77</v>
      </c>
      <c r="J212" t="str">
        <f t="shared" si="24"/>
        <v/>
      </c>
      <c r="K212" t="str">
        <f t="shared" si="25"/>
        <v/>
      </c>
      <c r="L212" t="str">
        <f t="shared" si="26"/>
        <v/>
      </c>
      <c r="M212" t="str">
        <f t="shared" si="27"/>
        <v/>
      </c>
      <c r="N212" t="str">
        <f t="shared" si="28"/>
        <v/>
      </c>
      <c r="O212" t="str">
        <f t="shared" ca="1" si="29"/>
        <v/>
      </c>
      <c r="P212" t="str">
        <f t="shared" si="30"/>
        <v>Damaged</v>
      </c>
      <c r="Q212" t="str">
        <f t="shared" si="31"/>
        <v/>
      </c>
    </row>
    <row r="213" spans="1:17" x14ac:dyDescent="0.45">
      <c r="A213" t="s">
        <v>500</v>
      </c>
      <c r="B213" t="s">
        <v>90</v>
      </c>
      <c r="C213" t="s">
        <v>501</v>
      </c>
      <c r="D213" t="s">
        <v>92</v>
      </c>
      <c r="E213" s="8">
        <v>180.27</v>
      </c>
      <c r="F213" s="9">
        <v>45447.666684444448</v>
      </c>
      <c r="G213" t="s">
        <v>93</v>
      </c>
      <c r="H213" t="s">
        <v>128</v>
      </c>
      <c r="I213" t="s">
        <v>88</v>
      </c>
      <c r="J213" t="str">
        <f t="shared" si="24"/>
        <v/>
      </c>
      <c r="K213" t="str">
        <f t="shared" si="25"/>
        <v/>
      </c>
      <c r="L213" t="str">
        <f t="shared" si="26"/>
        <v/>
      </c>
      <c r="M213" t="str">
        <f t="shared" si="27"/>
        <v/>
      </c>
      <c r="N213" t="str">
        <f t="shared" si="28"/>
        <v>Invalid</v>
      </c>
      <c r="O213" t="str">
        <f t="shared" ca="1" si="29"/>
        <v>Outdated</v>
      </c>
      <c r="P213" t="str">
        <f t="shared" si="30"/>
        <v>Not As Described</v>
      </c>
      <c r="Q213" t="str">
        <f t="shared" si="31"/>
        <v/>
      </c>
    </row>
    <row r="214" spans="1:17" x14ac:dyDescent="0.45">
      <c r="A214" t="s">
        <v>502</v>
      </c>
      <c r="B214" t="s">
        <v>104</v>
      </c>
      <c r="C214" t="s">
        <v>503</v>
      </c>
      <c r="D214" t="s">
        <v>74</v>
      </c>
      <c r="E214" s="8">
        <v>7057.72</v>
      </c>
      <c r="F214" s="9">
        <v>45536.666684444448</v>
      </c>
      <c r="G214" t="s">
        <v>115</v>
      </c>
      <c r="I214" t="s">
        <v>77</v>
      </c>
      <c r="J214" t="str">
        <f t="shared" si="24"/>
        <v/>
      </c>
      <c r="K214" t="str">
        <f t="shared" si="25"/>
        <v/>
      </c>
      <c r="L214" t="str">
        <f t="shared" si="26"/>
        <v/>
      </c>
      <c r="M214" t="str">
        <f t="shared" si="27"/>
        <v/>
      </c>
      <c r="N214" t="str">
        <f t="shared" si="28"/>
        <v>Invalid</v>
      </c>
      <c r="O214" t="str">
        <f t="shared" ca="1" si="29"/>
        <v>Outdated</v>
      </c>
      <c r="P214" t="str">
        <f t="shared" si="30"/>
        <v>Wrong Item</v>
      </c>
      <c r="Q214" t="str">
        <f t="shared" si="31"/>
        <v/>
      </c>
    </row>
    <row r="215" spans="1:17" x14ac:dyDescent="0.45">
      <c r="A215" t="s">
        <v>504</v>
      </c>
      <c r="B215" t="s">
        <v>79</v>
      </c>
      <c r="C215" t="s">
        <v>505</v>
      </c>
      <c r="D215" t="s">
        <v>74</v>
      </c>
      <c r="E215" s="8">
        <v>5113.47</v>
      </c>
      <c r="F215" s="9">
        <v>45815.666684444448</v>
      </c>
      <c r="G215" t="s">
        <v>86</v>
      </c>
      <c r="H215" t="s">
        <v>87</v>
      </c>
      <c r="I215" t="s">
        <v>88</v>
      </c>
      <c r="J215" t="str">
        <f t="shared" si="24"/>
        <v/>
      </c>
      <c r="K215" t="str">
        <f t="shared" si="25"/>
        <v/>
      </c>
      <c r="L215" t="str">
        <f t="shared" si="26"/>
        <v/>
      </c>
      <c r="M215" t="str">
        <f t="shared" si="27"/>
        <v/>
      </c>
      <c r="N215" t="str">
        <f t="shared" si="28"/>
        <v>Invalid</v>
      </c>
      <c r="O215" t="str">
        <f t="shared" ca="1" si="29"/>
        <v>Outdated</v>
      </c>
      <c r="P215" t="str">
        <f t="shared" si="30"/>
        <v>Wrong Item</v>
      </c>
      <c r="Q215" t="str">
        <f t="shared" si="31"/>
        <v/>
      </c>
    </row>
    <row r="216" spans="1:17" x14ac:dyDescent="0.45">
      <c r="A216" t="s">
        <v>506</v>
      </c>
      <c r="B216" t="s">
        <v>109</v>
      </c>
      <c r="C216" t="s">
        <v>507</v>
      </c>
      <c r="D216" t="s">
        <v>92</v>
      </c>
      <c r="E216" s="8">
        <v>7186.6</v>
      </c>
      <c r="F216" s="9">
        <v>45793.666684444448</v>
      </c>
      <c r="H216" t="s">
        <v>116</v>
      </c>
      <c r="I216" t="s">
        <v>119</v>
      </c>
      <c r="J216" t="str">
        <f t="shared" si="24"/>
        <v/>
      </c>
      <c r="K216" t="str">
        <f t="shared" si="25"/>
        <v/>
      </c>
      <c r="L216" t="str">
        <f t="shared" si="26"/>
        <v/>
      </c>
      <c r="M216" t="str">
        <f t="shared" si="27"/>
        <v>Invalid</v>
      </c>
      <c r="N216" t="str">
        <f t="shared" si="28"/>
        <v/>
      </c>
      <c r="O216" t="str">
        <f t="shared" ca="1" si="29"/>
        <v>Outdated</v>
      </c>
      <c r="P216" t="str">
        <f t="shared" si="30"/>
        <v>Not As Described</v>
      </c>
      <c r="Q216" t="str">
        <f t="shared" si="31"/>
        <v/>
      </c>
    </row>
    <row r="217" spans="1:17" x14ac:dyDescent="0.45">
      <c r="A217" t="s">
        <v>508</v>
      </c>
      <c r="B217" t="s">
        <v>99</v>
      </c>
      <c r="C217" t="s">
        <v>509</v>
      </c>
      <c r="D217" t="s">
        <v>74</v>
      </c>
      <c r="E217" s="8">
        <v>4800.3599999999997</v>
      </c>
      <c r="F217" s="9">
        <v>45510.666684444448</v>
      </c>
      <c r="G217" t="s">
        <v>102</v>
      </c>
      <c r="H217" t="s">
        <v>87</v>
      </c>
      <c r="I217" t="s">
        <v>88</v>
      </c>
      <c r="J217" t="str">
        <f t="shared" si="24"/>
        <v/>
      </c>
      <c r="K217" t="str">
        <f t="shared" si="25"/>
        <v/>
      </c>
      <c r="L217" t="str">
        <f t="shared" si="26"/>
        <v/>
      </c>
      <c r="M217" t="str">
        <f t="shared" si="27"/>
        <v/>
      </c>
      <c r="N217" t="str">
        <f t="shared" si="28"/>
        <v>Invalid</v>
      </c>
      <c r="O217" t="str">
        <f t="shared" ca="1" si="29"/>
        <v>Outdated</v>
      </c>
      <c r="P217" t="str">
        <f t="shared" si="30"/>
        <v>Wrong Item</v>
      </c>
      <c r="Q217" t="str">
        <f t="shared" si="31"/>
        <v/>
      </c>
    </row>
    <row r="218" spans="1:17" x14ac:dyDescent="0.45">
      <c r="A218" t="s">
        <v>510</v>
      </c>
      <c r="B218" t="s">
        <v>172</v>
      </c>
      <c r="C218" t="s">
        <v>511</v>
      </c>
      <c r="D218" t="s">
        <v>106</v>
      </c>
      <c r="E218" s="8">
        <v>11294.58</v>
      </c>
      <c r="F218" s="9">
        <v>45576.666684444448</v>
      </c>
      <c r="H218" t="s">
        <v>107</v>
      </c>
      <c r="I218" t="s">
        <v>163</v>
      </c>
      <c r="J218" t="str">
        <f t="shared" si="24"/>
        <v/>
      </c>
      <c r="K218" t="str">
        <f t="shared" si="25"/>
        <v/>
      </c>
      <c r="L218" t="str">
        <f t="shared" si="26"/>
        <v>Unusual</v>
      </c>
      <c r="M218" t="str">
        <f t="shared" si="27"/>
        <v>Invalid</v>
      </c>
      <c r="N218" t="str">
        <f t="shared" si="28"/>
        <v/>
      </c>
      <c r="O218" t="str">
        <f t="shared" ca="1" si="29"/>
        <v>Outdated</v>
      </c>
      <c r="P218" t="str">
        <f t="shared" si="30"/>
        <v>Damaged</v>
      </c>
      <c r="Q218" t="str">
        <f t="shared" si="31"/>
        <v>Inconsistent</v>
      </c>
    </row>
    <row r="219" spans="1:17" x14ac:dyDescent="0.45">
      <c r="A219" t="s">
        <v>512</v>
      </c>
      <c r="B219" t="s">
        <v>109</v>
      </c>
      <c r="C219" t="s">
        <v>513</v>
      </c>
      <c r="D219" t="s">
        <v>74</v>
      </c>
      <c r="E219" s="8">
        <v>6771.4</v>
      </c>
      <c r="F219" s="9">
        <v>45657.666684444448</v>
      </c>
      <c r="H219" t="s">
        <v>76</v>
      </c>
      <c r="I219" t="s">
        <v>112</v>
      </c>
      <c r="J219" t="str">
        <f t="shared" si="24"/>
        <v/>
      </c>
      <c r="K219" t="str">
        <f t="shared" si="25"/>
        <v/>
      </c>
      <c r="L219" t="str">
        <f t="shared" si="26"/>
        <v/>
      </c>
      <c r="M219" t="str">
        <f t="shared" si="27"/>
        <v>Invalid</v>
      </c>
      <c r="N219" t="str">
        <f t="shared" si="28"/>
        <v/>
      </c>
      <c r="O219" t="str">
        <f t="shared" ca="1" si="29"/>
        <v>Outdated</v>
      </c>
      <c r="P219" t="str">
        <f t="shared" si="30"/>
        <v>Wrong Item</v>
      </c>
      <c r="Q219" t="str">
        <f t="shared" si="31"/>
        <v/>
      </c>
    </row>
    <row r="220" spans="1:17" x14ac:dyDescent="0.45">
      <c r="A220" t="s">
        <v>514</v>
      </c>
      <c r="B220" t="s">
        <v>99</v>
      </c>
      <c r="C220" t="s">
        <v>515</v>
      </c>
      <c r="D220" t="s">
        <v>85</v>
      </c>
      <c r="E220" s="8">
        <v>3995.48</v>
      </c>
      <c r="F220" s="9">
        <v>45590.666684444448</v>
      </c>
      <c r="G220" t="s">
        <v>102</v>
      </c>
      <c r="H220" t="s">
        <v>145</v>
      </c>
      <c r="I220" t="s">
        <v>77</v>
      </c>
      <c r="J220" t="str">
        <f t="shared" si="24"/>
        <v/>
      </c>
      <c r="K220" t="str">
        <f t="shared" si="25"/>
        <v/>
      </c>
      <c r="L220" t="str">
        <f t="shared" si="26"/>
        <v/>
      </c>
      <c r="M220" t="str">
        <f t="shared" si="27"/>
        <v/>
      </c>
      <c r="N220" t="str">
        <f t="shared" si="28"/>
        <v/>
      </c>
      <c r="O220" t="str">
        <f t="shared" ca="1" si="29"/>
        <v>Outdated</v>
      </c>
      <c r="P220" t="str">
        <f t="shared" si="30"/>
        <v>Late Delivery</v>
      </c>
      <c r="Q220" t="str">
        <f t="shared" si="31"/>
        <v/>
      </c>
    </row>
    <row r="221" spans="1:17" x14ac:dyDescent="0.45">
      <c r="A221" t="s">
        <v>516</v>
      </c>
      <c r="B221" t="s">
        <v>109</v>
      </c>
      <c r="D221" t="s">
        <v>101</v>
      </c>
      <c r="E221" s="8">
        <v>1278.6099999999999</v>
      </c>
      <c r="F221" s="9">
        <v>45251.666684444448</v>
      </c>
      <c r="G221" t="s">
        <v>111</v>
      </c>
      <c r="H221" t="s">
        <v>87</v>
      </c>
      <c r="I221" t="s">
        <v>88</v>
      </c>
      <c r="J221" t="str">
        <f t="shared" si="24"/>
        <v>Missing</v>
      </c>
      <c r="K221" t="str">
        <f t="shared" si="25"/>
        <v/>
      </c>
      <c r="L221" t="str">
        <f t="shared" si="26"/>
        <v/>
      </c>
      <c r="M221" t="str">
        <f t="shared" si="27"/>
        <v/>
      </c>
      <c r="N221" t="str">
        <f t="shared" si="28"/>
        <v>Invalid</v>
      </c>
      <c r="O221" t="str">
        <f t="shared" ca="1" si="29"/>
        <v>Outdated</v>
      </c>
      <c r="P221" t="str">
        <f t="shared" si="30"/>
        <v>Damaged</v>
      </c>
      <c r="Q221" t="str">
        <f t="shared" si="31"/>
        <v/>
      </c>
    </row>
    <row r="222" spans="1:17" x14ac:dyDescent="0.45">
      <c r="A222" t="s">
        <v>517</v>
      </c>
      <c r="B222" t="s">
        <v>109</v>
      </c>
      <c r="D222" t="s">
        <v>74</v>
      </c>
      <c r="E222" s="8">
        <v>3117.53</v>
      </c>
      <c r="F222" s="9">
        <v>45381.666684444448</v>
      </c>
      <c r="G222" t="s">
        <v>111</v>
      </c>
      <c r="H222" t="s">
        <v>116</v>
      </c>
      <c r="I222" t="s">
        <v>112</v>
      </c>
      <c r="J222" t="str">
        <f t="shared" si="24"/>
        <v>Missing</v>
      </c>
      <c r="K222" t="str">
        <f t="shared" si="25"/>
        <v/>
      </c>
      <c r="L222" t="str">
        <f t="shared" si="26"/>
        <v/>
      </c>
      <c r="M222" t="str">
        <f t="shared" si="27"/>
        <v/>
      </c>
      <c r="N222" t="str">
        <f t="shared" si="28"/>
        <v/>
      </c>
      <c r="O222" t="str">
        <f t="shared" ca="1" si="29"/>
        <v>Outdated</v>
      </c>
      <c r="P222" t="str">
        <f t="shared" si="30"/>
        <v>Wrong Item</v>
      </c>
      <c r="Q222" t="str">
        <f t="shared" si="31"/>
        <v/>
      </c>
    </row>
    <row r="223" spans="1:17" x14ac:dyDescent="0.45">
      <c r="A223" t="s">
        <v>518</v>
      </c>
      <c r="B223" t="s">
        <v>104</v>
      </c>
      <c r="C223" t="s">
        <v>519</v>
      </c>
      <c r="D223" t="s">
        <v>74</v>
      </c>
      <c r="E223" s="8">
        <v>11978.34</v>
      </c>
      <c r="F223" s="9">
        <v>45358.666684444448</v>
      </c>
      <c r="H223" t="s">
        <v>81</v>
      </c>
      <c r="I223" t="s">
        <v>112</v>
      </c>
      <c r="J223" t="str">
        <f t="shared" si="24"/>
        <v/>
      </c>
      <c r="K223" t="str">
        <f t="shared" si="25"/>
        <v/>
      </c>
      <c r="L223" t="str">
        <f t="shared" si="26"/>
        <v>Unusual</v>
      </c>
      <c r="M223" t="str">
        <f t="shared" si="27"/>
        <v>Invalid</v>
      </c>
      <c r="N223" t="str">
        <f t="shared" si="28"/>
        <v/>
      </c>
      <c r="O223" t="str">
        <f t="shared" ca="1" si="29"/>
        <v>Outdated</v>
      </c>
      <c r="P223" t="str">
        <f t="shared" si="30"/>
        <v>Wrong Item</v>
      </c>
      <c r="Q223" t="str">
        <f t="shared" si="31"/>
        <v/>
      </c>
    </row>
    <row r="224" spans="1:17" x14ac:dyDescent="0.45">
      <c r="A224" t="s">
        <v>520</v>
      </c>
      <c r="B224" t="s">
        <v>72</v>
      </c>
      <c r="C224" t="s">
        <v>229</v>
      </c>
      <c r="D224" t="s">
        <v>85</v>
      </c>
      <c r="E224" s="8">
        <v>1776.72</v>
      </c>
      <c r="F224" s="9">
        <v>45193.666684444448</v>
      </c>
      <c r="G224" t="s">
        <v>521</v>
      </c>
      <c r="H224" t="s">
        <v>145</v>
      </c>
      <c r="I224" t="s">
        <v>119</v>
      </c>
      <c r="J224" t="str">
        <f t="shared" si="24"/>
        <v/>
      </c>
      <c r="K224" t="str">
        <f t="shared" si="25"/>
        <v>Duplicate</v>
      </c>
      <c r="L224" t="str">
        <f t="shared" si="26"/>
        <v/>
      </c>
      <c r="M224" t="str">
        <f t="shared" si="27"/>
        <v>Invalid</v>
      </c>
      <c r="N224" t="str">
        <f t="shared" si="28"/>
        <v/>
      </c>
      <c r="O224" t="str">
        <f t="shared" ca="1" si="29"/>
        <v>Outdated</v>
      </c>
      <c r="P224" t="str">
        <f t="shared" si="30"/>
        <v>Late Delivery</v>
      </c>
      <c r="Q224" t="str">
        <f t="shared" si="31"/>
        <v/>
      </c>
    </row>
    <row r="225" spans="1:17" x14ac:dyDescent="0.45">
      <c r="A225" t="s">
        <v>522</v>
      </c>
      <c r="B225" t="s">
        <v>95</v>
      </c>
      <c r="C225" t="s">
        <v>523</v>
      </c>
      <c r="E225" s="8">
        <v>0</v>
      </c>
      <c r="F225" s="9">
        <v>45474.666684444448</v>
      </c>
      <c r="G225" t="s">
        <v>97</v>
      </c>
      <c r="H225" t="s">
        <v>76</v>
      </c>
      <c r="I225" t="s">
        <v>82</v>
      </c>
      <c r="J225" t="str">
        <f t="shared" si="24"/>
        <v>Missing</v>
      </c>
      <c r="K225" t="str">
        <f t="shared" si="25"/>
        <v/>
      </c>
      <c r="L225" t="str">
        <f t="shared" si="26"/>
        <v>Unusual</v>
      </c>
      <c r="M225" t="str">
        <f t="shared" si="27"/>
        <v/>
      </c>
      <c r="N225" t="str">
        <f t="shared" si="28"/>
        <v/>
      </c>
      <c r="O225" t="str">
        <f t="shared" ca="1" si="29"/>
        <v>Outdated</v>
      </c>
      <c r="P225" t="str">
        <f t="shared" si="30"/>
        <v/>
      </c>
      <c r="Q225" t="str">
        <f t="shared" si="31"/>
        <v/>
      </c>
    </row>
    <row r="226" spans="1:17" x14ac:dyDescent="0.45">
      <c r="A226" t="s">
        <v>524</v>
      </c>
      <c r="B226" t="s">
        <v>79</v>
      </c>
      <c r="C226" t="s">
        <v>208</v>
      </c>
      <c r="E226" s="8">
        <v>7534.37</v>
      </c>
      <c r="F226" s="9">
        <v>45149.666684444448</v>
      </c>
      <c r="G226" t="s">
        <v>86</v>
      </c>
      <c r="H226" t="s">
        <v>87</v>
      </c>
      <c r="I226" t="s">
        <v>112</v>
      </c>
      <c r="J226" t="str">
        <f t="shared" si="24"/>
        <v>Missing</v>
      </c>
      <c r="K226" t="str">
        <f t="shared" si="25"/>
        <v/>
      </c>
      <c r="L226" t="str">
        <f t="shared" si="26"/>
        <v/>
      </c>
      <c r="M226" t="str">
        <f t="shared" si="27"/>
        <v/>
      </c>
      <c r="N226" t="str">
        <f t="shared" si="28"/>
        <v>Invalid</v>
      </c>
      <c r="O226" t="str">
        <f t="shared" ca="1" si="29"/>
        <v>Outdated</v>
      </c>
      <c r="P226" t="str">
        <f t="shared" si="30"/>
        <v/>
      </c>
      <c r="Q226" t="str">
        <f t="shared" si="31"/>
        <v/>
      </c>
    </row>
    <row r="227" spans="1:17" x14ac:dyDescent="0.45">
      <c r="A227" t="s">
        <v>525</v>
      </c>
      <c r="B227" t="s">
        <v>90</v>
      </c>
      <c r="C227" t="s">
        <v>526</v>
      </c>
      <c r="D227" t="s">
        <v>85</v>
      </c>
      <c r="E227" s="8">
        <v>6424.96</v>
      </c>
      <c r="F227" s="9">
        <v>45730.666684444448</v>
      </c>
      <c r="H227" t="s">
        <v>87</v>
      </c>
      <c r="I227" t="s">
        <v>88</v>
      </c>
      <c r="J227" t="str">
        <f t="shared" si="24"/>
        <v/>
      </c>
      <c r="K227" t="str">
        <f t="shared" si="25"/>
        <v/>
      </c>
      <c r="L227" t="str">
        <f t="shared" si="26"/>
        <v/>
      </c>
      <c r="M227" t="str">
        <f t="shared" si="27"/>
        <v>Invalid</v>
      </c>
      <c r="N227" t="str">
        <f t="shared" si="28"/>
        <v>Invalid</v>
      </c>
      <c r="O227" t="str">
        <f t="shared" ca="1" si="29"/>
        <v>Outdated</v>
      </c>
      <c r="P227" t="str">
        <f t="shared" si="30"/>
        <v>Late Delivery</v>
      </c>
      <c r="Q227" t="str">
        <f t="shared" si="31"/>
        <v/>
      </c>
    </row>
    <row r="228" spans="1:17" x14ac:dyDescent="0.45">
      <c r="A228" t="s">
        <v>527</v>
      </c>
      <c r="B228" t="s">
        <v>99</v>
      </c>
      <c r="C228" t="s">
        <v>528</v>
      </c>
      <c r="D228" t="s">
        <v>92</v>
      </c>
      <c r="E228" s="8">
        <v>9817.25</v>
      </c>
      <c r="F228" s="9">
        <v>45695.666684444448</v>
      </c>
      <c r="H228" t="s">
        <v>107</v>
      </c>
      <c r="I228" t="s">
        <v>82</v>
      </c>
      <c r="J228" t="str">
        <f t="shared" si="24"/>
        <v/>
      </c>
      <c r="K228" t="str">
        <f t="shared" si="25"/>
        <v/>
      </c>
      <c r="L228" t="str">
        <f t="shared" si="26"/>
        <v/>
      </c>
      <c r="M228" t="str">
        <f t="shared" si="27"/>
        <v>Invalid</v>
      </c>
      <c r="N228" t="str">
        <f t="shared" si="28"/>
        <v/>
      </c>
      <c r="O228" t="str">
        <f t="shared" ca="1" si="29"/>
        <v>Outdated</v>
      </c>
      <c r="P228" t="str">
        <f t="shared" si="30"/>
        <v>Not As Described</v>
      </c>
      <c r="Q228" t="str">
        <f t="shared" si="31"/>
        <v/>
      </c>
    </row>
    <row r="229" spans="1:17" x14ac:dyDescent="0.45">
      <c r="A229" t="s">
        <v>529</v>
      </c>
      <c r="B229" t="s">
        <v>79</v>
      </c>
      <c r="C229" t="s">
        <v>530</v>
      </c>
      <c r="D229" t="s">
        <v>92</v>
      </c>
      <c r="E229" s="8">
        <v>9891.2199999999993</v>
      </c>
      <c r="F229" s="9">
        <v>45363.666684444448</v>
      </c>
      <c r="G229" t="s">
        <v>86</v>
      </c>
      <c r="H229" t="s">
        <v>136</v>
      </c>
      <c r="I229" t="s">
        <v>119</v>
      </c>
      <c r="J229" t="str">
        <f t="shared" si="24"/>
        <v/>
      </c>
      <c r="K229" t="str">
        <f t="shared" si="25"/>
        <v/>
      </c>
      <c r="L229" t="str">
        <f t="shared" si="26"/>
        <v/>
      </c>
      <c r="M229" t="str">
        <f t="shared" si="27"/>
        <v/>
      </c>
      <c r="N229" t="str">
        <f t="shared" si="28"/>
        <v>Invalid</v>
      </c>
      <c r="O229" t="str">
        <f t="shared" ca="1" si="29"/>
        <v>Outdated</v>
      </c>
      <c r="P229" t="str">
        <f t="shared" si="30"/>
        <v>Not As Described</v>
      </c>
      <c r="Q229" t="str">
        <f t="shared" si="31"/>
        <v/>
      </c>
    </row>
    <row r="230" spans="1:17" x14ac:dyDescent="0.45">
      <c r="A230" t="s">
        <v>531</v>
      </c>
      <c r="B230" t="s">
        <v>109</v>
      </c>
      <c r="D230" t="s">
        <v>92</v>
      </c>
      <c r="E230" s="8">
        <v>2155.88</v>
      </c>
      <c r="F230" s="9">
        <v>45730.666684444448</v>
      </c>
      <c r="G230" t="s">
        <v>307</v>
      </c>
      <c r="H230" t="s">
        <v>136</v>
      </c>
      <c r="I230" t="s">
        <v>163</v>
      </c>
      <c r="J230" t="str">
        <f t="shared" si="24"/>
        <v>Missing</v>
      </c>
      <c r="K230" t="str">
        <f t="shared" si="25"/>
        <v/>
      </c>
      <c r="L230" t="str">
        <f t="shared" si="26"/>
        <v/>
      </c>
      <c r="M230" t="str">
        <f t="shared" si="27"/>
        <v>Invalid</v>
      </c>
      <c r="N230" t="str">
        <f t="shared" si="28"/>
        <v>Invalid</v>
      </c>
      <c r="O230" t="str">
        <f t="shared" ca="1" si="29"/>
        <v>Outdated</v>
      </c>
      <c r="P230" t="str">
        <f t="shared" si="30"/>
        <v>Not As Described</v>
      </c>
      <c r="Q230" t="str">
        <f t="shared" si="31"/>
        <v/>
      </c>
    </row>
    <row r="231" spans="1:17" x14ac:dyDescent="0.45">
      <c r="A231" t="s">
        <v>532</v>
      </c>
      <c r="B231" t="s">
        <v>72</v>
      </c>
      <c r="C231" t="s">
        <v>533</v>
      </c>
      <c r="D231" t="s">
        <v>85</v>
      </c>
      <c r="E231" s="8">
        <v>0</v>
      </c>
      <c r="F231" s="9">
        <v>45353.666684444448</v>
      </c>
      <c r="G231" t="s">
        <v>75</v>
      </c>
      <c r="H231" t="s">
        <v>76</v>
      </c>
      <c r="I231" t="s">
        <v>163</v>
      </c>
      <c r="J231" t="str">
        <f t="shared" si="24"/>
        <v/>
      </c>
      <c r="K231" t="str">
        <f t="shared" si="25"/>
        <v/>
      </c>
      <c r="L231" t="str">
        <f t="shared" si="26"/>
        <v>Unusual</v>
      </c>
      <c r="M231" t="str">
        <f t="shared" si="27"/>
        <v/>
      </c>
      <c r="N231" t="str">
        <f t="shared" si="28"/>
        <v/>
      </c>
      <c r="O231" t="str">
        <f t="shared" ca="1" si="29"/>
        <v>Outdated</v>
      </c>
      <c r="P231" t="str">
        <f t="shared" si="30"/>
        <v>Late Delivery</v>
      </c>
      <c r="Q231" t="str">
        <f t="shared" si="31"/>
        <v/>
      </c>
    </row>
    <row r="232" spans="1:17" x14ac:dyDescent="0.45">
      <c r="A232" t="s">
        <v>534</v>
      </c>
      <c r="B232" t="s">
        <v>79</v>
      </c>
      <c r="C232" t="s">
        <v>289</v>
      </c>
      <c r="D232" t="s">
        <v>85</v>
      </c>
      <c r="E232" s="8">
        <v>0</v>
      </c>
      <c r="F232" s="9">
        <v>45135.666684444448</v>
      </c>
      <c r="G232" t="s">
        <v>86</v>
      </c>
      <c r="H232" t="s">
        <v>116</v>
      </c>
      <c r="I232" t="s">
        <v>163</v>
      </c>
      <c r="J232" t="str">
        <f t="shared" si="24"/>
        <v/>
      </c>
      <c r="K232" t="str">
        <f t="shared" si="25"/>
        <v/>
      </c>
      <c r="L232" t="str">
        <f t="shared" si="26"/>
        <v>Unusual</v>
      </c>
      <c r="M232" t="str">
        <f t="shared" si="27"/>
        <v/>
      </c>
      <c r="N232" t="str">
        <f t="shared" si="28"/>
        <v/>
      </c>
      <c r="O232" t="str">
        <f t="shared" ca="1" si="29"/>
        <v>Outdated</v>
      </c>
      <c r="P232" t="str">
        <f t="shared" si="30"/>
        <v>Late Delivery</v>
      </c>
      <c r="Q232" t="str">
        <f t="shared" si="31"/>
        <v/>
      </c>
    </row>
    <row r="233" spans="1:17" x14ac:dyDescent="0.45">
      <c r="A233" t="s">
        <v>535</v>
      </c>
      <c r="B233" t="s">
        <v>72</v>
      </c>
      <c r="C233" t="s">
        <v>536</v>
      </c>
      <c r="E233" s="8">
        <v>9690.44</v>
      </c>
      <c r="F233" s="9">
        <v>45200.666684444448</v>
      </c>
      <c r="G233" t="s">
        <v>75</v>
      </c>
      <c r="H233" t="s">
        <v>107</v>
      </c>
      <c r="I233" t="s">
        <v>112</v>
      </c>
      <c r="J233" t="str">
        <f t="shared" si="24"/>
        <v>Missing</v>
      </c>
      <c r="K233" t="str">
        <f t="shared" si="25"/>
        <v/>
      </c>
      <c r="L233" t="str">
        <f t="shared" si="26"/>
        <v/>
      </c>
      <c r="M233" t="str">
        <f t="shared" si="27"/>
        <v/>
      </c>
      <c r="N233" t="str">
        <f t="shared" si="28"/>
        <v/>
      </c>
      <c r="O233" t="str">
        <f t="shared" ca="1" si="29"/>
        <v>Outdated</v>
      </c>
      <c r="P233" t="str">
        <f t="shared" si="30"/>
        <v/>
      </c>
      <c r="Q233" t="str">
        <f t="shared" si="31"/>
        <v/>
      </c>
    </row>
    <row r="234" spans="1:17" x14ac:dyDescent="0.45">
      <c r="A234" t="s">
        <v>537</v>
      </c>
      <c r="B234" t="s">
        <v>99</v>
      </c>
      <c r="C234" t="s">
        <v>538</v>
      </c>
      <c r="D234" t="s">
        <v>101</v>
      </c>
      <c r="E234" s="8">
        <v>656.57</v>
      </c>
      <c r="F234" s="9">
        <v>45852.666684444448</v>
      </c>
      <c r="G234" t="s">
        <v>285</v>
      </c>
      <c r="H234" t="s">
        <v>133</v>
      </c>
      <c r="I234" t="s">
        <v>82</v>
      </c>
      <c r="J234" t="str">
        <f t="shared" si="24"/>
        <v/>
      </c>
      <c r="K234" t="str">
        <f t="shared" si="25"/>
        <v/>
      </c>
      <c r="L234" t="str">
        <f t="shared" si="26"/>
        <v/>
      </c>
      <c r="M234" t="str">
        <f t="shared" si="27"/>
        <v>Invalid</v>
      </c>
      <c r="N234" t="str">
        <f t="shared" si="28"/>
        <v>Invalid</v>
      </c>
      <c r="O234" t="str">
        <f t="shared" ca="1" si="29"/>
        <v/>
      </c>
      <c r="P234" t="str">
        <f t="shared" si="30"/>
        <v>Damaged</v>
      </c>
      <c r="Q234" t="str">
        <f t="shared" si="31"/>
        <v/>
      </c>
    </row>
    <row r="235" spans="1:17" x14ac:dyDescent="0.45">
      <c r="A235" t="s">
        <v>539</v>
      </c>
      <c r="B235" t="s">
        <v>104</v>
      </c>
      <c r="C235" t="s">
        <v>442</v>
      </c>
      <c r="E235" s="8">
        <v>11228.99</v>
      </c>
      <c r="F235" s="9">
        <v>45774.666684444448</v>
      </c>
      <c r="G235" t="s">
        <v>115</v>
      </c>
      <c r="H235" t="s">
        <v>87</v>
      </c>
      <c r="I235" t="s">
        <v>119</v>
      </c>
      <c r="J235" t="str">
        <f t="shared" si="24"/>
        <v>Missing</v>
      </c>
      <c r="K235" t="str">
        <f t="shared" si="25"/>
        <v/>
      </c>
      <c r="L235" t="str">
        <f t="shared" si="26"/>
        <v>Unusual</v>
      </c>
      <c r="M235" t="str">
        <f t="shared" si="27"/>
        <v/>
      </c>
      <c r="N235" t="str">
        <f t="shared" si="28"/>
        <v>Invalid</v>
      </c>
      <c r="O235" t="str">
        <f t="shared" ca="1" si="29"/>
        <v>Outdated</v>
      </c>
      <c r="P235" t="str">
        <f t="shared" si="30"/>
        <v/>
      </c>
      <c r="Q235" t="str">
        <f t="shared" si="31"/>
        <v/>
      </c>
    </row>
    <row r="236" spans="1:17" x14ac:dyDescent="0.45">
      <c r="A236" t="s">
        <v>540</v>
      </c>
      <c r="B236" t="s">
        <v>104</v>
      </c>
      <c r="C236" t="s">
        <v>375</v>
      </c>
      <c r="D236" t="s">
        <v>85</v>
      </c>
      <c r="E236" s="8">
        <v>9713.1299999999992</v>
      </c>
      <c r="F236" s="9">
        <v>45188.666684444448</v>
      </c>
      <c r="G236" t="s">
        <v>115</v>
      </c>
      <c r="H236" t="s">
        <v>107</v>
      </c>
      <c r="I236" t="s">
        <v>82</v>
      </c>
      <c r="J236" t="str">
        <f t="shared" si="24"/>
        <v/>
      </c>
      <c r="K236" t="str">
        <f t="shared" si="25"/>
        <v/>
      </c>
      <c r="L236" t="str">
        <f t="shared" si="26"/>
        <v/>
      </c>
      <c r="M236" t="str">
        <f t="shared" si="27"/>
        <v/>
      </c>
      <c r="N236" t="str">
        <f t="shared" si="28"/>
        <v/>
      </c>
      <c r="O236" t="str">
        <f t="shared" ca="1" si="29"/>
        <v>Outdated</v>
      </c>
      <c r="P236" t="str">
        <f t="shared" si="30"/>
        <v>Late Delivery</v>
      </c>
      <c r="Q236" t="str">
        <f t="shared" si="31"/>
        <v/>
      </c>
    </row>
    <row r="237" spans="1:17" x14ac:dyDescent="0.45">
      <c r="A237" t="s">
        <v>541</v>
      </c>
      <c r="B237" t="s">
        <v>72</v>
      </c>
      <c r="C237" t="s">
        <v>369</v>
      </c>
      <c r="D237" t="s">
        <v>74</v>
      </c>
      <c r="E237" s="8">
        <v>11185.55</v>
      </c>
      <c r="F237" s="9">
        <v>45362.666684444448</v>
      </c>
      <c r="G237" t="s">
        <v>75</v>
      </c>
      <c r="H237" t="s">
        <v>136</v>
      </c>
      <c r="I237" t="s">
        <v>77</v>
      </c>
      <c r="J237" t="str">
        <f t="shared" si="24"/>
        <v/>
      </c>
      <c r="K237" t="str">
        <f t="shared" si="25"/>
        <v/>
      </c>
      <c r="L237" t="str">
        <f t="shared" si="26"/>
        <v>Unusual</v>
      </c>
      <c r="M237" t="str">
        <f t="shared" si="27"/>
        <v/>
      </c>
      <c r="N237" t="str">
        <f t="shared" si="28"/>
        <v>Invalid</v>
      </c>
      <c r="O237" t="str">
        <f t="shared" ca="1" si="29"/>
        <v>Outdated</v>
      </c>
      <c r="P237" t="str">
        <f t="shared" si="30"/>
        <v>Wrong Item</v>
      </c>
      <c r="Q237" t="str">
        <f t="shared" si="31"/>
        <v/>
      </c>
    </row>
    <row r="238" spans="1:17" x14ac:dyDescent="0.45">
      <c r="A238" t="s">
        <v>542</v>
      </c>
      <c r="B238" t="s">
        <v>72</v>
      </c>
      <c r="C238" t="s">
        <v>543</v>
      </c>
      <c r="D238" t="s">
        <v>74</v>
      </c>
      <c r="E238" s="8">
        <v>8972.41</v>
      </c>
      <c r="F238" s="9">
        <v>45197.666684444448</v>
      </c>
      <c r="G238" t="s">
        <v>75</v>
      </c>
      <c r="I238" t="s">
        <v>112</v>
      </c>
      <c r="J238" t="str">
        <f t="shared" si="24"/>
        <v/>
      </c>
      <c r="K238" t="str">
        <f t="shared" si="25"/>
        <v/>
      </c>
      <c r="L238" t="str">
        <f t="shared" si="26"/>
        <v/>
      </c>
      <c r="M238" t="str">
        <f t="shared" si="27"/>
        <v/>
      </c>
      <c r="N238" t="str">
        <f t="shared" si="28"/>
        <v>Invalid</v>
      </c>
      <c r="O238" t="str">
        <f t="shared" ca="1" si="29"/>
        <v>Outdated</v>
      </c>
      <c r="P238" t="str">
        <f t="shared" si="30"/>
        <v>Wrong Item</v>
      </c>
      <c r="Q238" t="str">
        <f t="shared" si="31"/>
        <v/>
      </c>
    </row>
    <row r="239" spans="1:17" x14ac:dyDescent="0.45">
      <c r="A239" t="s">
        <v>544</v>
      </c>
      <c r="B239" t="s">
        <v>95</v>
      </c>
      <c r="C239" t="s">
        <v>545</v>
      </c>
      <c r="D239" t="s">
        <v>101</v>
      </c>
      <c r="E239" s="8">
        <v>719.1</v>
      </c>
      <c r="F239" s="9">
        <v>45160.666684444448</v>
      </c>
      <c r="G239" t="s">
        <v>97</v>
      </c>
      <c r="H239" t="s">
        <v>76</v>
      </c>
      <c r="I239" t="s">
        <v>88</v>
      </c>
      <c r="J239" t="str">
        <f t="shared" si="24"/>
        <v/>
      </c>
      <c r="K239" t="str">
        <f t="shared" si="25"/>
        <v/>
      </c>
      <c r="L239" t="str">
        <f t="shared" si="26"/>
        <v/>
      </c>
      <c r="M239" t="str">
        <f t="shared" si="27"/>
        <v/>
      </c>
      <c r="N239" t="str">
        <f t="shared" si="28"/>
        <v/>
      </c>
      <c r="O239" t="str">
        <f t="shared" ca="1" si="29"/>
        <v>Outdated</v>
      </c>
      <c r="P239" t="str">
        <f t="shared" si="30"/>
        <v>Damaged</v>
      </c>
      <c r="Q239" t="str">
        <f t="shared" si="31"/>
        <v/>
      </c>
    </row>
    <row r="240" spans="1:17" x14ac:dyDescent="0.45">
      <c r="A240" t="s">
        <v>546</v>
      </c>
      <c r="B240" t="s">
        <v>172</v>
      </c>
      <c r="C240" t="s">
        <v>547</v>
      </c>
      <c r="D240" t="s">
        <v>85</v>
      </c>
      <c r="E240" s="8">
        <v>1493.21</v>
      </c>
      <c r="F240" s="9">
        <v>45466.666684444448</v>
      </c>
      <c r="G240" t="s">
        <v>174</v>
      </c>
      <c r="H240" t="s">
        <v>118</v>
      </c>
      <c r="I240" t="s">
        <v>119</v>
      </c>
      <c r="J240" t="str">
        <f t="shared" si="24"/>
        <v/>
      </c>
      <c r="K240" t="str">
        <f t="shared" si="25"/>
        <v/>
      </c>
      <c r="L240" t="str">
        <f t="shared" si="26"/>
        <v/>
      </c>
      <c r="M240" t="str">
        <f t="shared" si="27"/>
        <v/>
      </c>
      <c r="N240" t="str">
        <f t="shared" si="28"/>
        <v>Invalid</v>
      </c>
      <c r="O240" t="str">
        <f t="shared" ca="1" si="29"/>
        <v>Outdated</v>
      </c>
      <c r="P240" t="str">
        <f t="shared" si="30"/>
        <v>Late Delivery</v>
      </c>
      <c r="Q240" t="str">
        <f t="shared" si="31"/>
        <v/>
      </c>
    </row>
    <row r="241" spans="1:17" x14ac:dyDescent="0.45">
      <c r="A241" t="s">
        <v>548</v>
      </c>
      <c r="B241" t="s">
        <v>95</v>
      </c>
      <c r="C241" t="s">
        <v>295</v>
      </c>
      <c r="E241" s="8">
        <v>3479.1</v>
      </c>
      <c r="F241" s="9">
        <v>45200.666684444448</v>
      </c>
      <c r="H241" t="s">
        <v>136</v>
      </c>
      <c r="I241" t="s">
        <v>82</v>
      </c>
      <c r="J241" t="str">
        <f t="shared" si="24"/>
        <v>Missing</v>
      </c>
      <c r="K241" t="str">
        <f t="shared" si="25"/>
        <v/>
      </c>
      <c r="L241" t="str">
        <f t="shared" si="26"/>
        <v/>
      </c>
      <c r="M241" t="str">
        <f t="shared" si="27"/>
        <v>Invalid</v>
      </c>
      <c r="N241" t="str">
        <f t="shared" si="28"/>
        <v>Invalid</v>
      </c>
      <c r="O241" t="str">
        <f t="shared" ca="1" si="29"/>
        <v>Outdated</v>
      </c>
      <c r="P241" t="str">
        <f t="shared" si="30"/>
        <v/>
      </c>
      <c r="Q241" t="str">
        <f t="shared" si="31"/>
        <v/>
      </c>
    </row>
    <row r="242" spans="1:17" x14ac:dyDescent="0.45">
      <c r="A242" t="s">
        <v>549</v>
      </c>
      <c r="B242" t="s">
        <v>79</v>
      </c>
      <c r="C242" t="s">
        <v>550</v>
      </c>
      <c r="D242" t="s">
        <v>74</v>
      </c>
      <c r="E242" s="8">
        <v>4651.5</v>
      </c>
      <c r="F242" s="9">
        <v>45654.666684444448</v>
      </c>
      <c r="G242" t="s">
        <v>86</v>
      </c>
      <c r="H242" t="s">
        <v>116</v>
      </c>
      <c r="I242" t="s">
        <v>82</v>
      </c>
      <c r="J242" t="str">
        <f t="shared" si="24"/>
        <v/>
      </c>
      <c r="K242" t="str">
        <f t="shared" si="25"/>
        <v>Duplicate</v>
      </c>
      <c r="L242" t="str">
        <f t="shared" si="26"/>
        <v/>
      </c>
      <c r="M242" t="str">
        <f t="shared" si="27"/>
        <v/>
      </c>
      <c r="N242" t="str">
        <f t="shared" si="28"/>
        <v/>
      </c>
      <c r="O242" t="str">
        <f t="shared" ca="1" si="29"/>
        <v>Outdated</v>
      </c>
      <c r="P242" t="str">
        <f t="shared" si="30"/>
        <v>Wrong Item</v>
      </c>
      <c r="Q242" t="str">
        <f t="shared" si="31"/>
        <v/>
      </c>
    </row>
    <row r="243" spans="1:17" x14ac:dyDescent="0.45">
      <c r="A243" t="s">
        <v>551</v>
      </c>
      <c r="B243" t="s">
        <v>138</v>
      </c>
      <c r="C243" t="s">
        <v>552</v>
      </c>
      <c r="E243" s="8">
        <v>11221.9</v>
      </c>
      <c r="F243" s="9">
        <v>45371.666684444448</v>
      </c>
      <c r="G243" t="s">
        <v>140</v>
      </c>
      <c r="H243" t="s">
        <v>118</v>
      </c>
      <c r="I243" t="s">
        <v>163</v>
      </c>
      <c r="J243" t="str">
        <f t="shared" si="24"/>
        <v>Missing</v>
      </c>
      <c r="K243" t="str">
        <f t="shared" si="25"/>
        <v/>
      </c>
      <c r="L243" t="str">
        <f t="shared" si="26"/>
        <v>Unusual</v>
      </c>
      <c r="M243" t="str">
        <f t="shared" si="27"/>
        <v/>
      </c>
      <c r="N243" t="str">
        <f t="shared" si="28"/>
        <v>Invalid</v>
      </c>
      <c r="O243" t="str">
        <f t="shared" ca="1" si="29"/>
        <v>Outdated</v>
      </c>
      <c r="P243" t="str">
        <f t="shared" si="30"/>
        <v/>
      </c>
      <c r="Q243" t="str">
        <f t="shared" si="31"/>
        <v/>
      </c>
    </row>
    <row r="244" spans="1:17" x14ac:dyDescent="0.45">
      <c r="A244" t="s">
        <v>553</v>
      </c>
      <c r="B244" t="s">
        <v>95</v>
      </c>
      <c r="C244" t="s">
        <v>554</v>
      </c>
      <c r="D244" t="s">
        <v>148</v>
      </c>
      <c r="E244" s="8">
        <v>4683.45</v>
      </c>
      <c r="F244" s="9">
        <v>45413.666684444448</v>
      </c>
      <c r="G244" t="s">
        <v>97</v>
      </c>
      <c r="H244" t="s">
        <v>128</v>
      </c>
      <c r="I244" t="s">
        <v>82</v>
      </c>
      <c r="J244" t="str">
        <f t="shared" si="24"/>
        <v/>
      </c>
      <c r="K244" t="str">
        <f t="shared" si="25"/>
        <v/>
      </c>
      <c r="L244" t="str">
        <f t="shared" si="26"/>
        <v/>
      </c>
      <c r="M244" t="str">
        <f t="shared" si="27"/>
        <v/>
      </c>
      <c r="N244" t="str">
        <f t="shared" si="28"/>
        <v>Invalid</v>
      </c>
      <c r="O244" t="str">
        <f t="shared" ca="1" si="29"/>
        <v>Outdated</v>
      </c>
      <c r="P244" t="str">
        <f t="shared" si="30"/>
        <v>Wrong Item</v>
      </c>
      <c r="Q244" t="str">
        <f t="shared" si="31"/>
        <v>Inconsistent</v>
      </c>
    </row>
    <row r="245" spans="1:17" x14ac:dyDescent="0.45">
      <c r="A245" t="s">
        <v>555</v>
      </c>
      <c r="B245" t="s">
        <v>79</v>
      </c>
      <c r="C245" t="s">
        <v>556</v>
      </c>
      <c r="D245" t="s">
        <v>74</v>
      </c>
      <c r="E245" s="8">
        <v>8045.36</v>
      </c>
      <c r="F245" s="9">
        <v>45813.666684444448</v>
      </c>
      <c r="G245" t="s">
        <v>278</v>
      </c>
      <c r="H245" t="s">
        <v>145</v>
      </c>
      <c r="I245" t="s">
        <v>82</v>
      </c>
      <c r="J245" t="str">
        <f t="shared" si="24"/>
        <v/>
      </c>
      <c r="K245" t="str">
        <f t="shared" si="25"/>
        <v/>
      </c>
      <c r="L245" t="str">
        <f t="shared" si="26"/>
        <v/>
      </c>
      <c r="M245" t="str">
        <f t="shared" si="27"/>
        <v>Invalid</v>
      </c>
      <c r="N245" t="str">
        <f t="shared" si="28"/>
        <v/>
      </c>
      <c r="O245" t="str">
        <f t="shared" ca="1" si="29"/>
        <v>Outdated</v>
      </c>
      <c r="P245" t="str">
        <f t="shared" si="30"/>
        <v>Wrong Item</v>
      </c>
      <c r="Q245" t="str">
        <f t="shared" si="31"/>
        <v/>
      </c>
    </row>
    <row r="246" spans="1:17" x14ac:dyDescent="0.45">
      <c r="A246" t="s">
        <v>557</v>
      </c>
      <c r="B246" t="s">
        <v>90</v>
      </c>
      <c r="D246" t="s">
        <v>148</v>
      </c>
      <c r="E246" s="8">
        <v>7027.25</v>
      </c>
      <c r="F246" s="9">
        <v>45625.666684444448</v>
      </c>
      <c r="G246" t="s">
        <v>93</v>
      </c>
      <c r="H246" t="s">
        <v>133</v>
      </c>
      <c r="I246" t="s">
        <v>112</v>
      </c>
      <c r="J246" t="str">
        <f t="shared" si="24"/>
        <v>Missing</v>
      </c>
      <c r="K246" t="str">
        <f t="shared" si="25"/>
        <v/>
      </c>
      <c r="L246" t="str">
        <f t="shared" si="26"/>
        <v/>
      </c>
      <c r="M246" t="str">
        <f t="shared" si="27"/>
        <v/>
      </c>
      <c r="N246" t="str">
        <f t="shared" si="28"/>
        <v>Invalid</v>
      </c>
      <c r="O246" t="str">
        <f t="shared" ca="1" si="29"/>
        <v>Outdated</v>
      </c>
      <c r="P246" t="str">
        <f t="shared" si="30"/>
        <v>Wrong Item</v>
      </c>
      <c r="Q246" t="str">
        <f t="shared" si="31"/>
        <v>Inconsistent</v>
      </c>
    </row>
    <row r="247" spans="1:17" x14ac:dyDescent="0.45">
      <c r="A247" t="s">
        <v>558</v>
      </c>
      <c r="B247" t="s">
        <v>79</v>
      </c>
      <c r="C247" t="s">
        <v>559</v>
      </c>
      <c r="D247" t="s">
        <v>106</v>
      </c>
      <c r="E247" s="8">
        <v>8630.4</v>
      </c>
      <c r="F247" s="9">
        <v>45347.666684444448</v>
      </c>
      <c r="G247" t="s">
        <v>86</v>
      </c>
      <c r="H247" t="s">
        <v>133</v>
      </c>
      <c r="I247" t="s">
        <v>119</v>
      </c>
      <c r="J247" t="str">
        <f t="shared" si="24"/>
        <v/>
      </c>
      <c r="K247" t="str">
        <f t="shared" si="25"/>
        <v/>
      </c>
      <c r="L247" t="str">
        <f t="shared" si="26"/>
        <v/>
      </c>
      <c r="M247" t="str">
        <f t="shared" si="27"/>
        <v/>
      </c>
      <c r="N247" t="str">
        <f t="shared" si="28"/>
        <v>Invalid</v>
      </c>
      <c r="O247" t="str">
        <f t="shared" ca="1" si="29"/>
        <v>Outdated</v>
      </c>
      <c r="P247" t="str">
        <f t="shared" si="30"/>
        <v>Damaged</v>
      </c>
      <c r="Q247" t="str">
        <f t="shared" si="31"/>
        <v>Inconsistent</v>
      </c>
    </row>
    <row r="248" spans="1:17" x14ac:dyDescent="0.45">
      <c r="A248" t="s">
        <v>560</v>
      </c>
      <c r="B248" t="s">
        <v>79</v>
      </c>
      <c r="C248" t="s">
        <v>561</v>
      </c>
      <c r="D248" t="s">
        <v>92</v>
      </c>
      <c r="E248" s="8">
        <v>6173.43</v>
      </c>
      <c r="F248" s="9">
        <v>45680.666684444448</v>
      </c>
      <c r="G248" t="s">
        <v>86</v>
      </c>
      <c r="H248" t="s">
        <v>87</v>
      </c>
      <c r="I248" t="s">
        <v>77</v>
      </c>
      <c r="J248" t="str">
        <f t="shared" si="24"/>
        <v/>
      </c>
      <c r="K248" t="str">
        <f t="shared" si="25"/>
        <v/>
      </c>
      <c r="L248" t="str">
        <f t="shared" si="26"/>
        <v/>
      </c>
      <c r="M248" t="str">
        <f t="shared" si="27"/>
        <v/>
      </c>
      <c r="N248" t="str">
        <f t="shared" si="28"/>
        <v>Invalid</v>
      </c>
      <c r="O248" t="str">
        <f t="shared" ca="1" si="29"/>
        <v>Outdated</v>
      </c>
      <c r="P248" t="str">
        <f t="shared" si="30"/>
        <v>Not As Described</v>
      </c>
      <c r="Q248" t="str">
        <f t="shared" si="31"/>
        <v/>
      </c>
    </row>
    <row r="249" spans="1:17" x14ac:dyDescent="0.45">
      <c r="A249" t="s">
        <v>562</v>
      </c>
      <c r="B249" t="s">
        <v>72</v>
      </c>
      <c r="C249" t="s">
        <v>563</v>
      </c>
      <c r="D249" t="s">
        <v>92</v>
      </c>
      <c r="E249" s="8">
        <v>10049.41</v>
      </c>
      <c r="F249" s="9">
        <v>45263.666684444448</v>
      </c>
      <c r="G249" t="s">
        <v>75</v>
      </c>
      <c r="H249" t="s">
        <v>133</v>
      </c>
      <c r="I249" t="s">
        <v>77</v>
      </c>
      <c r="J249" t="str">
        <f t="shared" si="24"/>
        <v/>
      </c>
      <c r="K249" t="str">
        <f t="shared" si="25"/>
        <v/>
      </c>
      <c r="L249" t="str">
        <f t="shared" si="26"/>
        <v>Unusual</v>
      </c>
      <c r="M249" t="str">
        <f t="shared" si="27"/>
        <v/>
      </c>
      <c r="N249" t="str">
        <f t="shared" si="28"/>
        <v>Invalid</v>
      </c>
      <c r="O249" t="str">
        <f t="shared" ca="1" si="29"/>
        <v>Outdated</v>
      </c>
      <c r="P249" t="str">
        <f t="shared" si="30"/>
        <v>Not As Described</v>
      </c>
      <c r="Q249" t="str">
        <f t="shared" si="31"/>
        <v/>
      </c>
    </row>
    <row r="250" spans="1:17" x14ac:dyDescent="0.45">
      <c r="A250" t="s">
        <v>564</v>
      </c>
      <c r="B250" t="s">
        <v>109</v>
      </c>
      <c r="C250" t="s">
        <v>565</v>
      </c>
      <c r="D250" t="s">
        <v>106</v>
      </c>
      <c r="E250" s="8">
        <v>6090.11</v>
      </c>
      <c r="F250" s="9">
        <v>45712.666684444448</v>
      </c>
      <c r="H250" t="s">
        <v>107</v>
      </c>
      <c r="I250" t="s">
        <v>88</v>
      </c>
      <c r="J250" t="str">
        <f t="shared" si="24"/>
        <v/>
      </c>
      <c r="K250" t="str">
        <f t="shared" si="25"/>
        <v/>
      </c>
      <c r="L250" t="str">
        <f t="shared" si="26"/>
        <v/>
      </c>
      <c r="M250" t="str">
        <f t="shared" si="27"/>
        <v>Invalid</v>
      </c>
      <c r="N250" t="str">
        <f t="shared" si="28"/>
        <v/>
      </c>
      <c r="O250" t="str">
        <f t="shared" ca="1" si="29"/>
        <v>Outdated</v>
      </c>
      <c r="P250" t="str">
        <f t="shared" si="30"/>
        <v>Damaged</v>
      </c>
      <c r="Q250" t="str">
        <f t="shared" si="31"/>
        <v>Inconsistent</v>
      </c>
    </row>
    <row r="251" spans="1:17" x14ac:dyDescent="0.45">
      <c r="A251" t="s">
        <v>566</v>
      </c>
      <c r="B251" t="s">
        <v>72</v>
      </c>
      <c r="C251" t="s">
        <v>475</v>
      </c>
      <c r="D251" t="s">
        <v>85</v>
      </c>
      <c r="E251" s="8">
        <v>10260.94</v>
      </c>
      <c r="F251" s="9">
        <v>45718.666684444448</v>
      </c>
      <c r="G251" t="s">
        <v>75</v>
      </c>
      <c r="I251" t="s">
        <v>163</v>
      </c>
      <c r="J251" t="str">
        <f t="shared" si="24"/>
        <v/>
      </c>
      <c r="K251" t="str">
        <f t="shared" si="25"/>
        <v/>
      </c>
      <c r="L251" t="str">
        <f t="shared" si="26"/>
        <v>Unusual</v>
      </c>
      <c r="M251" t="str">
        <f t="shared" si="27"/>
        <v/>
      </c>
      <c r="N251" t="str">
        <f t="shared" si="28"/>
        <v>Invalid</v>
      </c>
      <c r="O251" t="str">
        <f t="shared" ca="1" si="29"/>
        <v>Outdated</v>
      </c>
      <c r="P251" t="str">
        <f t="shared" si="30"/>
        <v>Late Delivery</v>
      </c>
      <c r="Q251" t="str">
        <f t="shared" si="31"/>
        <v/>
      </c>
    </row>
    <row r="252" spans="1:17" x14ac:dyDescent="0.45">
      <c r="A252" t="s">
        <v>567</v>
      </c>
      <c r="B252" t="s">
        <v>72</v>
      </c>
      <c r="C252" t="s">
        <v>568</v>
      </c>
      <c r="D252" t="s">
        <v>101</v>
      </c>
      <c r="E252" s="8">
        <v>4633.1899999999996</v>
      </c>
      <c r="F252" s="9">
        <v>45612.666684444448</v>
      </c>
      <c r="G252" t="s">
        <v>521</v>
      </c>
      <c r="I252" t="s">
        <v>112</v>
      </c>
      <c r="J252" t="str">
        <f t="shared" si="24"/>
        <v/>
      </c>
      <c r="K252" t="str">
        <f t="shared" si="25"/>
        <v/>
      </c>
      <c r="L252" t="str">
        <f t="shared" si="26"/>
        <v/>
      </c>
      <c r="M252" t="str">
        <f t="shared" si="27"/>
        <v>Invalid</v>
      </c>
      <c r="N252" t="str">
        <f t="shared" si="28"/>
        <v>Invalid</v>
      </c>
      <c r="O252" t="str">
        <f t="shared" ca="1" si="29"/>
        <v>Outdated</v>
      </c>
      <c r="P252" t="str">
        <f t="shared" si="30"/>
        <v>Damaged</v>
      </c>
      <c r="Q252" t="str">
        <f t="shared" si="31"/>
        <v/>
      </c>
    </row>
    <row r="253" spans="1:17" x14ac:dyDescent="0.45">
      <c r="A253" t="s">
        <v>569</v>
      </c>
      <c r="B253" t="s">
        <v>109</v>
      </c>
      <c r="C253" t="s">
        <v>570</v>
      </c>
      <c r="E253" s="8">
        <v>7229.29</v>
      </c>
      <c r="F253" s="9">
        <v>45376.666684444448</v>
      </c>
      <c r="G253" t="s">
        <v>111</v>
      </c>
      <c r="H253" t="s">
        <v>87</v>
      </c>
      <c r="I253" t="s">
        <v>82</v>
      </c>
      <c r="J253" t="str">
        <f t="shared" si="24"/>
        <v>Missing</v>
      </c>
      <c r="K253" t="str">
        <f t="shared" si="25"/>
        <v/>
      </c>
      <c r="L253" t="str">
        <f t="shared" si="26"/>
        <v/>
      </c>
      <c r="M253" t="str">
        <f t="shared" si="27"/>
        <v/>
      </c>
      <c r="N253" t="str">
        <f t="shared" si="28"/>
        <v>Invalid</v>
      </c>
      <c r="O253" t="str">
        <f t="shared" ca="1" si="29"/>
        <v>Outdated</v>
      </c>
      <c r="P253" t="str">
        <f t="shared" si="30"/>
        <v/>
      </c>
      <c r="Q253" t="str">
        <f t="shared" si="31"/>
        <v/>
      </c>
    </row>
    <row r="254" spans="1:17" x14ac:dyDescent="0.45">
      <c r="A254" t="s">
        <v>571</v>
      </c>
      <c r="B254" t="s">
        <v>138</v>
      </c>
      <c r="D254" t="s">
        <v>85</v>
      </c>
      <c r="E254" s="8">
        <v>6098.03</v>
      </c>
      <c r="F254" s="9">
        <v>45612.666684444448</v>
      </c>
      <c r="G254" t="s">
        <v>140</v>
      </c>
      <c r="H254" t="s">
        <v>116</v>
      </c>
      <c r="I254" t="s">
        <v>77</v>
      </c>
      <c r="J254" t="str">
        <f t="shared" si="24"/>
        <v>Missing</v>
      </c>
      <c r="K254" t="str">
        <f t="shared" si="25"/>
        <v/>
      </c>
      <c r="L254" t="str">
        <f t="shared" si="26"/>
        <v/>
      </c>
      <c r="M254" t="str">
        <f t="shared" si="27"/>
        <v/>
      </c>
      <c r="N254" t="str">
        <f t="shared" si="28"/>
        <v/>
      </c>
      <c r="O254" t="str">
        <f t="shared" ca="1" si="29"/>
        <v>Outdated</v>
      </c>
      <c r="P254" t="str">
        <f t="shared" si="30"/>
        <v>Late Delivery</v>
      </c>
      <c r="Q254" t="str">
        <f t="shared" si="31"/>
        <v/>
      </c>
    </row>
    <row r="255" spans="1:17" x14ac:dyDescent="0.45">
      <c r="A255" t="s">
        <v>572</v>
      </c>
      <c r="B255" t="s">
        <v>90</v>
      </c>
      <c r="C255" t="s">
        <v>573</v>
      </c>
      <c r="D255" t="s">
        <v>85</v>
      </c>
      <c r="E255" s="8">
        <v>11904.9</v>
      </c>
      <c r="F255" s="9">
        <v>45544.666684444448</v>
      </c>
      <c r="G255" t="s">
        <v>93</v>
      </c>
      <c r="H255" t="s">
        <v>87</v>
      </c>
      <c r="I255" t="s">
        <v>88</v>
      </c>
      <c r="J255" t="str">
        <f t="shared" si="24"/>
        <v/>
      </c>
      <c r="K255" t="str">
        <f t="shared" si="25"/>
        <v/>
      </c>
      <c r="L255" t="str">
        <f t="shared" si="26"/>
        <v>Unusual</v>
      </c>
      <c r="M255" t="str">
        <f t="shared" si="27"/>
        <v/>
      </c>
      <c r="N255" t="str">
        <f t="shared" si="28"/>
        <v>Invalid</v>
      </c>
      <c r="O255" t="str">
        <f t="shared" ca="1" si="29"/>
        <v>Outdated</v>
      </c>
      <c r="P255" t="str">
        <f t="shared" si="30"/>
        <v>Late Delivery</v>
      </c>
      <c r="Q255" t="str">
        <f t="shared" si="31"/>
        <v/>
      </c>
    </row>
    <row r="256" spans="1:17" x14ac:dyDescent="0.45">
      <c r="A256" t="s">
        <v>574</v>
      </c>
      <c r="B256" t="s">
        <v>95</v>
      </c>
      <c r="C256" t="s">
        <v>575</v>
      </c>
      <c r="D256" t="s">
        <v>101</v>
      </c>
      <c r="E256" s="8">
        <v>4443.5200000000004</v>
      </c>
      <c r="F256" s="9">
        <v>45322.666684444448</v>
      </c>
      <c r="H256" t="s">
        <v>118</v>
      </c>
      <c r="I256" t="s">
        <v>119</v>
      </c>
      <c r="J256" t="str">
        <f t="shared" si="24"/>
        <v/>
      </c>
      <c r="K256" t="str">
        <f t="shared" si="25"/>
        <v/>
      </c>
      <c r="L256" t="str">
        <f t="shared" si="26"/>
        <v/>
      </c>
      <c r="M256" t="str">
        <f t="shared" si="27"/>
        <v>Invalid</v>
      </c>
      <c r="N256" t="str">
        <f t="shared" si="28"/>
        <v>Invalid</v>
      </c>
      <c r="O256" t="str">
        <f t="shared" ca="1" si="29"/>
        <v>Outdated</v>
      </c>
      <c r="P256" t="str">
        <f t="shared" si="30"/>
        <v>Damaged</v>
      </c>
      <c r="Q256" t="str">
        <f t="shared" si="31"/>
        <v/>
      </c>
    </row>
    <row r="257" spans="1:17" x14ac:dyDescent="0.45">
      <c r="A257" t="s">
        <v>576</v>
      </c>
      <c r="B257" t="s">
        <v>79</v>
      </c>
      <c r="C257" t="s">
        <v>577</v>
      </c>
      <c r="D257" t="s">
        <v>92</v>
      </c>
      <c r="E257" s="8">
        <v>10473.959999999999</v>
      </c>
      <c r="F257" s="9">
        <v>45224.666684444448</v>
      </c>
      <c r="G257" t="s">
        <v>86</v>
      </c>
      <c r="I257" t="s">
        <v>163</v>
      </c>
      <c r="J257" t="str">
        <f t="shared" si="24"/>
        <v/>
      </c>
      <c r="K257" t="str">
        <f t="shared" si="25"/>
        <v/>
      </c>
      <c r="L257" t="str">
        <f t="shared" si="26"/>
        <v>Unusual</v>
      </c>
      <c r="M257" t="str">
        <f t="shared" si="27"/>
        <v/>
      </c>
      <c r="N257" t="str">
        <f t="shared" si="28"/>
        <v>Invalid</v>
      </c>
      <c r="O257" t="str">
        <f t="shared" ca="1" si="29"/>
        <v>Outdated</v>
      </c>
      <c r="P257" t="str">
        <f t="shared" si="30"/>
        <v>Not As Described</v>
      </c>
      <c r="Q257" t="str">
        <f t="shared" si="31"/>
        <v/>
      </c>
    </row>
    <row r="258" spans="1:17" x14ac:dyDescent="0.45">
      <c r="A258" t="s">
        <v>578</v>
      </c>
      <c r="B258" t="s">
        <v>95</v>
      </c>
      <c r="C258" t="s">
        <v>373</v>
      </c>
      <c r="D258" t="s">
        <v>74</v>
      </c>
      <c r="E258" s="8">
        <v>2807.07</v>
      </c>
      <c r="F258" s="9">
        <v>45227.666684444448</v>
      </c>
      <c r="G258" t="s">
        <v>97</v>
      </c>
      <c r="H258" t="s">
        <v>76</v>
      </c>
      <c r="I258" t="s">
        <v>88</v>
      </c>
      <c r="J258" t="str">
        <f t="shared" ref="J258:J321" si="32">IF(OR(ISBLANK(C258),ISBLANK(D258)),"Missing","")</f>
        <v/>
      </c>
      <c r="K258" t="str">
        <f t="shared" ref="K258:K321" si="33">IF(COUNTIF($A$2:$A$2501,A258)&gt;1,"Duplicate","")</f>
        <v/>
      </c>
      <c r="L258" t="str">
        <f t="shared" ref="L258:L321" si="34">IF(OR(E258=0,E258&gt;10000),"Unusual","")</f>
        <v/>
      </c>
      <c r="M258" t="str">
        <f t="shared" ref="M258:M321" si="35">IF(OR(ISBLANK(G258),ISERROR(FIND("@",G258)),ISERROR(FIND(".",G258,FIND("@",G258)+1))),"Invalid","")</f>
        <v/>
      </c>
      <c r="N258" t="str">
        <f t="shared" ref="N258:N321" si="36">IF(COUNTIF($S$2:$S$6,H258)=0,"Invalid","")</f>
        <v/>
      </c>
      <c r="O258" t="str">
        <f t="shared" ref="O258:O321" ca="1" si="37">IF(F258&lt;EDATE(TODAY(),-12),"Outdated","")</f>
        <v>Outdated</v>
      </c>
      <c r="P258" t="str">
        <f t="shared" ref="P258:P321" si="38">IF(ISBLANK(D258),"",PROPER(TRIM(D258)))</f>
        <v>Wrong Item</v>
      </c>
      <c r="Q258" t="str">
        <f t="shared" ref="Q258:Q321" si="39">IF(ISBLANK(D258),"",IF(EXACT(D258,P258),"","Inconsistent"))</f>
        <v/>
      </c>
    </row>
    <row r="259" spans="1:17" x14ac:dyDescent="0.45">
      <c r="A259" t="s">
        <v>579</v>
      </c>
      <c r="B259" t="s">
        <v>104</v>
      </c>
      <c r="C259" t="s">
        <v>243</v>
      </c>
      <c r="D259" t="s">
        <v>155</v>
      </c>
      <c r="E259" s="8">
        <v>8581.64</v>
      </c>
      <c r="F259" s="9">
        <v>45802.666684444448</v>
      </c>
      <c r="G259" t="s">
        <v>115</v>
      </c>
      <c r="H259" t="s">
        <v>87</v>
      </c>
      <c r="I259" t="s">
        <v>163</v>
      </c>
      <c r="J259" t="str">
        <f t="shared" si="32"/>
        <v/>
      </c>
      <c r="K259" t="str">
        <f t="shared" si="33"/>
        <v/>
      </c>
      <c r="L259" t="str">
        <f t="shared" si="34"/>
        <v/>
      </c>
      <c r="M259" t="str">
        <f t="shared" si="35"/>
        <v/>
      </c>
      <c r="N259" t="str">
        <f t="shared" si="36"/>
        <v>Invalid</v>
      </c>
      <c r="O259" t="str">
        <f t="shared" ca="1" si="37"/>
        <v>Outdated</v>
      </c>
      <c r="P259" t="str">
        <f t="shared" si="38"/>
        <v>Damaged</v>
      </c>
      <c r="Q259" t="str">
        <f t="shared" si="39"/>
        <v>Inconsistent</v>
      </c>
    </row>
    <row r="260" spans="1:17" x14ac:dyDescent="0.45">
      <c r="A260" t="s">
        <v>580</v>
      </c>
      <c r="B260" t="s">
        <v>99</v>
      </c>
      <c r="C260" t="s">
        <v>269</v>
      </c>
      <c r="D260" t="s">
        <v>101</v>
      </c>
      <c r="E260" s="8">
        <v>3676.79</v>
      </c>
      <c r="F260" s="9">
        <v>45569.666684444448</v>
      </c>
      <c r="G260" t="s">
        <v>102</v>
      </c>
      <c r="H260" t="s">
        <v>136</v>
      </c>
      <c r="I260" t="s">
        <v>119</v>
      </c>
      <c r="J260" t="str">
        <f t="shared" si="32"/>
        <v/>
      </c>
      <c r="K260" t="str">
        <f t="shared" si="33"/>
        <v>Duplicate</v>
      </c>
      <c r="L260" t="str">
        <f t="shared" si="34"/>
        <v/>
      </c>
      <c r="M260" t="str">
        <f t="shared" si="35"/>
        <v/>
      </c>
      <c r="N260" t="str">
        <f t="shared" si="36"/>
        <v>Invalid</v>
      </c>
      <c r="O260" t="str">
        <f t="shared" ca="1" si="37"/>
        <v>Outdated</v>
      </c>
      <c r="P260" t="str">
        <f t="shared" si="38"/>
        <v>Damaged</v>
      </c>
      <c r="Q260" t="str">
        <f t="shared" si="39"/>
        <v/>
      </c>
    </row>
    <row r="261" spans="1:17" x14ac:dyDescent="0.45">
      <c r="A261" t="s">
        <v>581</v>
      </c>
      <c r="B261" t="s">
        <v>138</v>
      </c>
      <c r="C261" t="s">
        <v>582</v>
      </c>
      <c r="D261" t="s">
        <v>74</v>
      </c>
      <c r="E261" s="8">
        <v>3167.71</v>
      </c>
      <c r="F261" s="9">
        <v>45490.666684444448</v>
      </c>
      <c r="H261" t="s">
        <v>87</v>
      </c>
      <c r="I261" t="s">
        <v>82</v>
      </c>
      <c r="J261" t="str">
        <f t="shared" si="32"/>
        <v/>
      </c>
      <c r="K261" t="str">
        <f t="shared" si="33"/>
        <v/>
      </c>
      <c r="L261" t="str">
        <f t="shared" si="34"/>
        <v/>
      </c>
      <c r="M261" t="str">
        <f t="shared" si="35"/>
        <v>Invalid</v>
      </c>
      <c r="N261" t="str">
        <f t="shared" si="36"/>
        <v>Invalid</v>
      </c>
      <c r="O261" t="str">
        <f t="shared" ca="1" si="37"/>
        <v>Outdated</v>
      </c>
      <c r="P261" t="str">
        <f t="shared" si="38"/>
        <v>Wrong Item</v>
      </c>
      <c r="Q261" t="str">
        <f t="shared" si="39"/>
        <v/>
      </c>
    </row>
    <row r="262" spans="1:17" x14ac:dyDescent="0.45">
      <c r="A262" t="s">
        <v>583</v>
      </c>
      <c r="B262" t="s">
        <v>99</v>
      </c>
      <c r="C262" t="s">
        <v>446</v>
      </c>
      <c r="D262" t="s">
        <v>101</v>
      </c>
      <c r="E262" s="8">
        <v>8794.06</v>
      </c>
      <c r="F262" s="9">
        <v>45561.666684444448</v>
      </c>
      <c r="G262" t="s">
        <v>285</v>
      </c>
      <c r="H262" t="s">
        <v>116</v>
      </c>
      <c r="I262" t="s">
        <v>119</v>
      </c>
      <c r="J262" t="str">
        <f t="shared" si="32"/>
        <v/>
      </c>
      <c r="K262" t="str">
        <f t="shared" si="33"/>
        <v>Duplicate</v>
      </c>
      <c r="L262" t="str">
        <f t="shared" si="34"/>
        <v/>
      </c>
      <c r="M262" t="str">
        <f t="shared" si="35"/>
        <v>Invalid</v>
      </c>
      <c r="N262" t="str">
        <f t="shared" si="36"/>
        <v/>
      </c>
      <c r="O262" t="str">
        <f t="shared" ca="1" si="37"/>
        <v>Outdated</v>
      </c>
      <c r="P262" t="str">
        <f t="shared" si="38"/>
        <v>Damaged</v>
      </c>
      <c r="Q262" t="str">
        <f t="shared" si="39"/>
        <v/>
      </c>
    </row>
    <row r="263" spans="1:17" x14ac:dyDescent="0.45">
      <c r="A263" t="s">
        <v>584</v>
      </c>
      <c r="B263" t="s">
        <v>79</v>
      </c>
      <c r="C263" t="s">
        <v>478</v>
      </c>
      <c r="D263" t="s">
        <v>74</v>
      </c>
      <c r="E263" s="8">
        <v>3943.25</v>
      </c>
      <c r="F263" s="9">
        <v>45548.666684444448</v>
      </c>
      <c r="G263" t="s">
        <v>86</v>
      </c>
      <c r="H263" t="s">
        <v>81</v>
      </c>
      <c r="I263" t="s">
        <v>88</v>
      </c>
      <c r="J263" t="str">
        <f t="shared" si="32"/>
        <v/>
      </c>
      <c r="K263" t="str">
        <f t="shared" si="33"/>
        <v/>
      </c>
      <c r="L263" t="str">
        <f t="shared" si="34"/>
        <v/>
      </c>
      <c r="M263" t="str">
        <f t="shared" si="35"/>
        <v/>
      </c>
      <c r="N263" t="str">
        <f t="shared" si="36"/>
        <v/>
      </c>
      <c r="O263" t="str">
        <f t="shared" ca="1" si="37"/>
        <v>Outdated</v>
      </c>
      <c r="P263" t="str">
        <f t="shared" si="38"/>
        <v>Wrong Item</v>
      </c>
      <c r="Q263" t="str">
        <f t="shared" si="39"/>
        <v/>
      </c>
    </row>
    <row r="264" spans="1:17" x14ac:dyDescent="0.45">
      <c r="A264" t="s">
        <v>585</v>
      </c>
      <c r="B264" t="s">
        <v>79</v>
      </c>
      <c r="C264" t="s">
        <v>586</v>
      </c>
      <c r="D264" t="s">
        <v>92</v>
      </c>
      <c r="E264" s="8">
        <v>5739.4</v>
      </c>
      <c r="F264" s="9">
        <v>45606.666684444448</v>
      </c>
      <c r="G264" t="s">
        <v>86</v>
      </c>
      <c r="H264" t="s">
        <v>128</v>
      </c>
      <c r="I264" t="s">
        <v>163</v>
      </c>
      <c r="J264" t="str">
        <f t="shared" si="32"/>
        <v/>
      </c>
      <c r="K264" t="str">
        <f t="shared" si="33"/>
        <v/>
      </c>
      <c r="L264" t="str">
        <f t="shared" si="34"/>
        <v/>
      </c>
      <c r="M264" t="str">
        <f t="shared" si="35"/>
        <v/>
      </c>
      <c r="N264" t="str">
        <f t="shared" si="36"/>
        <v>Invalid</v>
      </c>
      <c r="O264" t="str">
        <f t="shared" ca="1" si="37"/>
        <v>Outdated</v>
      </c>
      <c r="P264" t="str">
        <f t="shared" si="38"/>
        <v>Not As Described</v>
      </c>
      <c r="Q264" t="str">
        <f t="shared" si="39"/>
        <v/>
      </c>
    </row>
    <row r="265" spans="1:17" x14ac:dyDescent="0.45">
      <c r="A265" t="s">
        <v>587</v>
      </c>
      <c r="B265" t="s">
        <v>90</v>
      </c>
      <c r="C265" t="s">
        <v>588</v>
      </c>
      <c r="D265" t="s">
        <v>155</v>
      </c>
      <c r="E265" s="8">
        <v>5827.57</v>
      </c>
      <c r="F265" s="9">
        <v>45183.666684444448</v>
      </c>
      <c r="G265" t="s">
        <v>296</v>
      </c>
      <c r="H265" t="s">
        <v>118</v>
      </c>
      <c r="I265" t="s">
        <v>82</v>
      </c>
      <c r="J265" t="str">
        <f t="shared" si="32"/>
        <v/>
      </c>
      <c r="K265" t="str">
        <f t="shared" si="33"/>
        <v/>
      </c>
      <c r="L265" t="str">
        <f t="shared" si="34"/>
        <v/>
      </c>
      <c r="M265" t="str">
        <f t="shared" si="35"/>
        <v>Invalid</v>
      </c>
      <c r="N265" t="str">
        <f t="shared" si="36"/>
        <v>Invalid</v>
      </c>
      <c r="O265" t="str">
        <f t="shared" ca="1" si="37"/>
        <v>Outdated</v>
      </c>
      <c r="P265" t="str">
        <f t="shared" si="38"/>
        <v>Damaged</v>
      </c>
      <c r="Q265" t="str">
        <f t="shared" si="39"/>
        <v>Inconsistent</v>
      </c>
    </row>
    <row r="266" spans="1:17" x14ac:dyDescent="0.45">
      <c r="A266" t="s">
        <v>589</v>
      </c>
      <c r="B266" t="s">
        <v>95</v>
      </c>
      <c r="C266" t="s">
        <v>590</v>
      </c>
      <c r="E266" s="8">
        <v>357.49</v>
      </c>
      <c r="F266" s="9">
        <v>45817.666684444448</v>
      </c>
      <c r="G266" t="s">
        <v>97</v>
      </c>
      <c r="H266" t="s">
        <v>133</v>
      </c>
      <c r="I266" t="s">
        <v>82</v>
      </c>
      <c r="J266" t="str">
        <f t="shared" si="32"/>
        <v>Missing</v>
      </c>
      <c r="K266" t="str">
        <f t="shared" si="33"/>
        <v/>
      </c>
      <c r="L266" t="str">
        <f t="shared" si="34"/>
        <v/>
      </c>
      <c r="M266" t="str">
        <f t="shared" si="35"/>
        <v/>
      </c>
      <c r="N266" t="str">
        <f t="shared" si="36"/>
        <v>Invalid</v>
      </c>
      <c r="O266" t="str">
        <f t="shared" ca="1" si="37"/>
        <v>Outdated</v>
      </c>
      <c r="P266" t="str">
        <f t="shared" si="38"/>
        <v/>
      </c>
      <c r="Q266" t="str">
        <f t="shared" si="39"/>
        <v/>
      </c>
    </row>
    <row r="267" spans="1:17" x14ac:dyDescent="0.45">
      <c r="A267" t="s">
        <v>591</v>
      </c>
      <c r="B267" t="s">
        <v>109</v>
      </c>
      <c r="C267" t="s">
        <v>592</v>
      </c>
      <c r="D267" t="s">
        <v>74</v>
      </c>
      <c r="E267" s="8">
        <v>0</v>
      </c>
      <c r="F267" s="9">
        <v>45797.666684444448</v>
      </c>
      <c r="G267" t="s">
        <v>111</v>
      </c>
      <c r="H267" t="s">
        <v>136</v>
      </c>
      <c r="I267" t="s">
        <v>82</v>
      </c>
      <c r="J267" t="str">
        <f t="shared" si="32"/>
        <v/>
      </c>
      <c r="K267" t="str">
        <f t="shared" si="33"/>
        <v/>
      </c>
      <c r="L267" t="str">
        <f t="shared" si="34"/>
        <v>Unusual</v>
      </c>
      <c r="M267" t="str">
        <f t="shared" si="35"/>
        <v/>
      </c>
      <c r="N267" t="str">
        <f t="shared" si="36"/>
        <v>Invalid</v>
      </c>
      <c r="O267" t="str">
        <f t="shared" ca="1" si="37"/>
        <v>Outdated</v>
      </c>
      <c r="P267" t="str">
        <f t="shared" si="38"/>
        <v>Wrong Item</v>
      </c>
      <c r="Q267" t="str">
        <f t="shared" si="39"/>
        <v/>
      </c>
    </row>
    <row r="268" spans="1:17" x14ac:dyDescent="0.45">
      <c r="A268" t="s">
        <v>593</v>
      </c>
      <c r="B268" t="s">
        <v>172</v>
      </c>
      <c r="C268" t="s">
        <v>594</v>
      </c>
      <c r="D268" t="s">
        <v>74</v>
      </c>
      <c r="E268" s="8">
        <v>0</v>
      </c>
      <c r="F268" s="9">
        <v>45789.666684444448</v>
      </c>
      <c r="G268" t="s">
        <v>174</v>
      </c>
      <c r="H268" t="s">
        <v>145</v>
      </c>
      <c r="I268" t="s">
        <v>119</v>
      </c>
      <c r="J268" t="str">
        <f t="shared" si="32"/>
        <v/>
      </c>
      <c r="K268" t="str">
        <f t="shared" si="33"/>
        <v>Duplicate</v>
      </c>
      <c r="L268" t="str">
        <f t="shared" si="34"/>
        <v>Unusual</v>
      </c>
      <c r="M268" t="str">
        <f t="shared" si="35"/>
        <v/>
      </c>
      <c r="N268" t="str">
        <f t="shared" si="36"/>
        <v/>
      </c>
      <c r="O268" t="str">
        <f t="shared" ca="1" si="37"/>
        <v>Outdated</v>
      </c>
      <c r="P268" t="str">
        <f t="shared" si="38"/>
        <v>Wrong Item</v>
      </c>
      <c r="Q268" t="str">
        <f t="shared" si="39"/>
        <v/>
      </c>
    </row>
    <row r="269" spans="1:17" x14ac:dyDescent="0.45">
      <c r="A269" t="s">
        <v>595</v>
      </c>
      <c r="B269" t="s">
        <v>172</v>
      </c>
      <c r="C269" t="s">
        <v>509</v>
      </c>
      <c r="E269" s="8">
        <v>10253.459999999999</v>
      </c>
      <c r="F269" s="9">
        <v>45228.666684444448</v>
      </c>
      <c r="G269" t="s">
        <v>174</v>
      </c>
      <c r="H269" t="s">
        <v>136</v>
      </c>
      <c r="I269" t="s">
        <v>119</v>
      </c>
      <c r="J269" t="str">
        <f t="shared" si="32"/>
        <v>Missing</v>
      </c>
      <c r="K269" t="str">
        <f t="shared" si="33"/>
        <v/>
      </c>
      <c r="L269" t="str">
        <f t="shared" si="34"/>
        <v>Unusual</v>
      </c>
      <c r="M269" t="str">
        <f t="shared" si="35"/>
        <v/>
      </c>
      <c r="N269" t="str">
        <f t="shared" si="36"/>
        <v>Invalid</v>
      </c>
      <c r="O269" t="str">
        <f t="shared" ca="1" si="37"/>
        <v>Outdated</v>
      </c>
      <c r="P269" t="str">
        <f t="shared" si="38"/>
        <v/>
      </c>
      <c r="Q269" t="str">
        <f t="shared" si="39"/>
        <v/>
      </c>
    </row>
    <row r="270" spans="1:17" x14ac:dyDescent="0.45">
      <c r="A270" t="s">
        <v>596</v>
      </c>
      <c r="B270" t="s">
        <v>109</v>
      </c>
      <c r="C270" t="s">
        <v>597</v>
      </c>
      <c r="D270" t="s">
        <v>155</v>
      </c>
      <c r="E270" s="8">
        <v>0</v>
      </c>
      <c r="F270" s="9">
        <v>45190.666684444448</v>
      </c>
      <c r="G270" t="s">
        <v>307</v>
      </c>
      <c r="H270" t="s">
        <v>136</v>
      </c>
      <c r="I270" t="s">
        <v>82</v>
      </c>
      <c r="J270" t="str">
        <f t="shared" si="32"/>
        <v/>
      </c>
      <c r="K270" t="str">
        <f t="shared" si="33"/>
        <v/>
      </c>
      <c r="L270" t="str">
        <f t="shared" si="34"/>
        <v>Unusual</v>
      </c>
      <c r="M270" t="str">
        <f t="shared" si="35"/>
        <v>Invalid</v>
      </c>
      <c r="N270" t="str">
        <f t="shared" si="36"/>
        <v>Invalid</v>
      </c>
      <c r="O270" t="str">
        <f t="shared" ca="1" si="37"/>
        <v>Outdated</v>
      </c>
      <c r="P270" t="str">
        <f t="shared" si="38"/>
        <v>Damaged</v>
      </c>
      <c r="Q270" t="str">
        <f t="shared" si="39"/>
        <v>Inconsistent</v>
      </c>
    </row>
    <row r="271" spans="1:17" x14ac:dyDescent="0.45">
      <c r="A271" t="s">
        <v>598</v>
      </c>
      <c r="B271" t="s">
        <v>172</v>
      </c>
      <c r="C271" t="s">
        <v>599</v>
      </c>
      <c r="D271" t="s">
        <v>85</v>
      </c>
      <c r="E271" s="8">
        <v>1275.3399999999999</v>
      </c>
      <c r="F271" s="9">
        <v>45540.666684444448</v>
      </c>
      <c r="G271" t="s">
        <v>174</v>
      </c>
      <c r="H271" t="s">
        <v>76</v>
      </c>
      <c r="I271" t="s">
        <v>77</v>
      </c>
      <c r="J271" t="str">
        <f t="shared" si="32"/>
        <v/>
      </c>
      <c r="K271" t="str">
        <f t="shared" si="33"/>
        <v/>
      </c>
      <c r="L271" t="str">
        <f t="shared" si="34"/>
        <v/>
      </c>
      <c r="M271" t="str">
        <f t="shared" si="35"/>
        <v/>
      </c>
      <c r="N271" t="str">
        <f t="shared" si="36"/>
        <v/>
      </c>
      <c r="O271" t="str">
        <f t="shared" ca="1" si="37"/>
        <v>Outdated</v>
      </c>
      <c r="P271" t="str">
        <f t="shared" si="38"/>
        <v>Late Delivery</v>
      </c>
      <c r="Q271" t="str">
        <f t="shared" si="39"/>
        <v/>
      </c>
    </row>
    <row r="272" spans="1:17" x14ac:dyDescent="0.45">
      <c r="A272" t="s">
        <v>600</v>
      </c>
      <c r="B272" t="s">
        <v>72</v>
      </c>
      <c r="C272" t="s">
        <v>601</v>
      </c>
      <c r="D272" t="s">
        <v>85</v>
      </c>
      <c r="E272" s="8">
        <v>5794.26</v>
      </c>
      <c r="F272" s="9">
        <v>45475.666684444448</v>
      </c>
      <c r="G272" t="s">
        <v>521</v>
      </c>
      <c r="H272" t="s">
        <v>133</v>
      </c>
      <c r="I272" t="s">
        <v>112</v>
      </c>
      <c r="J272" t="str">
        <f t="shared" si="32"/>
        <v/>
      </c>
      <c r="K272" t="str">
        <f t="shared" si="33"/>
        <v/>
      </c>
      <c r="L272" t="str">
        <f t="shared" si="34"/>
        <v/>
      </c>
      <c r="M272" t="str">
        <f t="shared" si="35"/>
        <v>Invalid</v>
      </c>
      <c r="N272" t="str">
        <f t="shared" si="36"/>
        <v>Invalid</v>
      </c>
      <c r="O272" t="str">
        <f t="shared" ca="1" si="37"/>
        <v>Outdated</v>
      </c>
      <c r="P272" t="str">
        <f t="shared" si="38"/>
        <v>Late Delivery</v>
      </c>
      <c r="Q272" t="str">
        <f t="shared" si="39"/>
        <v/>
      </c>
    </row>
    <row r="273" spans="1:17" x14ac:dyDescent="0.45">
      <c r="A273" t="s">
        <v>602</v>
      </c>
      <c r="B273" t="s">
        <v>90</v>
      </c>
      <c r="C273" t="s">
        <v>603</v>
      </c>
      <c r="D273" t="s">
        <v>101</v>
      </c>
      <c r="E273" s="8">
        <v>6128.2</v>
      </c>
      <c r="F273" s="9">
        <v>45239.666684444448</v>
      </c>
      <c r="G273" t="s">
        <v>93</v>
      </c>
      <c r="H273" t="s">
        <v>128</v>
      </c>
      <c r="I273" t="s">
        <v>163</v>
      </c>
      <c r="J273" t="str">
        <f t="shared" si="32"/>
        <v/>
      </c>
      <c r="K273" t="str">
        <f t="shared" si="33"/>
        <v/>
      </c>
      <c r="L273" t="str">
        <f t="shared" si="34"/>
        <v/>
      </c>
      <c r="M273" t="str">
        <f t="shared" si="35"/>
        <v/>
      </c>
      <c r="N273" t="str">
        <f t="shared" si="36"/>
        <v>Invalid</v>
      </c>
      <c r="O273" t="str">
        <f t="shared" ca="1" si="37"/>
        <v>Outdated</v>
      </c>
      <c r="P273" t="str">
        <f t="shared" si="38"/>
        <v>Damaged</v>
      </c>
      <c r="Q273" t="str">
        <f t="shared" si="39"/>
        <v/>
      </c>
    </row>
    <row r="274" spans="1:17" x14ac:dyDescent="0.45">
      <c r="A274" t="s">
        <v>604</v>
      </c>
      <c r="B274" t="s">
        <v>138</v>
      </c>
      <c r="C274" t="s">
        <v>594</v>
      </c>
      <c r="D274" t="s">
        <v>148</v>
      </c>
      <c r="E274" s="8">
        <v>10018.790000000001</v>
      </c>
      <c r="F274" s="9">
        <v>45382.666684444448</v>
      </c>
      <c r="G274" t="s">
        <v>140</v>
      </c>
      <c r="H274" t="s">
        <v>136</v>
      </c>
      <c r="I274" t="s">
        <v>82</v>
      </c>
      <c r="J274" t="str">
        <f t="shared" si="32"/>
        <v/>
      </c>
      <c r="K274" t="str">
        <f t="shared" si="33"/>
        <v/>
      </c>
      <c r="L274" t="str">
        <f t="shared" si="34"/>
        <v>Unusual</v>
      </c>
      <c r="M274" t="str">
        <f t="shared" si="35"/>
        <v/>
      </c>
      <c r="N274" t="str">
        <f t="shared" si="36"/>
        <v>Invalid</v>
      </c>
      <c r="O274" t="str">
        <f t="shared" ca="1" si="37"/>
        <v>Outdated</v>
      </c>
      <c r="P274" t="str">
        <f t="shared" si="38"/>
        <v>Wrong Item</v>
      </c>
      <c r="Q274" t="str">
        <f t="shared" si="39"/>
        <v>Inconsistent</v>
      </c>
    </row>
    <row r="275" spans="1:17" x14ac:dyDescent="0.45">
      <c r="A275" t="s">
        <v>605</v>
      </c>
      <c r="B275" t="s">
        <v>95</v>
      </c>
      <c r="C275" t="s">
        <v>606</v>
      </c>
      <c r="D275" t="s">
        <v>85</v>
      </c>
      <c r="E275" s="8">
        <v>5800.83</v>
      </c>
      <c r="F275" s="9">
        <v>45324.666684444448</v>
      </c>
      <c r="G275" t="s">
        <v>97</v>
      </c>
      <c r="H275" t="s">
        <v>136</v>
      </c>
      <c r="I275" t="s">
        <v>119</v>
      </c>
      <c r="J275" t="str">
        <f t="shared" si="32"/>
        <v/>
      </c>
      <c r="K275" t="str">
        <f t="shared" si="33"/>
        <v/>
      </c>
      <c r="L275" t="str">
        <f t="shared" si="34"/>
        <v/>
      </c>
      <c r="M275" t="str">
        <f t="shared" si="35"/>
        <v/>
      </c>
      <c r="N275" t="str">
        <f t="shared" si="36"/>
        <v>Invalid</v>
      </c>
      <c r="O275" t="str">
        <f t="shared" ca="1" si="37"/>
        <v>Outdated</v>
      </c>
      <c r="P275" t="str">
        <f t="shared" si="38"/>
        <v>Late Delivery</v>
      </c>
      <c r="Q275" t="str">
        <f t="shared" si="39"/>
        <v/>
      </c>
    </row>
    <row r="276" spans="1:17" x14ac:dyDescent="0.45">
      <c r="A276" t="s">
        <v>607</v>
      </c>
      <c r="B276" t="s">
        <v>95</v>
      </c>
      <c r="C276" t="s">
        <v>608</v>
      </c>
      <c r="D276" t="s">
        <v>101</v>
      </c>
      <c r="E276" s="8">
        <v>1384.84</v>
      </c>
      <c r="F276" s="9">
        <v>45322.666684444448</v>
      </c>
      <c r="G276" t="s">
        <v>97</v>
      </c>
      <c r="H276" t="s">
        <v>128</v>
      </c>
      <c r="I276" t="s">
        <v>119</v>
      </c>
      <c r="J276" t="str">
        <f t="shared" si="32"/>
        <v/>
      </c>
      <c r="K276" t="str">
        <f t="shared" si="33"/>
        <v/>
      </c>
      <c r="L276" t="str">
        <f t="shared" si="34"/>
        <v/>
      </c>
      <c r="M276" t="str">
        <f t="shared" si="35"/>
        <v/>
      </c>
      <c r="N276" t="str">
        <f t="shared" si="36"/>
        <v>Invalid</v>
      </c>
      <c r="O276" t="str">
        <f t="shared" ca="1" si="37"/>
        <v>Outdated</v>
      </c>
      <c r="P276" t="str">
        <f t="shared" si="38"/>
        <v>Damaged</v>
      </c>
      <c r="Q276" t="str">
        <f t="shared" si="39"/>
        <v/>
      </c>
    </row>
    <row r="277" spans="1:17" x14ac:dyDescent="0.45">
      <c r="A277" t="s">
        <v>609</v>
      </c>
      <c r="B277" t="s">
        <v>138</v>
      </c>
      <c r="C277" t="s">
        <v>610</v>
      </c>
      <c r="D277" t="s">
        <v>101</v>
      </c>
      <c r="E277" s="8">
        <v>6352.69</v>
      </c>
      <c r="F277" s="9">
        <v>45677.666684444448</v>
      </c>
      <c r="G277" t="s">
        <v>140</v>
      </c>
      <c r="H277" t="s">
        <v>116</v>
      </c>
      <c r="I277" t="s">
        <v>163</v>
      </c>
      <c r="J277" t="str">
        <f t="shared" si="32"/>
        <v/>
      </c>
      <c r="K277" t="str">
        <f t="shared" si="33"/>
        <v/>
      </c>
      <c r="L277" t="str">
        <f t="shared" si="34"/>
        <v/>
      </c>
      <c r="M277" t="str">
        <f t="shared" si="35"/>
        <v/>
      </c>
      <c r="N277" t="str">
        <f t="shared" si="36"/>
        <v/>
      </c>
      <c r="O277" t="str">
        <f t="shared" ca="1" si="37"/>
        <v>Outdated</v>
      </c>
      <c r="P277" t="str">
        <f t="shared" si="38"/>
        <v>Damaged</v>
      </c>
      <c r="Q277" t="str">
        <f t="shared" si="39"/>
        <v/>
      </c>
    </row>
    <row r="278" spans="1:17" x14ac:dyDescent="0.45">
      <c r="A278" t="s">
        <v>611</v>
      </c>
      <c r="B278" t="s">
        <v>79</v>
      </c>
      <c r="C278" t="s">
        <v>612</v>
      </c>
      <c r="D278" t="s">
        <v>148</v>
      </c>
      <c r="E278" s="8">
        <v>8166.8</v>
      </c>
      <c r="F278" s="9">
        <v>45587.666684444448</v>
      </c>
      <c r="G278" t="s">
        <v>86</v>
      </c>
      <c r="H278" t="s">
        <v>107</v>
      </c>
      <c r="I278" t="s">
        <v>163</v>
      </c>
      <c r="J278" t="str">
        <f t="shared" si="32"/>
        <v/>
      </c>
      <c r="K278" t="str">
        <f t="shared" si="33"/>
        <v/>
      </c>
      <c r="L278" t="str">
        <f t="shared" si="34"/>
        <v/>
      </c>
      <c r="M278" t="str">
        <f t="shared" si="35"/>
        <v/>
      </c>
      <c r="N278" t="str">
        <f t="shared" si="36"/>
        <v/>
      </c>
      <c r="O278" t="str">
        <f t="shared" ca="1" si="37"/>
        <v>Outdated</v>
      </c>
      <c r="P278" t="str">
        <f t="shared" si="38"/>
        <v>Wrong Item</v>
      </c>
      <c r="Q278" t="str">
        <f t="shared" si="39"/>
        <v>Inconsistent</v>
      </c>
    </row>
    <row r="279" spans="1:17" x14ac:dyDescent="0.45">
      <c r="A279" t="s">
        <v>613</v>
      </c>
      <c r="B279" t="s">
        <v>79</v>
      </c>
      <c r="C279" t="s">
        <v>231</v>
      </c>
      <c r="D279" t="s">
        <v>74</v>
      </c>
      <c r="E279" s="8">
        <v>7546.48</v>
      </c>
      <c r="F279" s="9">
        <v>45271.666684444448</v>
      </c>
      <c r="G279" t="s">
        <v>86</v>
      </c>
      <c r="H279" t="s">
        <v>133</v>
      </c>
      <c r="I279" t="s">
        <v>112</v>
      </c>
      <c r="J279" t="str">
        <f t="shared" si="32"/>
        <v/>
      </c>
      <c r="K279" t="str">
        <f t="shared" si="33"/>
        <v/>
      </c>
      <c r="L279" t="str">
        <f t="shared" si="34"/>
        <v/>
      </c>
      <c r="M279" t="str">
        <f t="shared" si="35"/>
        <v/>
      </c>
      <c r="N279" t="str">
        <f t="shared" si="36"/>
        <v>Invalid</v>
      </c>
      <c r="O279" t="str">
        <f t="shared" ca="1" si="37"/>
        <v>Outdated</v>
      </c>
      <c r="P279" t="str">
        <f t="shared" si="38"/>
        <v>Wrong Item</v>
      </c>
      <c r="Q279" t="str">
        <f t="shared" si="39"/>
        <v/>
      </c>
    </row>
    <row r="280" spans="1:17" x14ac:dyDescent="0.45">
      <c r="A280" t="s">
        <v>614</v>
      </c>
      <c r="B280" t="s">
        <v>99</v>
      </c>
      <c r="C280" t="s">
        <v>615</v>
      </c>
      <c r="D280" t="s">
        <v>101</v>
      </c>
      <c r="E280" s="8">
        <v>9183.25</v>
      </c>
      <c r="F280" s="9">
        <v>45560.666684444448</v>
      </c>
      <c r="G280" t="s">
        <v>102</v>
      </c>
      <c r="H280" t="s">
        <v>87</v>
      </c>
      <c r="I280" t="s">
        <v>119</v>
      </c>
      <c r="J280" t="str">
        <f t="shared" si="32"/>
        <v/>
      </c>
      <c r="K280" t="str">
        <f t="shared" si="33"/>
        <v/>
      </c>
      <c r="L280" t="str">
        <f t="shared" si="34"/>
        <v/>
      </c>
      <c r="M280" t="str">
        <f t="shared" si="35"/>
        <v/>
      </c>
      <c r="N280" t="str">
        <f t="shared" si="36"/>
        <v>Invalid</v>
      </c>
      <c r="O280" t="str">
        <f t="shared" ca="1" si="37"/>
        <v>Outdated</v>
      </c>
      <c r="P280" t="str">
        <f t="shared" si="38"/>
        <v>Damaged</v>
      </c>
      <c r="Q280" t="str">
        <f t="shared" si="39"/>
        <v/>
      </c>
    </row>
    <row r="281" spans="1:17" x14ac:dyDescent="0.45">
      <c r="A281" t="s">
        <v>616</v>
      </c>
      <c r="B281" t="s">
        <v>79</v>
      </c>
      <c r="C281" t="s">
        <v>617</v>
      </c>
      <c r="D281" t="s">
        <v>85</v>
      </c>
      <c r="E281" s="8">
        <v>3289</v>
      </c>
      <c r="F281" s="9">
        <v>45315.666684444448</v>
      </c>
      <c r="G281" t="s">
        <v>86</v>
      </c>
      <c r="H281" t="s">
        <v>116</v>
      </c>
      <c r="I281" t="s">
        <v>88</v>
      </c>
      <c r="J281" t="str">
        <f t="shared" si="32"/>
        <v/>
      </c>
      <c r="K281" t="str">
        <f t="shared" si="33"/>
        <v/>
      </c>
      <c r="L281" t="str">
        <f t="shared" si="34"/>
        <v/>
      </c>
      <c r="M281" t="str">
        <f t="shared" si="35"/>
        <v/>
      </c>
      <c r="N281" t="str">
        <f t="shared" si="36"/>
        <v/>
      </c>
      <c r="O281" t="str">
        <f t="shared" ca="1" si="37"/>
        <v>Outdated</v>
      </c>
      <c r="P281" t="str">
        <f t="shared" si="38"/>
        <v>Late Delivery</v>
      </c>
      <c r="Q281" t="str">
        <f t="shared" si="39"/>
        <v/>
      </c>
    </row>
    <row r="282" spans="1:17" x14ac:dyDescent="0.45">
      <c r="A282" t="s">
        <v>618</v>
      </c>
      <c r="B282" t="s">
        <v>109</v>
      </c>
      <c r="C282" t="s">
        <v>619</v>
      </c>
      <c r="D282" t="s">
        <v>74</v>
      </c>
      <c r="E282" s="8">
        <v>4526.1499999999996</v>
      </c>
      <c r="F282" s="9">
        <v>45413.666684444448</v>
      </c>
      <c r="G282" t="s">
        <v>111</v>
      </c>
      <c r="H282" t="s">
        <v>133</v>
      </c>
      <c r="I282" t="s">
        <v>88</v>
      </c>
      <c r="J282" t="str">
        <f t="shared" si="32"/>
        <v/>
      </c>
      <c r="K282" t="str">
        <f t="shared" si="33"/>
        <v/>
      </c>
      <c r="L282" t="str">
        <f t="shared" si="34"/>
        <v/>
      </c>
      <c r="M282" t="str">
        <f t="shared" si="35"/>
        <v/>
      </c>
      <c r="N282" t="str">
        <f t="shared" si="36"/>
        <v>Invalid</v>
      </c>
      <c r="O282" t="str">
        <f t="shared" ca="1" si="37"/>
        <v>Outdated</v>
      </c>
      <c r="P282" t="str">
        <f t="shared" si="38"/>
        <v>Wrong Item</v>
      </c>
      <c r="Q282" t="str">
        <f t="shared" si="39"/>
        <v/>
      </c>
    </row>
    <row r="283" spans="1:17" x14ac:dyDescent="0.45">
      <c r="A283" t="s">
        <v>620</v>
      </c>
      <c r="B283" t="s">
        <v>72</v>
      </c>
      <c r="C283" t="s">
        <v>357</v>
      </c>
      <c r="D283" t="s">
        <v>74</v>
      </c>
      <c r="E283" s="8">
        <v>836.29</v>
      </c>
      <c r="F283" s="9">
        <v>45601.666684444448</v>
      </c>
      <c r="G283" t="s">
        <v>75</v>
      </c>
      <c r="H283" t="s">
        <v>107</v>
      </c>
      <c r="I283" t="s">
        <v>112</v>
      </c>
      <c r="J283" t="str">
        <f t="shared" si="32"/>
        <v/>
      </c>
      <c r="K283" t="str">
        <f t="shared" si="33"/>
        <v/>
      </c>
      <c r="L283" t="str">
        <f t="shared" si="34"/>
        <v/>
      </c>
      <c r="M283" t="str">
        <f t="shared" si="35"/>
        <v/>
      </c>
      <c r="N283" t="str">
        <f t="shared" si="36"/>
        <v/>
      </c>
      <c r="O283" t="str">
        <f t="shared" ca="1" si="37"/>
        <v>Outdated</v>
      </c>
      <c r="P283" t="str">
        <f t="shared" si="38"/>
        <v>Wrong Item</v>
      </c>
      <c r="Q283" t="str">
        <f t="shared" si="39"/>
        <v/>
      </c>
    </row>
    <row r="284" spans="1:17" x14ac:dyDescent="0.45">
      <c r="A284" t="s">
        <v>621</v>
      </c>
      <c r="B284" t="s">
        <v>138</v>
      </c>
      <c r="C284" t="s">
        <v>622</v>
      </c>
      <c r="E284" s="8">
        <v>0</v>
      </c>
      <c r="F284" s="9">
        <v>45383.666684444448</v>
      </c>
      <c r="G284" t="s">
        <v>140</v>
      </c>
      <c r="H284" t="s">
        <v>76</v>
      </c>
      <c r="I284" t="s">
        <v>163</v>
      </c>
      <c r="J284" t="str">
        <f t="shared" si="32"/>
        <v>Missing</v>
      </c>
      <c r="K284" t="str">
        <f t="shared" si="33"/>
        <v/>
      </c>
      <c r="L284" t="str">
        <f t="shared" si="34"/>
        <v>Unusual</v>
      </c>
      <c r="M284" t="str">
        <f t="shared" si="35"/>
        <v/>
      </c>
      <c r="N284" t="str">
        <f t="shared" si="36"/>
        <v/>
      </c>
      <c r="O284" t="str">
        <f t="shared" ca="1" si="37"/>
        <v>Outdated</v>
      </c>
      <c r="P284" t="str">
        <f t="shared" si="38"/>
        <v/>
      </c>
      <c r="Q284" t="str">
        <f t="shared" si="39"/>
        <v/>
      </c>
    </row>
    <row r="285" spans="1:17" x14ac:dyDescent="0.45">
      <c r="A285" t="s">
        <v>623</v>
      </c>
      <c r="B285" t="s">
        <v>99</v>
      </c>
      <c r="C285" t="s">
        <v>624</v>
      </c>
      <c r="D285" t="s">
        <v>148</v>
      </c>
      <c r="E285" s="8">
        <v>7781.46</v>
      </c>
      <c r="F285" s="9">
        <v>45205.666684444448</v>
      </c>
      <c r="G285" t="s">
        <v>102</v>
      </c>
      <c r="H285" t="s">
        <v>76</v>
      </c>
      <c r="I285" t="s">
        <v>119</v>
      </c>
      <c r="J285" t="str">
        <f t="shared" si="32"/>
        <v/>
      </c>
      <c r="K285" t="str">
        <f t="shared" si="33"/>
        <v/>
      </c>
      <c r="L285" t="str">
        <f t="shared" si="34"/>
        <v/>
      </c>
      <c r="M285" t="str">
        <f t="shared" si="35"/>
        <v/>
      </c>
      <c r="N285" t="str">
        <f t="shared" si="36"/>
        <v/>
      </c>
      <c r="O285" t="str">
        <f t="shared" ca="1" si="37"/>
        <v>Outdated</v>
      </c>
      <c r="P285" t="str">
        <f t="shared" si="38"/>
        <v>Wrong Item</v>
      </c>
      <c r="Q285" t="str">
        <f t="shared" si="39"/>
        <v>Inconsistent</v>
      </c>
    </row>
    <row r="286" spans="1:17" x14ac:dyDescent="0.45">
      <c r="A286" t="s">
        <v>625</v>
      </c>
      <c r="B286" t="s">
        <v>90</v>
      </c>
      <c r="C286" t="s">
        <v>626</v>
      </c>
      <c r="E286" s="8">
        <v>9060.7199999999993</v>
      </c>
      <c r="F286" s="9">
        <v>45581.666684444448</v>
      </c>
      <c r="G286" t="s">
        <v>93</v>
      </c>
      <c r="H286" t="s">
        <v>136</v>
      </c>
      <c r="I286" t="s">
        <v>163</v>
      </c>
      <c r="J286" t="str">
        <f t="shared" si="32"/>
        <v>Missing</v>
      </c>
      <c r="K286" t="str">
        <f t="shared" si="33"/>
        <v/>
      </c>
      <c r="L286" t="str">
        <f t="shared" si="34"/>
        <v/>
      </c>
      <c r="M286" t="str">
        <f t="shared" si="35"/>
        <v/>
      </c>
      <c r="N286" t="str">
        <f t="shared" si="36"/>
        <v>Invalid</v>
      </c>
      <c r="O286" t="str">
        <f t="shared" ca="1" si="37"/>
        <v>Outdated</v>
      </c>
      <c r="P286" t="str">
        <f t="shared" si="38"/>
        <v/>
      </c>
      <c r="Q286" t="str">
        <f t="shared" si="39"/>
        <v/>
      </c>
    </row>
    <row r="287" spans="1:17" x14ac:dyDescent="0.45">
      <c r="A287" t="s">
        <v>627</v>
      </c>
      <c r="B287" t="s">
        <v>79</v>
      </c>
      <c r="C287" t="s">
        <v>233</v>
      </c>
      <c r="D287" t="s">
        <v>148</v>
      </c>
      <c r="E287" s="8">
        <v>6374.41</v>
      </c>
      <c r="F287" s="9">
        <v>45691.666684444448</v>
      </c>
      <c r="G287" t="s">
        <v>86</v>
      </c>
      <c r="H287" t="s">
        <v>107</v>
      </c>
      <c r="I287" t="s">
        <v>119</v>
      </c>
      <c r="J287" t="str">
        <f t="shared" si="32"/>
        <v/>
      </c>
      <c r="K287" t="str">
        <f t="shared" si="33"/>
        <v/>
      </c>
      <c r="L287" t="str">
        <f t="shared" si="34"/>
        <v/>
      </c>
      <c r="M287" t="str">
        <f t="shared" si="35"/>
        <v/>
      </c>
      <c r="N287" t="str">
        <f t="shared" si="36"/>
        <v/>
      </c>
      <c r="O287" t="str">
        <f t="shared" ca="1" si="37"/>
        <v>Outdated</v>
      </c>
      <c r="P287" t="str">
        <f t="shared" si="38"/>
        <v>Wrong Item</v>
      </c>
      <c r="Q287" t="str">
        <f t="shared" si="39"/>
        <v>Inconsistent</v>
      </c>
    </row>
    <row r="288" spans="1:17" x14ac:dyDescent="0.45">
      <c r="A288" t="s">
        <v>628</v>
      </c>
      <c r="B288" t="s">
        <v>95</v>
      </c>
      <c r="C288" t="s">
        <v>629</v>
      </c>
      <c r="D288" t="s">
        <v>85</v>
      </c>
      <c r="E288" s="8">
        <v>0</v>
      </c>
      <c r="F288" s="9">
        <v>45228.666684444448</v>
      </c>
      <c r="G288" t="s">
        <v>97</v>
      </c>
      <c r="H288" t="s">
        <v>145</v>
      </c>
      <c r="I288" t="s">
        <v>112</v>
      </c>
      <c r="J288" t="str">
        <f t="shared" si="32"/>
        <v/>
      </c>
      <c r="K288" t="str">
        <f t="shared" si="33"/>
        <v/>
      </c>
      <c r="L288" t="str">
        <f t="shared" si="34"/>
        <v>Unusual</v>
      </c>
      <c r="M288" t="str">
        <f t="shared" si="35"/>
        <v/>
      </c>
      <c r="N288" t="str">
        <f t="shared" si="36"/>
        <v/>
      </c>
      <c r="O288" t="str">
        <f t="shared" ca="1" si="37"/>
        <v>Outdated</v>
      </c>
      <c r="P288" t="str">
        <f t="shared" si="38"/>
        <v>Late Delivery</v>
      </c>
      <c r="Q288" t="str">
        <f t="shared" si="39"/>
        <v/>
      </c>
    </row>
    <row r="289" spans="1:17" x14ac:dyDescent="0.45">
      <c r="A289" t="s">
        <v>630</v>
      </c>
      <c r="B289" t="s">
        <v>90</v>
      </c>
      <c r="C289" t="s">
        <v>631</v>
      </c>
      <c r="E289" s="8">
        <v>10392.280000000001</v>
      </c>
      <c r="F289" s="9">
        <v>45179.666684444448</v>
      </c>
      <c r="G289" t="s">
        <v>93</v>
      </c>
      <c r="H289" t="s">
        <v>128</v>
      </c>
      <c r="I289" t="s">
        <v>77</v>
      </c>
      <c r="J289" t="str">
        <f t="shared" si="32"/>
        <v>Missing</v>
      </c>
      <c r="K289" t="str">
        <f t="shared" si="33"/>
        <v>Duplicate</v>
      </c>
      <c r="L289" t="str">
        <f t="shared" si="34"/>
        <v>Unusual</v>
      </c>
      <c r="M289" t="str">
        <f t="shared" si="35"/>
        <v/>
      </c>
      <c r="N289" t="str">
        <f t="shared" si="36"/>
        <v>Invalid</v>
      </c>
      <c r="O289" t="str">
        <f t="shared" ca="1" si="37"/>
        <v>Outdated</v>
      </c>
      <c r="P289" t="str">
        <f t="shared" si="38"/>
        <v/>
      </c>
      <c r="Q289" t="str">
        <f t="shared" si="39"/>
        <v/>
      </c>
    </row>
    <row r="290" spans="1:17" x14ac:dyDescent="0.45">
      <c r="A290" t="s">
        <v>632</v>
      </c>
      <c r="B290" t="s">
        <v>72</v>
      </c>
      <c r="C290" t="s">
        <v>633</v>
      </c>
      <c r="D290" t="s">
        <v>101</v>
      </c>
      <c r="E290" s="8">
        <v>10206.14</v>
      </c>
      <c r="F290" s="9">
        <v>45795.666684444448</v>
      </c>
      <c r="G290" t="s">
        <v>75</v>
      </c>
      <c r="H290" t="s">
        <v>87</v>
      </c>
      <c r="I290" t="s">
        <v>82</v>
      </c>
      <c r="J290" t="str">
        <f t="shared" si="32"/>
        <v/>
      </c>
      <c r="K290" t="str">
        <f t="shared" si="33"/>
        <v/>
      </c>
      <c r="L290" t="str">
        <f t="shared" si="34"/>
        <v>Unusual</v>
      </c>
      <c r="M290" t="str">
        <f t="shared" si="35"/>
        <v/>
      </c>
      <c r="N290" t="str">
        <f t="shared" si="36"/>
        <v>Invalid</v>
      </c>
      <c r="O290" t="str">
        <f t="shared" ca="1" si="37"/>
        <v>Outdated</v>
      </c>
      <c r="P290" t="str">
        <f t="shared" si="38"/>
        <v>Damaged</v>
      </c>
      <c r="Q290" t="str">
        <f t="shared" si="39"/>
        <v/>
      </c>
    </row>
    <row r="291" spans="1:17" x14ac:dyDescent="0.45">
      <c r="A291" t="s">
        <v>634</v>
      </c>
      <c r="B291" t="s">
        <v>72</v>
      </c>
      <c r="C291" t="s">
        <v>635</v>
      </c>
      <c r="D291" t="s">
        <v>92</v>
      </c>
      <c r="E291" s="8">
        <v>6593.14</v>
      </c>
      <c r="F291" s="9">
        <v>45681.666684444448</v>
      </c>
      <c r="G291" t="s">
        <v>75</v>
      </c>
      <c r="H291" t="s">
        <v>107</v>
      </c>
      <c r="I291" t="s">
        <v>112</v>
      </c>
      <c r="J291" t="str">
        <f t="shared" si="32"/>
        <v/>
      </c>
      <c r="K291" t="str">
        <f t="shared" si="33"/>
        <v/>
      </c>
      <c r="L291" t="str">
        <f t="shared" si="34"/>
        <v/>
      </c>
      <c r="M291" t="str">
        <f t="shared" si="35"/>
        <v/>
      </c>
      <c r="N291" t="str">
        <f t="shared" si="36"/>
        <v/>
      </c>
      <c r="O291" t="str">
        <f t="shared" ca="1" si="37"/>
        <v>Outdated</v>
      </c>
      <c r="P291" t="str">
        <f t="shared" si="38"/>
        <v>Not As Described</v>
      </c>
      <c r="Q291" t="str">
        <f t="shared" si="39"/>
        <v/>
      </c>
    </row>
    <row r="292" spans="1:17" x14ac:dyDescent="0.45">
      <c r="A292" t="s">
        <v>636</v>
      </c>
      <c r="B292" t="s">
        <v>72</v>
      </c>
      <c r="C292" t="s">
        <v>637</v>
      </c>
      <c r="D292" t="s">
        <v>106</v>
      </c>
      <c r="E292" s="8">
        <v>4586.8500000000004</v>
      </c>
      <c r="F292" s="9">
        <v>45143.666684444448</v>
      </c>
      <c r="G292" t="s">
        <v>75</v>
      </c>
      <c r="I292" t="s">
        <v>163</v>
      </c>
      <c r="J292" t="str">
        <f t="shared" si="32"/>
        <v/>
      </c>
      <c r="K292" t="str">
        <f t="shared" si="33"/>
        <v>Duplicate</v>
      </c>
      <c r="L292" t="str">
        <f t="shared" si="34"/>
        <v/>
      </c>
      <c r="M292" t="str">
        <f t="shared" si="35"/>
        <v/>
      </c>
      <c r="N292" t="str">
        <f t="shared" si="36"/>
        <v>Invalid</v>
      </c>
      <c r="O292" t="str">
        <f t="shared" ca="1" si="37"/>
        <v>Outdated</v>
      </c>
      <c r="P292" t="str">
        <f t="shared" si="38"/>
        <v>Damaged</v>
      </c>
      <c r="Q292" t="str">
        <f t="shared" si="39"/>
        <v>Inconsistent</v>
      </c>
    </row>
    <row r="293" spans="1:17" x14ac:dyDescent="0.45">
      <c r="A293" t="s">
        <v>638</v>
      </c>
      <c r="B293" t="s">
        <v>79</v>
      </c>
      <c r="C293" t="s">
        <v>639</v>
      </c>
      <c r="D293" t="s">
        <v>74</v>
      </c>
      <c r="E293" s="8">
        <v>8663.7999999999993</v>
      </c>
      <c r="F293" s="9">
        <v>45223.666684444448</v>
      </c>
      <c r="G293" t="s">
        <v>86</v>
      </c>
      <c r="H293" t="s">
        <v>81</v>
      </c>
      <c r="I293" t="s">
        <v>163</v>
      </c>
      <c r="J293" t="str">
        <f t="shared" si="32"/>
        <v/>
      </c>
      <c r="K293" t="str">
        <f t="shared" si="33"/>
        <v/>
      </c>
      <c r="L293" t="str">
        <f t="shared" si="34"/>
        <v/>
      </c>
      <c r="M293" t="str">
        <f t="shared" si="35"/>
        <v/>
      </c>
      <c r="N293" t="str">
        <f t="shared" si="36"/>
        <v/>
      </c>
      <c r="O293" t="str">
        <f t="shared" ca="1" si="37"/>
        <v>Outdated</v>
      </c>
      <c r="P293" t="str">
        <f t="shared" si="38"/>
        <v>Wrong Item</v>
      </c>
      <c r="Q293" t="str">
        <f t="shared" si="39"/>
        <v/>
      </c>
    </row>
    <row r="294" spans="1:17" x14ac:dyDescent="0.45">
      <c r="A294" t="s">
        <v>640</v>
      </c>
      <c r="B294" t="s">
        <v>72</v>
      </c>
      <c r="C294" t="s">
        <v>641</v>
      </c>
      <c r="D294" t="s">
        <v>101</v>
      </c>
      <c r="E294" s="8">
        <v>7848.93</v>
      </c>
      <c r="F294" s="9">
        <v>45370.666684444448</v>
      </c>
      <c r="G294" t="s">
        <v>75</v>
      </c>
      <c r="H294" t="s">
        <v>128</v>
      </c>
      <c r="I294" t="s">
        <v>82</v>
      </c>
      <c r="J294" t="str">
        <f t="shared" si="32"/>
        <v/>
      </c>
      <c r="K294" t="str">
        <f t="shared" si="33"/>
        <v/>
      </c>
      <c r="L294" t="str">
        <f t="shared" si="34"/>
        <v/>
      </c>
      <c r="M294" t="str">
        <f t="shared" si="35"/>
        <v/>
      </c>
      <c r="N294" t="str">
        <f t="shared" si="36"/>
        <v>Invalid</v>
      </c>
      <c r="O294" t="str">
        <f t="shared" ca="1" si="37"/>
        <v>Outdated</v>
      </c>
      <c r="P294" t="str">
        <f t="shared" si="38"/>
        <v>Damaged</v>
      </c>
      <c r="Q294" t="str">
        <f t="shared" si="39"/>
        <v/>
      </c>
    </row>
    <row r="295" spans="1:17" x14ac:dyDescent="0.45">
      <c r="A295" t="s">
        <v>642</v>
      </c>
      <c r="B295" t="s">
        <v>138</v>
      </c>
      <c r="C295" t="s">
        <v>643</v>
      </c>
      <c r="D295" t="s">
        <v>85</v>
      </c>
      <c r="E295" s="8">
        <v>1907.1</v>
      </c>
      <c r="F295" s="9">
        <v>45298.666684444448</v>
      </c>
      <c r="G295" t="s">
        <v>140</v>
      </c>
      <c r="H295" t="s">
        <v>116</v>
      </c>
      <c r="I295" t="s">
        <v>82</v>
      </c>
      <c r="J295" t="str">
        <f t="shared" si="32"/>
        <v/>
      </c>
      <c r="K295" t="str">
        <f t="shared" si="33"/>
        <v/>
      </c>
      <c r="L295" t="str">
        <f t="shared" si="34"/>
        <v/>
      </c>
      <c r="M295" t="str">
        <f t="shared" si="35"/>
        <v/>
      </c>
      <c r="N295" t="str">
        <f t="shared" si="36"/>
        <v/>
      </c>
      <c r="O295" t="str">
        <f t="shared" ca="1" si="37"/>
        <v>Outdated</v>
      </c>
      <c r="P295" t="str">
        <f t="shared" si="38"/>
        <v>Late Delivery</v>
      </c>
      <c r="Q295" t="str">
        <f t="shared" si="39"/>
        <v/>
      </c>
    </row>
    <row r="296" spans="1:17" x14ac:dyDescent="0.45">
      <c r="A296" t="s">
        <v>644</v>
      </c>
      <c r="B296" t="s">
        <v>95</v>
      </c>
      <c r="C296" t="s">
        <v>645</v>
      </c>
      <c r="D296" t="s">
        <v>74</v>
      </c>
      <c r="E296" s="8">
        <v>0</v>
      </c>
      <c r="F296" s="9">
        <v>45544.666684444448</v>
      </c>
      <c r="G296" t="s">
        <v>97</v>
      </c>
      <c r="H296" t="s">
        <v>81</v>
      </c>
      <c r="I296" t="s">
        <v>82</v>
      </c>
      <c r="J296" t="str">
        <f t="shared" si="32"/>
        <v/>
      </c>
      <c r="K296" t="str">
        <f t="shared" si="33"/>
        <v/>
      </c>
      <c r="L296" t="str">
        <f t="shared" si="34"/>
        <v>Unusual</v>
      </c>
      <c r="M296" t="str">
        <f t="shared" si="35"/>
        <v/>
      </c>
      <c r="N296" t="str">
        <f t="shared" si="36"/>
        <v/>
      </c>
      <c r="O296" t="str">
        <f t="shared" ca="1" si="37"/>
        <v>Outdated</v>
      </c>
      <c r="P296" t="str">
        <f t="shared" si="38"/>
        <v>Wrong Item</v>
      </c>
      <c r="Q296" t="str">
        <f t="shared" si="39"/>
        <v/>
      </c>
    </row>
    <row r="297" spans="1:17" x14ac:dyDescent="0.45">
      <c r="A297" t="s">
        <v>646</v>
      </c>
      <c r="B297" t="s">
        <v>99</v>
      </c>
      <c r="C297" t="s">
        <v>647</v>
      </c>
      <c r="D297" t="s">
        <v>74</v>
      </c>
      <c r="E297" s="8">
        <v>592.19000000000005</v>
      </c>
      <c r="F297" s="9">
        <v>45625.666684444448</v>
      </c>
      <c r="G297" t="s">
        <v>102</v>
      </c>
      <c r="H297" t="s">
        <v>128</v>
      </c>
      <c r="I297" t="s">
        <v>163</v>
      </c>
      <c r="J297" t="str">
        <f t="shared" si="32"/>
        <v/>
      </c>
      <c r="K297" t="str">
        <f t="shared" si="33"/>
        <v/>
      </c>
      <c r="L297" t="str">
        <f t="shared" si="34"/>
        <v/>
      </c>
      <c r="M297" t="str">
        <f t="shared" si="35"/>
        <v/>
      </c>
      <c r="N297" t="str">
        <f t="shared" si="36"/>
        <v>Invalid</v>
      </c>
      <c r="O297" t="str">
        <f t="shared" ca="1" si="37"/>
        <v>Outdated</v>
      </c>
      <c r="P297" t="str">
        <f t="shared" si="38"/>
        <v>Wrong Item</v>
      </c>
      <c r="Q297" t="str">
        <f t="shared" si="39"/>
        <v/>
      </c>
    </row>
    <row r="298" spans="1:17" x14ac:dyDescent="0.45">
      <c r="A298" t="s">
        <v>648</v>
      </c>
      <c r="B298" t="s">
        <v>79</v>
      </c>
      <c r="C298" t="s">
        <v>235</v>
      </c>
      <c r="E298" s="8">
        <v>4592.75</v>
      </c>
      <c r="F298" s="9">
        <v>45620.666684444448</v>
      </c>
      <c r="G298" t="s">
        <v>86</v>
      </c>
      <c r="H298" t="s">
        <v>116</v>
      </c>
      <c r="I298" t="s">
        <v>112</v>
      </c>
      <c r="J298" t="str">
        <f t="shared" si="32"/>
        <v>Missing</v>
      </c>
      <c r="K298" t="str">
        <f t="shared" si="33"/>
        <v/>
      </c>
      <c r="L298" t="str">
        <f t="shared" si="34"/>
        <v/>
      </c>
      <c r="M298" t="str">
        <f t="shared" si="35"/>
        <v/>
      </c>
      <c r="N298" t="str">
        <f t="shared" si="36"/>
        <v/>
      </c>
      <c r="O298" t="str">
        <f t="shared" ca="1" si="37"/>
        <v>Outdated</v>
      </c>
      <c r="P298" t="str">
        <f t="shared" si="38"/>
        <v/>
      </c>
      <c r="Q298" t="str">
        <f t="shared" si="39"/>
        <v/>
      </c>
    </row>
    <row r="299" spans="1:17" x14ac:dyDescent="0.45">
      <c r="A299" t="s">
        <v>649</v>
      </c>
      <c r="B299" t="s">
        <v>109</v>
      </c>
      <c r="C299" t="s">
        <v>650</v>
      </c>
      <c r="D299" t="s">
        <v>106</v>
      </c>
      <c r="E299" s="8">
        <v>3667.78</v>
      </c>
      <c r="F299" s="9">
        <v>45346.666684444448</v>
      </c>
      <c r="H299" t="s">
        <v>128</v>
      </c>
      <c r="I299" t="s">
        <v>88</v>
      </c>
      <c r="J299" t="str">
        <f t="shared" si="32"/>
        <v/>
      </c>
      <c r="K299" t="str">
        <f t="shared" si="33"/>
        <v>Duplicate</v>
      </c>
      <c r="L299" t="str">
        <f t="shared" si="34"/>
        <v/>
      </c>
      <c r="M299" t="str">
        <f t="shared" si="35"/>
        <v>Invalid</v>
      </c>
      <c r="N299" t="str">
        <f t="shared" si="36"/>
        <v>Invalid</v>
      </c>
      <c r="O299" t="str">
        <f t="shared" ca="1" si="37"/>
        <v>Outdated</v>
      </c>
      <c r="P299" t="str">
        <f t="shared" si="38"/>
        <v>Damaged</v>
      </c>
      <c r="Q299" t="str">
        <f t="shared" si="39"/>
        <v>Inconsistent</v>
      </c>
    </row>
    <row r="300" spans="1:17" x14ac:dyDescent="0.45">
      <c r="A300" t="s">
        <v>651</v>
      </c>
      <c r="B300" t="s">
        <v>90</v>
      </c>
      <c r="C300" t="s">
        <v>626</v>
      </c>
      <c r="D300" t="s">
        <v>101</v>
      </c>
      <c r="E300" s="8">
        <v>6452.2</v>
      </c>
      <c r="F300" s="9">
        <v>45538.666684444448</v>
      </c>
      <c r="G300" t="s">
        <v>93</v>
      </c>
      <c r="H300" t="s">
        <v>87</v>
      </c>
      <c r="I300" t="s">
        <v>82</v>
      </c>
      <c r="J300" t="str">
        <f t="shared" si="32"/>
        <v/>
      </c>
      <c r="K300" t="str">
        <f t="shared" si="33"/>
        <v/>
      </c>
      <c r="L300" t="str">
        <f t="shared" si="34"/>
        <v/>
      </c>
      <c r="M300" t="str">
        <f t="shared" si="35"/>
        <v/>
      </c>
      <c r="N300" t="str">
        <f t="shared" si="36"/>
        <v>Invalid</v>
      </c>
      <c r="O300" t="str">
        <f t="shared" ca="1" si="37"/>
        <v>Outdated</v>
      </c>
      <c r="P300" t="str">
        <f t="shared" si="38"/>
        <v>Damaged</v>
      </c>
      <c r="Q300" t="str">
        <f t="shared" si="39"/>
        <v/>
      </c>
    </row>
    <row r="301" spans="1:17" x14ac:dyDescent="0.45">
      <c r="A301" t="s">
        <v>652</v>
      </c>
      <c r="B301" t="s">
        <v>104</v>
      </c>
      <c r="C301" t="s">
        <v>653</v>
      </c>
      <c r="D301" t="s">
        <v>74</v>
      </c>
      <c r="E301" s="8">
        <v>0</v>
      </c>
      <c r="F301" s="9">
        <v>45188.666684444448</v>
      </c>
      <c r="G301" t="s">
        <v>115</v>
      </c>
      <c r="H301" t="s">
        <v>87</v>
      </c>
      <c r="I301" t="s">
        <v>119</v>
      </c>
      <c r="J301" t="str">
        <f t="shared" si="32"/>
        <v/>
      </c>
      <c r="K301" t="str">
        <f t="shared" si="33"/>
        <v/>
      </c>
      <c r="L301" t="str">
        <f t="shared" si="34"/>
        <v>Unusual</v>
      </c>
      <c r="M301" t="str">
        <f t="shared" si="35"/>
        <v/>
      </c>
      <c r="N301" t="str">
        <f t="shared" si="36"/>
        <v>Invalid</v>
      </c>
      <c r="O301" t="str">
        <f t="shared" ca="1" si="37"/>
        <v>Outdated</v>
      </c>
      <c r="P301" t="str">
        <f t="shared" si="38"/>
        <v>Wrong Item</v>
      </c>
      <c r="Q301" t="str">
        <f t="shared" si="39"/>
        <v/>
      </c>
    </row>
    <row r="302" spans="1:17" x14ac:dyDescent="0.45">
      <c r="A302" t="s">
        <v>654</v>
      </c>
      <c r="B302" t="s">
        <v>90</v>
      </c>
      <c r="C302" t="s">
        <v>130</v>
      </c>
      <c r="D302" t="s">
        <v>74</v>
      </c>
      <c r="E302" s="8">
        <v>0</v>
      </c>
      <c r="F302" s="9">
        <v>45296.666684444448</v>
      </c>
      <c r="G302" t="s">
        <v>93</v>
      </c>
      <c r="H302" t="s">
        <v>116</v>
      </c>
      <c r="I302" t="s">
        <v>163</v>
      </c>
      <c r="J302" t="str">
        <f t="shared" si="32"/>
        <v/>
      </c>
      <c r="K302" t="str">
        <f t="shared" si="33"/>
        <v/>
      </c>
      <c r="L302" t="str">
        <f t="shared" si="34"/>
        <v>Unusual</v>
      </c>
      <c r="M302" t="str">
        <f t="shared" si="35"/>
        <v/>
      </c>
      <c r="N302" t="str">
        <f t="shared" si="36"/>
        <v/>
      </c>
      <c r="O302" t="str">
        <f t="shared" ca="1" si="37"/>
        <v>Outdated</v>
      </c>
      <c r="P302" t="str">
        <f t="shared" si="38"/>
        <v>Wrong Item</v>
      </c>
      <c r="Q302" t="str">
        <f t="shared" si="39"/>
        <v/>
      </c>
    </row>
    <row r="303" spans="1:17" x14ac:dyDescent="0.45">
      <c r="A303" t="s">
        <v>655</v>
      </c>
      <c r="B303" t="s">
        <v>72</v>
      </c>
      <c r="C303" t="s">
        <v>656</v>
      </c>
      <c r="D303" t="s">
        <v>148</v>
      </c>
      <c r="E303" s="8">
        <v>10586.82</v>
      </c>
      <c r="F303" s="9">
        <v>45516.666684444448</v>
      </c>
      <c r="G303" t="s">
        <v>75</v>
      </c>
      <c r="H303" t="s">
        <v>133</v>
      </c>
      <c r="I303" t="s">
        <v>77</v>
      </c>
      <c r="J303" t="str">
        <f t="shared" si="32"/>
        <v/>
      </c>
      <c r="K303" t="str">
        <f t="shared" si="33"/>
        <v/>
      </c>
      <c r="L303" t="str">
        <f t="shared" si="34"/>
        <v>Unusual</v>
      </c>
      <c r="M303" t="str">
        <f t="shared" si="35"/>
        <v/>
      </c>
      <c r="N303" t="str">
        <f t="shared" si="36"/>
        <v>Invalid</v>
      </c>
      <c r="O303" t="str">
        <f t="shared" ca="1" si="37"/>
        <v>Outdated</v>
      </c>
      <c r="P303" t="str">
        <f t="shared" si="38"/>
        <v>Wrong Item</v>
      </c>
      <c r="Q303" t="str">
        <f t="shared" si="39"/>
        <v>Inconsistent</v>
      </c>
    </row>
    <row r="304" spans="1:17" x14ac:dyDescent="0.45">
      <c r="A304" t="s">
        <v>657</v>
      </c>
      <c r="B304" t="s">
        <v>95</v>
      </c>
      <c r="C304" t="s">
        <v>658</v>
      </c>
      <c r="D304" t="s">
        <v>85</v>
      </c>
      <c r="E304" s="8">
        <v>8530.73</v>
      </c>
      <c r="F304" s="9">
        <v>45130.666684444448</v>
      </c>
      <c r="G304" t="s">
        <v>97</v>
      </c>
      <c r="H304" t="s">
        <v>136</v>
      </c>
      <c r="I304" t="s">
        <v>163</v>
      </c>
      <c r="J304" t="str">
        <f t="shared" si="32"/>
        <v/>
      </c>
      <c r="K304" t="str">
        <f t="shared" si="33"/>
        <v/>
      </c>
      <c r="L304" t="str">
        <f t="shared" si="34"/>
        <v/>
      </c>
      <c r="M304" t="str">
        <f t="shared" si="35"/>
        <v/>
      </c>
      <c r="N304" t="str">
        <f t="shared" si="36"/>
        <v>Invalid</v>
      </c>
      <c r="O304" t="str">
        <f t="shared" ca="1" si="37"/>
        <v>Outdated</v>
      </c>
      <c r="P304" t="str">
        <f t="shared" si="38"/>
        <v>Late Delivery</v>
      </c>
      <c r="Q304" t="str">
        <f t="shared" si="39"/>
        <v/>
      </c>
    </row>
    <row r="305" spans="1:17" x14ac:dyDescent="0.45">
      <c r="A305" t="s">
        <v>659</v>
      </c>
      <c r="B305" t="s">
        <v>99</v>
      </c>
      <c r="C305" t="s">
        <v>267</v>
      </c>
      <c r="D305" t="s">
        <v>101</v>
      </c>
      <c r="E305" s="8">
        <v>9486.81</v>
      </c>
      <c r="F305" s="9">
        <v>45527.666684444448</v>
      </c>
      <c r="G305" t="s">
        <v>102</v>
      </c>
      <c r="I305" t="s">
        <v>112</v>
      </c>
      <c r="J305" t="str">
        <f t="shared" si="32"/>
        <v/>
      </c>
      <c r="K305" t="str">
        <f t="shared" si="33"/>
        <v/>
      </c>
      <c r="L305" t="str">
        <f t="shared" si="34"/>
        <v/>
      </c>
      <c r="M305" t="str">
        <f t="shared" si="35"/>
        <v/>
      </c>
      <c r="N305" t="str">
        <f t="shared" si="36"/>
        <v>Invalid</v>
      </c>
      <c r="O305" t="str">
        <f t="shared" ca="1" si="37"/>
        <v>Outdated</v>
      </c>
      <c r="P305" t="str">
        <f t="shared" si="38"/>
        <v>Damaged</v>
      </c>
      <c r="Q305" t="str">
        <f t="shared" si="39"/>
        <v/>
      </c>
    </row>
    <row r="306" spans="1:17" x14ac:dyDescent="0.45">
      <c r="A306" t="s">
        <v>660</v>
      </c>
      <c r="B306" t="s">
        <v>138</v>
      </c>
      <c r="C306" t="s">
        <v>661</v>
      </c>
      <c r="D306" t="s">
        <v>85</v>
      </c>
      <c r="E306" s="8">
        <v>10900.38</v>
      </c>
      <c r="F306" s="9">
        <v>45399.666684444448</v>
      </c>
      <c r="H306" t="s">
        <v>107</v>
      </c>
      <c r="I306" t="s">
        <v>112</v>
      </c>
      <c r="J306" t="str">
        <f t="shared" si="32"/>
        <v/>
      </c>
      <c r="K306" t="str">
        <f t="shared" si="33"/>
        <v/>
      </c>
      <c r="L306" t="str">
        <f t="shared" si="34"/>
        <v>Unusual</v>
      </c>
      <c r="M306" t="str">
        <f t="shared" si="35"/>
        <v>Invalid</v>
      </c>
      <c r="N306" t="str">
        <f t="shared" si="36"/>
        <v/>
      </c>
      <c r="O306" t="str">
        <f t="shared" ca="1" si="37"/>
        <v>Outdated</v>
      </c>
      <c r="P306" t="str">
        <f t="shared" si="38"/>
        <v>Late Delivery</v>
      </c>
      <c r="Q306" t="str">
        <f t="shared" si="39"/>
        <v/>
      </c>
    </row>
    <row r="307" spans="1:17" x14ac:dyDescent="0.45">
      <c r="A307" t="s">
        <v>662</v>
      </c>
      <c r="B307" t="s">
        <v>172</v>
      </c>
      <c r="C307" t="s">
        <v>663</v>
      </c>
      <c r="D307" t="s">
        <v>101</v>
      </c>
      <c r="E307" s="8">
        <v>0</v>
      </c>
      <c r="F307" s="9">
        <v>45593.666684444448</v>
      </c>
      <c r="G307" t="s">
        <v>174</v>
      </c>
      <c r="H307" t="s">
        <v>118</v>
      </c>
      <c r="I307" t="s">
        <v>82</v>
      </c>
      <c r="J307" t="str">
        <f t="shared" si="32"/>
        <v/>
      </c>
      <c r="K307" t="str">
        <f t="shared" si="33"/>
        <v/>
      </c>
      <c r="L307" t="str">
        <f t="shared" si="34"/>
        <v>Unusual</v>
      </c>
      <c r="M307" t="str">
        <f t="shared" si="35"/>
        <v/>
      </c>
      <c r="N307" t="str">
        <f t="shared" si="36"/>
        <v>Invalid</v>
      </c>
      <c r="O307" t="str">
        <f t="shared" ca="1" si="37"/>
        <v>Outdated</v>
      </c>
      <c r="P307" t="str">
        <f t="shared" si="38"/>
        <v>Damaged</v>
      </c>
      <c r="Q307" t="str">
        <f t="shared" si="39"/>
        <v/>
      </c>
    </row>
    <row r="308" spans="1:17" x14ac:dyDescent="0.45">
      <c r="A308" t="s">
        <v>664</v>
      </c>
      <c r="B308" t="s">
        <v>90</v>
      </c>
      <c r="C308" t="s">
        <v>665</v>
      </c>
      <c r="D308" t="s">
        <v>85</v>
      </c>
      <c r="E308" s="8">
        <v>10650.5</v>
      </c>
      <c r="F308" s="9">
        <v>45420.666684444448</v>
      </c>
      <c r="G308" t="s">
        <v>93</v>
      </c>
      <c r="H308" t="s">
        <v>107</v>
      </c>
      <c r="I308" t="s">
        <v>77</v>
      </c>
      <c r="J308" t="str">
        <f t="shared" si="32"/>
        <v/>
      </c>
      <c r="K308" t="str">
        <f t="shared" si="33"/>
        <v/>
      </c>
      <c r="L308" t="str">
        <f t="shared" si="34"/>
        <v>Unusual</v>
      </c>
      <c r="M308" t="str">
        <f t="shared" si="35"/>
        <v/>
      </c>
      <c r="N308" t="str">
        <f t="shared" si="36"/>
        <v/>
      </c>
      <c r="O308" t="str">
        <f t="shared" ca="1" si="37"/>
        <v>Outdated</v>
      </c>
      <c r="P308" t="str">
        <f t="shared" si="38"/>
        <v>Late Delivery</v>
      </c>
      <c r="Q308" t="str">
        <f t="shared" si="39"/>
        <v/>
      </c>
    </row>
    <row r="309" spans="1:17" x14ac:dyDescent="0.45">
      <c r="A309" t="s">
        <v>666</v>
      </c>
      <c r="B309" t="s">
        <v>172</v>
      </c>
      <c r="C309" t="s">
        <v>177</v>
      </c>
      <c r="D309" t="s">
        <v>148</v>
      </c>
      <c r="E309" s="8">
        <v>4963.7299999999996</v>
      </c>
      <c r="F309" s="9">
        <v>45561.666684444448</v>
      </c>
      <c r="I309" t="s">
        <v>163</v>
      </c>
      <c r="J309" t="str">
        <f t="shared" si="32"/>
        <v/>
      </c>
      <c r="K309" t="str">
        <f t="shared" si="33"/>
        <v/>
      </c>
      <c r="L309" t="str">
        <f t="shared" si="34"/>
        <v/>
      </c>
      <c r="M309" t="str">
        <f t="shared" si="35"/>
        <v>Invalid</v>
      </c>
      <c r="N309" t="str">
        <f t="shared" si="36"/>
        <v>Invalid</v>
      </c>
      <c r="O309" t="str">
        <f t="shared" ca="1" si="37"/>
        <v>Outdated</v>
      </c>
      <c r="P309" t="str">
        <f t="shared" si="38"/>
        <v>Wrong Item</v>
      </c>
      <c r="Q309" t="str">
        <f t="shared" si="39"/>
        <v>Inconsistent</v>
      </c>
    </row>
    <row r="310" spans="1:17" x14ac:dyDescent="0.45">
      <c r="A310" t="s">
        <v>667</v>
      </c>
      <c r="B310" t="s">
        <v>95</v>
      </c>
      <c r="C310" t="s">
        <v>668</v>
      </c>
      <c r="D310" t="s">
        <v>85</v>
      </c>
      <c r="E310" s="8">
        <v>4501.1899999999996</v>
      </c>
      <c r="F310" s="9">
        <v>45841.666684444448</v>
      </c>
      <c r="G310" t="s">
        <v>97</v>
      </c>
      <c r="H310" t="s">
        <v>116</v>
      </c>
      <c r="I310" t="s">
        <v>119</v>
      </c>
      <c r="J310" t="str">
        <f t="shared" si="32"/>
        <v/>
      </c>
      <c r="K310" t="str">
        <f t="shared" si="33"/>
        <v/>
      </c>
      <c r="L310" t="str">
        <f t="shared" si="34"/>
        <v/>
      </c>
      <c r="M310" t="str">
        <f t="shared" si="35"/>
        <v/>
      </c>
      <c r="N310" t="str">
        <f t="shared" si="36"/>
        <v/>
      </c>
      <c r="O310" t="str">
        <f t="shared" ca="1" si="37"/>
        <v>Outdated</v>
      </c>
      <c r="P310" t="str">
        <f t="shared" si="38"/>
        <v>Late Delivery</v>
      </c>
      <c r="Q310" t="str">
        <f t="shared" si="39"/>
        <v/>
      </c>
    </row>
    <row r="311" spans="1:17" x14ac:dyDescent="0.45">
      <c r="A311" t="s">
        <v>669</v>
      </c>
      <c r="B311" t="s">
        <v>172</v>
      </c>
      <c r="D311" t="s">
        <v>92</v>
      </c>
      <c r="E311" s="8">
        <v>3828.53</v>
      </c>
      <c r="F311" s="9">
        <v>45697.666684444448</v>
      </c>
      <c r="G311" t="s">
        <v>174</v>
      </c>
      <c r="H311" t="s">
        <v>128</v>
      </c>
      <c r="I311" t="s">
        <v>82</v>
      </c>
      <c r="J311" t="str">
        <f t="shared" si="32"/>
        <v>Missing</v>
      </c>
      <c r="K311" t="str">
        <f t="shared" si="33"/>
        <v/>
      </c>
      <c r="L311" t="str">
        <f t="shared" si="34"/>
        <v/>
      </c>
      <c r="M311" t="str">
        <f t="shared" si="35"/>
        <v/>
      </c>
      <c r="N311" t="str">
        <f t="shared" si="36"/>
        <v>Invalid</v>
      </c>
      <c r="O311" t="str">
        <f t="shared" ca="1" si="37"/>
        <v>Outdated</v>
      </c>
      <c r="P311" t="str">
        <f t="shared" si="38"/>
        <v>Not As Described</v>
      </c>
      <c r="Q311" t="str">
        <f t="shared" si="39"/>
        <v/>
      </c>
    </row>
    <row r="312" spans="1:17" x14ac:dyDescent="0.45">
      <c r="A312" t="s">
        <v>670</v>
      </c>
      <c r="B312" t="s">
        <v>90</v>
      </c>
      <c r="C312" t="s">
        <v>671</v>
      </c>
      <c r="D312" t="s">
        <v>101</v>
      </c>
      <c r="E312" s="8">
        <v>11196.93</v>
      </c>
      <c r="F312" s="9">
        <v>45805.666684444448</v>
      </c>
      <c r="G312" t="s">
        <v>93</v>
      </c>
      <c r="H312" t="s">
        <v>81</v>
      </c>
      <c r="I312" t="s">
        <v>77</v>
      </c>
      <c r="J312" t="str">
        <f t="shared" si="32"/>
        <v/>
      </c>
      <c r="K312" t="str">
        <f t="shared" si="33"/>
        <v/>
      </c>
      <c r="L312" t="str">
        <f t="shared" si="34"/>
        <v>Unusual</v>
      </c>
      <c r="M312" t="str">
        <f t="shared" si="35"/>
        <v/>
      </c>
      <c r="N312" t="str">
        <f t="shared" si="36"/>
        <v/>
      </c>
      <c r="O312" t="str">
        <f t="shared" ca="1" si="37"/>
        <v>Outdated</v>
      </c>
      <c r="P312" t="str">
        <f t="shared" si="38"/>
        <v>Damaged</v>
      </c>
      <c r="Q312" t="str">
        <f t="shared" si="39"/>
        <v/>
      </c>
    </row>
    <row r="313" spans="1:17" x14ac:dyDescent="0.45">
      <c r="A313" t="s">
        <v>672</v>
      </c>
      <c r="B313" t="s">
        <v>109</v>
      </c>
      <c r="C313" t="s">
        <v>330</v>
      </c>
      <c r="D313" t="s">
        <v>92</v>
      </c>
      <c r="E313" s="8">
        <v>5061.96</v>
      </c>
      <c r="F313" s="9">
        <v>45626.666684444448</v>
      </c>
      <c r="H313" t="s">
        <v>116</v>
      </c>
      <c r="I313" t="s">
        <v>112</v>
      </c>
      <c r="J313" t="str">
        <f t="shared" si="32"/>
        <v/>
      </c>
      <c r="K313" t="str">
        <f t="shared" si="33"/>
        <v/>
      </c>
      <c r="L313" t="str">
        <f t="shared" si="34"/>
        <v/>
      </c>
      <c r="M313" t="str">
        <f t="shared" si="35"/>
        <v>Invalid</v>
      </c>
      <c r="N313" t="str">
        <f t="shared" si="36"/>
        <v/>
      </c>
      <c r="O313" t="str">
        <f t="shared" ca="1" si="37"/>
        <v>Outdated</v>
      </c>
      <c r="P313" t="str">
        <f t="shared" si="38"/>
        <v>Not As Described</v>
      </c>
      <c r="Q313" t="str">
        <f t="shared" si="39"/>
        <v/>
      </c>
    </row>
    <row r="314" spans="1:17" x14ac:dyDescent="0.45">
      <c r="A314" t="s">
        <v>673</v>
      </c>
      <c r="B314" t="s">
        <v>104</v>
      </c>
      <c r="C314" t="s">
        <v>674</v>
      </c>
      <c r="D314" t="s">
        <v>92</v>
      </c>
      <c r="E314" s="8">
        <v>10833.95</v>
      </c>
      <c r="F314" s="9">
        <v>45286.666684444448</v>
      </c>
      <c r="G314" t="s">
        <v>115</v>
      </c>
      <c r="H314" t="s">
        <v>136</v>
      </c>
      <c r="I314" t="s">
        <v>119</v>
      </c>
      <c r="J314" t="str">
        <f t="shared" si="32"/>
        <v/>
      </c>
      <c r="K314" t="str">
        <f t="shared" si="33"/>
        <v>Duplicate</v>
      </c>
      <c r="L314" t="str">
        <f t="shared" si="34"/>
        <v>Unusual</v>
      </c>
      <c r="M314" t="str">
        <f t="shared" si="35"/>
        <v/>
      </c>
      <c r="N314" t="str">
        <f t="shared" si="36"/>
        <v>Invalid</v>
      </c>
      <c r="O314" t="str">
        <f t="shared" ca="1" si="37"/>
        <v>Outdated</v>
      </c>
      <c r="P314" t="str">
        <f t="shared" si="38"/>
        <v>Not As Described</v>
      </c>
      <c r="Q314" t="str">
        <f t="shared" si="39"/>
        <v/>
      </c>
    </row>
    <row r="315" spans="1:17" x14ac:dyDescent="0.45">
      <c r="A315" t="s">
        <v>675</v>
      </c>
      <c r="B315" t="s">
        <v>172</v>
      </c>
      <c r="C315" t="s">
        <v>676</v>
      </c>
      <c r="D315" t="s">
        <v>74</v>
      </c>
      <c r="E315" s="8">
        <v>4971.92</v>
      </c>
      <c r="F315" s="9">
        <v>45322.666684444448</v>
      </c>
      <c r="G315" t="s">
        <v>174</v>
      </c>
      <c r="H315" t="s">
        <v>133</v>
      </c>
      <c r="I315" t="s">
        <v>112</v>
      </c>
      <c r="J315" t="str">
        <f t="shared" si="32"/>
        <v/>
      </c>
      <c r="K315" t="str">
        <f t="shared" si="33"/>
        <v/>
      </c>
      <c r="L315" t="str">
        <f t="shared" si="34"/>
        <v/>
      </c>
      <c r="M315" t="str">
        <f t="shared" si="35"/>
        <v/>
      </c>
      <c r="N315" t="str">
        <f t="shared" si="36"/>
        <v>Invalid</v>
      </c>
      <c r="O315" t="str">
        <f t="shared" ca="1" si="37"/>
        <v>Outdated</v>
      </c>
      <c r="P315" t="str">
        <f t="shared" si="38"/>
        <v>Wrong Item</v>
      </c>
      <c r="Q315" t="str">
        <f t="shared" si="39"/>
        <v/>
      </c>
    </row>
    <row r="316" spans="1:17" x14ac:dyDescent="0.45">
      <c r="A316" t="s">
        <v>677</v>
      </c>
      <c r="B316" t="s">
        <v>109</v>
      </c>
      <c r="C316" t="s">
        <v>678</v>
      </c>
      <c r="D316" t="s">
        <v>85</v>
      </c>
      <c r="E316" s="8">
        <v>907.56</v>
      </c>
      <c r="F316" s="9">
        <v>45431.666684444448</v>
      </c>
      <c r="G316" t="s">
        <v>111</v>
      </c>
      <c r="H316" t="s">
        <v>76</v>
      </c>
      <c r="I316" t="s">
        <v>82</v>
      </c>
      <c r="J316" t="str">
        <f t="shared" si="32"/>
        <v/>
      </c>
      <c r="K316" t="str">
        <f t="shared" si="33"/>
        <v>Duplicate</v>
      </c>
      <c r="L316" t="str">
        <f t="shared" si="34"/>
        <v/>
      </c>
      <c r="M316" t="str">
        <f t="shared" si="35"/>
        <v/>
      </c>
      <c r="N316" t="str">
        <f t="shared" si="36"/>
        <v/>
      </c>
      <c r="O316" t="str">
        <f t="shared" ca="1" si="37"/>
        <v>Outdated</v>
      </c>
      <c r="P316" t="str">
        <f t="shared" si="38"/>
        <v>Late Delivery</v>
      </c>
      <c r="Q316" t="str">
        <f t="shared" si="39"/>
        <v/>
      </c>
    </row>
    <row r="317" spans="1:17" x14ac:dyDescent="0.45">
      <c r="A317" t="s">
        <v>679</v>
      </c>
      <c r="B317" t="s">
        <v>109</v>
      </c>
      <c r="C317" t="s">
        <v>680</v>
      </c>
      <c r="D317" t="s">
        <v>101</v>
      </c>
      <c r="E317" s="8">
        <v>7711.54</v>
      </c>
      <c r="F317" s="9">
        <v>45350.666684444448</v>
      </c>
      <c r="G317" t="s">
        <v>111</v>
      </c>
      <c r="H317" t="s">
        <v>76</v>
      </c>
      <c r="I317" t="s">
        <v>119</v>
      </c>
      <c r="J317" t="str">
        <f t="shared" si="32"/>
        <v/>
      </c>
      <c r="K317" t="str">
        <f t="shared" si="33"/>
        <v/>
      </c>
      <c r="L317" t="str">
        <f t="shared" si="34"/>
        <v/>
      </c>
      <c r="M317" t="str">
        <f t="shared" si="35"/>
        <v/>
      </c>
      <c r="N317" t="str">
        <f t="shared" si="36"/>
        <v/>
      </c>
      <c r="O317" t="str">
        <f t="shared" ca="1" si="37"/>
        <v>Outdated</v>
      </c>
      <c r="P317" t="str">
        <f t="shared" si="38"/>
        <v>Damaged</v>
      </c>
      <c r="Q317" t="str">
        <f t="shared" si="39"/>
        <v/>
      </c>
    </row>
    <row r="318" spans="1:17" x14ac:dyDescent="0.45">
      <c r="A318" t="s">
        <v>681</v>
      </c>
      <c r="B318" t="s">
        <v>72</v>
      </c>
      <c r="C318" t="s">
        <v>412</v>
      </c>
      <c r="E318" s="8">
        <v>3510.18</v>
      </c>
      <c r="F318" s="9">
        <v>45187.666684444448</v>
      </c>
      <c r="G318" t="s">
        <v>75</v>
      </c>
      <c r="H318" t="s">
        <v>87</v>
      </c>
      <c r="I318" t="s">
        <v>112</v>
      </c>
      <c r="J318" t="str">
        <f t="shared" si="32"/>
        <v>Missing</v>
      </c>
      <c r="K318" t="str">
        <f t="shared" si="33"/>
        <v/>
      </c>
      <c r="L318" t="str">
        <f t="shared" si="34"/>
        <v/>
      </c>
      <c r="M318" t="str">
        <f t="shared" si="35"/>
        <v/>
      </c>
      <c r="N318" t="str">
        <f t="shared" si="36"/>
        <v>Invalid</v>
      </c>
      <c r="O318" t="str">
        <f t="shared" ca="1" si="37"/>
        <v>Outdated</v>
      </c>
      <c r="P318" t="str">
        <f t="shared" si="38"/>
        <v/>
      </c>
      <c r="Q318" t="str">
        <f t="shared" si="39"/>
        <v/>
      </c>
    </row>
    <row r="319" spans="1:17" x14ac:dyDescent="0.45">
      <c r="A319" t="s">
        <v>682</v>
      </c>
      <c r="B319" t="s">
        <v>104</v>
      </c>
      <c r="C319" t="s">
        <v>683</v>
      </c>
      <c r="D319" t="s">
        <v>101</v>
      </c>
      <c r="E319" s="8">
        <v>4548.07</v>
      </c>
      <c r="F319" s="9">
        <v>45721.666684444448</v>
      </c>
      <c r="G319" t="s">
        <v>247</v>
      </c>
      <c r="H319" t="s">
        <v>81</v>
      </c>
      <c r="I319" t="s">
        <v>163</v>
      </c>
      <c r="J319" t="str">
        <f t="shared" si="32"/>
        <v/>
      </c>
      <c r="K319" t="str">
        <f t="shared" si="33"/>
        <v/>
      </c>
      <c r="L319" t="str">
        <f t="shared" si="34"/>
        <v/>
      </c>
      <c r="M319" t="str">
        <f t="shared" si="35"/>
        <v>Invalid</v>
      </c>
      <c r="N319" t="str">
        <f t="shared" si="36"/>
        <v/>
      </c>
      <c r="O319" t="str">
        <f t="shared" ca="1" si="37"/>
        <v>Outdated</v>
      </c>
      <c r="P319" t="str">
        <f t="shared" si="38"/>
        <v>Damaged</v>
      </c>
      <c r="Q319" t="str">
        <f t="shared" si="39"/>
        <v/>
      </c>
    </row>
    <row r="320" spans="1:17" x14ac:dyDescent="0.45">
      <c r="A320" t="s">
        <v>684</v>
      </c>
      <c r="B320" t="s">
        <v>138</v>
      </c>
      <c r="C320" t="s">
        <v>685</v>
      </c>
      <c r="D320" t="s">
        <v>106</v>
      </c>
      <c r="E320" s="8">
        <v>1589.63</v>
      </c>
      <c r="F320" s="9">
        <v>45683.666684444448</v>
      </c>
      <c r="G320" t="s">
        <v>140</v>
      </c>
      <c r="H320" t="s">
        <v>116</v>
      </c>
      <c r="I320" t="s">
        <v>163</v>
      </c>
      <c r="J320" t="str">
        <f t="shared" si="32"/>
        <v/>
      </c>
      <c r="K320" t="str">
        <f t="shared" si="33"/>
        <v/>
      </c>
      <c r="L320" t="str">
        <f t="shared" si="34"/>
        <v/>
      </c>
      <c r="M320" t="str">
        <f t="shared" si="35"/>
        <v/>
      </c>
      <c r="N320" t="str">
        <f t="shared" si="36"/>
        <v/>
      </c>
      <c r="O320" t="str">
        <f t="shared" ca="1" si="37"/>
        <v>Outdated</v>
      </c>
      <c r="P320" t="str">
        <f t="shared" si="38"/>
        <v>Damaged</v>
      </c>
      <c r="Q320" t="str">
        <f t="shared" si="39"/>
        <v>Inconsistent</v>
      </c>
    </row>
    <row r="321" spans="1:17" x14ac:dyDescent="0.45">
      <c r="A321" t="s">
        <v>686</v>
      </c>
      <c r="B321" t="s">
        <v>90</v>
      </c>
      <c r="C321" t="s">
        <v>687</v>
      </c>
      <c r="D321" t="s">
        <v>74</v>
      </c>
      <c r="E321" s="8">
        <v>6104.3</v>
      </c>
      <c r="F321" s="9">
        <v>45190.666684444448</v>
      </c>
      <c r="G321" t="s">
        <v>93</v>
      </c>
      <c r="H321" t="s">
        <v>87</v>
      </c>
      <c r="I321" t="s">
        <v>77</v>
      </c>
      <c r="J321" t="str">
        <f t="shared" si="32"/>
        <v/>
      </c>
      <c r="K321" t="str">
        <f t="shared" si="33"/>
        <v/>
      </c>
      <c r="L321" t="str">
        <f t="shared" si="34"/>
        <v/>
      </c>
      <c r="M321" t="str">
        <f t="shared" si="35"/>
        <v/>
      </c>
      <c r="N321" t="str">
        <f t="shared" si="36"/>
        <v>Invalid</v>
      </c>
      <c r="O321" t="str">
        <f t="shared" ca="1" si="37"/>
        <v>Outdated</v>
      </c>
      <c r="P321" t="str">
        <f t="shared" si="38"/>
        <v>Wrong Item</v>
      </c>
      <c r="Q321" t="str">
        <f t="shared" si="39"/>
        <v/>
      </c>
    </row>
    <row r="322" spans="1:17" x14ac:dyDescent="0.45">
      <c r="A322" t="s">
        <v>688</v>
      </c>
      <c r="B322" t="s">
        <v>99</v>
      </c>
      <c r="C322" t="s">
        <v>689</v>
      </c>
      <c r="D322" t="s">
        <v>92</v>
      </c>
      <c r="E322" s="8">
        <v>4232.29</v>
      </c>
      <c r="F322" s="9">
        <v>45449.666684444448</v>
      </c>
      <c r="G322" t="s">
        <v>102</v>
      </c>
      <c r="H322" t="s">
        <v>107</v>
      </c>
      <c r="I322" t="s">
        <v>82</v>
      </c>
      <c r="J322" t="str">
        <f t="shared" ref="J322:J385" si="40">IF(OR(ISBLANK(C322),ISBLANK(D322)),"Missing","")</f>
        <v/>
      </c>
      <c r="K322" t="str">
        <f t="shared" ref="K322:K385" si="41">IF(COUNTIF($A$2:$A$2501,A322)&gt;1,"Duplicate","")</f>
        <v/>
      </c>
      <c r="L322" t="str">
        <f t="shared" ref="L322:L385" si="42">IF(OR(E322=0,E322&gt;10000),"Unusual","")</f>
        <v/>
      </c>
      <c r="M322" t="str">
        <f t="shared" ref="M322:M385" si="43">IF(OR(ISBLANK(G322),ISERROR(FIND("@",G322)),ISERROR(FIND(".",G322,FIND("@",G322)+1))),"Invalid","")</f>
        <v/>
      </c>
      <c r="N322" t="str">
        <f t="shared" ref="N322:N385" si="44">IF(COUNTIF($S$2:$S$6,H322)=0,"Invalid","")</f>
        <v/>
      </c>
      <c r="O322" t="str">
        <f t="shared" ref="O322:O385" ca="1" si="45">IF(F322&lt;EDATE(TODAY(),-12),"Outdated","")</f>
        <v>Outdated</v>
      </c>
      <c r="P322" t="str">
        <f t="shared" ref="P322:P385" si="46">IF(ISBLANK(D322),"",PROPER(TRIM(D322)))</f>
        <v>Not As Described</v>
      </c>
      <c r="Q322" t="str">
        <f t="shared" ref="Q322:Q385" si="47">IF(ISBLANK(D322),"",IF(EXACT(D322,P322),"","Inconsistent"))</f>
        <v/>
      </c>
    </row>
    <row r="323" spans="1:17" x14ac:dyDescent="0.45">
      <c r="A323" t="s">
        <v>690</v>
      </c>
      <c r="B323" t="s">
        <v>99</v>
      </c>
      <c r="C323" t="s">
        <v>691</v>
      </c>
      <c r="D323" t="s">
        <v>92</v>
      </c>
      <c r="E323" s="8">
        <v>5670.91</v>
      </c>
      <c r="F323" s="9">
        <v>45186.666684444448</v>
      </c>
      <c r="G323" t="s">
        <v>102</v>
      </c>
      <c r="H323" t="s">
        <v>118</v>
      </c>
      <c r="I323" t="s">
        <v>119</v>
      </c>
      <c r="J323" t="str">
        <f t="shared" si="40"/>
        <v/>
      </c>
      <c r="K323" t="str">
        <f t="shared" si="41"/>
        <v/>
      </c>
      <c r="L323" t="str">
        <f t="shared" si="42"/>
        <v/>
      </c>
      <c r="M323" t="str">
        <f t="shared" si="43"/>
        <v/>
      </c>
      <c r="N323" t="str">
        <f t="shared" si="44"/>
        <v>Invalid</v>
      </c>
      <c r="O323" t="str">
        <f t="shared" ca="1" si="45"/>
        <v>Outdated</v>
      </c>
      <c r="P323" t="str">
        <f t="shared" si="46"/>
        <v>Not As Described</v>
      </c>
      <c r="Q323" t="str">
        <f t="shared" si="47"/>
        <v/>
      </c>
    </row>
    <row r="324" spans="1:17" x14ac:dyDescent="0.45">
      <c r="A324" t="s">
        <v>692</v>
      </c>
      <c r="B324" t="s">
        <v>172</v>
      </c>
      <c r="C324" t="s">
        <v>693</v>
      </c>
      <c r="D324" t="s">
        <v>92</v>
      </c>
      <c r="E324" s="8">
        <v>483.38</v>
      </c>
      <c r="F324" s="9">
        <v>45179.666684444448</v>
      </c>
      <c r="G324" t="s">
        <v>174</v>
      </c>
      <c r="I324" t="s">
        <v>112</v>
      </c>
      <c r="J324" t="str">
        <f t="shared" si="40"/>
        <v/>
      </c>
      <c r="K324" t="str">
        <f t="shared" si="41"/>
        <v/>
      </c>
      <c r="L324" t="str">
        <f t="shared" si="42"/>
        <v/>
      </c>
      <c r="M324" t="str">
        <f t="shared" si="43"/>
        <v/>
      </c>
      <c r="N324" t="str">
        <f t="shared" si="44"/>
        <v>Invalid</v>
      </c>
      <c r="O324" t="str">
        <f t="shared" ca="1" si="45"/>
        <v>Outdated</v>
      </c>
      <c r="P324" t="str">
        <f t="shared" si="46"/>
        <v>Not As Described</v>
      </c>
      <c r="Q324" t="str">
        <f t="shared" si="47"/>
        <v/>
      </c>
    </row>
    <row r="325" spans="1:17" x14ac:dyDescent="0.45">
      <c r="A325" t="s">
        <v>694</v>
      </c>
      <c r="B325" t="s">
        <v>104</v>
      </c>
      <c r="C325" t="s">
        <v>462</v>
      </c>
      <c r="D325" t="s">
        <v>101</v>
      </c>
      <c r="E325" s="8">
        <v>4427.8500000000004</v>
      </c>
      <c r="F325" s="9">
        <v>45726.666684444448</v>
      </c>
      <c r="G325" t="s">
        <v>115</v>
      </c>
      <c r="H325" t="s">
        <v>133</v>
      </c>
      <c r="I325" t="s">
        <v>77</v>
      </c>
      <c r="J325" t="str">
        <f t="shared" si="40"/>
        <v/>
      </c>
      <c r="K325" t="str">
        <f t="shared" si="41"/>
        <v/>
      </c>
      <c r="L325" t="str">
        <f t="shared" si="42"/>
        <v/>
      </c>
      <c r="M325" t="str">
        <f t="shared" si="43"/>
        <v/>
      </c>
      <c r="N325" t="str">
        <f t="shared" si="44"/>
        <v>Invalid</v>
      </c>
      <c r="O325" t="str">
        <f t="shared" ca="1" si="45"/>
        <v>Outdated</v>
      </c>
      <c r="P325" t="str">
        <f t="shared" si="46"/>
        <v>Damaged</v>
      </c>
      <c r="Q325" t="str">
        <f t="shared" si="47"/>
        <v/>
      </c>
    </row>
    <row r="326" spans="1:17" x14ac:dyDescent="0.45">
      <c r="A326" t="s">
        <v>695</v>
      </c>
      <c r="B326" t="s">
        <v>172</v>
      </c>
      <c r="C326" t="s">
        <v>696</v>
      </c>
      <c r="D326" t="s">
        <v>85</v>
      </c>
      <c r="E326" s="8">
        <v>9626.44</v>
      </c>
      <c r="F326" s="9">
        <v>45616.666684444448</v>
      </c>
      <c r="G326" t="s">
        <v>174</v>
      </c>
      <c r="H326" t="s">
        <v>136</v>
      </c>
      <c r="I326" t="s">
        <v>112</v>
      </c>
      <c r="J326" t="str">
        <f t="shared" si="40"/>
        <v/>
      </c>
      <c r="K326" t="str">
        <f t="shared" si="41"/>
        <v/>
      </c>
      <c r="L326" t="str">
        <f t="shared" si="42"/>
        <v/>
      </c>
      <c r="M326" t="str">
        <f t="shared" si="43"/>
        <v/>
      </c>
      <c r="N326" t="str">
        <f t="shared" si="44"/>
        <v>Invalid</v>
      </c>
      <c r="O326" t="str">
        <f t="shared" ca="1" si="45"/>
        <v>Outdated</v>
      </c>
      <c r="P326" t="str">
        <f t="shared" si="46"/>
        <v>Late Delivery</v>
      </c>
      <c r="Q326" t="str">
        <f t="shared" si="47"/>
        <v/>
      </c>
    </row>
    <row r="327" spans="1:17" x14ac:dyDescent="0.45">
      <c r="A327" t="s">
        <v>697</v>
      </c>
      <c r="B327" t="s">
        <v>104</v>
      </c>
      <c r="C327" t="s">
        <v>212</v>
      </c>
      <c r="D327" t="s">
        <v>92</v>
      </c>
      <c r="E327" s="8">
        <v>8326.52</v>
      </c>
      <c r="F327" s="9">
        <v>45642.666684444448</v>
      </c>
      <c r="G327" t="s">
        <v>115</v>
      </c>
      <c r="H327" t="s">
        <v>133</v>
      </c>
      <c r="I327" t="s">
        <v>163</v>
      </c>
      <c r="J327" t="str">
        <f t="shared" si="40"/>
        <v/>
      </c>
      <c r="K327" t="str">
        <f t="shared" si="41"/>
        <v/>
      </c>
      <c r="L327" t="str">
        <f t="shared" si="42"/>
        <v/>
      </c>
      <c r="M327" t="str">
        <f t="shared" si="43"/>
        <v/>
      </c>
      <c r="N327" t="str">
        <f t="shared" si="44"/>
        <v>Invalid</v>
      </c>
      <c r="O327" t="str">
        <f t="shared" ca="1" si="45"/>
        <v>Outdated</v>
      </c>
      <c r="P327" t="str">
        <f t="shared" si="46"/>
        <v>Not As Described</v>
      </c>
      <c r="Q327" t="str">
        <f t="shared" si="47"/>
        <v/>
      </c>
    </row>
    <row r="328" spans="1:17" x14ac:dyDescent="0.45">
      <c r="A328" t="s">
        <v>698</v>
      </c>
      <c r="B328" t="s">
        <v>90</v>
      </c>
      <c r="C328" t="s">
        <v>699</v>
      </c>
      <c r="D328" t="s">
        <v>74</v>
      </c>
      <c r="E328" s="8">
        <v>10755.38</v>
      </c>
      <c r="F328" s="9">
        <v>45671.666684444448</v>
      </c>
      <c r="G328" t="s">
        <v>93</v>
      </c>
      <c r="I328" t="s">
        <v>77</v>
      </c>
      <c r="J328" t="str">
        <f t="shared" si="40"/>
        <v/>
      </c>
      <c r="K328" t="str">
        <f t="shared" si="41"/>
        <v/>
      </c>
      <c r="L328" t="str">
        <f t="shared" si="42"/>
        <v>Unusual</v>
      </c>
      <c r="M328" t="str">
        <f t="shared" si="43"/>
        <v/>
      </c>
      <c r="N328" t="str">
        <f t="shared" si="44"/>
        <v>Invalid</v>
      </c>
      <c r="O328" t="str">
        <f t="shared" ca="1" si="45"/>
        <v>Outdated</v>
      </c>
      <c r="P328" t="str">
        <f t="shared" si="46"/>
        <v>Wrong Item</v>
      </c>
      <c r="Q328" t="str">
        <f t="shared" si="47"/>
        <v/>
      </c>
    </row>
    <row r="329" spans="1:17" x14ac:dyDescent="0.45">
      <c r="A329" t="s">
        <v>700</v>
      </c>
      <c r="B329" t="s">
        <v>90</v>
      </c>
      <c r="D329" t="s">
        <v>74</v>
      </c>
      <c r="E329" s="8">
        <v>5467.51</v>
      </c>
      <c r="F329" s="9">
        <v>45289.666684444448</v>
      </c>
      <c r="G329" t="s">
        <v>93</v>
      </c>
      <c r="H329" t="s">
        <v>107</v>
      </c>
      <c r="I329" t="s">
        <v>82</v>
      </c>
      <c r="J329" t="str">
        <f t="shared" si="40"/>
        <v>Missing</v>
      </c>
      <c r="K329" t="str">
        <f t="shared" si="41"/>
        <v/>
      </c>
      <c r="L329" t="str">
        <f t="shared" si="42"/>
        <v/>
      </c>
      <c r="M329" t="str">
        <f t="shared" si="43"/>
        <v/>
      </c>
      <c r="N329" t="str">
        <f t="shared" si="44"/>
        <v/>
      </c>
      <c r="O329" t="str">
        <f t="shared" ca="1" si="45"/>
        <v>Outdated</v>
      </c>
      <c r="P329" t="str">
        <f t="shared" si="46"/>
        <v>Wrong Item</v>
      </c>
      <c r="Q329" t="str">
        <f t="shared" si="47"/>
        <v/>
      </c>
    </row>
    <row r="330" spans="1:17" x14ac:dyDescent="0.45">
      <c r="A330" t="s">
        <v>701</v>
      </c>
      <c r="B330" t="s">
        <v>138</v>
      </c>
      <c r="C330" t="s">
        <v>702</v>
      </c>
      <c r="D330" t="s">
        <v>85</v>
      </c>
      <c r="E330" s="8">
        <v>9850.08</v>
      </c>
      <c r="F330" s="9">
        <v>45186.666684444448</v>
      </c>
      <c r="G330" t="s">
        <v>140</v>
      </c>
      <c r="H330" t="s">
        <v>118</v>
      </c>
      <c r="I330" t="s">
        <v>119</v>
      </c>
      <c r="J330" t="str">
        <f t="shared" si="40"/>
        <v/>
      </c>
      <c r="K330" t="str">
        <f t="shared" si="41"/>
        <v>Duplicate</v>
      </c>
      <c r="L330" t="str">
        <f t="shared" si="42"/>
        <v/>
      </c>
      <c r="M330" t="str">
        <f t="shared" si="43"/>
        <v/>
      </c>
      <c r="N330" t="str">
        <f t="shared" si="44"/>
        <v>Invalid</v>
      </c>
      <c r="O330" t="str">
        <f t="shared" ca="1" si="45"/>
        <v>Outdated</v>
      </c>
      <c r="P330" t="str">
        <f t="shared" si="46"/>
        <v>Late Delivery</v>
      </c>
      <c r="Q330" t="str">
        <f t="shared" si="47"/>
        <v/>
      </c>
    </row>
    <row r="331" spans="1:17" x14ac:dyDescent="0.45">
      <c r="A331" t="s">
        <v>703</v>
      </c>
      <c r="B331" t="s">
        <v>109</v>
      </c>
      <c r="C331" t="s">
        <v>704</v>
      </c>
      <c r="D331" t="s">
        <v>85</v>
      </c>
      <c r="E331" s="8">
        <v>7936.2</v>
      </c>
      <c r="F331" s="9">
        <v>45648.666684444448</v>
      </c>
      <c r="G331" t="s">
        <v>111</v>
      </c>
      <c r="H331" t="s">
        <v>76</v>
      </c>
      <c r="I331" t="s">
        <v>163</v>
      </c>
      <c r="J331" t="str">
        <f t="shared" si="40"/>
        <v/>
      </c>
      <c r="K331" t="str">
        <f t="shared" si="41"/>
        <v/>
      </c>
      <c r="L331" t="str">
        <f t="shared" si="42"/>
        <v/>
      </c>
      <c r="M331" t="str">
        <f t="shared" si="43"/>
        <v/>
      </c>
      <c r="N331" t="str">
        <f t="shared" si="44"/>
        <v/>
      </c>
      <c r="O331" t="str">
        <f t="shared" ca="1" si="45"/>
        <v>Outdated</v>
      </c>
      <c r="P331" t="str">
        <f t="shared" si="46"/>
        <v>Late Delivery</v>
      </c>
      <c r="Q331" t="str">
        <f t="shared" si="47"/>
        <v/>
      </c>
    </row>
    <row r="332" spans="1:17" x14ac:dyDescent="0.45">
      <c r="A332" t="s">
        <v>705</v>
      </c>
      <c r="B332" t="s">
        <v>104</v>
      </c>
      <c r="C332" t="s">
        <v>706</v>
      </c>
      <c r="D332" t="s">
        <v>101</v>
      </c>
      <c r="E332" s="8">
        <v>4424.4399999999996</v>
      </c>
      <c r="F332" s="9">
        <v>45210.666684444448</v>
      </c>
      <c r="G332" t="s">
        <v>115</v>
      </c>
      <c r="H332" t="s">
        <v>145</v>
      </c>
      <c r="I332" t="s">
        <v>163</v>
      </c>
      <c r="J332" t="str">
        <f t="shared" si="40"/>
        <v/>
      </c>
      <c r="K332" t="str">
        <f t="shared" si="41"/>
        <v/>
      </c>
      <c r="L332" t="str">
        <f t="shared" si="42"/>
        <v/>
      </c>
      <c r="M332" t="str">
        <f t="shared" si="43"/>
        <v/>
      </c>
      <c r="N332" t="str">
        <f t="shared" si="44"/>
        <v/>
      </c>
      <c r="O332" t="str">
        <f t="shared" ca="1" si="45"/>
        <v>Outdated</v>
      </c>
      <c r="P332" t="str">
        <f t="shared" si="46"/>
        <v>Damaged</v>
      </c>
      <c r="Q332" t="str">
        <f t="shared" si="47"/>
        <v/>
      </c>
    </row>
    <row r="333" spans="1:17" x14ac:dyDescent="0.45">
      <c r="A333" t="s">
        <v>707</v>
      </c>
      <c r="B333" t="s">
        <v>79</v>
      </c>
      <c r="C333" t="s">
        <v>708</v>
      </c>
      <c r="D333" t="s">
        <v>101</v>
      </c>
      <c r="E333" s="8">
        <v>4646.2</v>
      </c>
      <c r="F333" s="9">
        <v>45318.666684444448</v>
      </c>
      <c r="G333" t="s">
        <v>86</v>
      </c>
      <c r="H333" t="s">
        <v>76</v>
      </c>
      <c r="I333" t="s">
        <v>88</v>
      </c>
      <c r="J333" t="str">
        <f t="shared" si="40"/>
        <v/>
      </c>
      <c r="K333" t="str">
        <f t="shared" si="41"/>
        <v/>
      </c>
      <c r="L333" t="str">
        <f t="shared" si="42"/>
        <v/>
      </c>
      <c r="M333" t="str">
        <f t="shared" si="43"/>
        <v/>
      </c>
      <c r="N333" t="str">
        <f t="shared" si="44"/>
        <v/>
      </c>
      <c r="O333" t="str">
        <f t="shared" ca="1" si="45"/>
        <v>Outdated</v>
      </c>
      <c r="P333" t="str">
        <f t="shared" si="46"/>
        <v>Damaged</v>
      </c>
      <c r="Q333" t="str">
        <f t="shared" si="47"/>
        <v/>
      </c>
    </row>
    <row r="334" spans="1:17" x14ac:dyDescent="0.45">
      <c r="A334" t="s">
        <v>709</v>
      </c>
      <c r="B334" t="s">
        <v>79</v>
      </c>
      <c r="C334" t="s">
        <v>710</v>
      </c>
      <c r="D334" t="s">
        <v>101</v>
      </c>
      <c r="E334" s="8">
        <v>10030.66</v>
      </c>
      <c r="F334" s="9">
        <v>45198.666684444448</v>
      </c>
      <c r="G334" t="s">
        <v>86</v>
      </c>
      <c r="H334" t="s">
        <v>116</v>
      </c>
      <c r="I334" t="s">
        <v>163</v>
      </c>
      <c r="J334" t="str">
        <f t="shared" si="40"/>
        <v/>
      </c>
      <c r="K334" t="str">
        <f t="shared" si="41"/>
        <v>Duplicate</v>
      </c>
      <c r="L334" t="str">
        <f t="shared" si="42"/>
        <v>Unusual</v>
      </c>
      <c r="M334" t="str">
        <f t="shared" si="43"/>
        <v/>
      </c>
      <c r="N334" t="str">
        <f t="shared" si="44"/>
        <v/>
      </c>
      <c r="O334" t="str">
        <f t="shared" ca="1" si="45"/>
        <v>Outdated</v>
      </c>
      <c r="P334" t="str">
        <f t="shared" si="46"/>
        <v>Damaged</v>
      </c>
      <c r="Q334" t="str">
        <f t="shared" si="47"/>
        <v/>
      </c>
    </row>
    <row r="335" spans="1:17" x14ac:dyDescent="0.45">
      <c r="A335" t="s">
        <v>711</v>
      </c>
      <c r="B335" t="s">
        <v>109</v>
      </c>
      <c r="C335" t="s">
        <v>712</v>
      </c>
      <c r="D335" t="s">
        <v>92</v>
      </c>
      <c r="E335" s="8">
        <v>8110.71</v>
      </c>
      <c r="F335" s="9">
        <v>45737.666684444448</v>
      </c>
      <c r="G335" t="s">
        <v>111</v>
      </c>
      <c r="I335" t="s">
        <v>77</v>
      </c>
      <c r="J335" t="str">
        <f t="shared" si="40"/>
        <v/>
      </c>
      <c r="K335" t="str">
        <f t="shared" si="41"/>
        <v/>
      </c>
      <c r="L335" t="str">
        <f t="shared" si="42"/>
        <v/>
      </c>
      <c r="M335" t="str">
        <f t="shared" si="43"/>
        <v/>
      </c>
      <c r="N335" t="str">
        <f t="shared" si="44"/>
        <v>Invalid</v>
      </c>
      <c r="O335" t="str">
        <f t="shared" ca="1" si="45"/>
        <v>Outdated</v>
      </c>
      <c r="P335" t="str">
        <f t="shared" si="46"/>
        <v>Not As Described</v>
      </c>
      <c r="Q335" t="str">
        <f t="shared" si="47"/>
        <v/>
      </c>
    </row>
    <row r="336" spans="1:17" x14ac:dyDescent="0.45">
      <c r="A336" t="s">
        <v>713</v>
      </c>
      <c r="B336" t="s">
        <v>172</v>
      </c>
      <c r="C336" t="s">
        <v>263</v>
      </c>
      <c r="D336" t="s">
        <v>92</v>
      </c>
      <c r="E336" s="8">
        <v>185.98</v>
      </c>
      <c r="F336" s="9">
        <v>45197.666684444448</v>
      </c>
      <c r="H336" t="s">
        <v>107</v>
      </c>
      <c r="I336" t="s">
        <v>77</v>
      </c>
      <c r="J336" t="str">
        <f t="shared" si="40"/>
        <v/>
      </c>
      <c r="K336" t="str">
        <f t="shared" si="41"/>
        <v/>
      </c>
      <c r="L336" t="str">
        <f t="shared" si="42"/>
        <v/>
      </c>
      <c r="M336" t="str">
        <f t="shared" si="43"/>
        <v>Invalid</v>
      </c>
      <c r="N336" t="str">
        <f t="shared" si="44"/>
        <v/>
      </c>
      <c r="O336" t="str">
        <f t="shared" ca="1" si="45"/>
        <v>Outdated</v>
      </c>
      <c r="P336" t="str">
        <f t="shared" si="46"/>
        <v>Not As Described</v>
      </c>
      <c r="Q336" t="str">
        <f t="shared" si="47"/>
        <v/>
      </c>
    </row>
    <row r="337" spans="1:17" x14ac:dyDescent="0.45">
      <c r="A337" t="s">
        <v>714</v>
      </c>
      <c r="B337" t="s">
        <v>104</v>
      </c>
      <c r="C337" t="s">
        <v>715</v>
      </c>
      <c r="E337" s="8">
        <v>7279.94</v>
      </c>
      <c r="F337" s="9">
        <v>45819.666684444448</v>
      </c>
      <c r="G337" t="s">
        <v>115</v>
      </c>
      <c r="H337" t="s">
        <v>136</v>
      </c>
      <c r="I337" t="s">
        <v>112</v>
      </c>
      <c r="J337" t="str">
        <f t="shared" si="40"/>
        <v>Missing</v>
      </c>
      <c r="K337" t="str">
        <f t="shared" si="41"/>
        <v/>
      </c>
      <c r="L337" t="str">
        <f t="shared" si="42"/>
        <v/>
      </c>
      <c r="M337" t="str">
        <f t="shared" si="43"/>
        <v/>
      </c>
      <c r="N337" t="str">
        <f t="shared" si="44"/>
        <v>Invalid</v>
      </c>
      <c r="O337" t="str">
        <f t="shared" ca="1" si="45"/>
        <v>Outdated</v>
      </c>
      <c r="P337" t="str">
        <f t="shared" si="46"/>
        <v/>
      </c>
      <c r="Q337" t="str">
        <f t="shared" si="47"/>
        <v/>
      </c>
    </row>
    <row r="338" spans="1:17" x14ac:dyDescent="0.45">
      <c r="A338" t="s">
        <v>716</v>
      </c>
      <c r="B338" t="s">
        <v>95</v>
      </c>
      <c r="C338" t="s">
        <v>717</v>
      </c>
      <c r="D338" t="s">
        <v>106</v>
      </c>
      <c r="E338" s="8">
        <v>252.69</v>
      </c>
      <c r="F338" s="9">
        <v>45368.666684444448</v>
      </c>
      <c r="G338" t="s">
        <v>97</v>
      </c>
      <c r="H338" t="s">
        <v>116</v>
      </c>
      <c r="I338" t="s">
        <v>82</v>
      </c>
      <c r="J338" t="str">
        <f t="shared" si="40"/>
        <v/>
      </c>
      <c r="K338" t="str">
        <f t="shared" si="41"/>
        <v/>
      </c>
      <c r="L338" t="str">
        <f t="shared" si="42"/>
        <v/>
      </c>
      <c r="M338" t="str">
        <f t="shared" si="43"/>
        <v/>
      </c>
      <c r="N338" t="str">
        <f t="shared" si="44"/>
        <v/>
      </c>
      <c r="O338" t="str">
        <f t="shared" ca="1" si="45"/>
        <v>Outdated</v>
      </c>
      <c r="P338" t="str">
        <f t="shared" si="46"/>
        <v>Damaged</v>
      </c>
      <c r="Q338" t="str">
        <f t="shared" si="47"/>
        <v>Inconsistent</v>
      </c>
    </row>
    <row r="339" spans="1:17" x14ac:dyDescent="0.45">
      <c r="A339" t="s">
        <v>718</v>
      </c>
      <c r="B339" t="s">
        <v>99</v>
      </c>
      <c r="C339" t="s">
        <v>719</v>
      </c>
      <c r="D339" t="s">
        <v>85</v>
      </c>
      <c r="E339" s="8">
        <v>0</v>
      </c>
      <c r="F339" s="9">
        <v>45541.666684444448</v>
      </c>
      <c r="G339" t="s">
        <v>102</v>
      </c>
      <c r="H339" t="s">
        <v>87</v>
      </c>
      <c r="I339" t="s">
        <v>163</v>
      </c>
      <c r="J339" t="str">
        <f t="shared" si="40"/>
        <v/>
      </c>
      <c r="K339" t="str">
        <f t="shared" si="41"/>
        <v/>
      </c>
      <c r="L339" t="str">
        <f t="shared" si="42"/>
        <v>Unusual</v>
      </c>
      <c r="M339" t="str">
        <f t="shared" si="43"/>
        <v/>
      </c>
      <c r="N339" t="str">
        <f t="shared" si="44"/>
        <v>Invalid</v>
      </c>
      <c r="O339" t="str">
        <f t="shared" ca="1" si="45"/>
        <v>Outdated</v>
      </c>
      <c r="P339" t="str">
        <f t="shared" si="46"/>
        <v>Late Delivery</v>
      </c>
      <c r="Q339" t="str">
        <f t="shared" si="47"/>
        <v/>
      </c>
    </row>
    <row r="340" spans="1:17" x14ac:dyDescent="0.45">
      <c r="A340" t="s">
        <v>720</v>
      </c>
      <c r="B340" t="s">
        <v>95</v>
      </c>
      <c r="C340" t="s">
        <v>721</v>
      </c>
      <c r="D340" t="s">
        <v>74</v>
      </c>
      <c r="E340" s="8">
        <v>879.67</v>
      </c>
      <c r="F340" s="9">
        <v>45250.666684444448</v>
      </c>
      <c r="G340" t="s">
        <v>97</v>
      </c>
      <c r="H340" t="s">
        <v>128</v>
      </c>
      <c r="I340" t="s">
        <v>88</v>
      </c>
      <c r="J340" t="str">
        <f t="shared" si="40"/>
        <v/>
      </c>
      <c r="K340" t="str">
        <f t="shared" si="41"/>
        <v/>
      </c>
      <c r="L340" t="str">
        <f t="shared" si="42"/>
        <v/>
      </c>
      <c r="M340" t="str">
        <f t="shared" si="43"/>
        <v/>
      </c>
      <c r="N340" t="str">
        <f t="shared" si="44"/>
        <v>Invalid</v>
      </c>
      <c r="O340" t="str">
        <f t="shared" ca="1" si="45"/>
        <v>Outdated</v>
      </c>
      <c r="P340" t="str">
        <f t="shared" si="46"/>
        <v>Wrong Item</v>
      </c>
      <c r="Q340" t="str">
        <f t="shared" si="47"/>
        <v/>
      </c>
    </row>
    <row r="341" spans="1:17" x14ac:dyDescent="0.45">
      <c r="A341" t="s">
        <v>722</v>
      </c>
      <c r="B341" t="s">
        <v>99</v>
      </c>
      <c r="C341" t="s">
        <v>723</v>
      </c>
      <c r="D341" t="s">
        <v>74</v>
      </c>
      <c r="E341" s="8">
        <v>2737.99</v>
      </c>
      <c r="F341" s="9">
        <v>45711.666684444448</v>
      </c>
      <c r="H341" t="s">
        <v>81</v>
      </c>
      <c r="I341" t="s">
        <v>77</v>
      </c>
      <c r="J341" t="str">
        <f t="shared" si="40"/>
        <v/>
      </c>
      <c r="K341" t="str">
        <f t="shared" si="41"/>
        <v/>
      </c>
      <c r="L341" t="str">
        <f t="shared" si="42"/>
        <v/>
      </c>
      <c r="M341" t="str">
        <f t="shared" si="43"/>
        <v>Invalid</v>
      </c>
      <c r="N341" t="str">
        <f t="shared" si="44"/>
        <v/>
      </c>
      <c r="O341" t="str">
        <f t="shared" ca="1" si="45"/>
        <v>Outdated</v>
      </c>
      <c r="P341" t="str">
        <f t="shared" si="46"/>
        <v>Wrong Item</v>
      </c>
      <c r="Q341" t="str">
        <f t="shared" si="47"/>
        <v/>
      </c>
    </row>
    <row r="342" spans="1:17" x14ac:dyDescent="0.45">
      <c r="A342" t="s">
        <v>724</v>
      </c>
      <c r="B342" t="s">
        <v>79</v>
      </c>
      <c r="C342" t="s">
        <v>431</v>
      </c>
      <c r="D342" t="s">
        <v>101</v>
      </c>
      <c r="E342" s="8">
        <v>3716.8</v>
      </c>
      <c r="F342" s="9">
        <v>45380.666684444448</v>
      </c>
      <c r="G342" t="s">
        <v>86</v>
      </c>
      <c r="H342" t="s">
        <v>81</v>
      </c>
      <c r="I342" t="s">
        <v>77</v>
      </c>
      <c r="J342" t="str">
        <f t="shared" si="40"/>
        <v/>
      </c>
      <c r="K342" t="str">
        <f t="shared" si="41"/>
        <v/>
      </c>
      <c r="L342" t="str">
        <f t="shared" si="42"/>
        <v/>
      </c>
      <c r="M342" t="str">
        <f t="shared" si="43"/>
        <v/>
      </c>
      <c r="N342" t="str">
        <f t="shared" si="44"/>
        <v/>
      </c>
      <c r="O342" t="str">
        <f t="shared" ca="1" si="45"/>
        <v>Outdated</v>
      </c>
      <c r="P342" t="str">
        <f t="shared" si="46"/>
        <v>Damaged</v>
      </c>
      <c r="Q342" t="str">
        <f t="shared" si="47"/>
        <v/>
      </c>
    </row>
    <row r="343" spans="1:17" x14ac:dyDescent="0.45">
      <c r="A343" t="s">
        <v>725</v>
      </c>
      <c r="B343" t="s">
        <v>90</v>
      </c>
      <c r="C343" t="s">
        <v>726</v>
      </c>
      <c r="D343" t="s">
        <v>155</v>
      </c>
      <c r="E343" s="8">
        <v>8405.4599999999991</v>
      </c>
      <c r="F343" s="9">
        <v>45720.666684444448</v>
      </c>
      <c r="G343" t="s">
        <v>93</v>
      </c>
      <c r="H343" t="s">
        <v>87</v>
      </c>
      <c r="I343" t="s">
        <v>163</v>
      </c>
      <c r="J343" t="str">
        <f t="shared" si="40"/>
        <v/>
      </c>
      <c r="K343" t="str">
        <f t="shared" si="41"/>
        <v>Duplicate</v>
      </c>
      <c r="L343" t="str">
        <f t="shared" si="42"/>
        <v/>
      </c>
      <c r="M343" t="str">
        <f t="shared" si="43"/>
        <v/>
      </c>
      <c r="N343" t="str">
        <f t="shared" si="44"/>
        <v>Invalid</v>
      </c>
      <c r="O343" t="str">
        <f t="shared" ca="1" si="45"/>
        <v>Outdated</v>
      </c>
      <c r="P343" t="str">
        <f t="shared" si="46"/>
        <v>Damaged</v>
      </c>
      <c r="Q343" t="str">
        <f t="shared" si="47"/>
        <v>Inconsistent</v>
      </c>
    </row>
    <row r="344" spans="1:17" x14ac:dyDescent="0.45">
      <c r="A344" t="s">
        <v>727</v>
      </c>
      <c r="B344" t="s">
        <v>138</v>
      </c>
      <c r="C344" t="s">
        <v>728</v>
      </c>
      <c r="D344" t="s">
        <v>85</v>
      </c>
      <c r="E344" s="8">
        <v>915.63</v>
      </c>
      <c r="F344" s="9">
        <v>45736.666684444448</v>
      </c>
      <c r="G344" t="s">
        <v>140</v>
      </c>
      <c r="H344" t="s">
        <v>116</v>
      </c>
      <c r="I344" t="s">
        <v>112</v>
      </c>
      <c r="J344" t="str">
        <f t="shared" si="40"/>
        <v/>
      </c>
      <c r="K344" t="str">
        <f t="shared" si="41"/>
        <v/>
      </c>
      <c r="L344" t="str">
        <f t="shared" si="42"/>
        <v/>
      </c>
      <c r="M344" t="str">
        <f t="shared" si="43"/>
        <v/>
      </c>
      <c r="N344" t="str">
        <f t="shared" si="44"/>
        <v/>
      </c>
      <c r="O344" t="str">
        <f t="shared" ca="1" si="45"/>
        <v>Outdated</v>
      </c>
      <c r="P344" t="str">
        <f t="shared" si="46"/>
        <v>Late Delivery</v>
      </c>
      <c r="Q344" t="str">
        <f t="shared" si="47"/>
        <v/>
      </c>
    </row>
    <row r="345" spans="1:17" x14ac:dyDescent="0.45">
      <c r="A345" t="s">
        <v>729</v>
      </c>
      <c r="B345" t="s">
        <v>72</v>
      </c>
      <c r="D345" t="s">
        <v>101</v>
      </c>
      <c r="E345" s="8">
        <v>7402.62</v>
      </c>
      <c r="F345" s="9">
        <v>45168.666684444448</v>
      </c>
      <c r="G345" t="s">
        <v>75</v>
      </c>
      <c r="H345" t="s">
        <v>81</v>
      </c>
      <c r="I345" t="s">
        <v>119</v>
      </c>
      <c r="J345" t="str">
        <f t="shared" si="40"/>
        <v>Missing</v>
      </c>
      <c r="K345" t="str">
        <f t="shared" si="41"/>
        <v/>
      </c>
      <c r="L345" t="str">
        <f t="shared" si="42"/>
        <v/>
      </c>
      <c r="M345" t="str">
        <f t="shared" si="43"/>
        <v/>
      </c>
      <c r="N345" t="str">
        <f t="shared" si="44"/>
        <v/>
      </c>
      <c r="O345" t="str">
        <f t="shared" ca="1" si="45"/>
        <v>Outdated</v>
      </c>
      <c r="P345" t="str">
        <f t="shared" si="46"/>
        <v>Damaged</v>
      </c>
      <c r="Q345" t="str">
        <f t="shared" si="47"/>
        <v/>
      </c>
    </row>
    <row r="346" spans="1:17" x14ac:dyDescent="0.45">
      <c r="A346" t="s">
        <v>730</v>
      </c>
      <c r="B346" t="s">
        <v>172</v>
      </c>
      <c r="C346" t="s">
        <v>731</v>
      </c>
      <c r="D346" t="s">
        <v>101</v>
      </c>
      <c r="E346" s="8">
        <v>0</v>
      </c>
      <c r="F346" s="9">
        <v>45762.666684444448</v>
      </c>
      <c r="G346" t="s">
        <v>174</v>
      </c>
      <c r="H346" t="s">
        <v>76</v>
      </c>
      <c r="I346" t="s">
        <v>119</v>
      </c>
      <c r="J346" t="str">
        <f t="shared" si="40"/>
        <v/>
      </c>
      <c r="K346" t="str">
        <f t="shared" si="41"/>
        <v/>
      </c>
      <c r="L346" t="str">
        <f t="shared" si="42"/>
        <v>Unusual</v>
      </c>
      <c r="M346" t="str">
        <f t="shared" si="43"/>
        <v/>
      </c>
      <c r="N346" t="str">
        <f t="shared" si="44"/>
        <v/>
      </c>
      <c r="O346" t="str">
        <f t="shared" ca="1" si="45"/>
        <v>Outdated</v>
      </c>
      <c r="P346" t="str">
        <f t="shared" si="46"/>
        <v>Damaged</v>
      </c>
      <c r="Q346" t="str">
        <f t="shared" si="47"/>
        <v/>
      </c>
    </row>
    <row r="347" spans="1:17" x14ac:dyDescent="0.45">
      <c r="A347" t="s">
        <v>732</v>
      </c>
      <c r="B347" t="s">
        <v>109</v>
      </c>
      <c r="C347" t="s">
        <v>733</v>
      </c>
      <c r="D347" t="s">
        <v>85</v>
      </c>
      <c r="E347" s="8">
        <v>0</v>
      </c>
      <c r="F347" s="9">
        <v>45211.666684444448</v>
      </c>
      <c r="G347" t="s">
        <v>111</v>
      </c>
      <c r="H347" t="s">
        <v>136</v>
      </c>
      <c r="I347" t="s">
        <v>119</v>
      </c>
      <c r="J347" t="str">
        <f t="shared" si="40"/>
        <v/>
      </c>
      <c r="K347" t="str">
        <f t="shared" si="41"/>
        <v/>
      </c>
      <c r="L347" t="str">
        <f t="shared" si="42"/>
        <v>Unusual</v>
      </c>
      <c r="M347" t="str">
        <f t="shared" si="43"/>
        <v/>
      </c>
      <c r="N347" t="str">
        <f t="shared" si="44"/>
        <v>Invalid</v>
      </c>
      <c r="O347" t="str">
        <f t="shared" ca="1" si="45"/>
        <v>Outdated</v>
      </c>
      <c r="P347" t="str">
        <f t="shared" si="46"/>
        <v>Late Delivery</v>
      </c>
      <c r="Q347" t="str">
        <f t="shared" si="47"/>
        <v/>
      </c>
    </row>
    <row r="348" spans="1:17" x14ac:dyDescent="0.45">
      <c r="A348" t="s">
        <v>734</v>
      </c>
      <c r="B348" t="s">
        <v>79</v>
      </c>
      <c r="C348" t="s">
        <v>735</v>
      </c>
      <c r="D348" t="s">
        <v>92</v>
      </c>
      <c r="E348" s="8">
        <v>3112.8</v>
      </c>
      <c r="F348" s="9">
        <v>45557.666684444448</v>
      </c>
      <c r="G348" t="s">
        <v>86</v>
      </c>
      <c r="H348" t="s">
        <v>133</v>
      </c>
      <c r="I348" t="s">
        <v>112</v>
      </c>
      <c r="J348" t="str">
        <f t="shared" si="40"/>
        <v/>
      </c>
      <c r="K348" t="str">
        <f t="shared" si="41"/>
        <v/>
      </c>
      <c r="L348" t="str">
        <f t="shared" si="42"/>
        <v/>
      </c>
      <c r="M348" t="str">
        <f t="shared" si="43"/>
        <v/>
      </c>
      <c r="N348" t="str">
        <f t="shared" si="44"/>
        <v>Invalid</v>
      </c>
      <c r="O348" t="str">
        <f t="shared" ca="1" si="45"/>
        <v>Outdated</v>
      </c>
      <c r="P348" t="str">
        <f t="shared" si="46"/>
        <v>Not As Described</v>
      </c>
      <c r="Q348" t="str">
        <f t="shared" si="47"/>
        <v/>
      </c>
    </row>
    <row r="349" spans="1:17" x14ac:dyDescent="0.45">
      <c r="A349" t="s">
        <v>736</v>
      </c>
      <c r="B349" t="s">
        <v>90</v>
      </c>
      <c r="C349" t="s">
        <v>737</v>
      </c>
      <c r="D349" t="s">
        <v>74</v>
      </c>
      <c r="E349" s="8">
        <v>5450.57</v>
      </c>
      <c r="F349" s="9">
        <v>45801.666684444448</v>
      </c>
      <c r="G349" t="s">
        <v>93</v>
      </c>
      <c r="H349" t="s">
        <v>133</v>
      </c>
      <c r="I349" t="s">
        <v>112</v>
      </c>
      <c r="J349" t="str">
        <f t="shared" si="40"/>
        <v/>
      </c>
      <c r="K349" t="str">
        <f t="shared" si="41"/>
        <v/>
      </c>
      <c r="L349" t="str">
        <f t="shared" si="42"/>
        <v/>
      </c>
      <c r="M349" t="str">
        <f t="shared" si="43"/>
        <v/>
      </c>
      <c r="N349" t="str">
        <f t="shared" si="44"/>
        <v>Invalid</v>
      </c>
      <c r="O349" t="str">
        <f t="shared" ca="1" si="45"/>
        <v>Outdated</v>
      </c>
      <c r="P349" t="str">
        <f t="shared" si="46"/>
        <v>Wrong Item</v>
      </c>
      <c r="Q349" t="str">
        <f t="shared" si="47"/>
        <v/>
      </c>
    </row>
    <row r="350" spans="1:17" x14ac:dyDescent="0.45">
      <c r="A350" t="s">
        <v>738</v>
      </c>
      <c r="B350" t="s">
        <v>90</v>
      </c>
      <c r="C350" t="s">
        <v>739</v>
      </c>
      <c r="D350" t="s">
        <v>106</v>
      </c>
      <c r="E350" s="8">
        <v>11003.53</v>
      </c>
      <c r="F350" s="9">
        <v>45725.666684444448</v>
      </c>
      <c r="G350" t="s">
        <v>93</v>
      </c>
      <c r="H350" t="s">
        <v>87</v>
      </c>
      <c r="I350" t="s">
        <v>82</v>
      </c>
      <c r="J350" t="str">
        <f t="shared" si="40"/>
        <v/>
      </c>
      <c r="K350" t="str">
        <f t="shared" si="41"/>
        <v/>
      </c>
      <c r="L350" t="str">
        <f t="shared" si="42"/>
        <v>Unusual</v>
      </c>
      <c r="M350" t="str">
        <f t="shared" si="43"/>
        <v/>
      </c>
      <c r="N350" t="str">
        <f t="shared" si="44"/>
        <v>Invalid</v>
      </c>
      <c r="O350" t="str">
        <f t="shared" ca="1" si="45"/>
        <v>Outdated</v>
      </c>
      <c r="P350" t="str">
        <f t="shared" si="46"/>
        <v>Damaged</v>
      </c>
      <c r="Q350" t="str">
        <f t="shared" si="47"/>
        <v>Inconsistent</v>
      </c>
    </row>
    <row r="351" spans="1:17" x14ac:dyDescent="0.45">
      <c r="A351" t="s">
        <v>740</v>
      </c>
      <c r="B351" t="s">
        <v>99</v>
      </c>
      <c r="C351" t="s">
        <v>741</v>
      </c>
      <c r="D351" t="s">
        <v>85</v>
      </c>
      <c r="E351" s="8">
        <v>1844.21</v>
      </c>
      <c r="F351" s="9">
        <v>45706.666684444448</v>
      </c>
      <c r="G351" t="s">
        <v>285</v>
      </c>
      <c r="H351" t="s">
        <v>136</v>
      </c>
      <c r="I351" t="s">
        <v>88</v>
      </c>
      <c r="J351" t="str">
        <f t="shared" si="40"/>
        <v/>
      </c>
      <c r="K351" t="str">
        <f t="shared" si="41"/>
        <v/>
      </c>
      <c r="L351" t="str">
        <f t="shared" si="42"/>
        <v/>
      </c>
      <c r="M351" t="str">
        <f t="shared" si="43"/>
        <v>Invalid</v>
      </c>
      <c r="N351" t="str">
        <f t="shared" si="44"/>
        <v>Invalid</v>
      </c>
      <c r="O351" t="str">
        <f t="shared" ca="1" si="45"/>
        <v>Outdated</v>
      </c>
      <c r="P351" t="str">
        <f t="shared" si="46"/>
        <v>Late Delivery</v>
      </c>
      <c r="Q351" t="str">
        <f t="shared" si="47"/>
        <v/>
      </c>
    </row>
    <row r="352" spans="1:17" x14ac:dyDescent="0.45">
      <c r="A352" t="s">
        <v>742</v>
      </c>
      <c r="B352" t="s">
        <v>90</v>
      </c>
      <c r="C352" t="s">
        <v>743</v>
      </c>
      <c r="D352" t="s">
        <v>74</v>
      </c>
      <c r="E352" s="8">
        <v>3192.26</v>
      </c>
      <c r="F352" s="9">
        <v>45663.666684444448</v>
      </c>
      <c r="G352" t="s">
        <v>93</v>
      </c>
      <c r="I352" t="s">
        <v>119</v>
      </c>
      <c r="J352" t="str">
        <f t="shared" si="40"/>
        <v/>
      </c>
      <c r="K352" t="str">
        <f t="shared" si="41"/>
        <v/>
      </c>
      <c r="L352" t="str">
        <f t="shared" si="42"/>
        <v/>
      </c>
      <c r="M352" t="str">
        <f t="shared" si="43"/>
        <v/>
      </c>
      <c r="N352" t="str">
        <f t="shared" si="44"/>
        <v>Invalid</v>
      </c>
      <c r="O352" t="str">
        <f t="shared" ca="1" si="45"/>
        <v>Outdated</v>
      </c>
      <c r="P352" t="str">
        <f t="shared" si="46"/>
        <v>Wrong Item</v>
      </c>
      <c r="Q352" t="str">
        <f t="shared" si="47"/>
        <v/>
      </c>
    </row>
    <row r="353" spans="1:17" x14ac:dyDescent="0.45">
      <c r="A353" t="s">
        <v>744</v>
      </c>
      <c r="B353" t="s">
        <v>104</v>
      </c>
      <c r="C353" t="s">
        <v>745</v>
      </c>
      <c r="D353" t="s">
        <v>148</v>
      </c>
      <c r="E353" s="8">
        <v>6069.27</v>
      </c>
      <c r="F353" s="9">
        <v>45451.666684444448</v>
      </c>
      <c r="G353" t="s">
        <v>115</v>
      </c>
      <c r="H353" t="s">
        <v>133</v>
      </c>
      <c r="I353" t="s">
        <v>77</v>
      </c>
      <c r="J353" t="str">
        <f t="shared" si="40"/>
        <v/>
      </c>
      <c r="K353" t="str">
        <f t="shared" si="41"/>
        <v/>
      </c>
      <c r="L353" t="str">
        <f t="shared" si="42"/>
        <v/>
      </c>
      <c r="M353" t="str">
        <f t="shared" si="43"/>
        <v/>
      </c>
      <c r="N353" t="str">
        <f t="shared" si="44"/>
        <v>Invalid</v>
      </c>
      <c r="O353" t="str">
        <f t="shared" ca="1" si="45"/>
        <v>Outdated</v>
      </c>
      <c r="P353" t="str">
        <f t="shared" si="46"/>
        <v>Wrong Item</v>
      </c>
      <c r="Q353" t="str">
        <f t="shared" si="47"/>
        <v>Inconsistent</v>
      </c>
    </row>
    <row r="354" spans="1:17" x14ac:dyDescent="0.45">
      <c r="A354" t="s">
        <v>746</v>
      </c>
      <c r="B354" t="s">
        <v>172</v>
      </c>
      <c r="C354" t="s">
        <v>658</v>
      </c>
      <c r="D354" t="s">
        <v>74</v>
      </c>
      <c r="E354" s="8">
        <v>0</v>
      </c>
      <c r="F354" s="9">
        <v>45395.666684444448</v>
      </c>
      <c r="G354" t="s">
        <v>174</v>
      </c>
      <c r="H354" t="s">
        <v>107</v>
      </c>
      <c r="I354" t="s">
        <v>112</v>
      </c>
      <c r="J354" t="str">
        <f t="shared" si="40"/>
        <v/>
      </c>
      <c r="K354" t="str">
        <f t="shared" si="41"/>
        <v/>
      </c>
      <c r="L354" t="str">
        <f t="shared" si="42"/>
        <v>Unusual</v>
      </c>
      <c r="M354" t="str">
        <f t="shared" si="43"/>
        <v/>
      </c>
      <c r="N354" t="str">
        <f t="shared" si="44"/>
        <v/>
      </c>
      <c r="O354" t="str">
        <f t="shared" ca="1" si="45"/>
        <v>Outdated</v>
      </c>
      <c r="P354" t="str">
        <f t="shared" si="46"/>
        <v>Wrong Item</v>
      </c>
      <c r="Q354" t="str">
        <f t="shared" si="47"/>
        <v/>
      </c>
    </row>
    <row r="355" spans="1:17" x14ac:dyDescent="0.45">
      <c r="A355" t="s">
        <v>747</v>
      </c>
      <c r="B355" t="s">
        <v>72</v>
      </c>
      <c r="C355" t="s">
        <v>748</v>
      </c>
      <c r="D355" t="s">
        <v>155</v>
      </c>
      <c r="E355" s="8">
        <v>939.92</v>
      </c>
      <c r="F355" s="9">
        <v>45337.666684444448</v>
      </c>
      <c r="G355" t="s">
        <v>75</v>
      </c>
      <c r="I355" t="s">
        <v>119</v>
      </c>
      <c r="J355" t="str">
        <f t="shared" si="40"/>
        <v/>
      </c>
      <c r="K355" t="str">
        <f t="shared" si="41"/>
        <v>Duplicate</v>
      </c>
      <c r="L355" t="str">
        <f t="shared" si="42"/>
        <v/>
      </c>
      <c r="M355" t="str">
        <f t="shared" si="43"/>
        <v/>
      </c>
      <c r="N355" t="str">
        <f t="shared" si="44"/>
        <v>Invalid</v>
      </c>
      <c r="O355" t="str">
        <f t="shared" ca="1" si="45"/>
        <v>Outdated</v>
      </c>
      <c r="P355" t="str">
        <f t="shared" si="46"/>
        <v>Damaged</v>
      </c>
      <c r="Q355" t="str">
        <f t="shared" si="47"/>
        <v>Inconsistent</v>
      </c>
    </row>
    <row r="356" spans="1:17" x14ac:dyDescent="0.45">
      <c r="A356" t="s">
        <v>476</v>
      </c>
      <c r="B356" t="s">
        <v>79</v>
      </c>
      <c r="C356" t="s">
        <v>749</v>
      </c>
      <c r="D356" t="s">
        <v>106</v>
      </c>
      <c r="E356" s="8">
        <v>9420.08</v>
      </c>
      <c r="F356" s="9">
        <v>45813.666684444448</v>
      </c>
      <c r="G356" t="s">
        <v>86</v>
      </c>
      <c r="I356" t="s">
        <v>77</v>
      </c>
      <c r="J356" t="str">
        <f t="shared" si="40"/>
        <v/>
      </c>
      <c r="K356" t="str">
        <f t="shared" si="41"/>
        <v>Duplicate</v>
      </c>
      <c r="L356" t="str">
        <f t="shared" si="42"/>
        <v/>
      </c>
      <c r="M356" t="str">
        <f t="shared" si="43"/>
        <v/>
      </c>
      <c r="N356" t="str">
        <f t="shared" si="44"/>
        <v>Invalid</v>
      </c>
      <c r="O356" t="str">
        <f t="shared" ca="1" si="45"/>
        <v>Outdated</v>
      </c>
      <c r="P356" t="str">
        <f t="shared" si="46"/>
        <v>Damaged</v>
      </c>
      <c r="Q356" t="str">
        <f t="shared" si="47"/>
        <v>Inconsistent</v>
      </c>
    </row>
    <row r="357" spans="1:17" x14ac:dyDescent="0.45">
      <c r="A357" t="s">
        <v>750</v>
      </c>
      <c r="B357" t="s">
        <v>104</v>
      </c>
      <c r="C357" t="s">
        <v>459</v>
      </c>
      <c r="D357" t="s">
        <v>92</v>
      </c>
      <c r="E357" s="8">
        <v>1625.93</v>
      </c>
      <c r="F357" s="9">
        <v>45449.666684444448</v>
      </c>
      <c r="G357" t="s">
        <v>115</v>
      </c>
      <c r="H357" t="s">
        <v>118</v>
      </c>
      <c r="I357" t="s">
        <v>82</v>
      </c>
      <c r="J357" t="str">
        <f t="shared" si="40"/>
        <v/>
      </c>
      <c r="K357" t="str">
        <f t="shared" si="41"/>
        <v/>
      </c>
      <c r="L357" t="str">
        <f t="shared" si="42"/>
        <v/>
      </c>
      <c r="M357" t="str">
        <f t="shared" si="43"/>
        <v/>
      </c>
      <c r="N357" t="str">
        <f t="shared" si="44"/>
        <v>Invalid</v>
      </c>
      <c r="O357" t="str">
        <f t="shared" ca="1" si="45"/>
        <v>Outdated</v>
      </c>
      <c r="P357" t="str">
        <f t="shared" si="46"/>
        <v>Not As Described</v>
      </c>
      <c r="Q357" t="str">
        <f t="shared" si="47"/>
        <v/>
      </c>
    </row>
    <row r="358" spans="1:17" x14ac:dyDescent="0.45">
      <c r="A358" t="s">
        <v>751</v>
      </c>
      <c r="B358" t="s">
        <v>79</v>
      </c>
      <c r="D358" t="s">
        <v>92</v>
      </c>
      <c r="E358" s="8">
        <v>9953.15</v>
      </c>
      <c r="F358" s="9">
        <v>45372.666684444448</v>
      </c>
      <c r="G358" t="s">
        <v>86</v>
      </c>
      <c r="H358" t="s">
        <v>136</v>
      </c>
      <c r="I358" t="s">
        <v>163</v>
      </c>
      <c r="J358" t="str">
        <f t="shared" si="40"/>
        <v>Missing</v>
      </c>
      <c r="K358" t="str">
        <f t="shared" si="41"/>
        <v/>
      </c>
      <c r="L358" t="str">
        <f t="shared" si="42"/>
        <v/>
      </c>
      <c r="M358" t="str">
        <f t="shared" si="43"/>
        <v/>
      </c>
      <c r="N358" t="str">
        <f t="shared" si="44"/>
        <v>Invalid</v>
      </c>
      <c r="O358" t="str">
        <f t="shared" ca="1" si="45"/>
        <v>Outdated</v>
      </c>
      <c r="P358" t="str">
        <f t="shared" si="46"/>
        <v>Not As Described</v>
      </c>
      <c r="Q358" t="str">
        <f t="shared" si="47"/>
        <v/>
      </c>
    </row>
    <row r="359" spans="1:17" x14ac:dyDescent="0.45">
      <c r="A359" t="s">
        <v>752</v>
      </c>
      <c r="B359" t="s">
        <v>138</v>
      </c>
      <c r="C359" t="s">
        <v>753</v>
      </c>
      <c r="D359" t="s">
        <v>101</v>
      </c>
      <c r="E359" s="8">
        <v>5612.98</v>
      </c>
      <c r="F359" s="9">
        <v>45399.666684444448</v>
      </c>
      <c r="G359" t="s">
        <v>140</v>
      </c>
      <c r="H359" t="s">
        <v>136</v>
      </c>
      <c r="I359" t="s">
        <v>88</v>
      </c>
      <c r="J359" t="str">
        <f t="shared" si="40"/>
        <v/>
      </c>
      <c r="K359" t="str">
        <f t="shared" si="41"/>
        <v/>
      </c>
      <c r="L359" t="str">
        <f t="shared" si="42"/>
        <v/>
      </c>
      <c r="M359" t="str">
        <f t="shared" si="43"/>
        <v/>
      </c>
      <c r="N359" t="str">
        <f t="shared" si="44"/>
        <v>Invalid</v>
      </c>
      <c r="O359" t="str">
        <f t="shared" ca="1" si="45"/>
        <v>Outdated</v>
      </c>
      <c r="P359" t="str">
        <f t="shared" si="46"/>
        <v>Damaged</v>
      </c>
      <c r="Q359" t="str">
        <f t="shared" si="47"/>
        <v/>
      </c>
    </row>
    <row r="360" spans="1:17" x14ac:dyDescent="0.45">
      <c r="A360" t="s">
        <v>754</v>
      </c>
      <c r="B360" t="s">
        <v>72</v>
      </c>
      <c r="C360" t="s">
        <v>755</v>
      </c>
      <c r="D360" t="s">
        <v>155</v>
      </c>
      <c r="E360" s="8">
        <v>5562.62</v>
      </c>
      <c r="F360" s="9">
        <v>45533.666684444448</v>
      </c>
      <c r="G360" t="s">
        <v>75</v>
      </c>
      <c r="H360" t="s">
        <v>87</v>
      </c>
      <c r="I360" t="s">
        <v>77</v>
      </c>
      <c r="J360" t="str">
        <f t="shared" si="40"/>
        <v/>
      </c>
      <c r="K360" t="str">
        <f t="shared" si="41"/>
        <v>Duplicate</v>
      </c>
      <c r="L360" t="str">
        <f t="shared" si="42"/>
        <v/>
      </c>
      <c r="M360" t="str">
        <f t="shared" si="43"/>
        <v/>
      </c>
      <c r="N360" t="str">
        <f t="shared" si="44"/>
        <v>Invalid</v>
      </c>
      <c r="O360" t="str">
        <f t="shared" ca="1" si="45"/>
        <v>Outdated</v>
      </c>
      <c r="P360" t="str">
        <f t="shared" si="46"/>
        <v>Damaged</v>
      </c>
      <c r="Q360" t="str">
        <f t="shared" si="47"/>
        <v>Inconsistent</v>
      </c>
    </row>
    <row r="361" spans="1:17" x14ac:dyDescent="0.45">
      <c r="A361" t="s">
        <v>756</v>
      </c>
      <c r="B361" t="s">
        <v>90</v>
      </c>
      <c r="C361" t="s">
        <v>757</v>
      </c>
      <c r="D361" t="s">
        <v>85</v>
      </c>
      <c r="E361" s="8">
        <v>5461.49</v>
      </c>
      <c r="F361" s="9">
        <v>45262.666684444448</v>
      </c>
      <c r="G361" t="s">
        <v>296</v>
      </c>
      <c r="H361" t="s">
        <v>107</v>
      </c>
      <c r="I361" t="s">
        <v>119</v>
      </c>
      <c r="J361" t="str">
        <f t="shared" si="40"/>
        <v/>
      </c>
      <c r="K361" t="str">
        <f t="shared" si="41"/>
        <v/>
      </c>
      <c r="L361" t="str">
        <f t="shared" si="42"/>
        <v/>
      </c>
      <c r="M361" t="str">
        <f t="shared" si="43"/>
        <v>Invalid</v>
      </c>
      <c r="N361" t="str">
        <f t="shared" si="44"/>
        <v/>
      </c>
      <c r="O361" t="str">
        <f t="shared" ca="1" si="45"/>
        <v>Outdated</v>
      </c>
      <c r="P361" t="str">
        <f t="shared" si="46"/>
        <v>Late Delivery</v>
      </c>
      <c r="Q361" t="str">
        <f t="shared" si="47"/>
        <v/>
      </c>
    </row>
    <row r="362" spans="1:17" x14ac:dyDescent="0.45">
      <c r="A362" t="s">
        <v>758</v>
      </c>
      <c r="B362" t="s">
        <v>138</v>
      </c>
      <c r="C362" t="s">
        <v>295</v>
      </c>
      <c r="D362" t="s">
        <v>92</v>
      </c>
      <c r="E362" s="8">
        <v>4847.72</v>
      </c>
      <c r="F362" s="9">
        <v>45815.666684444448</v>
      </c>
      <c r="G362" t="s">
        <v>194</v>
      </c>
      <c r="H362" t="s">
        <v>116</v>
      </c>
      <c r="I362" t="s">
        <v>163</v>
      </c>
      <c r="J362" t="str">
        <f t="shared" si="40"/>
        <v/>
      </c>
      <c r="K362" t="str">
        <f t="shared" si="41"/>
        <v>Duplicate</v>
      </c>
      <c r="L362" t="str">
        <f t="shared" si="42"/>
        <v/>
      </c>
      <c r="M362" t="str">
        <f t="shared" si="43"/>
        <v>Invalid</v>
      </c>
      <c r="N362" t="str">
        <f t="shared" si="44"/>
        <v/>
      </c>
      <c r="O362" t="str">
        <f t="shared" ca="1" si="45"/>
        <v>Outdated</v>
      </c>
      <c r="P362" t="str">
        <f t="shared" si="46"/>
        <v>Not As Described</v>
      </c>
      <c r="Q362" t="str">
        <f t="shared" si="47"/>
        <v/>
      </c>
    </row>
    <row r="363" spans="1:17" x14ac:dyDescent="0.45">
      <c r="A363" t="s">
        <v>759</v>
      </c>
      <c r="B363" t="s">
        <v>99</v>
      </c>
      <c r="C363" t="s">
        <v>760</v>
      </c>
      <c r="D363" t="s">
        <v>155</v>
      </c>
      <c r="E363" s="8">
        <v>182.09</v>
      </c>
      <c r="F363" s="9">
        <v>45788.666684444448</v>
      </c>
      <c r="G363" t="s">
        <v>102</v>
      </c>
      <c r="H363" t="s">
        <v>76</v>
      </c>
      <c r="I363" t="s">
        <v>163</v>
      </c>
      <c r="J363" t="str">
        <f t="shared" si="40"/>
        <v/>
      </c>
      <c r="K363" t="str">
        <f t="shared" si="41"/>
        <v/>
      </c>
      <c r="L363" t="str">
        <f t="shared" si="42"/>
        <v/>
      </c>
      <c r="M363" t="str">
        <f t="shared" si="43"/>
        <v/>
      </c>
      <c r="N363" t="str">
        <f t="shared" si="44"/>
        <v/>
      </c>
      <c r="O363" t="str">
        <f t="shared" ca="1" si="45"/>
        <v>Outdated</v>
      </c>
      <c r="P363" t="str">
        <f t="shared" si="46"/>
        <v>Damaged</v>
      </c>
      <c r="Q363" t="str">
        <f t="shared" si="47"/>
        <v>Inconsistent</v>
      </c>
    </row>
    <row r="364" spans="1:17" x14ac:dyDescent="0.45">
      <c r="A364" t="s">
        <v>761</v>
      </c>
      <c r="B364" t="s">
        <v>138</v>
      </c>
      <c r="C364" t="s">
        <v>762</v>
      </c>
      <c r="D364" t="s">
        <v>106</v>
      </c>
      <c r="E364" s="8">
        <v>5238.9799999999996</v>
      </c>
      <c r="F364" s="9">
        <v>45435.666684444448</v>
      </c>
      <c r="G364" t="s">
        <v>140</v>
      </c>
      <c r="H364" t="s">
        <v>76</v>
      </c>
      <c r="I364" t="s">
        <v>82</v>
      </c>
      <c r="J364" t="str">
        <f t="shared" si="40"/>
        <v/>
      </c>
      <c r="K364" t="str">
        <f t="shared" si="41"/>
        <v/>
      </c>
      <c r="L364" t="str">
        <f t="shared" si="42"/>
        <v/>
      </c>
      <c r="M364" t="str">
        <f t="shared" si="43"/>
        <v/>
      </c>
      <c r="N364" t="str">
        <f t="shared" si="44"/>
        <v/>
      </c>
      <c r="O364" t="str">
        <f t="shared" ca="1" si="45"/>
        <v>Outdated</v>
      </c>
      <c r="P364" t="str">
        <f t="shared" si="46"/>
        <v>Damaged</v>
      </c>
      <c r="Q364" t="str">
        <f t="shared" si="47"/>
        <v>Inconsistent</v>
      </c>
    </row>
    <row r="365" spans="1:17" x14ac:dyDescent="0.45">
      <c r="A365" t="s">
        <v>763</v>
      </c>
      <c r="B365" t="s">
        <v>95</v>
      </c>
      <c r="C365" t="s">
        <v>764</v>
      </c>
      <c r="E365" s="8">
        <v>5400.62</v>
      </c>
      <c r="F365" s="9">
        <v>45596.666684444448</v>
      </c>
      <c r="G365" t="s">
        <v>97</v>
      </c>
      <c r="H365" t="s">
        <v>81</v>
      </c>
      <c r="I365" t="s">
        <v>82</v>
      </c>
      <c r="J365" t="str">
        <f t="shared" si="40"/>
        <v>Missing</v>
      </c>
      <c r="K365" t="str">
        <f t="shared" si="41"/>
        <v>Duplicate</v>
      </c>
      <c r="L365" t="str">
        <f t="shared" si="42"/>
        <v/>
      </c>
      <c r="M365" t="str">
        <f t="shared" si="43"/>
        <v/>
      </c>
      <c r="N365" t="str">
        <f t="shared" si="44"/>
        <v/>
      </c>
      <c r="O365" t="str">
        <f t="shared" ca="1" si="45"/>
        <v>Outdated</v>
      </c>
      <c r="P365" t="str">
        <f t="shared" si="46"/>
        <v/>
      </c>
      <c r="Q365" t="str">
        <f t="shared" si="47"/>
        <v/>
      </c>
    </row>
    <row r="366" spans="1:17" x14ac:dyDescent="0.45">
      <c r="A366" t="s">
        <v>765</v>
      </c>
      <c r="B366" t="s">
        <v>99</v>
      </c>
      <c r="C366" t="s">
        <v>766</v>
      </c>
      <c r="D366" t="s">
        <v>101</v>
      </c>
      <c r="E366" s="8">
        <v>4657.18</v>
      </c>
      <c r="F366" s="9">
        <v>45451.666684444448</v>
      </c>
      <c r="G366" t="s">
        <v>102</v>
      </c>
      <c r="H366" t="s">
        <v>145</v>
      </c>
      <c r="I366" t="s">
        <v>163</v>
      </c>
      <c r="J366" t="str">
        <f t="shared" si="40"/>
        <v/>
      </c>
      <c r="K366" t="str">
        <f t="shared" si="41"/>
        <v>Duplicate</v>
      </c>
      <c r="L366" t="str">
        <f t="shared" si="42"/>
        <v/>
      </c>
      <c r="M366" t="str">
        <f t="shared" si="43"/>
        <v/>
      </c>
      <c r="N366" t="str">
        <f t="shared" si="44"/>
        <v/>
      </c>
      <c r="O366" t="str">
        <f t="shared" ca="1" si="45"/>
        <v>Outdated</v>
      </c>
      <c r="P366" t="str">
        <f t="shared" si="46"/>
        <v>Damaged</v>
      </c>
      <c r="Q366" t="str">
        <f t="shared" si="47"/>
        <v/>
      </c>
    </row>
    <row r="367" spans="1:17" x14ac:dyDescent="0.45">
      <c r="A367" t="s">
        <v>767</v>
      </c>
      <c r="B367" t="s">
        <v>72</v>
      </c>
      <c r="C367" t="s">
        <v>768</v>
      </c>
      <c r="D367" t="s">
        <v>106</v>
      </c>
      <c r="E367" s="8">
        <v>11093.93</v>
      </c>
      <c r="F367" s="9">
        <v>45202.666684444448</v>
      </c>
      <c r="G367" t="s">
        <v>521</v>
      </c>
      <c r="H367" t="s">
        <v>116</v>
      </c>
      <c r="I367" t="s">
        <v>119</v>
      </c>
      <c r="J367" t="str">
        <f t="shared" si="40"/>
        <v/>
      </c>
      <c r="K367" t="str">
        <f t="shared" si="41"/>
        <v/>
      </c>
      <c r="L367" t="str">
        <f t="shared" si="42"/>
        <v>Unusual</v>
      </c>
      <c r="M367" t="str">
        <f t="shared" si="43"/>
        <v>Invalid</v>
      </c>
      <c r="N367" t="str">
        <f t="shared" si="44"/>
        <v/>
      </c>
      <c r="O367" t="str">
        <f t="shared" ca="1" si="45"/>
        <v>Outdated</v>
      </c>
      <c r="P367" t="str">
        <f t="shared" si="46"/>
        <v>Damaged</v>
      </c>
      <c r="Q367" t="str">
        <f t="shared" si="47"/>
        <v>Inconsistent</v>
      </c>
    </row>
    <row r="368" spans="1:17" x14ac:dyDescent="0.45">
      <c r="A368" t="s">
        <v>769</v>
      </c>
      <c r="B368" t="s">
        <v>172</v>
      </c>
      <c r="C368" t="s">
        <v>255</v>
      </c>
      <c r="D368" t="s">
        <v>85</v>
      </c>
      <c r="E368" s="8">
        <v>160.91</v>
      </c>
      <c r="F368" s="9">
        <v>45137.666684444448</v>
      </c>
      <c r="H368" t="s">
        <v>81</v>
      </c>
      <c r="I368" t="s">
        <v>163</v>
      </c>
      <c r="J368" t="str">
        <f t="shared" si="40"/>
        <v/>
      </c>
      <c r="K368" t="str">
        <f t="shared" si="41"/>
        <v/>
      </c>
      <c r="L368" t="str">
        <f t="shared" si="42"/>
        <v/>
      </c>
      <c r="M368" t="str">
        <f t="shared" si="43"/>
        <v>Invalid</v>
      </c>
      <c r="N368" t="str">
        <f t="shared" si="44"/>
        <v/>
      </c>
      <c r="O368" t="str">
        <f t="shared" ca="1" si="45"/>
        <v>Outdated</v>
      </c>
      <c r="P368" t="str">
        <f t="shared" si="46"/>
        <v>Late Delivery</v>
      </c>
      <c r="Q368" t="str">
        <f t="shared" si="47"/>
        <v/>
      </c>
    </row>
    <row r="369" spans="1:17" x14ac:dyDescent="0.45">
      <c r="A369" t="s">
        <v>770</v>
      </c>
      <c r="B369" t="s">
        <v>95</v>
      </c>
      <c r="C369" t="s">
        <v>771</v>
      </c>
      <c r="D369" t="s">
        <v>155</v>
      </c>
      <c r="E369" s="8">
        <v>0</v>
      </c>
      <c r="F369" s="9">
        <v>45597.666684444448</v>
      </c>
      <c r="G369" t="s">
        <v>97</v>
      </c>
      <c r="H369" t="s">
        <v>145</v>
      </c>
      <c r="I369" t="s">
        <v>112</v>
      </c>
      <c r="J369" t="str">
        <f t="shared" si="40"/>
        <v/>
      </c>
      <c r="K369" t="str">
        <f t="shared" si="41"/>
        <v/>
      </c>
      <c r="L369" t="str">
        <f t="shared" si="42"/>
        <v>Unusual</v>
      </c>
      <c r="M369" t="str">
        <f t="shared" si="43"/>
        <v/>
      </c>
      <c r="N369" t="str">
        <f t="shared" si="44"/>
        <v/>
      </c>
      <c r="O369" t="str">
        <f t="shared" ca="1" si="45"/>
        <v>Outdated</v>
      </c>
      <c r="P369" t="str">
        <f t="shared" si="46"/>
        <v>Damaged</v>
      </c>
      <c r="Q369" t="str">
        <f t="shared" si="47"/>
        <v>Inconsistent</v>
      </c>
    </row>
    <row r="370" spans="1:17" x14ac:dyDescent="0.45">
      <c r="A370" t="s">
        <v>772</v>
      </c>
      <c r="B370" t="s">
        <v>79</v>
      </c>
      <c r="C370" t="s">
        <v>330</v>
      </c>
      <c r="D370" t="s">
        <v>92</v>
      </c>
      <c r="E370" s="8">
        <v>2657.41</v>
      </c>
      <c r="F370" s="9">
        <v>45764.666684444448</v>
      </c>
      <c r="G370" t="s">
        <v>86</v>
      </c>
      <c r="H370" t="s">
        <v>81</v>
      </c>
      <c r="I370" t="s">
        <v>88</v>
      </c>
      <c r="J370" t="str">
        <f t="shared" si="40"/>
        <v/>
      </c>
      <c r="K370" t="str">
        <f t="shared" si="41"/>
        <v/>
      </c>
      <c r="L370" t="str">
        <f t="shared" si="42"/>
        <v/>
      </c>
      <c r="M370" t="str">
        <f t="shared" si="43"/>
        <v/>
      </c>
      <c r="N370" t="str">
        <f t="shared" si="44"/>
        <v/>
      </c>
      <c r="O370" t="str">
        <f t="shared" ca="1" si="45"/>
        <v>Outdated</v>
      </c>
      <c r="P370" t="str">
        <f t="shared" si="46"/>
        <v>Not As Described</v>
      </c>
      <c r="Q370" t="str">
        <f t="shared" si="47"/>
        <v/>
      </c>
    </row>
    <row r="371" spans="1:17" x14ac:dyDescent="0.45">
      <c r="A371" t="s">
        <v>773</v>
      </c>
      <c r="B371" t="s">
        <v>109</v>
      </c>
      <c r="C371" t="s">
        <v>774</v>
      </c>
      <c r="D371" t="s">
        <v>101</v>
      </c>
      <c r="E371" s="8">
        <v>699.3</v>
      </c>
      <c r="F371" s="9">
        <v>45704.666684444448</v>
      </c>
      <c r="G371" t="s">
        <v>111</v>
      </c>
      <c r="H371" t="s">
        <v>145</v>
      </c>
      <c r="I371" t="s">
        <v>112</v>
      </c>
      <c r="J371" t="str">
        <f t="shared" si="40"/>
        <v/>
      </c>
      <c r="K371" t="str">
        <f t="shared" si="41"/>
        <v/>
      </c>
      <c r="L371" t="str">
        <f t="shared" si="42"/>
        <v/>
      </c>
      <c r="M371" t="str">
        <f t="shared" si="43"/>
        <v/>
      </c>
      <c r="N371" t="str">
        <f t="shared" si="44"/>
        <v/>
      </c>
      <c r="O371" t="str">
        <f t="shared" ca="1" si="45"/>
        <v>Outdated</v>
      </c>
      <c r="P371" t="str">
        <f t="shared" si="46"/>
        <v>Damaged</v>
      </c>
      <c r="Q371" t="str">
        <f t="shared" si="47"/>
        <v/>
      </c>
    </row>
    <row r="372" spans="1:17" x14ac:dyDescent="0.45">
      <c r="A372" t="s">
        <v>775</v>
      </c>
      <c r="B372" t="s">
        <v>109</v>
      </c>
      <c r="C372" t="s">
        <v>263</v>
      </c>
      <c r="D372" t="s">
        <v>101</v>
      </c>
      <c r="E372" s="8">
        <v>10493</v>
      </c>
      <c r="F372" s="9">
        <v>45230.666684444448</v>
      </c>
      <c r="G372" t="s">
        <v>111</v>
      </c>
      <c r="H372" t="s">
        <v>133</v>
      </c>
      <c r="I372" t="s">
        <v>77</v>
      </c>
      <c r="J372" t="str">
        <f t="shared" si="40"/>
        <v/>
      </c>
      <c r="K372" t="str">
        <f t="shared" si="41"/>
        <v/>
      </c>
      <c r="L372" t="str">
        <f t="shared" si="42"/>
        <v>Unusual</v>
      </c>
      <c r="M372" t="str">
        <f t="shared" si="43"/>
        <v/>
      </c>
      <c r="N372" t="str">
        <f t="shared" si="44"/>
        <v>Invalid</v>
      </c>
      <c r="O372" t="str">
        <f t="shared" ca="1" si="45"/>
        <v>Outdated</v>
      </c>
      <c r="P372" t="str">
        <f t="shared" si="46"/>
        <v>Damaged</v>
      </c>
      <c r="Q372" t="str">
        <f t="shared" si="47"/>
        <v/>
      </c>
    </row>
    <row r="373" spans="1:17" x14ac:dyDescent="0.45">
      <c r="A373" t="s">
        <v>776</v>
      </c>
      <c r="B373" t="s">
        <v>95</v>
      </c>
      <c r="C373" t="s">
        <v>511</v>
      </c>
      <c r="D373" t="s">
        <v>85</v>
      </c>
      <c r="E373" s="8">
        <v>107.98</v>
      </c>
      <c r="F373" s="9">
        <v>45203.666684444448</v>
      </c>
      <c r="G373" t="s">
        <v>97</v>
      </c>
      <c r="H373" t="s">
        <v>136</v>
      </c>
      <c r="I373" t="s">
        <v>88</v>
      </c>
      <c r="J373" t="str">
        <f t="shared" si="40"/>
        <v/>
      </c>
      <c r="K373" t="str">
        <f t="shared" si="41"/>
        <v/>
      </c>
      <c r="L373" t="str">
        <f t="shared" si="42"/>
        <v/>
      </c>
      <c r="M373" t="str">
        <f t="shared" si="43"/>
        <v/>
      </c>
      <c r="N373" t="str">
        <f t="shared" si="44"/>
        <v>Invalid</v>
      </c>
      <c r="O373" t="str">
        <f t="shared" ca="1" si="45"/>
        <v>Outdated</v>
      </c>
      <c r="P373" t="str">
        <f t="shared" si="46"/>
        <v>Late Delivery</v>
      </c>
      <c r="Q373" t="str">
        <f t="shared" si="47"/>
        <v/>
      </c>
    </row>
    <row r="374" spans="1:17" x14ac:dyDescent="0.45">
      <c r="A374" t="s">
        <v>777</v>
      </c>
      <c r="B374" t="s">
        <v>172</v>
      </c>
      <c r="C374" t="s">
        <v>778</v>
      </c>
      <c r="D374" t="s">
        <v>92</v>
      </c>
      <c r="E374" s="8">
        <v>4881.87</v>
      </c>
      <c r="F374" s="9">
        <v>45678.666684444448</v>
      </c>
      <c r="G374" t="s">
        <v>174</v>
      </c>
      <c r="H374" t="s">
        <v>76</v>
      </c>
      <c r="I374" t="s">
        <v>112</v>
      </c>
      <c r="J374" t="str">
        <f t="shared" si="40"/>
        <v/>
      </c>
      <c r="K374" t="str">
        <f t="shared" si="41"/>
        <v/>
      </c>
      <c r="L374" t="str">
        <f t="shared" si="42"/>
        <v/>
      </c>
      <c r="M374" t="str">
        <f t="shared" si="43"/>
        <v/>
      </c>
      <c r="N374" t="str">
        <f t="shared" si="44"/>
        <v/>
      </c>
      <c r="O374" t="str">
        <f t="shared" ca="1" si="45"/>
        <v>Outdated</v>
      </c>
      <c r="P374" t="str">
        <f t="shared" si="46"/>
        <v>Not As Described</v>
      </c>
      <c r="Q374" t="str">
        <f t="shared" si="47"/>
        <v/>
      </c>
    </row>
    <row r="375" spans="1:17" x14ac:dyDescent="0.45">
      <c r="A375" t="s">
        <v>779</v>
      </c>
      <c r="B375" t="s">
        <v>104</v>
      </c>
      <c r="C375" t="s">
        <v>401</v>
      </c>
      <c r="D375" t="s">
        <v>101</v>
      </c>
      <c r="E375" s="8">
        <v>3572.15</v>
      </c>
      <c r="F375" s="9">
        <v>45346.666684444448</v>
      </c>
      <c r="G375" t="s">
        <v>115</v>
      </c>
      <c r="H375" t="s">
        <v>136</v>
      </c>
      <c r="I375" t="s">
        <v>112</v>
      </c>
      <c r="J375" t="str">
        <f t="shared" si="40"/>
        <v/>
      </c>
      <c r="K375" t="str">
        <f t="shared" si="41"/>
        <v/>
      </c>
      <c r="L375" t="str">
        <f t="shared" si="42"/>
        <v/>
      </c>
      <c r="M375" t="str">
        <f t="shared" si="43"/>
        <v/>
      </c>
      <c r="N375" t="str">
        <f t="shared" si="44"/>
        <v>Invalid</v>
      </c>
      <c r="O375" t="str">
        <f t="shared" ca="1" si="45"/>
        <v>Outdated</v>
      </c>
      <c r="P375" t="str">
        <f t="shared" si="46"/>
        <v>Damaged</v>
      </c>
      <c r="Q375" t="str">
        <f t="shared" si="47"/>
        <v/>
      </c>
    </row>
    <row r="376" spans="1:17" x14ac:dyDescent="0.45">
      <c r="A376" t="s">
        <v>780</v>
      </c>
      <c r="B376" t="s">
        <v>109</v>
      </c>
      <c r="C376" t="s">
        <v>781</v>
      </c>
      <c r="D376" t="s">
        <v>85</v>
      </c>
      <c r="E376" s="8">
        <v>0</v>
      </c>
      <c r="F376" s="9">
        <v>45646.666684444448</v>
      </c>
      <c r="G376" t="s">
        <v>307</v>
      </c>
      <c r="H376" t="s">
        <v>145</v>
      </c>
      <c r="I376" t="s">
        <v>82</v>
      </c>
      <c r="J376" t="str">
        <f t="shared" si="40"/>
        <v/>
      </c>
      <c r="K376" t="str">
        <f t="shared" si="41"/>
        <v/>
      </c>
      <c r="L376" t="str">
        <f t="shared" si="42"/>
        <v>Unusual</v>
      </c>
      <c r="M376" t="str">
        <f t="shared" si="43"/>
        <v>Invalid</v>
      </c>
      <c r="N376" t="str">
        <f t="shared" si="44"/>
        <v/>
      </c>
      <c r="O376" t="str">
        <f t="shared" ca="1" si="45"/>
        <v>Outdated</v>
      </c>
      <c r="P376" t="str">
        <f t="shared" si="46"/>
        <v>Late Delivery</v>
      </c>
      <c r="Q376" t="str">
        <f t="shared" si="47"/>
        <v/>
      </c>
    </row>
    <row r="377" spans="1:17" x14ac:dyDescent="0.45">
      <c r="A377" t="s">
        <v>782</v>
      </c>
      <c r="B377" t="s">
        <v>95</v>
      </c>
      <c r="C377" t="s">
        <v>393</v>
      </c>
      <c r="D377" t="s">
        <v>101</v>
      </c>
      <c r="E377" s="8">
        <v>6289.86</v>
      </c>
      <c r="F377" s="9">
        <v>45399.666684444448</v>
      </c>
      <c r="G377" t="s">
        <v>97</v>
      </c>
      <c r="H377" t="s">
        <v>87</v>
      </c>
      <c r="I377" t="s">
        <v>119</v>
      </c>
      <c r="J377" t="str">
        <f t="shared" si="40"/>
        <v/>
      </c>
      <c r="K377" t="str">
        <f t="shared" si="41"/>
        <v/>
      </c>
      <c r="L377" t="str">
        <f t="shared" si="42"/>
        <v/>
      </c>
      <c r="M377" t="str">
        <f t="shared" si="43"/>
        <v/>
      </c>
      <c r="N377" t="str">
        <f t="shared" si="44"/>
        <v>Invalid</v>
      </c>
      <c r="O377" t="str">
        <f t="shared" ca="1" si="45"/>
        <v>Outdated</v>
      </c>
      <c r="P377" t="str">
        <f t="shared" si="46"/>
        <v>Damaged</v>
      </c>
      <c r="Q377" t="str">
        <f t="shared" si="47"/>
        <v/>
      </c>
    </row>
    <row r="378" spans="1:17" x14ac:dyDescent="0.45">
      <c r="A378" t="s">
        <v>783</v>
      </c>
      <c r="B378" t="s">
        <v>72</v>
      </c>
      <c r="C378" t="s">
        <v>784</v>
      </c>
      <c r="E378" s="8">
        <v>455.71</v>
      </c>
      <c r="F378" s="9">
        <v>45263.666684444448</v>
      </c>
      <c r="G378" t="s">
        <v>75</v>
      </c>
      <c r="H378" t="s">
        <v>136</v>
      </c>
      <c r="I378" t="s">
        <v>82</v>
      </c>
      <c r="J378" t="str">
        <f t="shared" si="40"/>
        <v>Missing</v>
      </c>
      <c r="K378" t="str">
        <f t="shared" si="41"/>
        <v/>
      </c>
      <c r="L378" t="str">
        <f t="shared" si="42"/>
        <v/>
      </c>
      <c r="M378" t="str">
        <f t="shared" si="43"/>
        <v/>
      </c>
      <c r="N378" t="str">
        <f t="shared" si="44"/>
        <v>Invalid</v>
      </c>
      <c r="O378" t="str">
        <f t="shared" ca="1" si="45"/>
        <v>Outdated</v>
      </c>
      <c r="P378" t="str">
        <f t="shared" si="46"/>
        <v/>
      </c>
      <c r="Q378" t="str">
        <f t="shared" si="47"/>
        <v/>
      </c>
    </row>
    <row r="379" spans="1:17" x14ac:dyDescent="0.45">
      <c r="A379" t="s">
        <v>747</v>
      </c>
      <c r="B379" t="s">
        <v>172</v>
      </c>
      <c r="C379" t="s">
        <v>785</v>
      </c>
      <c r="D379" t="s">
        <v>85</v>
      </c>
      <c r="E379" s="8">
        <v>5783.83</v>
      </c>
      <c r="F379" s="9">
        <v>45485.666684444448</v>
      </c>
      <c r="G379" t="s">
        <v>174</v>
      </c>
      <c r="H379" t="s">
        <v>128</v>
      </c>
      <c r="I379" t="s">
        <v>77</v>
      </c>
      <c r="J379" t="str">
        <f t="shared" si="40"/>
        <v/>
      </c>
      <c r="K379" t="str">
        <f t="shared" si="41"/>
        <v>Duplicate</v>
      </c>
      <c r="L379" t="str">
        <f t="shared" si="42"/>
        <v/>
      </c>
      <c r="M379" t="str">
        <f t="shared" si="43"/>
        <v/>
      </c>
      <c r="N379" t="str">
        <f t="shared" si="44"/>
        <v>Invalid</v>
      </c>
      <c r="O379" t="str">
        <f t="shared" ca="1" si="45"/>
        <v>Outdated</v>
      </c>
      <c r="P379" t="str">
        <f t="shared" si="46"/>
        <v>Late Delivery</v>
      </c>
      <c r="Q379" t="str">
        <f t="shared" si="47"/>
        <v/>
      </c>
    </row>
    <row r="380" spans="1:17" x14ac:dyDescent="0.45">
      <c r="A380" t="s">
        <v>786</v>
      </c>
      <c r="B380" t="s">
        <v>172</v>
      </c>
      <c r="C380" t="s">
        <v>787</v>
      </c>
      <c r="D380" t="s">
        <v>74</v>
      </c>
      <c r="E380" s="8">
        <v>5427.77</v>
      </c>
      <c r="F380" s="9">
        <v>45198.666684444448</v>
      </c>
      <c r="G380" t="s">
        <v>174</v>
      </c>
      <c r="H380" t="s">
        <v>145</v>
      </c>
      <c r="I380" t="s">
        <v>112</v>
      </c>
      <c r="J380" t="str">
        <f t="shared" si="40"/>
        <v/>
      </c>
      <c r="K380" t="str">
        <f t="shared" si="41"/>
        <v/>
      </c>
      <c r="L380" t="str">
        <f t="shared" si="42"/>
        <v/>
      </c>
      <c r="M380" t="str">
        <f t="shared" si="43"/>
        <v/>
      </c>
      <c r="N380" t="str">
        <f t="shared" si="44"/>
        <v/>
      </c>
      <c r="O380" t="str">
        <f t="shared" ca="1" si="45"/>
        <v>Outdated</v>
      </c>
      <c r="P380" t="str">
        <f t="shared" si="46"/>
        <v>Wrong Item</v>
      </c>
      <c r="Q380" t="str">
        <f t="shared" si="47"/>
        <v/>
      </c>
    </row>
    <row r="381" spans="1:17" x14ac:dyDescent="0.45">
      <c r="A381" t="s">
        <v>788</v>
      </c>
      <c r="B381" t="s">
        <v>104</v>
      </c>
      <c r="C381" t="s">
        <v>789</v>
      </c>
      <c r="D381" t="s">
        <v>74</v>
      </c>
      <c r="E381" s="8">
        <v>0</v>
      </c>
      <c r="F381" s="9">
        <v>45378.666684444448</v>
      </c>
      <c r="G381" t="s">
        <v>115</v>
      </c>
      <c r="H381" t="s">
        <v>116</v>
      </c>
      <c r="I381" t="s">
        <v>77</v>
      </c>
      <c r="J381" t="str">
        <f t="shared" si="40"/>
        <v/>
      </c>
      <c r="K381" t="str">
        <f t="shared" si="41"/>
        <v/>
      </c>
      <c r="L381" t="str">
        <f t="shared" si="42"/>
        <v>Unusual</v>
      </c>
      <c r="M381" t="str">
        <f t="shared" si="43"/>
        <v/>
      </c>
      <c r="N381" t="str">
        <f t="shared" si="44"/>
        <v/>
      </c>
      <c r="O381" t="str">
        <f t="shared" ca="1" si="45"/>
        <v>Outdated</v>
      </c>
      <c r="P381" t="str">
        <f t="shared" si="46"/>
        <v>Wrong Item</v>
      </c>
      <c r="Q381" t="str">
        <f t="shared" si="47"/>
        <v/>
      </c>
    </row>
    <row r="382" spans="1:17" x14ac:dyDescent="0.45">
      <c r="A382" t="s">
        <v>790</v>
      </c>
      <c r="B382" t="s">
        <v>99</v>
      </c>
      <c r="C382" t="s">
        <v>472</v>
      </c>
      <c r="D382" t="s">
        <v>74</v>
      </c>
      <c r="E382" s="8">
        <v>3841.32</v>
      </c>
      <c r="F382" s="9">
        <v>45506.666684444448</v>
      </c>
      <c r="G382" t="s">
        <v>102</v>
      </c>
      <c r="H382" t="s">
        <v>107</v>
      </c>
      <c r="I382" t="s">
        <v>163</v>
      </c>
      <c r="J382" t="str">
        <f t="shared" si="40"/>
        <v/>
      </c>
      <c r="K382" t="str">
        <f t="shared" si="41"/>
        <v/>
      </c>
      <c r="L382" t="str">
        <f t="shared" si="42"/>
        <v/>
      </c>
      <c r="M382" t="str">
        <f t="shared" si="43"/>
        <v/>
      </c>
      <c r="N382" t="str">
        <f t="shared" si="44"/>
        <v/>
      </c>
      <c r="O382" t="str">
        <f t="shared" ca="1" si="45"/>
        <v>Outdated</v>
      </c>
      <c r="P382" t="str">
        <f t="shared" si="46"/>
        <v>Wrong Item</v>
      </c>
      <c r="Q382" t="str">
        <f t="shared" si="47"/>
        <v/>
      </c>
    </row>
    <row r="383" spans="1:17" x14ac:dyDescent="0.45">
      <c r="A383" t="s">
        <v>791</v>
      </c>
      <c r="B383" t="s">
        <v>90</v>
      </c>
      <c r="C383" t="s">
        <v>650</v>
      </c>
      <c r="D383" t="s">
        <v>85</v>
      </c>
      <c r="E383" s="8">
        <v>7850.76</v>
      </c>
      <c r="F383" s="9">
        <v>45419.666684444448</v>
      </c>
      <c r="G383" t="s">
        <v>93</v>
      </c>
      <c r="H383" t="s">
        <v>133</v>
      </c>
      <c r="I383" t="s">
        <v>112</v>
      </c>
      <c r="J383" t="str">
        <f t="shared" si="40"/>
        <v/>
      </c>
      <c r="K383" t="str">
        <f t="shared" si="41"/>
        <v/>
      </c>
      <c r="L383" t="str">
        <f t="shared" si="42"/>
        <v/>
      </c>
      <c r="M383" t="str">
        <f t="shared" si="43"/>
        <v/>
      </c>
      <c r="N383" t="str">
        <f t="shared" si="44"/>
        <v>Invalid</v>
      </c>
      <c r="O383" t="str">
        <f t="shared" ca="1" si="45"/>
        <v>Outdated</v>
      </c>
      <c r="P383" t="str">
        <f t="shared" si="46"/>
        <v>Late Delivery</v>
      </c>
      <c r="Q383" t="str">
        <f t="shared" si="47"/>
        <v/>
      </c>
    </row>
    <row r="384" spans="1:17" x14ac:dyDescent="0.45">
      <c r="A384" t="s">
        <v>792</v>
      </c>
      <c r="B384" t="s">
        <v>109</v>
      </c>
      <c r="C384" t="s">
        <v>704</v>
      </c>
      <c r="D384" t="s">
        <v>74</v>
      </c>
      <c r="E384" s="8">
        <v>11612.88</v>
      </c>
      <c r="F384" s="9">
        <v>45289.666684444448</v>
      </c>
      <c r="G384" t="s">
        <v>111</v>
      </c>
      <c r="H384" t="s">
        <v>76</v>
      </c>
      <c r="I384" t="s">
        <v>163</v>
      </c>
      <c r="J384" t="str">
        <f t="shared" si="40"/>
        <v/>
      </c>
      <c r="K384" t="str">
        <f t="shared" si="41"/>
        <v/>
      </c>
      <c r="L384" t="str">
        <f t="shared" si="42"/>
        <v>Unusual</v>
      </c>
      <c r="M384" t="str">
        <f t="shared" si="43"/>
        <v/>
      </c>
      <c r="N384" t="str">
        <f t="shared" si="44"/>
        <v/>
      </c>
      <c r="O384" t="str">
        <f t="shared" ca="1" si="45"/>
        <v>Outdated</v>
      </c>
      <c r="P384" t="str">
        <f t="shared" si="46"/>
        <v>Wrong Item</v>
      </c>
      <c r="Q384" t="str">
        <f t="shared" si="47"/>
        <v/>
      </c>
    </row>
    <row r="385" spans="1:17" x14ac:dyDescent="0.45">
      <c r="A385" t="s">
        <v>793</v>
      </c>
      <c r="B385" t="s">
        <v>90</v>
      </c>
      <c r="C385" t="s">
        <v>794</v>
      </c>
      <c r="D385" t="s">
        <v>74</v>
      </c>
      <c r="E385" s="8">
        <v>11978.81</v>
      </c>
      <c r="F385" s="9">
        <v>45576.666684444448</v>
      </c>
      <c r="G385" t="s">
        <v>93</v>
      </c>
      <c r="H385" t="s">
        <v>133</v>
      </c>
      <c r="I385" t="s">
        <v>77</v>
      </c>
      <c r="J385" t="str">
        <f t="shared" si="40"/>
        <v/>
      </c>
      <c r="K385" t="str">
        <f t="shared" si="41"/>
        <v/>
      </c>
      <c r="L385" t="str">
        <f t="shared" si="42"/>
        <v>Unusual</v>
      </c>
      <c r="M385" t="str">
        <f t="shared" si="43"/>
        <v/>
      </c>
      <c r="N385" t="str">
        <f t="shared" si="44"/>
        <v>Invalid</v>
      </c>
      <c r="O385" t="str">
        <f t="shared" ca="1" si="45"/>
        <v>Outdated</v>
      </c>
      <c r="P385" t="str">
        <f t="shared" si="46"/>
        <v>Wrong Item</v>
      </c>
      <c r="Q385" t="str">
        <f t="shared" si="47"/>
        <v/>
      </c>
    </row>
    <row r="386" spans="1:17" x14ac:dyDescent="0.45">
      <c r="A386" t="s">
        <v>795</v>
      </c>
      <c r="B386" t="s">
        <v>90</v>
      </c>
      <c r="C386" t="s">
        <v>796</v>
      </c>
      <c r="D386" t="s">
        <v>155</v>
      </c>
      <c r="E386" s="8">
        <v>2294.5300000000002</v>
      </c>
      <c r="F386" s="9">
        <v>45684.666684444448</v>
      </c>
      <c r="G386" t="s">
        <v>93</v>
      </c>
      <c r="H386" t="s">
        <v>87</v>
      </c>
      <c r="I386" t="s">
        <v>119</v>
      </c>
      <c r="J386" t="str">
        <f t="shared" ref="J386:J449" si="48">IF(OR(ISBLANK(C386),ISBLANK(D386)),"Missing","")</f>
        <v/>
      </c>
      <c r="K386" t="str">
        <f t="shared" ref="K386:K449" si="49">IF(COUNTIF($A$2:$A$2501,A386)&gt;1,"Duplicate","")</f>
        <v/>
      </c>
      <c r="L386" t="str">
        <f t="shared" ref="L386:L449" si="50">IF(OR(E386=0,E386&gt;10000),"Unusual","")</f>
        <v/>
      </c>
      <c r="M386" t="str">
        <f t="shared" ref="M386:M449" si="51">IF(OR(ISBLANK(G386),ISERROR(FIND("@",G386)),ISERROR(FIND(".",G386,FIND("@",G386)+1))),"Invalid","")</f>
        <v/>
      </c>
      <c r="N386" t="str">
        <f t="shared" ref="N386:N449" si="52">IF(COUNTIF($S$2:$S$6,H386)=0,"Invalid","")</f>
        <v>Invalid</v>
      </c>
      <c r="O386" t="str">
        <f t="shared" ref="O386:O449" ca="1" si="53">IF(F386&lt;EDATE(TODAY(),-12),"Outdated","")</f>
        <v>Outdated</v>
      </c>
      <c r="P386" t="str">
        <f t="shared" ref="P386:P449" si="54">IF(ISBLANK(D386),"",PROPER(TRIM(D386)))</f>
        <v>Damaged</v>
      </c>
      <c r="Q386" t="str">
        <f t="shared" ref="Q386:Q449" si="55">IF(ISBLANK(D386),"",IF(EXACT(D386,P386),"","Inconsistent"))</f>
        <v>Inconsistent</v>
      </c>
    </row>
    <row r="387" spans="1:17" x14ac:dyDescent="0.45">
      <c r="A387" t="s">
        <v>797</v>
      </c>
      <c r="B387" t="s">
        <v>72</v>
      </c>
      <c r="C387" t="s">
        <v>798</v>
      </c>
      <c r="D387" t="s">
        <v>148</v>
      </c>
      <c r="E387" s="8">
        <v>5832.53</v>
      </c>
      <c r="F387" s="9">
        <v>45848.666684444448</v>
      </c>
      <c r="G387" t="s">
        <v>75</v>
      </c>
      <c r="H387" t="s">
        <v>81</v>
      </c>
      <c r="I387" t="s">
        <v>77</v>
      </c>
      <c r="J387" t="str">
        <f t="shared" si="48"/>
        <v/>
      </c>
      <c r="K387" t="str">
        <f t="shared" si="49"/>
        <v/>
      </c>
      <c r="L387" t="str">
        <f t="shared" si="50"/>
        <v/>
      </c>
      <c r="M387" t="str">
        <f t="shared" si="51"/>
        <v/>
      </c>
      <c r="N387" t="str">
        <f t="shared" si="52"/>
        <v/>
      </c>
      <c r="O387" t="str">
        <f t="shared" ca="1" si="53"/>
        <v/>
      </c>
      <c r="P387" t="str">
        <f t="shared" si="54"/>
        <v>Wrong Item</v>
      </c>
      <c r="Q387" t="str">
        <f t="shared" si="55"/>
        <v>Inconsistent</v>
      </c>
    </row>
    <row r="388" spans="1:17" x14ac:dyDescent="0.45">
      <c r="A388" t="s">
        <v>134</v>
      </c>
      <c r="B388" t="s">
        <v>79</v>
      </c>
      <c r="C388" t="s">
        <v>799</v>
      </c>
      <c r="D388" t="s">
        <v>85</v>
      </c>
      <c r="E388" s="8">
        <v>6336.57</v>
      </c>
      <c r="F388" s="9">
        <v>45437.666684444448</v>
      </c>
      <c r="G388" t="s">
        <v>86</v>
      </c>
      <c r="H388" t="s">
        <v>116</v>
      </c>
      <c r="I388" t="s">
        <v>77</v>
      </c>
      <c r="J388" t="str">
        <f t="shared" si="48"/>
        <v/>
      </c>
      <c r="K388" t="str">
        <f t="shared" si="49"/>
        <v>Duplicate</v>
      </c>
      <c r="L388" t="str">
        <f t="shared" si="50"/>
        <v/>
      </c>
      <c r="M388" t="str">
        <f t="shared" si="51"/>
        <v/>
      </c>
      <c r="N388" t="str">
        <f t="shared" si="52"/>
        <v/>
      </c>
      <c r="O388" t="str">
        <f t="shared" ca="1" si="53"/>
        <v>Outdated</v>
      </c>
      <c r="P388" t="str">
        <f t="shared" si="54"/>
        <v>Late Delivery</v>
      </c>
      <c r="Q388" t="str">
        <f t="shared" si="55"/>
        <v/>
      </c>
    </row>
    <row r="389" spans="1:17" x14ac:dyDescent="0.45">
      <c r="A389" t="s">
        <v>800</v>
      </c>
      <c r="B389" t="s">
        <v>90</v>
      </c>
      <c r="C389" t="s">
        <v>801</v>
      </c>
      <c r="D389" t="s">
        <v>106</v>
      </c>
      <c r="E389" s="8">
        <v>8687.8700000000008</v>
      </c>
      <c r="F389" s="9">
        <v>45754.666684444448</v>
      </c>
      <c r="H389" t="s">
        <v>76</v>
      </c>
      <c r="I389" t="s">
        <v>88</v>
      </c>
      <c r="J389" t="str">
        <f t="shared" si="48"/>
        <v/>
      </c>
      <c r="K389" t="str">
        <f t="shared" si="49"/>
        <v/>
      </c>
      <c r="L389" t="str">
        <f t="shared" si="50"/>
        <v/>
      </c>
      <c r="M389" t="str">
        <f t="shared" si="51"/>
        <v>Invalid</v>
      </c>
      <c r="N389" t="str">
        <f t="shared" si="52"/>
        <v/>
      </c>
      <c r="O389" t="str">
        <f t="shared" ca="1" si="53"/>
        <v>Outdated</v>
      </c>
      <c r="P389" t="str">
        <f t="shared" si="54"/>
        <v>Damaged</v>
      </c>
      <c r="Q389" t="str">
        <f t="shared" si="55"/>
        <v>Inconsistent</v>
      </c>
    </row>
    <row r="390" spans="1:17" x14ac:dyDescent="0.45">
      <c r="A390" t="s">
        <v>802</v>
      </c>
      <c r="B390" t="s">
        <v>172</v>
      </c>
      <c r="C390" t="s">
        <v>385</v>
      </c>
      <c r="D390" t="s">
        <v>74</v>
      </c>
      <c r="E390" s="8">
        <v>1261.17</v>
      </c>
      <c r="F390" s="9">
        <v>45797.666684444448</v>
      </c>
      <c r="G390" t="s">
        <v>174</v>
      </c>
      <c r="H390" t="s">
        <v>76</v>
      </c>
      <c r="I390" t="s">
        <v>88</v>
      </c>
      <c r="J390" t="str">
        <f t="shared" si="48"/>
        <v/>
      </c>
      <c r="K390" t="str">
        <f t="shared" si="49"/>
        <v/>
      </c>
      <c r="L390" t="str">
        <f t="shared" si="50"/>
        <v/>
      </c>
      <c r="M390" t="str">
        <f t="shared" si="51"/>
        <v/>
      </c>
      <c r="N390" t="str">
        <f t="shared" si="52"/>
        <v/>
      </c>
      <c r="O390" t="str">
        <f t="shared" ca="1" si="53"/>
        <v>Outdated</v>
      </c>
      <c r="P390" t="str">
        <f t="shared" si="54"/>
        <v>Wrong Item</v>
      </c>
      <c r="Q390" t="str">
        <f t="shared" si="55"/>
        <v/>
      </c>
    </row>
    <row r="391" spans="1:17" x14ac:dyDescent="0.45">
      <c r="A391" t="s">
        <v>803</v>
      </c>
      <c r="B391" t="s">
        <v>104</v>
      </c>
      <c r="C391" t="s">
        <v>804</v>
      </c>
      <c r="D391" t="s">
        <v>85</v>
      </c>
      <c r="E391" s="8">
        <v>1901.43</v>
      </c>
      <c r="F391" s="9">
        <v>45669.666684444448</v>
      </c>
      <c r="G391" t="s">
        <v>115</v>
      </c>
      <c r="H391" t="s">
        <v>133</v>
      </c>
      <c r="I391" t="s">
        <v>112</v>
      </c>
      <c r="J391" t="str">
        <f t="shared" si="48"/>
        <v/>
      </c>
      <c r="K391" t="str">
        <f t="shared" si="49"/>
        <v/>
      </c>
      <c r="L391" t="str">
        <f t="shared" si="50"/>
        <v/>
      </c>
      <c r="M391" t="str">
        <f t="shared" si="51"/>
        <v/>
      </c>
      <c r="N391" t="str">
        <f t="shared" si="52"/>
        <v>Invalid</v>
      </c>
      <c r="O391" t="str">
        <f t="shared" ca="1" si="53"/>
        <v>Outdated</v>
      </c>
      <c r="P391" t="str">
        <f t="shared" si="54"/>
        <v>Late Delivery</v>
      </c>
      <c r="Q391" t="str">
        <f t="shared" si="55"/>
        <v/>
      </c>
    </row>
    <row r="392" spans="1:17" x14ac:dyDescent="0.45">
      <c r="A392" t="s">
        <v>805</v>
      </c>
      <c r="B392" t="s">
        <v>104</v>
      </c>
      <c r="C392" t="s">
        <v>629</v>
      </c>
      <c r="D392" t="s">
        <v>85</v>
      </c>
      <c r="E392" s="8">
        <v>3732.44</v>
      </c>
      <c r="F392" s="9">
        <v>45136.666684444448</v>
      </c>
      <c r="G392" t="s">
        <v>115</v>
      </c>
      <c r="H392" t="s">
        <v>133</v>
      </c>
      <c r="I392" t="s">
        <v>112</v>
      </c>
      <c r="J392" t="str">
        <f t="shared" si="48"/>
        <v/>
      </c>
      <c r="K392" t="str">
        <f t="shared" si="49"/>
        <v/>
      </c>
      <c r="L392" t="str">
        <f t="shared" si="50"/>
        <v/>
      </c>
      <c r="M392" t="str">
        <f t="shared" si="51"/>
        <v/>
      </c>
      <c r="N392" t="str">
        <f t="shared" si="52"/>
        <v>Invalid</v>
      </c>
      <c r="O392" t="str">
        <f t="shared" ca="1" si="53"/>
        <v>Outdated</v>
      </c>
      <c r="P392" t="str">
        <f t="shared" si="54"/>
        <v>Late Delivery</v>
      </c>
      <c r="Q392" t="str">
        <f t="shared" si="55"/>
        <v/>
      </c>
    </row>
    <row r="393" spans="1:17" x14ac:dyDescent="0.45">
      <c r="A393" t="s">
        <v>806</v>
      </c>
      <c r="B393" t="s">
        <v>79</v>
      </c>
      <c r="C393" t="s">
        <v>807</v>
      </c>
      <c r="D393" t="s">
        <v>85</v>
      </c>
      <c r="E393" s="8">
        <v>129.58000000000001</v>
      </c>
      <c r="F393" s="9">
        <v>45811.666684444448</v>
      </c>
      <c r="G393" t="s">
        <v>86</v>
      </c>
      <c r="H393" t="s">
        <v>133</v>
      </c>
      <c r="I393" t="s">
        <v>88</v>
      </c>
      <c r="J393" t="str">
        <f t="shared" si="48"/>
        <v/>
      </c>
      <c r="K393" t="str">
        <f t="shared" si="49"/>
        <v>Duplicate</v>
      </c>
      <c r="L393" t="str">
        <f t="shared" si="50"/>
        <v/>
      </c>
      <c r="M393" t="str">
        <f t="shared" si="51"/>
        <v/>
      </c>
      <c r="N393" t="str">
        <f t="shared" si="52"/>
        <v>Invalid</v>
      </c>
      <c r="O393" t="str">
        <f t="shared" ca="1" si="53"/>
        <v>Outdated</v>
      </c>
      <c r="P393" t="str">
        <f t="shared" si="54"/>
        <v>Late Delivery</v>
      </c>
      <c r="Q393" t="str">
        <f t="shared" si="55"/>
        <v/>
      </c>
    </row>
    <row r="394" spans="1:17" x14ac:dyDescent="0.45">
      <c r="A394" t="s">
        <v>808</v>
      </c>
      <c r="B394" t="s">
        <v>99</v>
      </c>
      <c r="C394" t="s">
        <v>809</v>
      </c>
      <c r="D394" t="s">
        <v>101</v>
      </c>
      <c r="E394" s="8">
        <v>1359.24</v>
      </c>
      <c r="F394" s="9">
        <v>45695.666684444448</v>
      </c>
      <c r="G394" t="s">
        <v>102</v>
      </c>
      <c r="H394" t="s">
        <v>81</v>
      </c>
      <c r="I394" t="s">
        <v>77</v>
      </c>
      <c r="J394" t="str">
        <f t="shared" si="48"/>
        <v/>
      </c>
      <c r="K394" t="str">
        <f t="shared" si="49"/>
        <v/>
      </c>
      <c r="L394" t="str">
        <f t="shared" si="50"/>
        <v/>
      </c>
      <c r="M394" t="str">
        <f t="shared" si="51"/>
        <v/>
      </c>
      <c r="N394" t="str">
        <f t="shared" si="52"/>
        <v/>
      </c>
      <c r="O394" t="str">
        <f t="shared" ca="1" si="53"/>
        <v>Outdated</v>
      </c>
      <c r="P394" t="str">
        <f t="shared" si="54"/>
        <v>Damaged</v>
      </c>
      <c r="Q394" t="str">
        <f t="shared" si="55"/>
        <v/>
      </c>
    </row>
    <row r="395" spans="1:17" x14ac:dyDescent="0.45">
      <c r="A395" t="s">
        <v>810</v>
      </c>
      <c r="B395" t="s">
        <v>172</v>
      </c>
      <c r="C395" t="s">
        <v>811</v>
      </c>
      <c r="D395" t="s">
        <v>85</v>
      </c>
      <c r="E395" s="8">
        <v>5902.41</v>
      </c>
      <c r="F395" s="9">
        <v>45434.666684444448</v>
      </c>
      <c r="H395" t="s">
        <v>133</v>
      </c>
      <c r="I395" t="s">
        <v>77</v>
      </c>
      <c r="J395" t="str">
        <f t="shared" si="48"/>
        <v/>
      </c>
      <c r="K395" t="str">
        <f t="shared" si="49"/>
        <v/>
      </c>
      <c r="L395" t="str">
        <f t="shared" si="50"/>
        <v/>
      </c>
      <c r="M395" t="str">
        <f t="shared" si="51"/>
        <v>Invalid</v>
      </c>
      <c r="N395" t="str">
        <f t="shared" si="52"/>
        <v>Invalid</v>
      </c>
      <c r="O395" t="str">
        <f t="shared" ca="1" si="53"/>
        <v>Outdated</v>
      </c>
      <c r="P395" t="str">
        <f t="shared" si="54"/>
        <v>Late Delivery</v>
      </c>
      <c r="Q395" t="str">
        <f t="shared" si="55"/>
        <v/>
      </c>
    </row>
    <row r="396" spans="1:17" x14ac:dyDescent="0.45">
      <c r="A396" t="s">
        <v>812</v>
      </c>
      <c r="B396" t="s">
        <v>172</v>
      </c>
      <c r="C396" t="s">
        <v>496</v>
      </c>
      <c r="D396" t="s">
        <v>101</v>
      </c>
      <c r="E396" s="8">
        <v>7007.12</v>
      </c>
      <c r="F396" s="9">
        <v>45807.666684444448</v>
      </c>
      <c r="G396" t="s">
        <v>174</v>
      </c>
      <c r="I396" t="s">
        <v>112</v>
      </c>
      <c r="J396" t="str">
        <f t="shared" si="48"/>
        <v/>
      </c>
      <c r="K396" t="str">
        <f t="shared" si="49"/>
        <v/>
      </c>
      <c r="L396" t="str">
        <f t="shared" si="50"/>
        <v/>
      </c>
      <c r="M396" t="str">
        <f t="shared" si="51"/>
        <v/>
      </c>
      <c r="N396" t="str">
        <f t="shared" si="52"/>
        <v>Invalid</v>
      </c>
      <c r="O396" t="str">
        <f t="shared" ca="1" si="53"/>
        <v>Outdated</v>
      </c>
      <c r="P396" t="str">
        <f t="shared" si="54"/>
        <v>Damaged</v>
      </c>
      <c r="Q396" t="str">
        <f t="shared" si="55"/>
        <v/>
      </c>
    </row>
    <row r="397" spans="1:17" x14ac:dyDescent="0.45">
      <c r="A397" t="s">
        <v>813</v>
      </c>
      <c r="B397" t="s">
        <v>138</v>
      </c>
      <c r="C397" t="s">
        <v>814</v>
      </c>
      <c r="D397" t="s">
        <v>92</v>
      </c>
      <c r="E397" s="8">
        <v>0</v>
      </c>
      <c r="F397" s="9">
        <v>45234.666684444448</v>
      </c>
      <c r="G397" t="s">
        <v>140</v>
      </c>
      <c r="H397" t="s">
        <v>145</v>
      </c>
      <c r="I397" t="s">
        <v>112</v>
      </c>
      <c r="J397" t="str">
        <f t="shared" si="48"/>
        <v/>
      </c>
      <c r="K397" t="str">
        <f t="shared" si="49"/>
        <v/>
      </c>
      <c r="L397" t="str">
        <f t="shared" si="50"/>
        <v>Unusual</v>
      </c>
      <c r="M397" t="str">
        <f t="shared" si="51"/>
        <v/>
      </c>
      <c r="N397" t="str">
        <f t="shared" si="52"/>
        <v/>
      </c>
      <c r="O397" t="str">
        <f t="shared" ca="1" si="53"/>
        <v>Outdated</v>
      </c>
      <c r="P397" t="str">
        <f t="shared" si="54"/>
        <v>Not As Described</v>
      </c>
      <c r="Q397" t="str">
        <f t="shared" si="55"/>
        <v/>
      </c>
    </row>
    <row r="398" spans="1:17" x14ac:dyDescent="0.45">
      <c r="A398" t="s">
        <v>815</v>
      </c>
      <c r="B398" t="s">
        <v>90</v>
      </c>
      <c r="C398" t="s">
        <v>816</v>
      </c>
      <c r="D398" t="s">
        <v>74</v>
      </c>
      <c r="E398" s="8">
        <v>837.59</v>
      </c>
      <c r="F398" s="9">
        <v>45265.666684444448</v>
      </c>
      <c r="G398" t="s">
        <v>93</v>
      </c>
      <c r="H398" t="s">
        <v>145</v>
      </c>
      <c r="I398" t="s">
        <v>119</v>
      </c>
      <c r="J398" t="str">
        <f t="shared" si="48"/>
        <v/>
      </c>
      <c r="K398" t="str">
        <f t="shared" si="49"/>
        <v/>
      </c>
      <c r="L398" t="str">
        <f t="shared" si="50"/>
        <v/>
      </c>
      <c r="M398" t="str">
        <f t="shared" si="51"/>
        <v/>
      </c>
      <c r="N398" t="str">
        <f t="shared" si="52"/>
        <v/>
      </c>
      <c r="O398" t="str">
        <f t="shared" ca="1" si="53"/>
        <v>Outdated</v>
      </c>
      <c r="P398" t="str">
        <f t="shared" si="54"/>
        <v>Wrong Item</v>
      </c>
      <c r="Q398" t="str">
        <f t="shared" si="55"/>
        <v/>
      </c>
    </row>
    <row r="399" spans="1:17" x14ac:dyDescent="0.45">
      <c r="A399" t="s">
        <v>817</v>
      </c>
      <c r="B399" t="s">
        <v>95</v>
      </c>
      <c r="C399" t="s">
        <v>311</v>
      </c>
      <c r="D399" t="s">
        <v>74</v>
      </c>
      <c r="E399" s="8">
        <v>2068.19</v>
      </c>
      <c r="F399" s="9">
        <v>45398.666684444448</v>
      </c>
      <c r="G399" t="s">
        <v>97</v>
      </c>
      <c r="H399" t="s">
        <v>107</v>
      </c>
      <c r="I399" t="s">
        <v>112</v>
      </c>
      <c r="J399" t="str">
        <f t="shared" si="48"/>
        <v/>
      </c>
      <c r="K399" t="str">
        <f t="shared" si="49"/>
        <v/>
      </c>
      <c r="L399" t="str">
        <f t="shared" si="50"/>
        <v/>
      </c>
      <c r="M399" t="str">
        <f t="shared" si="51"/>
        <v/>
      </c>
      <c r="N399" t="str">
        <f t="shared" si="52"/>
        <v/>
      </c>
      <c r="O399" t="str">
        <f t="shared" ca="1" si="53"/>
        <v>Outdated</v>
      </c>
      <c r="P399" t="str">
        <f t="shared" si="54"/>
        <v>Wrong Item</v>
      </c>
      <c r="Q399" t="str">
        <f t="shared" si="55"/>
        <v/>
      </c>
    </row>
    <row r="400" spans="1:17" x14ac:dyDescent="0.45">
      <c r="A400" t="s">
        <v>818</v>
      </c>
      <c r="B400" t="s">
        <v>104</v>
      </c>
      <c r="C400" t="s">
        <v>819</v>
      </c>
      <c r="D400" t="s">
        <v>74</v>
      </c>
      <c r="E400" s="8">
        <v>10939.09</v>
      </c>
      <c r="F400" s="9">
        <v>45246.666684444448</v>
      </c>
      <c r="G400" t="s">
        <v>115</v>
      </c>
      <c r="I400" t="s">
        <v>163</v>
      </c>
      <c r="J400" t="str">
        <f t="shared" si="48"/>
        <v/>
      </c>
      <c r="K400" t="str">
        <f t="shared" si="49"/>
        <v/>
      </c>
      <c r="L400" t="str">
        <f t="shared" si="50"/>
        <v>Unusual</v>
      </c>
      <c r="M400" t="str">
        <f t="shared" si="51"/>
        <v/>
      </c>
      <c r="N400" t="str">
        <f t="shared" si="52"/>
        <v>Invalid</v>
      </c>
      <c r="O400" t="str">
        <f t="shared" ca="1" si="53"/>
        <v>Outdated</v>
      </c>
      <c r="P400" t="str">
        <f t="shared" si="54"/>
        <v>Wrong Item</v>
      </c>
      <c r="Q400" t="str">
        <f t="shared" si="55"/>
        <v/>
      </c>
    </row>
    <row r="401" spans="1:17" x14ac:dyDescent="0.45">
      <c r="A401" t="s">
        <v>820</v>
      </c>
      <c r="B401" t="s">
        <v>90</v>
      </c>
      <c r="C401" t="s">
        <v>821</v>
      </c>
      <c r="D401" t="s">
        <v>101</v>
      </c>
      <c r="E401" s="8">
        <v>6325.77</v>
      </c>
      <c r="F401" s="9">
        <v>45237.666684444448</v>
      </c>
      <c r="G401" t="s">
        <v>93</v>
      </c>
      <c r="H401" t="s">
        <v>87</v>
      </c>
      <c r="I401" t="s">
        <v>119</v>
      </c>
      <c r="J401" t="str">
        <f t="shared" si="48"/>
        <v/>
      </c>
      <c r="K401" t="str">
        <f t="shared" si="49"/>
        <v/>
      </c>
      <c r="L401" t="str">
        <f t="shared" si="50"/>
        <v/>
      </c>
      <c r="M401" t="str">
        <f t="shared" si="51"/>
        <v/>
      </c>
      <c r="N401" t="str">
        <f t="shared" si="52"/>
        <v>Invalid</v>
      </c>
      <c r="O401" t="str">
        <f t="shared" ca="1" si="53"/>
        <v>Outdated</v>
      </c>
      <c r="P401" t="str">
        <f t="shared" si="54"/>
        <v>Damaged</v>
      </c>
      <c r="Q401" t="str">
        <f t="shared" si="55"/>
        <v/>
      </c>
    </row>
    <row r="402" spans="1:17" x14ac:dyDescent="0.45">
      <c r="A402" t="s">
        <v>822</v>
      </c>
      <c r="B402" t="s">
        <v>109</v>
      </c>
      <c r="C402" t="s">
        <v>823</v>
      </c>
      <c r="D402" t="s">
        <v>85</v>
      </c>
      <c r="E402" s="8">
        <v>60.95</v>
      </c>
      <c r="F402" s="9">
        <v>45694.666684444448</v>
      </c>
      <c r="G402" t="s">
        <v>111</v>
      </c>
      <c r="H402" t="s">
        <v>81</v>
      </c>
      <c r="I402" t="s">
        <v>82</v>
      </c>
      <c r="J402" t="str">
        <f t="shared" si="48"/>
        <v/>
      </c>
      <c r="K402" t="str">
        <f t="shared" si="49"/>
        <v/>
      </c>
      <c r="L402" t="str">
        <f t="shared" si="50"/>
        <v/>
      </c>
      <c r="M402" t="str">
        <f t="shared" si="51"/>
        <v/>
      </c>
      <c r="N402" t="str">
        <f t="shared" si="52"/>
        <v/>
      </c>
      <c r="O402" t="str">
        <f t="shared" ca="1" si="53"/>
        <v>Outdated</v>
      </c>
      <c r="P402" t="str">
        <f t="shared" si="54"/>
        <v>Late Delivery</v>
      </c>
      <c r="Q402" t="str">
        <f t="shared" si="55"/>
        <v/>
      </c>
    </row>
    <row r="403" spans="1:17" x14ac:dyDescent="0.45">
      <c r="A403" t="s">
        <v>824</v>
      </c>
      <c r="B403" t="s">
        <v>79</v>
      </c>
      <c r="C403" t="s">
        <v>825</v>
      </c>
      <c r="D403" t="s">
        <v>74</v>
      </c>
      <c r="E403" s="8">
        <v>2369.39</v>
      </c>
      <c r="F403" s="9">
        <v>45287.666684444448</v>
      </c>
      <c r="G403" t="s">
        <v>86</v>
      </c>
      <c r="H403" t="s">
        <v>118</v>
      </c>
      <c r="I403" t="s">
        <v>112</v>
      </c>
      <c r="J403" t="str">
        <f t="shared" si="48"/>
        <v/>
      </c>
      <c r="K403" t="str">
        <f t="shared" si="49"/>
        <v/>
      </c>
      <c r="L403" t="str">
        <f t="shared" si="50"/>
        <v/>
      </c>
      <c r="M403" t="str">
        <f t="shared" si="51"/>
        <v/>
      </c>
      <c r="N403" t="str">
        <f t="shared" si="52"/>
        <v>Invalid</v>
      </c>
      <c r="O403" t="str">
        <f t="shared" ca="1" si="53"/>
        <v>Outdated</v>
      </c>
      <c r="P403" t="str">
        <f t="shared" si="54"/>
        <v>Wrong Item</v>
      </c>
      <c r="Q403" t="str">
        <f t="shared" si="55"/>
        <v/>
      </c>
    </row>
    <row r="404" spans="1:17" x14ac:dyDescent="0.45">
      <c r="A404" t="s">
        <v>826</v>
      </c>
      <c r="B404" t="s">
        <v>172</v>
      </c>
      <c r="C404" t="s">
        <v>827</v>
      </c>
      <c r="D404" t="s">
        <v>148</v>
      </c>
      <c r="E404" s="8">
        <v>8835.0499999999993</v>
      </c>
      <c r="F404" s="9">
        <v>45406.666684444448</v>
      </c>
      <c r="G404" t="s">
        <v>174</v>
      </c>
      <c r="H404" t="s">
        <v>81</v>
      </c>
      <c r="I404" t="s">
        <v>112</v>
      </c>
      <c r="J404" t="str">
        <f t="shared" si="48"/>
        <v/>
      </c>
      <c r="K404" t="str">
        <f t="shared" si="49"/>
        <v/>
      </c>
      <c r="L404" t="str">
        <f t="shared" si="50"/>
        <v/>
      </c>
      <c r="M404" t="str">
        <f t="shared" si="51"/>
        <v/>
      </c>
      <c r="N404" t="str">
        <f t="shared" si="52"/>
        <v/>
      </c>
      <c r="O404" t="str">
        <f t="shared" ca="1" si="53"/>
        <v>Outdated</v>
      </c>
      <c r="P404" t="str">
        <f t="shared" si="54"/>
        <v>Wrong Item</v>
      </c>
      <c r="Q404" t="str">
        <f t="shared" si="55"/>
        <v>Inconsistent</v>
      </c>
    </row>
    <row r="405" spans="1:17" x14ac:dyDescent="0.45">
      <c r="A405" t="s">
        <v>828</v>
      </c>
      <c r="B405" t="s">
        <v>138</v>
      </c>
      <c r="D405" t="s">
        <v>101</v>
      </c>
      <c r="E405" s="8">
        <v>7874.44</v>
      </c>
      <c r="F405" s="9">
        <v>45416.666684444448</v>
      </c>
      <c r="G405" t="s">
        <v>194</v>
      </c>
      <c r="H405" t="s">
        <v>116</v>
      </c>
      <c r="I405" t="s">
        <v>163</v>
      </c>
      <c r="J405" t="str">
        <f t="shared" si="48"/>
        <v>Missing</v>
      </c>
      <c r="K405" t="str">
        <f t="shared" si="49"/>
        <v/>
      </c>
      <c r="L405" t="str">
        <f t="shared" si="50"/>
        <v/>
      </c>
      <c r="M405" t="str">
        <f t="shared" si="51"/>
        <v>Invalid</v>
      </c>
      <c r="N405" t="str">
        <f t="shared" si="52"/>
        <v/>
      </c>
      <c r="O405" t="str">
        <f t="shared" ca="1" si="53"/>
        <v>Outdated</v>
      </c>
      <c r="P405" t="str">
        <f t="shared" si="54"/>
        <v>Damaged</v>
      </c>
      <c r="Q405" t="str">
        <f t="shared" si="55"/>
        <v/>
      </c>
    </row>
    <row r="406" spans="1:17" x14ac:dyDescent="0.45">
      <c r="A406" t="s">
        <v>829</v>
      </c>
      <c r="B406" t="s">
        <v>79</v>
      </c>
      <c r="C406" t="s">
        <v>691</v>
      </c>
      <c r="D406" t="s">
        <v>74</v>
      </c>
      <c r="E406" s="8">
        <v>6859.53</v>
      </c>
      <c r="F406" s="9">
        <v>45747.666684444448</v>
      </c>
      <c r="G406" t="s">
        <v>86</v>
      </c>
      <c r="H406" t="s">
        <v>136</v>
      </c>
      <c r="I406" t="s">
        <v>119</v>
      </c>
      <c r="J406" t="str">
        <f t="shared" si="48"/>
        <v/>
      </c>
      <c r="K406" t="str">
        <f t="shared" si="49"/>
        <v/>
      </c>
      <c r="L406" t="str">
        <f t="shared" si="50"/>
        <v/>
      </c>
      <c r="M406" t="str">
        <f t="shared" si="51"/>
        <v/>
      </c>
      <c r="N406" t="str">
        <f t="shared" si="52"/>
        <v>Invalid</v>
      </c>
      <c r="O406" t="str">
        <f t="shared" ca="1" si="53"/>
        <v>Outdated</v>
      </c>
      <c r="P406" t="str">
        <f t="shared" si="54"/>
        <v>Wrong Item</v>
      </c>
      <c r="Q406" t="str">
        <f t="shared" si="55"/>
        <v/>
      </c>
    </row>
    <row r="407" spans="1:17" x14ac:dyDescent="0.45">
      <c r="A407" t="s">
        <v>830</v>
      </c>
      <c r="B407" t="s">
        <v>90</v>
      </c>
      <c r="C407" t="s">
        <v>831</v>
      </c>
      <c r="D407" t="s">
        <v>92</v>
      </c>
      <c r="E407" s="8">
        <v>0</v>
      </c>
      <c r="F407" s="9">
        <v>45343.666684444448</v>
      </c>
      <c r="G407" t="s">
        <v>93</v>
      </c>
      <c r="H407" t="s">
        <v>87</v>
      </c>
      <c r="I407" t="s">
        <v>88</v>
      </c>
      <c r="J407" t="str">
        <f t="shared" si="48"/>
        <v/>
      </c>
      <c r="K407" t="str">
        <f t="shared" si="49"/>
        <v/>
      </c>
      <c r="L407" t="str">
        <f t="shared" si="50"/>
        <v>Unusual</v>
      </c>
      <c r="M407" t="str">
        <f t="shared" si="51"/>
        <v/>
      </c>
      <c r="N407" t="str">
        <f t="shared" si="52"/>
        <v>Invalid</v>
      </c>
      <c r="O407" t="str">
        <f t="shared" ca="1" si="53"/>
        <v>Outdated</v>
      </c>
      <c r="P407" t="str">
        <f t="shared" si="54"/>
        <v>Not As Described</v>
      </c>
      <c r="Q407" t="str">
        <f t="shared" si="55"/>
        <v/>
      </c>
    </row>
    <row r="408" spans="1:17" x14ac:dyDescent="0.45">
      <c r="A408" t="s">
        <v>832</v>
      </c>
      <c r="B408" t="s">
        <v>99</v>
      </c>
      <c r="C408" t="s">
        <v>766</v>
      </c>
      <c r="D408" t="s">
        <v>74</v>
      </c>
      <c r="E408" s="8">
        <v>7513.18</v>
      </c>
      <c r="F408" s="9">
        <v>45479.666684444448</v>
      </c>
      <c r="G408" t="s">
        <v>102</v>
      </c>
      <c r="H408" t="s">
        <v>87</v>
      </c>
      <c r="I408" t="s">
        <v>112</v>
      </c>
      <c r="J408" t="str">
        <f t="shared" si="48"/>
        <v/>
      </c>
      <c r="K408" t="str">
        <f t="shared" si="49"/>
        <v/>
      </c>
      <c r="L408" t="str">
        <f t="shared" si="50"/>
        <v/>
      </c>
      <c r="M408" t="str">
        <f t="shared" si="51"/>
        <v/>
      </c>
      <c r="N408" t="str">
        <f t="shared" si="52"/>
        <v>Invalid</v>
      </c>
      <c r="O408" t="str">
        <f t="shared" ca="1" si="53"/>
        <v>Outdated</v>
      </c>
      <c r="P408" t="str">
        <f t="shared" si="54"/>
        <v>Wrong Item</v>
      </c>
      <c r="Q408" t="str">
        <f t="shared" si="55"/>
        <v/>
      </c>
    </row>
    <row r="409" spans="1:17" x14ac:dyDescent="0.45">
      <c r="A409" t="s">
        <v>833</v>
      </c>
      <c r="B409" t="s">
        <v>109</v>
      </c>
      <c r="C409" t="s">
        <v>834</v>
      </c>
      <c r="D409" t="s">
        <v>85</v>
      </c>
      <c r="E409" s="8">
        <v>6067.88</v>
      </c>
      <c r="F409" s="9">
        <v>45336.666684444448</v>
      </c>
      <c r="H409" t="s">
        <v>133</v>
      </c>
      <c r="I409" t="s">
        <v>119</v>
      </c>
      <c r="J409" t="str">
        <f t="shared" si="48"/>
        <v/>
      </c>
      <c r="K409" t="str">
        <f t="shared" si="49"/>
        <v/>
      </c>
      <c r="L409" t="str">
        <f t="shared" si="50"/>
        <v/>
      </c>
      <c r="M409" t="str">
        <f t="shared" si="51"/>
        <v>Invalid</v>
      </c>
      <c r="N409" t="str">
        <f t="shared" si="52"/>
        <v>Invalid</v>
      </c>
      <c r="O409" t="str">
        <f t="shared" ca="1" si="53"/>
        <v>Outdated</v>
      </c>
      <c r="P409" t="str">
        <f t="shared" si="54"/>
        <v>Late Delivery</v>
      </c>
      <c r="Q409" t="str">
        <f t="shared" si="55"/>
        <v/>
      </c>
    </row>
    <row r="410" spans="1:17" x14ac:dyDescent="0.45">
      <c r="A410" t="s">
        <v>835</v>
      </c>
      <c r="B410" t="s">
        <v>90</v>
      </c>
      <c r="C410" t="s">
        <v>836</v>
      </c>
      <c r="D410" t="s">
        <v>92</v>
      </c>
      <c r="E410" s="8">
        <v>0</v>
      </c>
      <c r="F410" s="9">
        <v>45831.666684444448</v>
      </c>
      <c r="G410" t="s">
        <v>93</v>
      </c>
      <c r="I410" t="s">
        <v>119</v>
      </c>
      <c r="J410" t="str">
        <f t="shared" si="48"/>
        <v/>
      </c>
      <c r="K410" t="str">
        <f t="shared" si="49"/>
        <v>Duplicate</v>
      </c>
      <c r="L410" t="str">
        <f t="shared" si="50"/>
        <v>Unusual</v>
      </c>
      <c r="M410" t="str">
        <f t="shared" si="51"/>
        <v/>
      </c>
      <c r="N410" t="str">
        <f t="shared" si="52"/>
        <v>Invalid</v>
      </c>
      <c r="O410" t="str">
        <f t="shared" ca="1" si="53"/>
        <v>Outdated</v>
      </c>
      <c r="P410" t="str">
        <f t="shared" si="54"/>
        <v>Not As Described</v>
      </c>
      <c r="Q410" t="str">
        <f t="shared" si="55"/>
        <v/>
      </c>
    </row>
    <row r="411" spans="1:17" x14ac:dyDescent="0.45">
      <c r="A411" t="s">
        <v>837</v>
      </c>
      <c r="B411" t="s">
        <v>95</v>
      </c>
      <c r="C411" t="s">
        <v>838</v>
      </c>
      <c r="D411" t="s">
        <v>74</v>
      </c>
      <c r="E411" s="8">
        <v>7867.55</v>
      </c>
      <c r="F411" s="9">
        <v>45777.666684444448</v>
      </c>
      <c r="G411" t="s">
        <v>97</v>
      </c>
      <c r="I411" t="s">
        <v>163</v>
      </c>
      <c r="J411" t="str">
        <f t="shared" si="48"/>
        <v/>
      </c>
      <c r="K411" t="str">
        <f t="shared" si="49"/>
        <v/>
      </c>
      <c r="L411" t="str">
        <f t="shared" si="50"/>
        <v/>
      </c>
      <c r="M411" t="str">
        <f t="shared" si="51"/>
        <v/>
      </c>
      <c r="N411" t="str">
        <f t="shared" si="52"/>
        <v>Invalid</v>
      </c>
      <c r="O411" t="str">
        <f t="shared" ca="1" si="53"/>
        <v>Outdated</v>
      </c>
      <c r="P411" t="str">
        <f t="shared" si="54"/>
        <v>Wrong Item</v>
      </c>
      <c r="Q411" t="str">
        <f t="shared" si="55"/>
        <v/>
      </c>
    </row>
    <row r="412" spans="1:17" x14ac:dyDescent="0.45">
      <c r="A412" t="s">
        <v>839</v>
      </c>
      <c r="B412" t="s">
        <v>72</v>
      </c>
      <c r="C412" t="s">
        <v>840</v>
      </c>
      <c r="D412" t="s">
        <v>74</v>
      </c>
      <c r="E412" s="8">
        <v>3366.33</v>
      </c>
      <c r="F412" s="9">
        <v>45398.666684444448</v>
      </c>
      <c r="G412" t="s">
        <v>75</v>
      </c>
      <c r="H412" t="s">
        <v>128</v>
      </c>
      <c r="I412" t="s">
        <v>163</v>
      </c>
      <c r="J412" t="str">
        <f t="shared" si="48"/>
        <v/>
      </c>
      <c r="K412" t="str">
        <f t="shared" si="49"/>
        <v/>
      </c>
      <c r="L412" t="str">
        <f t="shared" si="50"/>
        <v/>
      </c>
      <c r="M412" t="str">
        <f t="shared" si="51"/>
        <v/>
      </c>
      <c r="N412" t="str">
        <f t="shared" si="52"/>
        <v>Invalid</v>
      </c>
      <c r="O412" t="str">
        <f t="shared" ca="1" si="53"/>
        <v>Outdated</v>
      </c>
      <c r="P412" t="str">
        <f t="shared" si="54"/>
        <v>Wrong Item</v>
      </c>
      <c r="Q412" t="str">
        <f t="shared" si="55"/>
        <v/>
      </c>
    </row>
    <row r="413" spans="1:17" x14ac:dyDescent="0.45">
      <c r="A413" t="s">
        <v>841</v>
      </c>
      <c r="B413" t="s">
        <v>90</v>
      </c>
      <c r="D413" t="s">
        <v>101</v>
      </c>
      <c r="E413" s="8">
        <v>7011.84</v>
      </c>
      <c r="F413" s="9">
        <v>45645.666684444448</v>
      </c>
      <c r="H413" t="s">
        <v>107</v>
      </c>
      <c r="I413" t="s">
        <v>88</v>
      </c>
      <c r="J413" t="str">
        <f t="shared" si="48"/>
        <v>Missing</v>
      </c>
      <c r="K413" t="str">
        <f t="shared" si="49"/>
        <v/>
      </c>
      <c r="L413" t="str">
        <f t="shared" si="50"/>
        <v/>
      </c>
      <c r="M413" t="str">
        <f t="shared" si="51"/>
        <v>Invalid</v>
      </c>
      <c r="N413" t="str">
        <f t="shared" si="52"/>
        <v/>
      </c>
      <c r="O413" t="str">
        <f t="shared" ca="1" si="53"/>
        <v>Outdated</v>
      </c>
      <c r="P413" t="str">
        <f t="shared" si="54"/>
        <v>Damaged</v>
      </c>
      <c r="Q413" t="str">
        <f t="shared" si="55"/>
        <v/>
      </c>
    </row>
    <row r="414" spans="1:17" x14ac:dyDescent="0.45">
      <c r="A414" t="s">
        <v>842</v>
      </c>
      <c r="B414" t="s">
        <v>90</v>
      </c>
      <c r="C414" t="s">
        <v>843</v>
      </c>
      <c r="D414" t="s">
        <v>74</v>
      </c>
      <c r="E414" s="8">
        <v>3821.42</v>
      </c>
      <c r="F414" s="9">
        <v>45628.666684444448</v>
      </c>
      <c r="G414" t="s">
        <v>93</v>
      </c>
      <c r="H414" t="s">
        <v>81</v>
      </c>
      <c r="I414" t="s">
        <v>82</v>
      </c>
      <c r="J414" t="str">
        <f t="shared" si="48"/>
        <v/>
      </c>
      <c r="K414" t="str">
        <f t="shared" si="49"/>
        <v/>
      </c>
      <c r="L414" t="str">
        <f t="shared" si="50"/>
        <v/>
      </c>
      <c r="M414" t="str">
        <f t="shared" si="51"/>
        <v/>
      </c>
      <c r="N414" t="str">
        <f t="shared" si="52"/>
        <v/>
      </c>
      <c r="O414" t="str">
        <f t="shared" ca="1" si="53"/>
        <v>Outdated</v>
      </c>
      <c r="P414" t="str">
        <f t="shared" si="54"/>
        <v>Wrong Item</v>
      </c>
      <c r="Q414" t="str">
        <f t="shared" si="55"/>
        <v/>
      </c>
    </row>
    <row r="415" spans="1:17" x14ac:dyDescent="0.45">
      <c r="A415" t="s">
        <v>844</v>
      </c>
      <c r="B415" t="s">
        <v>99</v>
      </c>
      <c r="C415" t="s">
        <v>845</v>
      </c>
      <c r="D415" t="s">
        <v>74</v>
      </c>
      <c r="E415" s="8">
        <v>3452.62</v>
      </c>
      <c r="F415" s="9">
        <v>45385.666684444448</v>
      </c>
      <c r="G415" t="s">
        <v>102</v>
      </c>
      <c r="H415" t="s">
        <v>133</v>
      </c>
      <c r="I415" t="s">
        <v>77</v>
      </c>
      <c r="J415" t="str">
        <f t="shared" si="48"/>
        <v/>
      </c>
      <c r="K415" t="str">
        <f t="shared" si="49"/>
        <v/>
      </c>
      <c r="L415" t="str">
        <f t="shared" si="50"/>
        <v/>
      </c>
      <c r="M415" t="str">
        <f t="shared" si="51"/>
        <v/>
      </c>
      <c r="N415" t="str">
        <f t="shared" si="52"/>
        <v>Invalid</v>
      </c>
      <c r="O415" t="str">
        <f t="shared" ca="1" si="53"/>
        <v>Outdated</v>
      </c>
      <c r="P415" t="str">
        <f t="shared" si="54"/>
        <v>Wrong Item</v>
      </c>
      <c r="Q415" t="str">
        <f t="shared" si="55"/>
        <v/>
      </c>
    </row>
    <row r="416" spans="1:17" x14ac:dyDescent="0.45">
      <c r="A416" t="s">
        <v>846</v>
      </c>
      <c r="B416" t="s">
        <v>172</v>
      </c>
      <c r="C416" t="s">
        <v>847</v>
      </c>
      <c r="D416" t="s">
        <v>101</v>
      </c>
      <c r="E416" s="8">
        <v>841.22</v>
      </c>
      <c r="F416" s="9">
        <v>45180.666684444448</v>
      </c>
      <c r="G416" t="s">
        <v>174</v>
      </c>
      <c r="H416" t="s">
        <v>87</v>
      </c>
      <c r="I416" t="s">
        <v>77</v>
      </c>
      <c r="J416" t="str">
        <f t="shared" si="48"/>
        <v/>
      </c>
      <c r="K416" t="str">
        <f t="shared" si="49"/>
        <v/>
      </c>
      <c r="L416" t="str">
        <f t="shared" si="50"/>
        <v/>
      </c>
      <c r="M416" t="str">
        <f t="shared" si="51"/>
        <v/>
      </c>
      <c r="N416" t="str">
        <f t="shared" si="52"/>
        <v>Invalid</v>
      </c>
      <c r="O416" t="str">
        <f t="shared" ca="1" si="53"/>
        <v>Outdated</v>
      </c>
      <c r="P416" t="str">
        <f t="shared" si="54"/>
        <v>Damaged</v>
      </c>
      <c r="Q416" t="str">
        <f t="shared" si="55"/>
        <v/>
      </c>
    </row>
    <row r="417" spans="1:17" x14ac:dyDescent="0.45">
      <c r="A417" t="s">
        <v>848</v>
      </c>
      <c r="B417" t="s">
        <v>104</v>
      </c>
      <c r="C417" t="s">
        <v>601</v>
      </c>
      <c r="D417" t="s">
        <v>101</v>
      </c>
      <c r="E417" s="8">
        <v>5994.8</v>
      </c>
      <c r="F417" s="9">
        <v>45222.666684444448</v>
      </c>
      <c r="G417" t="s">
        <v>115</v>
      </c>
      <c r="H417" t="s">
        <v>133</v>
      </c>
      <c r="I417" t="s">
        <v>112</v>
      </c>
      <c r="J417" t="str">
        <f t="shared" si="48"/>
        <v/>
      </c>
      <c r="K417" t="str">
        <f t="shared" si="49"/>
        <v/>
      </c>
      <c r="L417" t="str">
        <f t="shared" si="50"/>
        <v/>
      </c>
      <c r="M417" t="str">
        <f t="shared" si="51"/>
        <v/>
      </c>
      <c r="N417" t="str">
        <f t="shared" si="52"/>
        <v>Invalid</v>
      </c>
      <c r="O417" t="str">
        <f t="shared" ca="1" si="53"/>
        <v>Outdated</v>
      </c>
      <c r="P417" t="str">
        <f t="shared" si="54"/>
        <v>Damaged</v>
      </c>
      <c r="Q417" t="str">
        <f t="shared" si="55"/>
        <v/>
      </c>
    </row>
    <row r="418" spans="1:17" x14ac:dyDescent="0.45">
      <c r="A418" t="s">
        <v>849</v>
      </c>
      <c r="B418" t="s">
        <v>72</v>
      </c>
      <c r="C418" t="s">
        <v>388</v>
      </c>
      <c r="D418" t="s">
        <v>85</v>
      </c>
      <c r="E418" s="8">
        <v>7332.28</v>
      </c>
      <c r="F418" s="9">
        <v>45777.666684444448</v>
      </c>
      <c r="G418" t="s">
        <v>75</v>
      </c>
      <c r="H418" t="s">
        <v>128</v>
      </c>
      <c r="I418" t="s">
        <v>112</v>
      </c>
      <c r="J418" t="str">
        <f t="shared" si="48"/>
        <v/>
      </c>
      <c r="K418" t="str">
        <f t="shared" si="49"/>
        <v/>
      </c>
      <c r="L418" t="str">
        <f t="shared" si="50"/>
        <v/>
      </c>
      <c r="M418" t="str">
        <f t="shared" si="51"/>
        <v/>
      </c>
      <c r="N418" t="str">
        <f t="shared" si="52"/>
        <v>Invalid</v>
      </c>
      <c r="O418" t="str">
        <f t="shared" ca="1" si="53"/>
        <v>Outdated</v>
      </c>
      <c r="P418" t="str">
        <f t="shared" si="54"/>
        <v>Late Delivery</v>
      </c>
      <c r="Q418" t="str">
        <f t="shared" si="55"/>
        <v/>
      </c>
    </row>
    <row r="419" spans="1:17" x14ac:dyDescent="0.45">
      <c r="A419" t="s">
        <v>850</v>
      </c>
      <c r="B419" t="s">
        <v>99</v>
      </c>
      <c r="C419" t="s">
        <v>851</v>
      </c>
      <c r="D419" t="s">
        <v>92</v>
      </c>
      <c r="E419" s="8">
        <v>1584.42</v>
      </c>
      <c r="F419" s="9">
        <v>45561.666684444448</v>
      </c>
      <c r="G419" t="s">
        <v>102</v>
      </c>
      <c r="I419" t="s">
        <v>82</v>
      </c>
      <c r="J419" t="str">
        <f t="shared" si="48"/>
        <v/>
      </c>
      <c r="K419" t="str">
        <f t="shared" si="49"/>
        <v/>
      </c>
      <c r="L419" t="str">
        <f t="shared" si="50"/>
        <v/>
      </c>
      <c r="M419" t="str">
        <f t="shared" si="51"/>
        <v/>
      </c>
      <c r="N419" t="str">
        <f t="shared" si="52"/>
        <v>Invalid</v>
      </c>
      <c r="O419" t="str">
        <f t="shared" ca="1" si="53"/>
        <v>Outdated</v>
      </c>
      <c r="P419" t="str">
        <f t="shared" si="54"/>
        <v>Not As Described</v>
      </c>
      <c r="Q419" t="str">
        <f t="shared" si="55"/>
        <v/>
      </c>
    </row>
    <row r="420" spans="1:17" x14ac:dyDescent="0.45">
      <c r="A420" t="s">
        <v>852</v>
      </c>
      <c r="B420" t="s">
        <v>104</v>
      </c>
      <c r="C420" t="s">
        <v>853</v>
      </c>
      <c r="D420" t="s">
        <v>85</v>
      </c>
      <c r="E420" s="8">
        <v>3311.14</v>
      </c>
      <c r="F420" s="9">
        <v>45411.666684444448</v>
      </c>
      <c r="I420" t="s">
        <v>163</v>
      </c>
      <c r="J420" t="str">
        <f t="shared" si="48"/>
        <v/>
      </c>
      <c r="K420" t="str">
        <f t="shared" si="49"/>
        <v/>
      </c>
      <c r="L420" t="str">
        <f t="shared" si="50"/>
        <v/>
      </c>
      <c r="M420" t="str">
        <f t="shared" si="51"/>
        <v>Invalid</v>
      </c>
      <c r="N420" t="str">
        <f t="shared" si="52"/>
        <v>Invalid</v>
      </c>
      <c r="O420" t="str">
        <f t="shared" ca="1" si="53"/>
        <v>Outdated</v>
      </c>
      <c r="P420" t="str">
        <f t="shared" si="54"/>
        <v>Late Delivery</v>
      </c>
      <c r="Q420" t="str">
        <f t="shared" si="55"/>
        <v/>
      </c>
    </row>
    <row r="421" spans="1:17" x14ac:dyDescent="0.45">
      <c r="A421" t="s">
        <v>854</v>
      </c>
      <c r="B421" t="s">
        <v>95</v>
      </c>
      <c r="C421" t="s">
        <v>586</v>
      </c>
      <c r="D421" t="s">
        <v>74</v>
      </c>
      <c r="E421" s="8">
        <v>9814.2099999999991</v>
      </c>
      <c r="F421" s="9">
        <v>45173.666684444448</v>
      </c>
      <c r="H421" t="s">
        <v>136</v>
      </c>
      <c r="I421" t="s">
        <v>163</v>
      </c>
      <c r="J421" t="str">
        <f t="shared" si="48"/>
        <v/>
      </c>
      <c r="K421" t="str">
        <f t="shared" si="49"/>
        <v/>
      </c>
      <c r="L421" t="str">
        <f t="shared" si="50"/>
        <v/>
      </c>
      <c r="M421" t="str">
        <f t="shared" si="51"/>
        <v>Invalid</v>
      </c>
      <c r="N421" t="str">
        <f t="shared" si="52"/>
        <v>Invalid</v>
      </c>
      <c r="O421" t="str">
        <f t="shared" ca="1" si="53"/>
        <v>Outdated</v>
      </c>
      <c r="P421" t="str">
        <f t="shared" si="54"/>
        <v>Wrong Item</v>
      </c>
      <c r="Q421" t="str">
        <f t="shared" si="55"/>
        <v/>
      </c>
    </row>
    <row r="422" spans="1:17" x14ac:dyDescent="0.45">
      <c r="A422" t="s">
        <v>855</v>
      </c>
      <c r="B422" t="s">
        <v>79</v>
      </c>
      <c r="C422" t="s">
        <v>856</v>
      </c>
      <c r="D422" t="s">
        <v>74</v>
      </c>
      <c r="E422" s="8">
        <v>9692.8700000000008</v>
      </c>
      <c r="F422" s="9">
        <v>45131.666684444448</v>
      </c>
      <c r="G422" t="s">
        <v>86</v>
      </c>
      <c r="H422" t="s">
        <v>133</v>
      </c>
      <c r="I422" t="s">
        <v>119</v>
      </c>
      <c r="J422" t="str">
        <f t="shared" si="48"/>
        <v/>
      </c>
      <c r="K422" t="str">
        <f t="shared" si="49"/>
        <v/>
      </c>
      <c r="L422" t="str">
        <f t="shared" si="50"/>
        <v/>
      </c>
      <c r="M422" t="str">
        <f t="shared" si="51"/>
        <v/>
      </c>
      <c r="N422" t="str">
        <f t="shared" si="52"/>
        <v>Invalid</v>
      </c>
      <c r="O422" t="str">
        <f t="shared" ca="1" si="53"/>
        <v>Outdated</v>
      </c>
      <c r="P422" t="str">
        <f t="shared" si="54"/>
        <v>Wrong Item</v>
      </c>
      <c r="Q422" t="str">
        <f t="shared" si="55"/>
        <v/>
      </c>
    </row>
    <row r="423" spans="1:17" x14ac:dyDescent="0.45">
      <c r="A423" t="s">
        <v>857</v>
      </c>
      <c r="B423" t="s">
        <v>72</v>
      </c>
      <c r="C423" t="s">
        <v>858</v>
      </c>
      <c r="D423" t="s">
        <v>148</v>
      </c>
      <c r="E423" s="8">
        <v>1211.3699999999999</v>
      </c>
      <c r="F423" s="9">
        <v>45469.666684444448</v>
      </c>
      <c r="G423" t="s">
        <v>75</v>
      </c>
      <c r="H423" t="s">
        <v>145</v>
      </c>
      <c r="I423" t="s">
        <v>88</v>
      </c>
      <c r="J423" t="str">
        <f t="shared" si="48"/>
        <v/>
      </c>
      <c r="K423" t="str">
        <f t="shared" si="49"/>
        <v/>
      </c>
      <c r="L423" t="str">
        <f t="shared" si="50"/>
        <v/>
      </c>
      <c r="M423" t="str">
        <f t="shared" si="51"/>
        <v/>
      </c>
      <c r="N423" t="str">
        <f t="shared" si="52"/>
        <v/>
      </c>
      <c r="O423" t="str">
        <f t="shared" ca="1" si="53"/>
        <v>Outdated</v>
      </c>
      <c r="P423" t="str">
        <f t="shared" si="54"/>
        <v>Wrong Item</v>
      </c>
      <c r="Q423" t="str">
        <f t="shared" si="55"/>
        <v>Inconsistent</v>
      </c>
    </row>
    <row r="424" spans="1:17" x14ac:dyDescent="0.45">
      <c r="A424" t="s">
        <v>859</v>
      </c>
      <c r="B424" t="s">
        <v>138</v>
      </c>
      <c r="C424" t="s">
        <v>860</v>
      </c>
      <c r="D424" t="s">
        <v>85</v>
      </c>
      <c r="E424" s="8">
        <v>7831.22</v>
      </c>
      <c r="F424" s="9">
        <v>45261.666684444448</v>
      </c>
      <c r="G424" t="s">
        <v>194</v>
      </c>
      <c r="H424" t="s">
        <v>81</v>
      </c>
      <c r="I424" t="s">
        <v>163</v>
      </c>
      <c r="J424" t="str">
        <f t="shared" si="48"/>
        <v/>
      </c>
      <c r="K424" t="str">
        <f t="shared" si="49"/>
        <v/>
      </c>
      <c r="L424" t="str">
        <f t="shared" si="50"/>
        <v/>
      </c>
      <c r="M424" t="str">
        <f t="shared" si="51"/>
        <v>Invalid</v>
      </c>
      <c r="N424" t="str">
        <f t="shared" si="52"/>
        <v/>
      </c>
      <c r="O424" t="str">
        <f t="shared" ca="1" si="53"/>
        <v>Outdated</v>
      </c>
      <c r="P424" t="str">
        <f t="shared" si="54"/>
        <v>Late Delivery</v>
      </c>
      <c r="Q424" t="str">
        <f t="shared" si="55"/>
        <v/>
      </c>
    </row>
    <row r="425" spans="1:17" x14ac:dyDescent="0.45">
      <c r="A425" t="s">
        <v>861</v>
      </c>
      <c r="B425" t="s">
        <v>99</v>
      </c>
      <c r="C425" t="s">
        <v>862</v>
      </c>
      <c r="D425" t="s">
        <v>148</v>
      </c>
      <c r="E425" s="8">
        <v>4773.28</v>
      </c>
      <c r="F425" s="9">
        <v>45780.666684444448</v>
      </c>
      <c r="G425" t="s">
        <v>102</v>
      </c>
      <c r="H425" t="s">
        <v>128</v>
      </c>
      <c r="I425" t="s">
        <v>77</v>
      </c>
      <c r="J425" t="str">
        <f t="shared" si="48"/>
        <v/>
      </c>
      <c r="K425" t="str">
        <f t="shared" si="49"/>
        <v/>
      </c>
      <c r="L425" t="str">
        <f t="shared" si="50"/>
        <v/>
      </c>
      <c r="M425" t="str">
        <f t="shared" si="51"/>
        <v/>
      </c>
      <c r="N425" t="str">
        <f t="shared" si="52"/>
        <v>Invalid</v>
      </c>
      <c r="O425" t="str">
        <f t="shared" ca="1" si="53"/>
        <v>Outdated</v>
      </c>
      <c r="P425" t="str">
        <f t="shared" si="54"/>
        <v>Wrong Item</v>
      </c>
      <c r="Q425" t="str">
        <f t="shared" si="55"/>
        <v>Inconsistent</v>
      </c>
    </row>
    <row r="426" spans="1:17" x14ac:dyDescent="0.45">
      <c r="A426" t="s">
        <v>863</v>
      </c>
      <c r="B426" t="s">
        <v>79</v>
      </c>
      <c r="C426" t="s">
        <v>864</v>
      </c>
      <c r="D426" t="s">
        <v>101</v>
      </c>
      <c r="E426" s="8">
        <v>11777.37</v>
      </c>
      <c r="F426" s="9">
        <v>45396.666684444448</v>
      </c>
      <c r="G426" t="s">
        <v>86</v>
      </c>
      <c r="H426" t="s">
        <v>81</v>
      </c>
      <c r="I426" t="s">
        <v>119</v>
      </c>
      <c r="J426" t="str">
        <f t="shared" si="48"/>
        <v/>
      </c>
      <c r="K426" t="str">
        <f t="shared" si="49"/>
        <v/>
      </c>
      <c r="L426" t="str">
        <f t="shared" si="50"/>
        <v>Unusual</v>
      </c>
      <c r="M426" t="str">
        <f t="shared" si="51"/>
        <v/>
      </c>
      <c r="N426" t="str">
        <f t="shared" si="52"/>
        <v/>
      </c>
      <c r="O426" t="str">
        <f t="shared" ca="1" si="53"/>
        <v>Outdated</v>
      </c>
      <c r="P426" t="str">
        <f t="shared" si="54"/>
        <v>Damaged</v>
      </c>
      <c r="Q426" t="str">
        <f t="shared" si="55"/>
        <v/>
      </c>
    </row>
    <row r="427" spans="1:17" x14ac:dyDescent="0.45">
      <c r="A427" t="s">
        <v>865</v>
      </c>
      <c r="B427" t="s">
        <v>79</v>
      </c>
      <c r="C427" t="s">
        <v>866</v>
      </c>
      <c r="D427" t="s">
        <v>85</v>
      </c>
      <c r="E427" s="8">
        <v>3777.66</v>
      </c>
      <c r="F427" s="9">
        <v>45293.666684444448</v>
      </c>
      <c r="G427" t="s">
        <v>86</v>
      </c>
      <c r="H427" t="s">
        <v>87</v>
      </c>
      <c r="I427" t="s">
        <v>82</v>
      </c>
      <c r="J427" t="str">
        <f t="shared" si="48"/>
        <v/>
      </c>
      <c r="K427" t="str">
        <f t="shared" si="49"/>
        <v>Duplicate</v>
      </c>
      <c r="L427" t="str">
        <f t="shared" si="50"/>
        <v/>
      </c>
      <c r="M427" t="str">
        <f t="shared" si="51"/>
        <v/>
      </c>
      <c r="N427" t="str">
        <f t="shared" si="52"/>
        <v>Invalid</v>
      </c>
      <c r="O427" t="str">
        <f t="shared" ca="1" si="53"/>
        <v>Outdated</v>
      </c>
      <c r="P427" t="str">
        <f t="shared" si="54"/>
        <v>Late Delivery</v>
      </c>
      <c r="Q427" t="str">
        <f t="shared" si="55"/>
        <v/>
      </c>
    </row>
    <row r="428" spans="1:17" x14ac:dyDescent="0.45">
      <c r="A428" t="s">
        <v>867</v>
      </c>
      <c r="B428" t="s">
        <v>90</v>
      </c>
      <c r="C428" t="s">
        <v>868</v>
      </c>
      <c r="D428" t="s">
        <v>85</v>
      </c>
      <c r="E428" s="8">
        <v>5735.99</v>
      </c>
      <c r="F428" s="9">
        <v>45580.666684444448</v>
      </c>
      <c r="G428" t="s">
        <v>93</v>
      </c>
      <c r="I428" t="s">
        <v>119</v>
      </c>
      <c r="J428" t="str">
        <f t="shared" si="48"/>
        <v/>
      </c>
      <c r="K428" t="str">
        <f t="shared" si="49"/>
        <v/>
      </c>
      <c r="L428" t="str">
        <f t="shared" si="50"/>
        <v/>
      </c>
      <c r="M428" t="str">
        <f t="shared" si="51"/>
        <v/>
      </c>
      <c r="N428" t="str">
        <f t="shared" si="52"/>
        <v>Invalid</v>
      </c>
      <c r="O428" t="str">
        <f t="shared" ca="1" si="53"/>
        <v>Outdated</v>
      </c>
      <c r="P428" t="str">
        <f t="shared" si="54"/>
        <v>Late Delivery</v>
      </c>
      <c r="Q428" t="str">
        <f t="shared" si="55"/>
        <v/>
      </c>
    </row>
    <row r="429" spans="1:17" x14ac:dyDescent="0.45">
      <c r="A429" t="s">
        <v>869</v>
      </c>
      <c r="B429" t="s">
        <v>90</v>
      </c>
      <c r="C429" t="s">
        <v>870</v>
      </c>
      <c r="D429" t="s">
        <v>101</v>
      </c>
      <c r="E429" s="8">
        <v>2109.41</v>
      </c>
      <c r="F429" s="9">
        <v>45692.666684444448</v>
      </c>
      <c r="G429" t="s">
        <v>93</v>
      </c>
      <c r="H429" t="s">
        <v>118</v>
      </c>
      <c r="I429" t="s">
        <v>82</v>
      </c>
      <c r="J429" t="str">
        <f t="shared" si="48"/>
        <v/>
      </c>
      <c r="K429" t="str">
        <f t="shared" si="49"/>
        <v/>
      </c>
      <c r="L429" t="str">
        <f t="shared" si="50"/>
        <v/>
      </c>
      <c r="M429" t="str">
        <f t="shared" si="51"/>
        <v/>
      </c>
      <c r="N429" t="str">
        <f t="shared" si="52"/>
        <v>Invalid</v>
      </c>
      <c r="O429" t="str">
        <f t="shared" ca="1" si="53"/>
        <v>Outdated</v>
      </c>
      <c r="P429" t="str">
        <f t="shared" si="54"/>
        <v>Damaged</v>
      </c>
      <c r="Q429" t="str">
        <f t="shared" si="55"/>
        <v/>
      </c>
    </row>
    <row r="430" spans="1:17" x14ac:dyDescent="0.45">
      <c r="A430" t="s">
        <v>871</v>
      </c>
      <c r="B430" t="s">
        <v>138</v>
      </c>
      <c r="C430" t="s">
        <v>872</v>
      </c>
      <c r="D430" t="s">
        <v>85</v>
      </c>
      <c r="E430" s="8">
        <v>3057.21</v>
      </c>
      <c r="F430" s="9">
        <v>45850.666684444448</v>
      </c>
      <c r="G430" t="s">
        <v>140</v>
      </c>
      <c r="H430" t="s">
        <v>128</v>
      </c>
      <c r="I430" t="s">
        <v>82</v>
      </c>
      <c r="J430" t="str">
        <f t="shared" si="48"/>
        <v/>
      </c>
      <c r="K430" t="str">
        <f t="shared" si="49"/>
        <v/>
      </c>
      <c r="L430" t="str">
        <f t="shared" si="50"/>
        <v/>
      </c>
      <c r="M430" t="str">
        <f t="shared" si="51"/>
        <v/>
      </c>
      <c r="N430" t="str">
        <f t="shared" si="52"/>
        <v>Invalid</v>
      </c>
      <c r="O430" t="str">
        <f t="shared" ca="1" si="53"/>
        <v/>
      </c>
      <c r="P430" t="str">
        <f t="shared" si="54"/>
        <v>Late Delivery</v>
      </c>
      <c r="Q430" t="str">
        <f t="shared" si="55"/>
        <v/>
      </c>
    </row>
    <row r="431" spans="1:17" x14ac:dyDescent="0.45">
      <c r="A431" t="s">
        <v>873</v>
      </c>
      <c r="B431" t="s">
        <v>138</v>
      </c>
      <c r="C431" t="s">
        <v>733</v>
      </c>
      <c r="D431" t="s">
        <v>85</v>
      </c>
      <c r="E431" s="8">
        <v>1356.64</v>
      </c>
      <c r="F431" s="9">
        <v>45565.666684444448</v>
      </c>
      <c r="G431" t="s">
        <v>140</v>
      </c>
      <c r="H431" t="s">
        <v>116</v>
      </c>
      <c r="I431" t="s">
        <v>82</v>
      </c>
      <c r="J431" t="str">
        <f t="shared" si="48"/>
        <v/>
      </c>
      <c r="K431" t="str">
        <f t="shared" si="49"/>
        <v/>
      </c>
      <c r="L431" t="str">
        <f t="shared" si="50"/>
        <v/>
      </c>
      <c r="M431" t="str">
        <f t="shared" si="51"/>
        <v/>
      </c>
      <c r="N431" t="str">
        <f t="shared" si="52"/>
        <v/>
      </c>
      <c r="O431" t="str">
        <f t="shared" ca="1" si="53"/>
        <v>Outdated</v>
      </c>
      <c r="P431" t="str">
        <f t="shared" si="54"/>
        <v>Late Delivery</v>
      </c>
      <c r="Q431" t="str">
        <f t="shared" si="55"/>
        <v/>
      </c>
    </row>
    <row r="432" spans="1:17" x14ac:dyDescent="0.45">
      <c r="A432" t="s">
        <v>874</v>
      </c>
      <c r="B432" t="s">
        <v>138</v>
      </c>
      <c r="C432" t="s">
        <v>875</v>
      </c>
      <c r="D432" t="s">
        <v>74</v>
      </c>
      <c r="E432" s="8">
        <v>9090.58</v>
      </c>
      <c r="F432" s="9">
        <v>45702.666684444448</v>
      </c>
      <c r="G432" t="s">
        <v>140</v>
      </c>
      <c r="H432" t="s">
        <v>107</v>
      </c>
      <c r="I432" t="s">
        <v>82</v>
      </c>
      <c r="J432" t="str">
        <f t="shared" si="48"/>
        <v/>
      </c>
      <c r="K432" t="str">
        <f t="shared" si="49"/>
        <v/>
      </c>
      <c r="L432" t="str">
        <f t="shared" si="50"/>
        <v/>
      </c>
      <c r="M432" t="str">
        <f t="shared" si="51"/>
        <v/>
      </c>
      <c r="N432" t="str">
        <f t="shared" si="52"/>
        <v/>
      </c>
      <c r="O432" t="str">
        <f t="shared" ca="1" si="53"/>
        <v>Outdated</v>
      </c>
      <c r="P432" t="str">
        <f t="shared" si="54"/>
        <v>Wrong Item</v>
      </c>
      <c r="Q432" t="str">
        <f t="shared" si="55"/>
        <v/>
      </c>
    </row>
    <row r="433" spans="1:17" x14ac:dyDescent="0.45">
      <c r="A433" t="s">
        <v>876</v>
      </c>
      <c r="B433" t="s">
        <v>79</v>
      </c>
      <c r="C433" t="s">
        <v>877</v>
      </c>
      <c r="D433" t="s">
        <v>101</v>
      </c>
      <c r="E433" s="8">
        <v>10639.39</v>
      </c>
      <c r="F433" s="9">
        <v>45137.666684444448</v>
      </c>
      <c r="G433" t="s">
        <v>86</v>
      </c>
      <c r="H433" t="s">
        <v>136</v>
      </c>
      <c r="I433" t="s">
        <v>77</v>
      </c>
      <c r="J433" t="str">
        <f t="shared" si="48"/>
        <v/>
      </c>
      <c r="K433" t="str">
        <f t="shared" si="49"/>
        <v/>
      </c>
      <c r="L433" t="str">
        <f t="shared" si="50"/>
        <v>Unusual</v>
      </c>
      <c r="M433" t="str">
        <f t="shared" si="51"/>
        <v/>
      </c>
      <c r="N433" t="str">
        <f t="shared" si="52"/>
        <v>Invalid</v>
      </c>
      <c r="O433" t="str">
        <f t="shared" ca="1" si="53"/>
        <v>Outdated</v>
      </c>
      <c r="P433" t="str">
        <f t="shared" si="54"/>
        <v>Damaged</v>
      </c>
      <c r="Q433" t="str">
        <f t="shared" si="55"/>
        <v/>
      </c>
    </row>
    <row r="434" spans="1:17" x14ac:dyDescent="0.45">
      <c r="A434" t="s">
        <v>878</v>
      </c>
      <c r="B434" t="s">
        <v>104</v>
      </c>
      <c r="C434" t="s">
        <v>879</v>
      </c>
      <c r="D434" t="s">
        <v>92</v>
      </c>
      <c r="E434" s="8">
        <v>2694.71</v>
      </c>
      <c r="F434" s="9">
        <v>45242.666684444448</v>
      </c>
      <c r="G434" t="s">
        <v>247</v>
      </c>
      <c r="H434" t="s">
        <v>87</v>
      </c>
      <c r="I434" t="s">
        <v>163</v>
      </c>
      <c r="J434" t="str">
        <f t="shared" si="48"/>
        <v/>
      </c>
      <c r="K434" t="str">
        <f t="shared" si="49"/>
        <v/>
      </c>
      <c r="L434" t="str">
        <f t="shared" si="50"/>
        <v/>
      </c>
      <c r="M434" t="str">
        <f t="shared" si="51"/>
        <v>Invalid</v>
      </c>
      <c r="N434" t="str">
        <f t="shared" si="52"/>
        <v>Invalid</v>
      </c>
      <c r="O434" t="str">
        <f t="shared" ca="1" si="53"/>
        <v>Outdated</v>
      </c>
      <c r="P434" t="str">
        <f t="shared" si="54"/>
        <v>Not As Described</v>
      </c>
      <c r="Q434" t="str">
        <f t="shared" si="55"/>
        <v/>
      </c>
    </row>
    <row r="435" spans="1:17" x14ac:dyDescent="0.45">
      <c r="A435" t="s">
        <v>673</v>
      </c>
      <c r="B435" t="s">
        <v>172</v>
      </c>
      <c r="C435" t="s">
        <v>880</v>
      </c>
      <c r="D435" t="s">
        <v>155</v>
      </c>
      <c r="E435" s="8">
        <v>3181.07</v>
      </c>
      <c r="F435" s="9">
        <v>45205.666684444448</v>
      </c>
      <c r="G435" t="s">
        <v>174</v>
      </c>
      <c r="H435" t="s">
        <v>133</v>
      </c>
      <c r="I435" t="s">
        <v>112</v>
      </c>
      <c r="J435" t="str">
        <f t="shared" si="48"/>
        <v/>
      </c>
      <c r="K435" t="str">
        <f t="shared" si="49"/>
        <v>Duplicate</v>
      </c>
      <c r="L435" t="str">
        <f t="shared" si="50"/>
        <v/>
      </c>
      <c r="M435" t="str">
        <f t="shared" si="51"/>
        <v/>
      </c>
      <c r="N435" t="str">
        <f t="shared" si="52"/>
        <v>Invalid</v>
      </c>
      <c r="O435" t="str">
        <f t="shared" ca="1" si="53"/>
        <v>Outdated</v>
      </c>
      <c r="P435" t="str">
        <f t="shared" si="54"/>
        <v>Damaged</v>
      </c>
      <c r="Q435" t="str">
        <f t="shared" si="55"/>
        <v>Inconsistent</v>
      </c>
    </row>
    <row r="436" spans="1:17" x14ac:dyDescent="0.45">
      <c r="A436" t="s">
        <v>881</v>
      </c>
      <c r="B436" t="s">
        <v>172</v>
      </c>
      <c r="C436" t="s">
        <v>277</v>
      </c>
      <c r="D436" t="s">
        <v>101</v>
      </c>
      <c r="E436" s="8">
        <v>7631.27</v>
      </c>
      <c r="F436" s="9">
        <v>45835.666684444448</v>
      </c>
      <c r="G436" t="s">
        <v>174</v>
      </c>
      <c r="H436" t="s">
        <v>116</v>
      </c>
      <c r="I436" t="s">
        <v>82</v>
      </c>
      <c r="J436" t="str">
        <f t="shared" si="48"/>
        <v/>
      </c>
      <c r="K436" t="str">
        <f t="shared" si="49"/>
        <v/>
      </c>
      <c r="L436" t="str">
        <f t="shared" si="50"/>
        <v/>
      </c>
      <c r="M436" t="str">
        <f t="shared" si="51"/>
        <v/>
      </c>
      <c r="N436" t="str">
        <f t="shared" si="52"/>
        <v/>
      </c>
      <c r="O436" t="str">
        <f t="shared" ca="1" si="53"/>
        <v>Outdated</v>
      </c>
      <c r="P436" t="str">
        <f t="shared" si="54"/>
        <v>Damaged</v>
      </c>
      <c r="Q436" t="str">
        <f t="shared" si="55"/>
        <v/>
      </c>
    </row>
    <row r="437" spans="1:17" x14ac:dyDescent="0.45">
      <c r="A437" t="s">
        <v>882</v>
      </c>
      <c r="B437" t="s">
        <v>172</v>
      </c>
      <c r="C437" t="s">
        <v>883</v>
      </c>
      <c r="D437" t="s">
        <v>101</v>
      </c>
      <c r="E437" s="8">
        <v>992.86</v>
      </c>
      <c r="F437" s="9">
        <v>45280.666684444448</v>
      </c>
      <c r="H437" t="s">
        <v>133</v>
      </c>
      <c r="I437" t="s">
        <v>119</v>
      </c>
      <c r="J437" t="str">
        <f t="shared" si="48"/>
        <v/>
      </c>
      <c r="K437" t="str">
        <f t="shared" si="49"/>
        <v/>
      </c>
      <c r="L437" t="str">
        <f t="shared" si="50"/>
        <v/>
      </c>
      <c r="M437" t="str">
        <f t="shared" si="51"/>
        <v>Invalid</v>
      </c>
      <c r="N437" t="str">
        <f t="shared" si="52"/>
        <v>Invalid</v>
      </c>
      <c r="O437" t="str">
        <f t="shared" ca="1" si="53"/>
        <v>Outdated</v>
      </c>
      <c r="P437" t="str">
        <f t="shared" si="54"/>
        <v>Damaged</v>
      </c>
      <c r="Q437" t="str">
        <f t="shared" si="55"/>
        <v/>
      </c>
    </row>
    <row r="438" spans="1:17" x14ac:dyDescent="0.45">
      <c r="A438" t="s">
        <v>347</v>
      </c>
      <c r="B438" t="s">
        <v>72</v>
      </c>
      <c r="C438" t="s">
        <v>884</v>
      </c>
      <c r="D438" t="s">
        <v>74</v>
      </c>
      <c r="E438" s="8">
        <v>3520.18</v>
      </c>
      <c r="F438" s="9">
        <v>45686.666684444448</v>
      </c>
      <c r="G438" t="s">
        <v>75</v>
      </c>
      <c r="I438" t="s">
        <v>112</v>
      </c>
      <c r="J438" t="str">
        <f t="shared" si="48"/>
        <v/>
      </c>
      <c r="K438" t="str">
        <f t="shared" si="49"/>
        <v>Duplicate</v>
      </c>
      <c r="L438" t="str">
        <f t="shared" si="50"/>
        <v/>
      </c>
      <c r="M438" t="str">
        <f t="shared" si="51"/>
        <v/>
      </c>
      <c r="N438" t="str">
        <f t="shared" si="52"/>
        <v>Invalid</v>
      </c>
      <c r="O438" t="str">
        <f t="shared" ca="1" si="53"/>
        <v>Outdated</v>
      </c>
      <c r="P438" t="str">
        <f t="shared" si="54"/>
        <v>Wrong Item</v>
      </c>
      <c r="Q438" t="str">
        <f t="shared" si="55"/>
        <v/>
      </c>
    </row>
    <row r="439" spans="1:17" x14ac:dyDescent="0.45">
      <c r="A439" t="s">
        <v>885</v>
      </c>
      <c r="B439" t="s">
        <v>72</v>
      </c>
      <c r="C439" t="s">
        <v>886</v>
      </c>
      <c r="D439" t="s">
        <v>92</v>
      </c>
      <c r="E439" s="8">
        <v>5263.34</v>
      </c>
      <c r="F439" s="9">
        <v>45164.666684444448</v>
      </c>
      <c r="G439" t="s">
        <v>75</v>
      </c>
      <c r="H439" t="s">
        <v>136</v>
      </c>
      <c r="I439" t="s">
        <v>119</v>
      </c>
      <c r="J439" t="str">
        <f t="shared" si="48"/>
        <v/>
      </c>
      <c r="K439" t="str">
        <f t="shared" si="49"/>
        <v/>
      </c>
      <c r="L439" t="str">
        <f t="shared" si="50"/>
        <v/>
      </c>
      <c r="M439" t="str">
        <f t="shared" si="51"/>
        <v/>
      </c>
      <c r="N439" t="str">
        <f t="shared" si="52"/>
        <v>Invalid</v>
      </c>
      <c r="O439" t="str">
        <f t="shared" ca="1" si="53"/>
        <v>Outdated</v>
      </c>
      <c r="P439" t="str">
        <f t="shared" si="54"/>
        <v>Not As Described</v>
      </c>
      <c r="Q439" t="str">
        <f t="shared" si="55"/>
        <v/>
      </c>
    </row>
    <row r="440" spans="1:17" x14ac:dyDescent="0.45">
      <c r="A440" t="s">
        <v>887</v>
      </c>
      <c r="B440" t="s">
        <v>138</v>
      </c>
      <c r="C440" t="s">
        <v>888</v>
      </c>
      <c r="D440" t="s">
        <v>101</v>
      </c>
      <c r="E440" s="8">
        <v>5044</v>
      </c>
      <c r="F440" s="9">
        <v>45506.666684444448</v>
      </c>
      <c r="G440" t="s">
        <v>194</v>
      </c>
      <c r="H440" t="s">
        <v>118</v>
      </c>
      <c r="I440" t="s">
        <v>119</v>
      </c>
      <c r="J440" t="str">
        <f t="shared" si="48"/>
        <v/>
      </c>
      <c r="K440" t="str">
        <f t="shared" si="49"/>
        <v/>
      </c>
      <c r="L440" t="str">
        <f t="shared" si="50"/>
        <v/>
      </c>
      <c r="M440" t="str">
        <f t="shared" si="51"/>
        <v>Invalid</v>
      </c>
      <c r="N440" t="str">
        <f t="shared" si="52"/>
        <v>Invalid</v>
      </c>
      <c r="O440" t="str">
        <f t="shared" ca="1" si="53"/>
        <v>Outdated</v>
      </c>
      <c r="P440" t="str">
        <f t="shared" si="54"/>
        <v>Damaged</v>
      </c>
      <c r="Q440" t="str">
        <f t="shared" si="55"/>
        <v/>
      </c>
    </row>
    <row r="441" spans="1:17" x14ac:dyDescent="0.45">
      <c r="A441" t="s">
        <v>889</v>
      </c>
      <c r="B441" t="s">
        <v>172</v>
      </c>
      <c r="C441" t="s">
        <v>890</v>
      </c>
      <c r="D441" t="s">
        <v>106</v>
      </c>
      <c r="E441" s="8">
        <v>10830.41</v>
      </c>
      <c r="F441" s="9">
        <v>45724.666684444448</v>
      </c>
      <c r="G441" t="s">
        <v>174</v>
      </c>
      <c r="H441" t="s">
        <v>133</v>
      </c>
      <c r="I441" t="s">
        <v>119</v>
      </c>
      <c r="J441" t="str">
        <f t="shared" si="48"/>
        <v/>
      </c>
      <c r="K441" t="str">
        <f t="shared" si="49"/>
        <v/>
      </c>
      <c r="L441" t="str">
        <f t="shared" si="50"/>
        <v>Unusual</v>
      </c>
      <c r="M441" t="str">
        <f t="shared" si="51"/>
        <v/>
      </c>
      <c r="N441" t="str">
        <f t="shared" si="52"/>
        <v>Invalid</v>
      </c>
      <c r="O441" t="str">
        <f t="shared" ca="1" si="53"/>
        <v>Outdated</v>
      </c>
      <c r="P441" t="str">
        <f t="shared" si="54"/>
        <v>Damaged</v>
      </c>
      <c r="Q441" t="str">
        <f t="shared" si="55"/>
        <v>Inconsistent</v>
      </c>
    </row>
    <row r="442" spans="1:17" x14ac:dyDescent="0.45">
      <c r="A442" t="s">
        <v>891</v>
      </c>
      <c r="B442" t="s">
        <v>95</v>
      </c>
      <c r="C442" t="s">
        <v>892</v>
      </c>
      <c r="D442" t="s">
        <v>101</v>
      </c>
      <c r="E442" s="8">
        <v>855.1</v>
      </c>
      <c r="F442" s="9">
        <v>45693.666684444448</v>
      </c>
      <c r="G442" t="s">
        <v>97</v>
      </c>
      <c r="H442" t="s">
        <v>87</v>
      </c>
      <c r="I442" t="s">
        <v>77</v>
      </c>
      <c r="J442" t="str">
        <f t="shared" si="48"/>
        <v/>
      </c>
      <c r="K442" t="str">
        <f t="shared" si="49"/>
        <v/>
      </c>
      <c r="L442" t="str">
        <f t="shared" si="50"/>
        <v/>
      </c>
      <c r="M442" t="str">
        <f t="shared" si="51"/>
        <v/>
      </c>
      <c r="N442" t="str">
        <f t="shared" si="52"/>
        <v>Invalid</v>
      </c>
      <c r="O442" t="str">
        <f t="shared" ca="1" si="53"/>
        <v>Outdated</v>
      </c>
      <c r="P442" t="str">
        <f t="shared" si="54"/>
        <v>Damaged</v>
      </c>
      <c r="Q442" t="str">
        <f t="shared" si="55"/>
        <v/>
      </c>
    </row>
    <row r="443" spans="1:17" x14ac:dyDescent="0.45">
      <c r="A443" t="s">
        <v>893</v>
      </c>
      <c r="B443" t="s">
        <v>90</v>
      </c>
      <c r="C443" t="s">
        <v>894</v>
      </c>
      <c r="D443" t="s">
        <v>101</v>
      </c>
      <c r="E443" s="8">
        <v>9379.6299999999992</v>
      </c>
      <c r="F443" s="9">
        <v>45279.666684444448</v>
      </c>
      <c r="G443" t="s">
        <v>93</v>
      </c>
      <c r="H443" t="s">
        <v>81</v>
      </c>
      <c r="I443" t="s">
        <v>77</v>
      </c>
      <c r="J443" t="str">
        <f t="shared" si="48"/>
        <v/>
      </c>
      <c r="K443" t="str">
        <f t="shared" si="49"/>
        <v/>
      </c>
      <c r="L443" t="str">
        <f t="shared" si="50"/>
        <v/>
      </c>
      <c r="M443" t="str">
        <f t="shared" si="51"/>
        <v/>
      </c>
      <c r="N443" t="str">
        <f t="shared" si="52"/>
        <v/>
      </c>
      <c r="O443" t="str">
        <f t="shared" ca="1" si="53"/>
        <v>Outdated</v>
      </c>
      <c r="P443" t="str">
        <f t="shared" si="54"/>
        <v>Damaged</v>
      </c>
      <c r="Q443" t="str">
        <f t="shared" si="55"/>
        <v/>
      </c>
    </row>
    <row r="444" spans="1:17" x14ac:dyDescent="0.45">
      <c r="A444" t="s">
        <v>895</v>
      </c>
      <c r="B444" t="s">
        <v>95</v>
      </c>
      <c r="C444" t="s">
        <v>896</v>
      </c>
      <c r="D444" t="s">
        <v>85</v>
      </c>
      <c r="E444" s="8">
        <v>1288.97</v>
      </c>
      <c r="F444" s="9">
        <v>45568.666684444448</v>
      </c>
      <c r="G444" t="s">
        <v>97</v>
      </c>
      <c r="H444" t="s">
        <v>76</v>
      </c>
      <c r="I444" t="s">
        <v>82</v>
      </c>
      <c r="J444" t="str">
        <f t="shared" si="48"/>
        <v/>
      </c>
      <c r="K444" t="str">
        <f t="shared" si="49"/>
        <v>Duplicate</v>
      </c>
      <c r="L444" t="str">
        <f t="shared" si="50"/>
        <v/>
      </c>
      <c r="M444" t="str">
        <f t="shared" si="51"/>
        <v/>
      </c>
      <c r="N444" t="str">
        <f t="shared" si="52"/>
        <v/>
      </c>
      <c r="O444" t="str">
        <f t="shared" ca="1" si="53"/>
        <v>Outdated</v>
      </c>
      <c r="P444" t="str">
        <f t="shared" si="54"/>
        <v>Late Delivery</v>
      </c>
      <c r="Q444" t="str">
        <f t="shared" si="55"/>
        <v/>
      </c>
    </row>
    <row r="445" spans="1:17" x14ac:dyDescent="0.45">
      <c r="A445" t="s">
        <v>897</v>
      </c>
      <c r="B445" t="s">
        <v>172</v>
      </c>
      <c r="C445" t="s">
        <v>898</v>
      </c>
      <c r="E445" s="8">
        <v>135.99</v>
      </c>
      <c r="F445" s="9">
        <v>45258.666684444448</v>
      </c>
      <c r="G445" t="s">
        <v>174</v>
      </c>
      <c r="H445" t="s">
        <v>107</v>
      </c>
      <c r="I445" t="s">
        <v>112</v>
      </c>
      <c r="J445" t="str">
        <f t="shared" si="48"/>
        <v>Missing</v>
      </c>
      <c r="K445" t="str">
        <f t="shared" si="49"/>
        <v/>
      </c>
      <c r="L445" t="str">
        <f t="shared" si="50"/>
        <v/>
      </c>
      <c r="M445" t="str">
        <f t="shared" si="51"/>
        <v/>
      </c>
      <c r="N445" t="str">
        <f t="shared" si="52"/>
        <v/>
      </c>
      <c r="O445" t="str">
        <f t="shared" ca="1" si="53"/>
        <v>Outdated</v>
      </c>
      <c r="P445" t="str">
        <f t="shared" si="54"/>
        <v/>
      </c>
      <c r="Q445" t="str">
        <f t="shared" si="55"/>
        <v/>
      </c>
    </row>
    <row r="446" spans="1:17" x14ac:dyDescent="0.45">
      <c r="A446" t="s">
        <v>899</v>
      </c>
      <c r="B446" t="s">
        <v>172</v>
      </c>
      <c r="D446" t="s">
        <v>85</v>
      </c>
      <c r="E446" s="8">
        <v>11680.73</v>
      </c>
      <c r="F446" s="9">
        <v>45170.666684444448</v>
      </c>
      <c r="G446" t="s">
        <v>174</v>
      </c>
      <c r="H446" t="s">
        <v>145</v>
      </c>
      <c r="I446" t="s">
        <v>82</v>
      </c>
      <c r="J446" t="str">
        <f t="shared" si="48"/>
        <v>Missing</v>
      </c>
      <c r="K446" t="str">
        <f t="shared" si="49"/>
        <v/>
      </c>
      <c r="L446" t="str">
        <f t="shared" si="50"/>
        <v>Unusual</v>
      </c>
      <c r="M446" t="str">
        <f t="shared" si="51"/>
        <v/>
      </c>
      <c r="N446" t="str">
        <f t="shared" si="52"/>
        <v/>
      </c>
      <c r="O446" t="str">
        <f t="shared" ca="1" si="53"/>
        <v>Outdated</v>
      </c>
      <c r="P446" t="str">
        <f t="shared" si="54"/>
        <v>Late Delivery</v>
      </c>
      <c r="Q446" t="str">
        <f t="shared" si="55"/>
        <v/>
      </c>
    </row>
    <row r="447" spans="1:17" x14ac:dyDescent="0.45">
      <c r="A447" t="s">
        <v>900</v>
      </c>
      <c r="B447" t="s">
        <v>90</v>
      </c>
      <c r="C447" t="s">
        <v>901</v>
      </c>
      <c r="D447" t="s">
        <v>101</v>
      </c>
      <c r="E447" s="8">
        <v>6489.09</v>
      </c>
      <c r="F447" s="9">
        <v>45443.666684444448</v>
      </c>
      <c r="H447" t="s">
        <v>133</v>
      </c>
      <c r="I447" t="s">
        <v>163</v>
      </c>
      <c r="J447" t="str">
        <f t="shared" si="48"/>
        <v/>
      </c>
      <c r="K447" t="str">
        <f t="shared" si="49"/>
        <v/>
      </c>
      <c r="L447" t="str">
        <f t="shared" si="50"/>
        <v/>
      </c>
      <c r="M447" t="str">
        <f t="shared" si="51"/>
        <v>Invalid</v>
      </c>
      <c r="N447" t="str">
        <f t="shared" si="52"/>
        <v>Invalid</v>
      </c>
      <c r="O447" t="str">
        <f t="shared" ca="1" si="53"/>
        <v>Outdated</v>
      </c>
      <c r="P447" t="str">
        <f t="shared" si="54"/>
        <v>Damaged</v>
      </c>
      <c r="Q447" t="str">
        <f t="shared" si="55"/>
        <v/>
      </c>
    </row>
    <row r="448" spans="1:17" x14ac:dyDescent="0.45">
      <c r="A448" t="s">
        <v>902</v>
      </c>
      <c r="B448" t="s">
        <v>172</v>
      </c>
      <c r="C448" t="s">
        <v>257</v>
      </c>
      <c r="D448" t="s">
        <v>106</v>
      </c>
      <c r="E448" s="8">
        <v>3062.19</v>
      </c>
      <c r="F448" s="9">
        <v>45501.666684444448</v>
      </c>
      <c r="G448" t="s">
        <v>174</v>
      </c>
      <c r="H448" t="s">
        <v>118</v>
      </c>
      <c r="I448" t="s">
        <v>82</v>
      </c>
      <c r="J448" t="str">
        <f t="shared" si="48"/>
        <v/>
      </c>
      <c r="K448" t="str">
        <f t="shared" si="49"/>
        <v/>
      </c>
      <c r="L448" t="str">
        <f t="shared" si="50"/>
        <v/>
      </c>
      <c r="M448" t="str">
        <f t="shared" si="51"/>
        <v/>
      </c>
      <c r="N448" t="str">
        <f t="shared" si="52"/>
        <v>Invalid</v>
      </c>
      <c r="O448" t="str">
        <f t="shared" ca="1" si="53"/>
        <v>Outdated</v>
      </c>
      <c r="P448" t="str">
        <f t="shared" si="54"/>
        <v>Damaged</v>
      </c>
      <c r="Q448" t="str">
        <f t="shared" si="55"/>
        <v>Inconsistent</v>
      </c>
    </row>
    <row r="449" spans="1:17" x14ac:dyDescent="0.45">
      <c r="A449" t="s">
        <v>903</v>
      </c>
      <c r="B449" t="s">
        <v>99</v>
      </c>
      <c r="C449" t="s">
        <v>904</v>
      </c>
      <c r="D449" t="s">
        <v>74</v>
      </c>
      <c r="E449" s="8">
        <v>6556.69</v>
      </c>
      <c r="F449" s="9">
        <v>45168.666684444448</v>
      </c>
      <c r="G449" t="s">
        <v>102</v>
      </c>
      <c r="H449" t="s">
        <v>133</v>
      </c>
      <c r="I449" t="s">
        <v>88</v>
      </c>
      <c r="J449" t="str">
        <f t="shared" si="48"/>
        <v/>
      </c>
      <c r="K449" t="str">
        <f t="shared" si="49"/>
        <v/>
      </c>
      <c r="L449" t="str">
        <f t="shared" si="50"/>
        <v/>
      </c>
      <c r="M449" t="str">
        <f t="shared" si="51"/>
        <v/>
      </c>
      <c r="N449" t="str">
        <f t="shared" si="52"/>
        <v>Invalid</v>
      </c>
      <c r="O449" t="str">
        <f t="shared" ca="1" si="53"/>
        <v>Outdated</v>
      </c>
      <c r="P449" t="str">
        <f t="shared" si="54"/>
        <v>Wrong Item</v>
      </c>
      <c r="Q449" t="str">
        <f t="shared" si="55"/>
        <v/>
      </c>
    </row>
    <row r="450" spans="1:17" x14ac:dyDescent="0.45">
      <c r="A450" t="s">
        <v>905</v>
      </c>
      <c r="B450" t="s">
        <v>79</v>
      </c>
      <c r="C450" t="s">
        <v>906</v>
      </c>
      <c r="D450" t="s">
        <v>148</v>
      </c>
      <c r="E450" s="8">
        <v>4118.09</v>
      </c>
      <c r="F450" s="9">
        <v>45494.666684444448</v>
      </c>
      <c r="G450" t="s">
        <v>86</v>
      </c>
      <c r="H450" t="s">
        <v>145</v>
      </c>
      <c r="I450" t="s">
        <v>119</v>
      </c>
      <c r="J450" t="str">
        <f t="shared" ref="J450:J513" si="56">IF(OR(ISBLANK(C450),ISBLANK(D450)),"Missing","")</f>
        <v/>
      </c>
      <c r="K450" t="str">
        <f t="shared" ref="K450:K513" si="57">IF(COUNTIF($A$2:$A$2501,A450)&gt;1,"Duplicate","")</f>
        <v/>
      </c>
      <c r="L450" t="str">
        <f t="shared" ref="L450:L513" si="58">IF(OR(E450=0,E450&gt;10000),"Unusual","")</f>
        <v/>
      </c>
      <c r="M450" t="str">
        <f t="shared" ref="M450:M513" si="59">IF(OR(ISBLANK(G450),ISERROR(FIND("@",G450)),ISERROR(FIND(".",G450,FIND("@",G450)+1))),"Invalid","")</f>
        <v/>
      </c>
      <c r="N450" t="str">
        <f t="shared" ref="N450:N513" si="60">IF(COUNTIF($S$2:$S$6,H450)=0,"Invalid","")</f>
        <v/>
      </c>
      <c r="O450" t="str">
        <f t="shared" ref="O450:O513" ca="1" si="61">IF(F450&lt;EDATE(TODAY(),-12),"Outdated","")</f>
        <v>Outdated</v>
      </c>
      <c r="P450" t="str">
        <f t="shared" ref="P450:P513" si="62">IF(ISBLANK(D450),"",PROPER(TRIM(D450)))</f>
        <v>Wrong Item</v>
      </c>
      <c r="Q450" t="str">
        <f t="shared" ref="Q450:Q513" si="63">IF(ISBLANK(D450),"",IF(EXACT(D450,P450),"","Inconsistent"))</f>
        <v>Inconsistent</v>
      </c>
    </row>
    <row r="451" spans="1:17" x14ac:dyDescent="0.45">
      <c r="A451" t="s">
        <v>907</v>
      </c>
      <c r="B451" t="s">
        <v>90</v>
      </c>
      <c r="C451" t="s">
        <v>908</v>
      </c>
      <c r="D451" t="s">
        <v>74</v>
      </c>
      <c r="E451" s="8">
        <v>877.71</v>
      </c>
      <c r="F451" s="9">
        <v>45343.666684444448</v>
      </c>
      <c r="G451" t="s">
        <v>93</v>
      </c>
      <c r="H451" t="s">
        <v>128</v>
      </c>
      <c r="I451" t="s">
        <v>163</v>
      </c>
      <c r="J451" t="str">
        <f t="shared" si="56"/>
        <v/>
      </c>
      <c r="K451" t="str">
        <f t="shared" si="57"/>
        <v/>
      </c>
      <c r="L451" t="str">
        <f t="shared" si="58"/>
        <v/>
      </c>
      <c r="M451" t="str">
        <f t="shared" si="59"/>
        <v/>
      </c>
      <c r="N451" t="str">
        <f t="shared" si="60"/>
        <v>Invalid</v>
      </c>
      <c r="O451" t="str">
        <f t="shared" ca="1" si="61"/>
        <v>Outdated</v>
      </c>
      <c r="P451" t="str">
        <f t="shared" si="62"/>
        <v>Wrong Item</v>
      </c>
      <c r="Q451" t="str">
        <f t="shared" si="63"/>
        <v/>
      </c>
    </row>
    <row r="452" spans="1:17" x14ac:dyDescent="0.45">
      <c r="A452" t="s">
        <v>909</v>
      </c>
      <c r="B452" t="s">
        <v>172</v>
      </c>
      <c r="C452" t="s">
        <v>910</v>
      </c>
      <c r="D452" t="s">
        <v>92</v>
      </c>
      <c r="E452" s="8">
        <v>3416.25</v>
      </c>
      <c r="F452" s="9">
        <v>45826.666684444448</v>
      </c>
      <c r="H452" t="s">
        <v>145</v>
      </c>
      <c r="I452" t="s">
        <v>112</v>
      </c>
      <c r="J452" t="str">
        <f t="shared" si="56"/>
        <v/>
      </c>
      <c r="K452" t="str">
        <f t="shared" si="57"/>
        <v/>
      </c>
      <c r="L452" t="str">
        <f t="shared" si="58"/>
        <v/>
      </c>
      <c r="M452" t="str">
        <f t="shared" si="59"/>
        <v>Invalid</v>
      </c>
      <c r="N452" t="str">
        <f t="shared" si="60"/>
        <v/>
      </c>
      <c r="O452" t="str">
        <f t="shared" ca="1" si="61"/>
        <v>Outdated</v>
      </c>
      <c r="P452" t="str">
        <f t="shared" si="62"/>
        <v>Not As Described</v>
      </c>
      <c r="Q452" t="str">
        <f t="shared" si="63"/>
        <v/>
      </c>
    </row>
    <row r="453" spans="1:17" x14ac:dyDescent="0.45">
      <c r="A453" t="s">
        <v>911</v>
      </c>
      <c r="B453" t="s">
        <v>72</v>
      </c>
      <c r="C453" t="s">
        <v>487</v>
      </c>
      <c r="D453" t="s">
        <v>85</v>
      </c>
      <c r="E453" s="8">
        <v>4414.21</v>
      </c>
      <c r="F453" s="9">
        <v>45383.666684444448</v>
      </c>
      <c r="G453" t="s">
        <v>75</v>
      </c>
      <c r="I453" t="s">
        <v>82</v>
      </c>
      <c r="J453" t="str">
        <f t="shared" si="56"/>
        <v/>
      </c>
      <c r="K453" t="str">
        <f t="shared" si="57"/>
        <v/>
      </c>
      <c r="L453" t="str">
        <f t="shared" si="58"/>
        <v/>
      </c>
      <c r="M453" t="str">
        <f t="shared" si="59"/>
        <v/>
      </c>
      <c r="N453" t="str">
        <f t="shared" si="60"/>
        <v>Invalid</v>
      </c>
      <c r="O453" t="str">
        <f t="shared" ca="1" si="61"/>
        <v>Outdated</v>
      </c>
      <c r="P453" t="str">
        <f t="shared" si="62"/>
        <v>Late Delivery</v>
      </c>
      <c r="Q453" t="str">
        <f t="shared" si="63"/>
        <v/>
      </c>
    </row>
    <row r="454" spans="1:17" x14ac:dyDescent="0.45">
      <c r="A454" t="s">
        <v>912</v>
      </c>
      <c r="B454" t="s">
        <v>72</v>
      </c>
      <c r="C454" t="s">
        <v>913</v>
      </c>
      <c r="D454" t="s">
        <v>101</v>
      </c>
      <c r="E454" s="8">
        <v>8350.58</v>
      </c>
      <c r="F454" s="9">
        <v>45810.666684444448</v>
      </c>
      <c r="G454" t="s">
        <v>75</v>
      </c>
      <c r="H454" t="s">
        <v>136</v>
      </c>
      <c r="I454" t="s">
        <v>163</v>
      </c>
      <c r="J454" t="str">
        <f t="shared" si="56"/>
        <v/>
      </c>
      <c r="K454" t="str">
        <f t="shared" si="57"/>
        <v/>
      </c>
      <c r="L454" t="str">
        <f t="shared" si="58"/>
        <v/>
      </c>
      <c r="M454" t="str">
        <f t="shared" si="59"/>
        <v/>
      </c>
      <c r="N454" t="str">
        <f t="shared" si="60"/>
        <v>Invalid</v>
      </c>
      <c r="O454" t="str">
        <f t="shared" ca="1" si="61"/>
        <v>Outdated</v>
      </c>
      <c r="P454" t="str">
        <f t="shared" si="62"/>
        <v>Damaged</v>
      </c>
      <c r="Q454" t="str">
        <f t="shared" si="63"/>
        <v/>
      </c>
    </row>
    <row r="455" spans="1:17" x14ac:dyDescent="0.45">
      <c r="A455" t="s">
        <v>914</v>
      </c>
      <c r="B455" t="s">
        <v>79</v>
      </c>
      <c r="C455" t="s">
        <v>915</v>
      </c>
      <c r="D455" t="s">
        <v>148</v>
      </c>
      <c r="E455" s="8">
        <v>9044.17</v>
      </c>
      <c r="F455" s="9">
        <v>45233.666684444448</v>
      </c>
      <c r="G455" t="s">
        <v>86</v>
      </c>
      <c r="H455" t="s">
        <v>118</v>
      </c>
      <c r="I455" t="s">
        <v>82</v>
      </c>
      <c r="J455" t="str">
        <f t="shared" si="56"/>
        <v/>
      </c>
      <c r="K455" t="str">
        <f t="shared" si="57"/>
        <v/>
      </c>
      <c r="L455" t="str">
        <f t="shared" si="58"/>
        <v/>
      </c>
      <c r="M455" t="str">
        <f t="shared" si="59"/>
        <v/>
      </c>
      <c r="N455" t="str">
        <f t="shared" si="60"/>
        <v>Invalid</v>
      </c>
      <c r="O455" t="str">
        <f t="shared" ca="1" si="61"/>
        <v>Outdated</v>
      </c>
      <c r="P455" t="str">
        <f t="shared" si="62"/>
        <v>Wrong Item</v>
      </c>
      <c r="Q455" t="str">
        <f t="shared" si="63"/>
        <v>Inconsistent</v>
      </c>
    </row>
    <row r="456" spans="1:17" x14ac:dyDescent="0.45">
      <c r="A456" t="s">
        <v>916</v>
      </c>
      <c r="B456" t="s">
        <v>72</v>
      </c>
      <c r="C456" t="s">
        <v>454</v>
      </c>
      <c r="D456" t="s">
        <v>74</v>
      </c>
      <c r="E456" s="8">
        <v>9354.6299999999992</v>
      </c>
      <c r="F456" s="9">
        <v>45490.666684444448</v>
      </c>
      <c r="G456" t="s">
        <v>75</v>
      </c>
      <c r="I456" t="s">
        <v>82</v>
      </c>
      <c r="J456" t="str">
        <f t="shared" si="56"/>
        <v/>
      </c>
      <c r="K456" t="str">
        <f t="shared" si="57"/>
        <v/>
      </c>
      <c r="L456" t="str">
        <f t="shared" si="58"/>
        <v/>
      </c>
      <c r="M456" t="str">
        <f t="shared" si="59"/>
        <v/>
      </c>
      <c r="N456" t="str">
        <f t="shared" si="60"/>
        <v>Invalid</v>
      </c>
      <c r="O456" t="str">
        <f t="shared" ca="1" si="61"/>
        <v>Outdated</v>
      </c>
      <c r="P456" t="str">
        <f t="shared" si="62"/>
        <v>Wrong Item</v>
      </c>
      <c r="Q456" t="str">
        <f t="shared" si="63"/>
        <v/>
      </c>
    </row>
    <row r="457" spans="1:17" x14ac:dyDescent="0.45">
      <c r="A457" t="s">
        <v>917</v>
      </c>
      <c r="B457" t="s">
        <v>109</v>
      </c>
      <c r="C457" t="s">
        <v>220</v>
      </c>
      <c r="D457" t="s">
        <v>74</v>
      </c>
      <c r="E457" s="8">
        <v>0</v>
      </c>
      <c r="F457" s="9">
        <v>45701.666684444448</v>
      </c>
      <c r="H457" t="s">
        <v>136</v>
      </c>
      <c r="I457" t="s">
        <v>82</v>
      </c>
      <c r="J457" t="str">
        <f t="shared" si="56"/>
        <v/>
      </c>
      <c r="K457" t="str">
        <f t="shared" si="57"/>
        <v/>
      </c>
      <c r="L457" t="str">
        <f t="shared" si="58"/>
        <v>Unusual</v>
      </c>
      <c r="M457" t="str">
        <f t="shared" si="59"/>
        <v>Invalid</v>
      </c>
      <c r="N457" t="str">
        <f t="shared" si="60"/>
        <v>Invalid</v>
      </c>
      <c r="O457" t="str">
        <f t="shared" ca="1" si="61"/>
        <v>Outdated</v>
      </c>
      <c r="P457" t="str">
        <f t="shared" si="62"/>
        <v>Wrong Item</v>
      </c>
      <c r="Q457" t="str">
        <f t="shared" si="63"/>
        <v/>
      </c>
    </row>
    <row r="458" spans="1:17" x14ac:dyDescent="0.45">
      <c r="A458" t="s">
        <v>918</v>
      </c>
      <c r="B458" t="s">
        <v>109</v>
      </c>
      <c r="C458" t="s">
        <v>127</v>
      </c>
      <c r="D458" t="s">
        <v>85</v>
      </c>
      <c r="E458" s="8">
        <v>8344.93</v>
      </c>
      <c r="F458" s="9">
        <v>45544.666684444448</v>
      </c>
      <c r="G458" t="s">
        <v>111</v>
      </c>
      <c r="H458" t="s">
        <v>133</v>
      </c>
      <c r="I458" t="s">
        <v>119</v>
      </c>
      <c r="J458" t="str">
        <f t="shared" si="56"/>
        <v/>
      </c>
      <c r="K458" t="str">
        <f t="shared" si="57"/>
        <v/>
      </c>
      <c r="L458" t="str">
        <f t="shared" si="58"/>
        <v/>
      </c>
      <c r="M458" t="str">
        <f t="shared" si="59"/>
        <v/>
      </c>
      <c r="N458" t="str">
        <f t="shared" si="60"/>
        <v>Invalid</v>
      </c>
      <c r="O458" t="str">
        <f t="shared" ca="1" si="61"/>
        <v>Outdated</v>
      </c>
      <c r="P458" t="str">
        <f t="shared" si="62"/>
        <v>Late Delivery</v>
      </c>
      <c r="Q458" t="str">
        <f t="shared" si="63"/>
        <v/>
      </c>
    </row>
    <row r="459" spans="1:17" x14ac:dyDescent="0.45">
      <c r="A459" t="s">
        <v>919</v>
      </c>
      <c r="B459" t="s">
        <v>109</v>
      </c>
      <c r="C459" t="s">
        <v>683</v>
      </c>
      <c r="D459" t="s">
        <v>101</v>
      </c>
      <c r="E459" s="8">
        <v>672.03</v>
      </c>
      <c r="F459" s="9">
        <v>45763.666684444448</v>
      </c>
      <c r="G459" t="s">
        <v>111</v>
      </c>
      <c r="H459" t="s">
        <v>76</v>
      </c>
      <c r="I459" t="s">
        <v>119</v>
      </c>
      <c r="J459" t="str">
        <f t="shared" si="56"/>
        <v/>
      </c>
      <c r="K459" t="str">
        <f t="shared" si="57"/>
        <v/>
      </c>
      <c r="L459" t="str">
        <f t="shared" si="58"/>
        <v/>
      </c>
      <c r="M459" t="str">
        <f t="shared" si="59"/>
        <v/>
      </c>
      <c r="N459" t="str">
        <f t="shared" si="60"/>
        <v/>
      </c>
      <c r="O459" t="str">
        <f t="shared" ca="1" si="61"/>
        <v>Outdated</v>
      </c>
      <c r="P459" t="str">
        <f t="shared" si="62"/>
        <v>Damaged</v>
      </c>
      <c r="Q459" t="str">
        <f t="shared" si="63"/>
        <v/>
      </c>
    </row>
    <row r="460" spans="1:17" x14ac:dyDescent="0.45">
      <c r="A460" t="s">
        <v>920</v>
      </c>
      <c r="B460" t="s">
        <v>79</v>
      </c>
      <c r="C460" t="s">
        <v>543</v>
      </c>
      <c r="D460" t="s">
        <v>85</v>
      </c>
      <c r="E460" s="8">
        <v>6424.45</v>
      </c>
      <c r="F460" s="9">
        <v>45286.666684444448</v>
      </c>
      <c r="G460" t="s">
        <v>86</v>
      </c>
      <c r="H460" t="s">
        <v>107</v>
      </c>
      <c r="I460" t="s">
        <v>77</v>
      </c>
      <c r="J460" t="str">
        <f t="shared" si="56"/>
        <v/>
      </c>
      <c r="K460" t="str">
        <f t="shared" si="57"/>
        <v/>
      </c>
      <c r="L460" t="str">
        <f t="shared" si="58"/>
        <v/>
      </c>
      <c r="M460" t="str">
        <f t="shared" si="59"/>
        <v/>
      </c>
      <c r="N460" t="str">
        <f t="shared" si="60"/>
        <v/>
      </c>
      <c r="O460" t="str">
        <f t="shared" ca="1" si="61"/>
        <v>Outdated</v>
      </c>
      <c r="P460" t="str">
        <f t="shared" si="62"/>
        <v>Late Delivery</v>
      </c>
      <c r="Q460" t="str">
        <f t="shared" si="63"/>
        <v/>
      </c>
    </row>
    <row r="461" spans="1:17" x14ac:dyDescent="0.45">
      <c r="A461" t="s">
        <v>921</v>
      </c>
      <c r="B461" t="s">
        <v>79</v>
      </c>
      <c r="C461" t="s">
        <v>922</v>
      </c>
      <c r="D461" t="s">
        <v>74</v>
      </c>
      <c r="E461" s="8">
        <v>3869.4</v>
      </c>
      <c r="F461" s="9">
        <v>45370.666684444448</v>
      </c>
      <c r="G461" t="s">
        <v>86</v>
      </c>
      <c r="H461" t="s">
        <v>87</v>
      </c>
      <c r="I461" t="s">
        <v>119</v>
      </c>
      <c r="J461" t="str">
        <f t="shared" si="56"/>
        <v/>
      </c>
      <c r="K461" t="str">
        <f t="shared" si="57"/>
        <v/>
      </c>
      <c r="L461" t="str">
        <f t="shared" si="58"/>
        <v/>
      </c>
      <c r="M461" t="str">
        <f t="shared" si="59"/>
        <v/>
      </c>
      <c r="N461" t="str">
        <f t="shared" si="60"/>
        <v>Invalid</v>
      </c>
      <c r="O461" t="str">
        <f t="shared" ca="1" si="61"/>
        <v>Outdated</v>
      </c>
      <c r="P461" t="str">
        <f t="shared" si="62"/>
        <v>Wrong Item</v>
      </c>
      <c r="Q461" t="str">
        <f t="shared" si="63"/>
        <v/>
      </c>
    </row>
    <row r="462" spans="1:17" x14ac:dyDescent="0.45">
      <c r="A462" t="s">
        <v>923</v>
      </c>
      <c r="B462" t="s">
        <v>90</v>
      </c>
      <c r="C462" t="s">
        <v>924</v>
      </c>
      <c r="D462" t="s">
        <v>74</v>
      </c>
      <c r="E462" s="8">
        <v>9998.52</v>
      </c>
      <c r="F462" s="9">
        <v>45294.666684444448</v>
      </c>
      <c r="G462" t="s">
        <v>93</v>
      </c>
      <c r="H462" t="s">
        <v>87</v>
      </c>
      <c r="I462" t="s">
        <v>77</v>
      </c>
      <c r="J462" t="str">
        <f t="shared" si="56"/>
        <v/>
      </c>
      <c r="K462" t="str">
        <f t="shared" si="57"/>
        <v/>
      </c>
      <c r="L462" t="str">
        <f t="shared" si="58"/>
        <v/>
      </c>
      <c r="M462" t="str">
        <f t="shared" si="59"/>
        <v/>
      </c>
      <c r="N462" t="str">
        <f t="shared" si="60"/>
        <v>Invalid</v>
      </c>
      <c r="O462" t="str">
        <f t="shared" ca="1" si="61"/>
        <v>Outdated</v>
      </c>
      <c r="P462" t="str">
        <f t="shared" si="62"/>
        <v>Wrong Item</v>
      </c>
      <c r="Q462" t="str">
        <f t="shared" si="63"/>
        <v/>
      </c>
    </row>
    <row r="463" spans="1:17" x14ac:dyDescent="0.45">
      <c r="A463" t="s">
        <v>925</v>
      </c>
      <c r="B463" t="s">
        <v>138</v>
      </c>
      <c r="C463" t="s">
        <v>926</v>
      </c>
      <c r="D463" t="s">
        <v>74</v>
      </c>
      <c r="E463" s="8">
        <v>7541.07</v>
      </c>
      <c r="F463" s="9">
        <v>45309.666684444448</v>
      </c>
      <c r="G463" t="s">
        <v>140</v>
      </c>
      <c r="H463" t="s">
        <v>136</v>
      </c>
      <c r="I463" t="s">
        <v>88</v>
      </c>
      <c r="J463" t="str">
        <f t="shared" si="56"/>
        <v/>
      </c>
      <c r="K463" t="str">
        <f t="shared" si="57"/>
        <v/>
      </c>
      <c r="L463" t="str">
        <f t="shared" si="58"/>
        <v/>
      </c>
      <c r="M463" t="str">
        <f t="shared" si="59"/>
        <v/>
      </c>
      <c r="N463" t="str">
        <f t="shared" si="60"/>
        <v>Invalid</v>
      </c>
      <c r="O463" t="str">
        <f t="shared" ca="1" si="61"/>
        <v>Outdated</v>
      </c>
      <c r="P463" t="str">
        <f t="shared" si="62"/>
        <v>Wrong Item</v>
      </c>
      <c r="Q463" t="str">
        <f t="shared" si="63"/>
        <v/>
      </c>
    </row>
    <row r="464" spans="1:17" x14ac:dyDescent="0.45">
      <c r="A464" t="s">
        <v>927</v>
      </c>
      <c r="B464" t="s">
        <v>109</v>
      </c>
      <c r="C464" t="s">
        <v>928</v>
      </c>
      <c r="D464" t="s">
        <v>74</v>
      </c>
      <c r="E464" s="8">
        <v>3048.37</v>
      </c>
      <c r="F464" s="9">
        <v>45550.666684444448</v>
      </c>
      <c r="H464" t="s">
        <v>136</v>
      </c>
      <c r="I464" t="s">
        <v>112</v>
      </c>
      <c r="J464" t="str">
        <f t="shared" si="56"/>
        <v/>
      </c>
      <c r="K464" t="str">
        <f t="shared" si="57"/>
        <v/>
      </c>
      <c r="L464" t="str">
        <f t="shared" si="58"/>
        <v/>
      </c>
      <c r="M464" t="str">
        <f t="shared" si="59"/>
        <v>Invalid</v>
      </c>
      <c r="N464" t="str">
        <f t="shared" si="60"/>
        <v>Invalid</v>
      </c>
      <c r="O464" t="str">
        <f t="shared" ca="1" si="61"/>
        <v>Outdated</v>
      </c>
      <c r="P464" t="str">
        <f t="shared" si="62"/>
        <v>Wrong Item</v>
      </c>
      <c r="Q464" t="str">
        <f t="shared" si="63"/>
        <v/>
      </c>
    </row>
    <row r="465" spans="1:17" x14ac:dyDescent="0.45">
      <c r="A465" t="s">
        <v>929</v>
      </c>
      <c r="B465" t="s">
        <v>72</v>
      </c>
      <c r="C465" t="s">
        <v>930</v>
      </c>
      <c r="D465" t="s">
        <v>85</v>
      </c>
      <c r="E465" s="8">
        <v>11796.24</v>
      </c>
      <c r="F465" s="9">
        <v>45153.666684444448</v>
      </c>
      <c r="G465" t="s">
        <v>75</v>
      </c>
      <c r="H465" t="s">
        <v>118</v>
      </c>
      <c r="I465" t="s">
        <v>82</v>
      </c>
      <c r="J465" t="str">
        <f t="shared" si="56"/>
        <v/>
      </c>
      <c r="K465" t="str">
        <f t="shared" si="57"/>
        <v/>
      </c>
      <c r="L465" t="str">
        <f t="shared" si="58"/>
        <v>Unusual</v>
      </c>
      <c r="M465" t="str">
        <f t="shared" si="59"/>
        <v/>
      </c>
      <c r="N465" t="str">
        <f t="shared" si="60"/>
        <v>Invalid</v>
      </c>
      <c r="O465" t="str">
        <f t="shared" ca="1" si="61"/>
        <v>Outdated</v>
      </c>
      <c r="P465" t="str">
        <f t="shared" si="62"/>
        <v>Late Delivery</v>
      </c>
      <c r="Q465" t="str">
        <f t="shared" si="63"/>
        <v/>
      </c>
    </row>
    <row r="466" spans="1:17" x14ac:dyDescent="0.45">
      <c r="A466" t="s">
        <v>931</v>
      </c>
      <c r="B466" t="s">
        <v>95</v>
      </c>
      <c r="C466" t="s">
        <v>932</v>
      </c>
      <c r="D466" t="s">
        <v>92</v>
      </c>
      <c r="E466" s="8">
        <v>9428.0300000000007</v>
      </c>
      <c r="F466" s="9">
        <v>45311.666684444448</v>
      </c>
      <c r="G466" t="s">
        <v>97</v>
      </c>
      <c r="H466" t="s">
        <v>133</v>
      </c>
      <c r="I466" t="s">
        <v>82</v>
      </c>
      <c r="J466" t="str">
        <f t="shared" si="56"/>
        <v/>
      </c>
      <c r="K466" t="str">
        <f t="shared" si="57"/>
        <v/>
      </c>
      <c r="L466" t="str">
        <f t="shared" si="58"/>
        <v/>
      </c>
      <c r="M466" t="str">
        <f t="shared" si="59"/>
        <v/>
      </c>
      <c r="N466" t="str">
        <f t="shared" si="60"/>
        <v>Invalid</v>
      </c>
      <c r="O466" t="str">
        <f t="shared" ca="1" si="61"/>
        <v>Outdated</v>
      </c>
      <c r="P466" t="str">
        <f t="shared" si="62"/>
        <v>Not As Described</v>
      </c>
      <c r="Q466" t="str">
        <f t="shared" si="63"/>
        <v/>
      </c>
    </row>
    <row r="467" spans="1:17" x14ac:dyDescent="0.45">
      <c r="A467" t="s">
        <v>933</v>
      </c>
      <c r="B467" t="s">
        <v>138</v>
      </c>
      <c r="C467" t="s">
        <v>901</v>
      </c>
      <c r="D467" t="s">
        <v>155</v>
      </c>
      <c r="E467" s="8">
        <v>9804.01</v>
      </c>
      <c r="F467" s="9">
        <v>45468.666684444448</v>
      </c>
      <c r="G467" t="s">
        <v>140</v>
      </c>
      <c r="H467" t="s">
        <v>76</v>
      </c>
      <c r="I467" t="s">
        <v>77</v>
      </c>
      <c r="J467" t="str">
        <f t="shared" si="56"/>
        <v/>
      </c>
      <c r="K467" t="str">
        <f t="shared" si="57"/>
        <v/>
      </c>
      <c r="L467" t="str">
        <f t="shared" si="58"/>
        <v/>
      </c>
      <c r="M467" t="str">
        <f t="shared" si="59"/>
        <v/>
      </c>
      <c r="N467" t="str">
        <f t="shared" si="60"/>
        <v/>
      </c>
      <c r="O467" t="str">
        <f t="shared" ca="1" si="61"/>
        <v>Outdated</v>
      </c>
      <c r="P467" t="str">
        <f t="shared" si="62"/>
        <v>Damaged</v>
      </c>
      <c r="Q467" t="str">
        <f t="shared" si="63"/>
        <v>Inconsistent</v>
      </c>
    </row>
    <row r="468" spans="1:17" x14ac:dyDescent="0.45">
      <c r="A468" t="s">
        <v>934</v>
      </c>
      <c r="B468" t="s">
        <v>90</v>
      </c>
      <c r="C468" t="s">
        <v>935</v>
      </c>
      <c r="E468" s="8">
        <v>3921.28</v>
      </c>
      <c r="F468" s="9">
        <v>45549.666684444448</v>
      </c>
      <c r="G468" t="s">
        <v>93</v>
      </c>
      <c r="I468" t="s">
        <v>82</v>
      </c>
      <c r="J468" t="str">
        <f t="shared" si="56"/>
        <v>Missing</v>
      </c>
      <c r="K468" t="str">
        <f t="shared" si="57"/>
        <v/>
      </c>
      <c r="L468" t="str">
        <f t="shared" si="58"/>
        <v/>
      </c>
      <c r="M468" t="str">
        <f t="shared" si="59"/>
        <v/>
      </c>
      <c r="N468" t="str">
        <f t="shared" si="60"/>
        <v>Invalid</v>
      </c>
      <c r="O468" t="str">
        <f t="shared" ca="1" si="61"/>
        <v>Outdated</v>
      </c>
      <c r="P468" t="str">
        <f t="shared" si="62"/>
        <v/>
      </c>
      <c r="Q468" t="str">
        <f t="shared" si="63"/>
        <v/>
      </c>
    </row>
    <row r="469" spans="1:17" x14ac:dyDescent="0.45">
      <c r="A469" t="s">
        <v>936</v>
      </c>
      <c r="B469" t="s">
        <v>72</v>
      </c>
      <c r="C469" t="s">
        <v>760</v>
      </c>
      <c r="D469" t="s">
        <v>74</v>
      </c>
      <c r="E469" s="8">
        <v>955.85</v>
      </c>
      <c r="F469" s="9">
        <v>45813.666684444448</v>
      </c>
      <c r="G469" t="s">
        <v>75</v>
      </c>
      <c r="H469" t="s">
        <v>145</v>
      </c>
      <c r="I469" t="s">
        <v>77</v>
      </c>
      <c r="J469" t="str">
        <f t="shared" si="56"/>
        <v/>
      </c>
      <c r="K469" t="str">
        <f t="shared" si="57"/>
        <v/>
      </c>
      <c r="L469" t="str">
        <f t="shared" si="58"/>
        <v/>
      </c>
      <c r="M469" t="str">
        <f t="shared" si="59"/>
        <v/>
      </c>
      <c r="N469" t="str">
        <f t="shared" si="60"/>
        <v/>
      </c>
      <c r="O469" t="str">
        <f t="shared" ca="1" si="61"/>
        <v>Outdated</v>
      </c>
      <c r="P469" t="str">
        <f t="shared" si="62"/>
        <v>Wrong Item</v>
      </c>
      <c r="Q469" t="str">
        <f t="shared" si="63"/>
        <v/>
      </c>
    </row>
    <row r="470" spans="1:17" x14ac:dyDescent="0.45">
      <c r="A470" t="s">
        <v>937</v>
      </c>
      <c r="B470" t="s">
        <v>172</v>
      </c>
      <c r="C470" t="s">
        <v>603</v>
      </c>
      <c r="D470" t="s">
        <v>101</v>
      </c>
      <c r="E470" s="8">
        <v>0</v>
      </c>
      <c r="F470" s="9">
        <v>45382.666684444448</v>
      </c>
      <c r="G470" t="s">
        <v>174</v>
      </c>
      <c r="H470" t="s">
        <v>107</v>
      </c>
      <c r="I470" t="s">
        <v>88</v>
      </c>
      <c r="J470" t="str">
        <f t="shared" si="56"/>
        <v/>
      </c>
      <c r="K470" t="str">
        <f t="shared" si="57"/>
        <v/>
      </c>
      <c r="L470" t="str">
        <f t="shared" si="58"/>
        <v>Unusual</v>
      </c>
      <c r="M470" t="str">
        <f t="shared" si="59"/>
        <v/>
      </c>
      <c r="N470" t="str">
        <f t="shared" si="60"/>
        <v/>
      </c>
      <c r="O470" t="str">
        <f t="shared" ca="1" si="61"/>
        <v>Outdated</v>
      </c>
      <c r="P470" t="str">
        <f t="shared" si="62"/>
        <v>Damaged</v>
      </c>
      <c r="Q470" t="str">
        <f t="shared" si="63"/>
        <v/>
      </c>
    </row>
    <row r="471" spans="1:17" x14ac:dyDescent="0.45">
      <c r="A471" t="s">
        <v>938</v>
      </c>
      <c r="B471" t="s">
        <v>90</v>
      </c>
      <c r="C471" t="s">
        <v>939</v>
      </c>
      <c r="D471" t="s">
        <v>74</v>
      </c>
      <c r="E471" s="8">
        <v>5347.67</v>
      </c>
      <c r="F471" s="9">
        <v>45401.666684444448</v>
      </c>
      <c r="G471" t="s">
        <v>93</v>
      </c>
      <c r="H471" t="s">
        <v>116</v>
      </c>
      <c r="I471" t="s">
        <v>88</v>
      </c>
      <c r="J471" t="str">
        <f t="shared" si="56"/>
        <v/>
      </c>
      <c r="K471" t="str">
        <f t="shared" si="57"/>
        <v/>
      </c>
      <c r="L471" t="str">
        <f t="shared" si="58"/>
        <v/>
      </c>
      <c r="M471" t="str">
        <f t="shared" si="59"/>
        <v/>
      </c>
      <c r="N471" t="str">
        <f t="shared" si="60"/>
        <v/>
      </c>
      <c r="O471" t="str">
        <f t="shared" ca="1" si="61"/>
        <v>Outdated</v>
      </c>
      <c r="P471" t="str">
        <f t="shared" si="62"/>
        <v>Wrong Item</v>
      </c>
      <c r="Q471" t="str">
        <f t="shared" si="63"/>
        <v/>
      </c>
    </row>
    <row r="472" spans="1:17" x14ac:dyDescent="0.45">
      <c r="A472" t="s">
        <v>940</v>
      </c>
      <c r="B472" t="s">
        <v>109</v>
      </c>
      <c r="C472" t="s">
        <v>223</v>
      </c>
      <c r="D472" t="s">
        <v>101</v>
      </c>
      <c r="E472" s="8">
        <v>1513.84</v>
      </c>
      <c r="F472" s="9">
        <v>45291.666684444448</v>
      </c>
      <c r="G472" t="s">
        <v>111</v>
      </c>
      <c r="H472" t="s">
        <v>136</v>
      </c>
      <c r="I472" t="s">
        <v>88</v>
      </c>
      <c r="J472" t="str">
        <f t="shared" si="56"/>
        <v/>
      </c>
      <c r="K472" t="str">
        <f t="shared" si="57"/>
        <v/>
      </c>
      <c r="L472" t="str">
        <f t="shared" si="58"/>
        <v/>
      </c>
      <c r="M472" t="str">
        <f t="shared" si="59"/>
        <v/>
      </c>
      <c r="N472" t="str">
        <f t="shared" si="60"/>
        <v>Invalid</v>
      </c>
      <c r="O472" t="str">
        <f t="shared" ca="1" si="61"/>
        <v>Outdated</v>
      </c>
      <c r="P472" t="str">
        <f t="shared" si="62"/>
        <v>Damaged</v>
      </c>
      <c r="Q472" t="str">
        <f t="shared" si="63"/>
        <v/>
      </c>
    </row>
    <row r="473" spans="1:17" x14ac:dyDescent="0.45">
      <c r="A473" t="s">
        <v>941</v>
      </c>
      <c r="B473" t="s">
        <v>109</v>
      </c>
      <c r="C473" t="s">
        <v>875</v>
      </c>
      <c r="D473" t="s">
        <v>85</v>
      </c>
      <c r="E473" s="8">
        <v>1769.43</v>
      </c>
      <c r="F473" s="9">
        <v>45846.666684444448</v>
      </c>
      <c r="G473" t="s">
        <v>111</v>
      </c>
      <c r="H473" t="s">
        <v>133</v>
      </c>
      <c r="I473" t="s">
        <v>82</v>
      </c>
      <c r="J473" t="str">
        <f t="shared" si="56"/>
        <v/>
      </c>
      <c r="K473" t="str">
        <f t="shared" si="57"/>
        <v/>
      </c>
      <c r="L473" t="str">
        <f t="shared" si="58"/>
        <v/>
      </c>
      <c r="M473" t="str">
        <f t="shared" si="59"/>
        <v/>
      </c>
      <c r="N473" t="str">
        <f t="shared" si="60"/>
        <v>Invalid</v>
      </c>
      <c r="O473" t="str">
        <f t="shared" ca="1" si="61"/>
        <v/>
      </c>
      <c r="P473" t="str">
        <f t="shared" si="62"/>
        <v>Late Delivery</v>
      </c>
      <c r="Q473" t="str">
        <f t="shared" si="63"/>
        <v/>
      </c>
    </row>
    <row r="474" spans="1:17" x14ac:dyDescent="0.45">
      <c r="A474" t="s">
        <v>942</v>
      </c>
      <c r="B474" t="s">
        <v>172</v>
      </c>
      <c r="C474" t="s">
        <v>142</v>
      </c>
      <c r="D474" t="s">
        <v>74</v>
      </c>
      <c r="E474" s="8">
        <v>0</v>
      </c>
      <c r="F474" s="9">
        <v>45238.666684444448</v>
      </c>
      <c r="H474" t="s">
        <v>76</v>
      </c>
      <c r="I474" t="s">
        <v>112</v>
      </c>
      <c r="J474" t="str">
        <f t="shared" si="56"/>
        <v/>
      </c>
      <c r="K474" t="str">
        <f t="shared" si="57"/>
        <v/>
      </c>
      <c r="L474" t="str">
        <f t="shared" si="58"/>
        <v>Unusual</v>
      </c>
      <c r="M474" t="str">
        <f t="shared" si="59"/>
        <v>Invalid</v>
      </c>
      <c r="N474" t="str">
        <f t="shared" si="60"/>
        <v/>
      </c>
      <c r="O474" t="str">
        <f t="shared" ca="1" si="61"/>
        <v>Outdated</v>
      </c>
      <c r="P474" t="str">
        <f t="shared" si="62"/>
        <v>Wrong Item</v>
      </c>
      <c r="Q474" t="str">
        <f t="shared" si="63"/>
        <v/>
      </c>
    </row>
    <row r="475" spans="1:17" x14ac:dyDescent="0.45">
      <c r="A475" t="s">
        <v>943</v>
      </c>
      <c r="B475" t="s">
        <v>104</v>
      </c>
      <c r="C475" t="s">
        <v>944</v>
      </c>
      <c r="D475" t="s">
        <v>74</v>
      </c>
      <c r="E475" s="8">
        <v>0</v>
      </c>
      <c r="F475" s="9">
        <v>45519.666684444448</v>
      </c>
      <c r="H475" t="s">
        <v>76</v>
      </c>
      <c r="I475" t="s">
        <v>77</v>
      </c>
      <c r="J475" t="str">
        <f t="shared" si="56"/>
        <v/>
      </c>
      <c r="K475" t="str">
        <f t="shared" si="57"/>
        <v/>
      </c>
      <c r="L475" t="str">
        <f t="shared" si="58"/>
        <v>Unusual</v>
      </c>
      <c r="M475" t="str">
        <f t="shared" si="59"/>
        <v>Invalid</v>
      </c>
      <c r="N475" t="str">
        <f t="shared" si="60"/>
        <v/>
      </c>
      <c r="O475" t="str">
        <f t="shared" ca="1" si="61"/>
        <v>Outdated</v>
      </c>
      <c r="P475" t="str">
        <f t="shared" si="62"/>
        <v>Wrong Item</v>
      </c>
      <c r="Q475" t="str">
        <f t="shared" si="63"/>
        <v/>
      </c>
    </row>
    <row r="476" spans="1:17" x14ac:dyDescent="0.45">
      <c r="A476" t="s">
        <v>945</v>
      </c>
      <c r="B476" t="s">
        <v>90</v>
      </c>
      <c r="C476" t="s">
        <v>179</v>
      </c>
      <c r="D476" t="s">
        <v>155</v>
      </c>
      <c r="E476" s="8">
        <v>5179.01</v>
      </c>
      <c r="F476" s="9">
        <v>45167.666684444448</v>
      </c>
      <c r="G476" t="s">
        <v>296</v>
      </c>
      <c r="H476" t="s">
        <v>145</v>
      </c>
      <c r="I476" t="s">
        <v>82</v>
      </c>
      <c r="J476" t="str">
        <f t="shared" si="56"/>
        <v/>
      </c>
      <c r="K476" t="str">
        <f t="shared" si="57"/>
        <v>Duplicate</v>
      </c>
      <c r="L476" t="str">
        <f t="shared" si="58"/>
        <v/>
      </c>
      <c r="M476" t="str">
        <f t="shared" si="59"/>
        <v>Invalid</v>
      </c>
      <c r="N476" t="str">
        <f t="shared" si="60"/>
        <v/>
      </c>
      <c r="O476" t="str">
        <f t="shared" ca="1" si="61"/>
        <v>Outdated</v>
      </c>
      <c r="P476" t="str">
        <f t="shared" si="62"/>
        <v>Damaged</v>
      </c>
      <c r="Q476" t="str">
        <f t="shared" si="63"/>
        <v>Inconsistent</v>
      </c>
    </row>
    <row r="477" spans="1:17" x14ac:dyDescent="0.45">
      <c r="A477" t="s">
        <v>946</v>
      </c>
      <c r="B477" t="s">
        <v>172</v>
      </c>
      <c r="C477" t="s">
        <v>947</v>
      </c>
      <c r="D477" t="s">
        <v>85</v>
      </c>
      <c r="E477" s="8">
        <v>11911.17</v>
      </c>
      <c r="F477" s="9">
        <v>45609.666684444448</v>
      </c>
      <c r="H477" t="s">
        <v>76</v>
      </c>
      <c r="I477" t="s">
        <v>112</v>
      </c>
      <c r="J477" t="str">
        <f t="shared" si="56"/>
        <v/>
      </c>
      <c r="K477" t="str">
        <f t="shared" si="57"/>
        <v/>
      </c>
      <c r="L477" t="str">
        <f t="shared" si="58"/>
        <v>Unusual</v>
      </c>
      <c r="M477" t="str">
        <f t="shared" si="59"/>
        <v>Invalid</v>
      </c>
      <c r="N477" t="str">
        <f t="shared" si="60"/>
        <v/>
      </c>
      <c r="O477" t="str">
        <f t="shared" ca="1" si="61"/>
        <v>Outdated</v>
      </c>
      <c r="P477" t="str">
        <f t="shared" si="62"/>
        <v>Late Delivery</v>
      </c>
      <c r="Q477" t="str">
        <f t="shared" si="63"/>
        <v/>
      </c>
    </row>
    <row r="478" spans="1:17" x14ac:dyDescent="0.45">
      <c r="A478" t="s">
        <v>948</v>
      </c>
      <c r="B478" t="s">
        <v>79</v>
      </c>
      <c r="C478" t="s">
        <v>949</v>
      </c>
      <c r="D478" t="s">
        <v>101</v>
      </c>
      <c r="E478" s="8">
        <v>605.47</v>
      </c>
      <c r="F478" s="9">
        <v>45355.666684444448</v>
      </c>
      <c r="G478" t="s">
        <v>86</v>
      </c>
      <c r="I478" t="s">
        <v>88</v>
      </c>
      <c r="J478" t="str">
        <f t="shared" si="56"/>
        <v/>
      </c>
      <c r="K478" t="str">
        <f t="shared" si="57"/>
        <v/>
      </c>
      <c r="L478" t="str">
        <f t="shared" si="58"/>
        <v/>
      </c>
      <c r="M478" t="str">
        <f t="shared" si="59"/>
        <v/>
      </c>
      <c r="N478" t="str">
        <f t="shared" si="60"/>
        <v>Invalid</v>
      </c>
      <c r="O478" t="str">
        <f t="shared" ca="1" si="61"/>
        <v>Outdated</v>
      </c>
      <c r="P478" t="str">
        <f t="shared" si="62"/>
        <v>Damaged</v>
      </c>
      <c r="Q478" t="str">
        <f t="shared" si="63"/>
        <v/>
      </c>
    </row>
    <row r="479" spans="1:17" x14ac:dyDescent="0.45">
      <c r="A479" t="s">
        <v>950</v>
      </c>
      <c r="B479" t="s">
        <v>90</v>
      </c>
      <c r="C479" t="s">
        <v>745</v>
      </c>
      <c r="D479" t="s">
        <v>74</v>
      </c>
      <c r="E479" s="8">
        <v>10572.05</v>
      </c>
      <c r="F479" s="9">
        <v>45332.666684444448</v>
      </c>
      <c r="G479" t="s">
        <v>93</v>
      </c>
      <c r="H479" t="s">
        <v>133</v>
      </c>
      <c r="I479" t="s">
        <v>163</v>
      </c>
      <c r="J479" t="str">
        <f t="shared" si="56"/>
        <v/>
      </c>
      <c r="K479" t="str">
        <f t="shared" si="57"/>
        <v/>
      </c>
      <c r="L479" t="str">
        <f t="shared" si="58"/>
        <v>Unusual</v>
      </c>
      <c r="M479" t="str">
        <f t="shared" si="59"/>
        <v/>
      </c>
      <c r="N479" t="str">
        <f t="shared" si="60"/>
        <v>Invalid</v>
      </c>
      <c r="O479" t="str">
        <f t="shared" ca="1" si="61"/>
        <v>Outdated</v>
      </c>
      <c r="P479" t="str">
        <f t="shared" si="62"/>
        <v>Wrong Item</v>
      </c>
      <c r="Q479" t="str">
        <f t="shared" si="63"/>
        <v/>
      </c>
    </row>
    <row r="480" spans="1:17" x14ac:dyDescent="0.45">
      <c r="A480" t="s">
        <v>951</v>
      </c>
      <c r="B480" t="s">
        <v>72</v>
      </c>
      <c r="C480" t="s">
        <v>641</v>
      </c>
      <c r="D480" t="s">
        <v>74</v>
      </c>
      <c r="E480" s="8">
        <v>9898.0499999999993</v>
      </c>
      <c r="F480" s="9">
        <v>45599.666684444448</v>
      </c>
      <c r="G480" t="s">
        <v>75</v>
      </c>
      <c r="H480" t="s">
        <v>116</v>
      </c>
      <c r="I480" t="s">
        <v>119</v>
      </c>
      <c r="J480" t="str">
        <f t="shared" si="56"/>
        <v/>
      </c>
      <c r="K480" t="str">
        <f t="shared" si="57"/>
        <v/>
      </c>
      <c r="L480" t="str">
        <f t="shared" si="58"/>
        <v/>
      </c>
      <c r="M480" t="str">
        <f t="shared" si="59"/>
        <v/>
      </c>
      <c r="N480" t="str">
        <f t="shared" si="60"/>
        <v/>
      </c>
      <c r="O480" t="str">
        <f t="shared" ca="1" si="61"/>
        <v>Outdated</v>
      </c>
      <c r="P480" t="str">
        <f t="shared" si="62"/>
        <v>Wrong Item</v>
      </c>
      <c r="Q480" t="str">
        <f t="shared" si="63"/>
        <v/>
      </c>
    </row>
    <row r="481" spans="1:17" x14ac:dyDescent="0.45">
      <c r="A481" t="s">
        <v>952</v>
      </c>
      <c r="B481" t="s">
        <v>104</v>
      </c>
      <c r="C481" t="s">
        <v>953</v>
      </c>
      <c r="D481" t="s">
        <v>148</v>
      </c>
      <c r="E481" s="8">
        <v>11132.09</v>
      </c>
      <c r="F481" s="9">
        <v>45486.666684444448</v>
      </c>
      <c r="H481" t="s">
        <v>87</v>
      </c>
      <c r="I481" t="s">
        <v>119</v>
      </c>
      <c r="J481" t="str">
        <f t="shared" si="56"/>
        <v/>
      </c>
      <c r="K481" t="str">
        <f t="shared" si="57"/>
        <v/>
      </c>
      <c r="L481" t="str">
        <f t="shared" si="58"/>
        <v>Unusual</v>
      </c>
      <c r="M481" t="str">
        <f t="shared" si="59"/>
        <v>Invalid</v>
      </c>
      <c r="N481" t="str">
        <f t="shared" si="60"/>
        <v>Invalid</v>
      </c>
      <c r="O481" t="str">
        <f t="shared" ca="1" si="61"/>
        <v>Outdated</v>
      </c>
      <c r="P481" t="str">
        <f t="shared" si="62"/>
        <v>Wrong Item</v>
      </c>
      <c r="Q481" t="str">
        <f t="shared" si="63"/>
        <v>Inconsistent</v>
      </c>
    </row>
    <row r="482" spans="1:17" x14ac:dyDescent="0.45">
      <c r="A482" t="s">
        <v>954</v>
      </c>
      <c r="B482" t="s">
        <v>99</v>
      </c>
      <c r="C482" t="s">
        <v>955</v>
      </c>
      <c r="D482" t="s">
        <v>74</v>
      </c>
      <c r="E482" s="8">
        <v>6657.91</v>
      </c>
      <c r="F482" s="9">
        <v>45440.666684444448</v>
      </c>
      <c r="G482" t="s">
        <v>102</v>
      </c>
      <c r="H482" t="s">
        <v>133</v>
      </c>
      <c r="I482" t="s">
        <v>112</v>
      </c>
      <c r="J482" t="str">
        <f t="shared" si="56"/>
        <v/>
      </c>
      <c r="K482" t="str">
        <f t="shared" si="57"/>
        <v/>
      </c>
      <c r="L482" t="str">
        <f t="shared" si="58"/>
        <v/>
      </c>
      <c r="M482" t="str">
        <f t="shared" si="59"/>
        <v/>
      </c>
      <c r="N482" t="str">
        <f t="shared" si="60"/>
        <v>Invalid</v>
      </c>
      <c r="O482" t="str">
        <f t="shared" ca="1" si="61"/>
        <v>Outdated</v>
      </c>
      <c r="P482" t="str">
        <f t="shared" si="62"/>
        <v>Wrong Item</v>
      </c>
      <c r="Q482" t="str">
        <f t="shared" si="63"/>
        <v/>
      </c>
    </row>
    <row r="483" spans="1:17" x14ac:dyDescent="0.45">
      <c r="A483" t="s">
        <v>956</v>
      </c>
      <c r="B483" t="s">
        <v>95</v>
      </c>
      <c r="C483" t="s">
        <v>957</v>
      </c>
      <c r="D483" t="s">
        <v>101</v>
      </c>
      <c r="E483" s="8">
        <v>11542.38</v>
      </c>
      <c r="F483" s="9">
        <v>45361.666684444448</v>
      </c>
      <c r="G483" t="s">
        <v>97</v>
      </c>
      <c r="H483" t="s">
        <v>107</v>
      </c>
      <c r="I483" t="s">
        <v>77</v>
      </c>
      <c r="J483" t="str">
        <f t="shared" si="56"/>
        <v/>
      </c>
      <c r="K483" t="str">
        <f t="shared" si="57"/>
        <v/>
      </c>
      <c r="L483" t="str">
        <f t="shared" si="58"/>
        <v>Unusual</v>
      </c>
      <c r="M483" t="str">
        <f t="shared" si="59"/>
        <v/>
      </c>
      <c r="N483" t="str">
        <f t="shared" si="60"/>
        <v/>
      </c>
      <c r="O483" t="str">
        <f t="shared" ca="1" si="61"/>
        <v>Outdated</v>
      </c>
      <c r="P483" t="str">
        <f t="shared" si="62"/>
        <v>Damaged</v>
      </c>
      <c r="Q483" t="str">
        <f t="shared" si="63"/>
        <v/>
      </c>
    </row>
    <row r="484" spans="1:17" x14ac:dyDescent="0.45">
      <c r="A484" t="s">
        <v>725</v>
      </c>
      <c r="B484" t="s">
        <v>90</v>
      </c>
      <c r="C484" t="s">
        <v>547</v>
      </c>
      <c r="D484" t="s">
        <v>74</v>
      </c>
      <c r="E484" s="8">
        <v>771.03</v>
      </c>
      <c r="F484" s="9">
        <v>45356.666684444448</v>
      </c>
      <c r="G484" t="s">
        <v>93</v>
      </c>
      <c r="H484" t="s">
        <v>145</v>
      </c>
      <c r="I484" t="s">
        <v>77</v>
      </c>
      <c r="J484" t="str">
        <f t="shared" si="56"/>
        <v/>
      </c>
      <c r="K484" t="str">
        <f t="shared" si="57"/>
        <v>Duplicate</v>
      </c>
      <c r="L484" t="str">
        <f t="shared" si="58"/>
        <v/>
      </c>
      <c r="M484" t="str">
        <f t="shared" si="59"/>
        <v/>
      </c>
      <c r="N484" t="str">
        <f t="shared" si="60"/>
        <v/>
      </c>
      <c r="O484" t="str">
        <f t="shared" ca="1" si="61"/>
        <v>Outdated</v>
      </c>
      <c r="P484" t="str">
        <f t="shared" si="62"/>
        <v>Wrong Item</v>
      </c>
      <c r="Q484" t="str">
        <f t="shared" si="63"/>
        <v/>
      </c>
    </row>
    <row r="485" spans="1:17" x14ac:dyDescent="0.45">
      <c r="A485" t="s">
        <v>958</v>
      </c>
      <c r="B485" t="s">
        <v>138</v>
      </c>
      <c r="C485" t="s">
        <v>959</v>
      </c>
      <c r="D485" t="s">
        <v>85</v>
      </c>
      <c r="E485" s="8">
        <v>7052.22</v>
      </c>
      <c r="F485" s="9">
        <v>45152.666684444448</v>
      </c>
      <c r="G485" t="s">
        <v>140</v>
      </c>
      <c r="H485" t="s">
        <v>145</v>
      </c>
      <c r="I485" t="s">
        <v>88</v>
      </c>
      <c r="J485" t="str">
        <f t="shared" si="56"/>
        <v/>
      </c>
      <c r="K485" t="str">
        <f t="shared" si="57"/>
        <v/>
      </c>
      <c r="L485" t="str">
        <f t="shared" si="58"/>
        <v/>
      </c>
      <c r="M485" t="str">
        <f t="shared" si="59"/>
        <v/>
      </c>
      <c r="N485" t="str">
        <f t="shared" si="60"/>
        <v/>
      </c>
      <c r="O485" t="str">
        <f t="shared" ca="1" si="61"/>
        <v>Outdated</v>
      </c>
      <c r="P485" t="str">
        <f t="shared" si="62"/>
        <v>Late Delivery</v>
      </c>
      <c r="Q485" t="str">
        <f t="shared" si="63"/>
        <v/>
      </c>
    </row>
    <row r="486" spans="1:17" x14ac:dyDescent="0.45">
      <c r="A486" t="s">
        <v>960</v>
      </c>
      <c r="B486" t="s">
        <v>79</v>
      </c>
      <c r="C486" t="s">
        <v>680</v>
      </c>
      <c r="D486" t="s">
        <v>74</v>
      </c>
      <c r="E486" s="8">
        <v>7838.25</v>
      </c>
      <c r="F486" s="9">
        <v>45803.666684444448</v>
      </c>
      <c r="G486" t="s">
        <v>86</v>
      </c>
      <c r="H486" t="s">
        <v>128</v>
      </c>
      <c r="I486" t="s">
        <v>119</v>
      </c>
      <c r="J486" t="str">
        <f t="shared" si="56"/>
        <v/>
      </c>
      <c r="K486" t="str">
        <f t="shared" si="57"/>
        <v/>
      </c>
      <c r="L486" t="str">
        <f t="shared" si="58"/>
        <v/>
      </c>
      <c r="M486" t="str">
        <f t="shared" si="59"/>
        <v/>
      </c>
      <c r="N486" t="str">
        <f t="shared" si="60"/>
        <v>Invalid</v>
      </c>
      <c r="O486" t="str">
        <f t="shared" ca="1" si="61"/>
        <v>Outdated</v>
      </c>
      <c r="P486" t="str">
        <f t="shared" si="62"/>
        <v>Wrong Item</v>
      </c>
      <c r="Q486" t="str">
        <f t="shared" si="63"/>
        <v/>
      </c>
    </row>
    <row r="487" spans="1:17" x14ac:dyDescent="0.45">
      <c r="A487" t="s">
        <v>961</v>
      </c>
      <c r="B487" t="s">
        <v>172</v>
      </c>
      <c r="C487" t="s">
        <v>962</v>
      </c>
      <c r="E487" s="8">
        <v>11594.71</v>
      </c>
      <c r="F487" s="9">
        <v>45325.666684444448</v>
      </c>
      <c r="G487" t="s">
        <v>174</v>
      </c>
      <c r="H487" t="s">
        <v>81</v>
      </c>
      <c r="I487" t="s">
        <v>119</v>
      </c>
      <c r="J487" t="str">
        <f t="shared" si="56"/>
        <v>Missing</v>
      </c>
      <c r="K487" t="str">
        <f t="shared" si="57"/>
        <v/>
      </c>
      <c r="L487" t="str">
        <f t="shared" si="58"/>
        <v>Unusual</v>
      </c>
      <c r="M487" t="str">
        <f t="shared" si="59"/>
        <v/>
      </c>
      <c r="N487" t="str">
        <f t="shared" si="60"/>
        <v/>
      </c>
      <c r="O487" t="str">
        <f t="shared" ca="1" si="61"/>
        <v>Outdated</v>
      </c>
      <c r="P487" t="str">
        <f t="shared" si="62"/>
        <v/>
      </c>
      <c r="Q487" t="str">
        <f t="shared" si="63"/>
        <v/>
      </c>
    </row>
    <row r="488" spans="1:17" x14ac:dyDescent="0.45">
      <c r="A488" t="s">
        <v>963</v>
      </c>
      <c r="B488" t="s">
        <v>109</v>
      </c>
      <c r="C488" t="s">
        <v>964</v>
      </c>
      <c r="E488" s="8">
        <v>7565.01</v>
      </c>
      <c r="F488" s="9">
        <v>45536.666684444448</v>
      </c>
      <c r="H488" t="s">
        <v>81</v>
      </c>
      <c r="I488" t="s">
        <v>88</v>
      </c>
      <c r="J488" t="str">
        <f t="shared" si="56"/>
        <v>Missing</v>
      </c>
      <c r="K488" t="str">
        <f t="shared" si="57"/>
        <v/>
      </c>
      <c r="L488" t="str">
        <f t="shared" si="58"/>
        <v/>
      </c>
      <c r="M488" t="str">
        <f t="shared" si="59"/>
        <v>Invalid</v>
      </c>
      <c r="N488" t="str">
        <f t="shared" si="60"/>
        <v/>
      </c>
      <c r="O488" t="str">
        <f t="shared" ca="1" si="61"/>
        <v>Outdated</v>
      </c>
      <c r="P488" t="str">
        <f t="shared" si="62"/>
        <v/>
      </c>
      <c r="Q488" t="str">
        <f t="shared" si="63"/>
        <v/>
      </c>
    </row>
    <row r="489" spans="1:17" x14ac:dyDescent="0.45">
      <c r="A489" t="s">
        <v>965</v>
      </c>
      <c r="B489" t="s">
        <v>172</v>
      </c>
      <c r="C489" t="s">
        <v>966</v>
      </c>
      <c r="D489" t="s">
        <v>92</v>
      </c>
      <c r="E489" s="8">
        <v>4482.4799999999996</v>
      </c>
      <c r="F489" s="9">
        <v>45464.666684444448</v>
      </c>
      <c r="G489" t="s">
        <v>174</v>
      </c>
      <c r="H489" t="s">
        <v>118</v>
      </c>
      <c r="I489" t="s">
        <v>77</v>
      </c>
      <c r="J489" t="str">
        <f t="shared" si="56"/>
        <v/>
      </c>
      <c r="K489" t="str">
        <f t="shared" si="57"/>
        <v/>
      </c>
      <c r="L489" t="str">
        <f t="shared" si="58"/>
        <v/>
      </c>
      <c r="M489" t="str">
        <f t="shared" si="59"/>
        <v/>
      </c>
      <c r="N489" t="str">
        <f t="shared" si="60"/>
        <v>Invalid</v>
      </c>
      <c r="O489" t="str">
        <f t="shared" ca="1" si="61"/>
        <v>Outdated</v>
      </c>
      <c r="P489" t="str">
        <f t="shared" si="62"/>
        <v>Not As Described</v>
      </c>
      <c r="Q489" t="str">
        <f t="shared" si="63"/>
        <v/>
      </c>
    </row>
    <row r="490" spans="1:17" x14ac:dyDescent="0.45">
      <c r="A490" t="s">
        <v>967</v>
      </c>
      <c r="B490" t="s">
        <v>172</v>
      </c>
      <c r="C490" t="s">
        <v>440</v>
      </c>
      <c r="D490" t="s">
        <v>101</v>
      </c>
      <c r="E490" s="8">
        <v>863.77</v>
      </c>
      <c r="F490" s="9">
        <v>45413.666684444448</v>
      </c>
      <c r="G490" t="s">
        <v>236</v>
      </c>
      <c r="H490" t="s">
        <v>107</v>
      </c>
      <c r="I490" t="s">
        <v>112</v>
      </c>
      <c r="J490" t="str">
        <f t="shared" si="56"/>
        <v/>
      </c>
      <c r="K490" t="str">
        <f t="shared" si="57"/>
        <v/>
      </c>
      <c r="L490" t="str">
        <f t="shared" si="58"/>
        <v/>
      </c>
      <c r="M490" t="str">
        <f t="shared" si="59"/>
        <v>Invalid</v>
      </c>
      <c r="N490" t="str">
        <f t="shared" si="60"/>
        <v/>
      </c>
      <c r="O490" t="str">
        <f t="shared" ca="1" si="61"/>
        <v>Outdated</v>
      </c>
      <c r="P490" t="str">
        <f t="shared" si="62"/>
        <v>Damaged</v>
      </c>
      <c r="Q490" t="str">
        <f t="shared" si="63"/>
        <v/>
      </c>
    </row>
    <row r="491" spans="1:17" x14ac:dyDescent="0.45">
      <c r="A491" t="s">
        <v>968</v>
      </c>
      <c r="B491" t="s">
        <v>104</v>
      </c>
      <c r="C491" t="s">
        <v>259</v>
      </c>
      <c r="E491" s="8">
        <v>8566.81</v>
      </c>
      <c r="F491" s="9">
        <v>45199.666684444448</v>
      </c>
      <c r="H491" t="s">
        <v>118</v>
      </c>
      <c r="I491" t="s">
        <v>112</v>
      </c>
      <c r="J491" t="str">
        <f t="shared" si="56"/>
        <v>Missing</v>
      </c>
      <c r="K491" t="str">
        <f t="shared" si="57"/>
        <v/>
      </c>
      <c r="L491" t="str">
        <f t="shared" si="58"/>
        <v/>
      </c>
      <c r="M491" t="str">
        <f t="shared" si="59"/>
        <v>Invalid</v>
      </c>
      <c r="N491" t="str">
        <f t="shared" si="60"/>
        <v>Invalid</v>
      </c>
      <c r="O491" t="str">
        <f t="shared" ca="1" si="61"/>
        <v>Outdated</v>
      </c>
      <c r="P491" t="str">
        <f t="shared" si="62"/>
        <v/>
      </c>
      <c r="Q491" t="str">
        <f t="shared" si="63"/>
        <v/>
      </c>
    </row>
    <row r="492" spans="1:17" x14ac:dyDescent="0.45">
      <c r="A492" t="s">
        <v>969</v>
      </c>
      <c r="B492" t="s">
        <v>90</v>
      </c>
      <c r="C492" t="s">
        <v>970</v>
      </c>
      <c r="D492" t="s">
        <v>85</v>
      </c>
      <c r="E492" s="8">
        <v>4828.72</v>
      </c>
      <c r="F492" s="9">
        <v>45413.666684444448</v>
      </c>
      <c r="G492" t="s">
        <v>93</v>
      </c>
      <c r="H492" t="s">
        <v>136</v>
      </c>
      <c r="I492" t="s">
        <v>77</v>
      </c>
      <c r="J492" t="str">
        <f t="shared" si="56"/>
        <v/>
      </c>
      <c r="K492" t="str">
        <f t="shared" si="57"/>
        <v/>
      </c>
      <c r="L492" t="str">
        <f t="shared" si="58"/>
        <v/>
      </c>
      <c r="M492" t="str">
        <f t="shared" si="59"/>
        <v/>
      </c>
      <c r="N492" t="str">
        <f t="shared" si="60"/>
        <v>Invalid</v>
      </c>
      <c r="O492" t="str">
        <f t="shared" ca="1" si="61"/>
        <v>Outdated</v>
      </c>
      <c r="P492" t="str">
        <f t="shared" si="62"/>
        <v>Late Delivery</v>
      </c>
      <c r="Q492" t="str">
        <f t="shared" si="63"/>
        <v/>
      </c>
    </row>
    <row r="493" spans="1:17" x14ac:dyDescent="0.45">
      <c r="A493" t="s">
        <v>971</v>
      </c>
      <c r="B493" t="s">
        <v>172</v>
      </c>
      <c r="C493" t="s">
        <v>972</v>
      </c>
      <c r="D493" t="s">
        <v>101</v>
      </c>
      <c r="E493" s="8">
        <v>5302.19</v>
      </c>
      <c r="F493" s="9">
        <v>45487.666684444448</v>
      </c>
      <c r="G493" t="s">
        <v>174</v>
      </c>
      <c r="H493" t="s">
        <v>76</v>
      </c>
      <c r="I493" t="s">
        <v>163</v>
      </c>
      <c r="J493" t="str">
        <f t="shared" si="56"/>
        <v/>
      </c>
      <c r="K493" t="str">
        <f t="shared" si="57"/>
        <v/>
      </c>
      <c r="L493" t="str">
        <f t="shared" si="58"/>
        <v/>
      </c>
      <c r="M493" t="str">
        <f t="shared" si="59"/>
        <v/>
      </c>
      <c r="N493" t="str">
        <f t="shared" si="60"/>
        <v/>
      </c>
      <c r="O493" t="str">
        <f t="shared" ca="1" si="61"/>
        <v>Outdated</v>
      </c>
      <c r="P493" t="str">
        <f t="shared" si="62"/>
        <v>Damaged</v>
      </c>
      <c r="Q493" t="str">
        <f t="shared" si="63"/>
        <v/>
      </c>
    </row>
    <row r="494" spans="1:17" x14ac:dyDescent="0.45">
      <c r="A494" t="s">
        <v>973</v>
      </c>
      <c r="B494" t="s">
        <v>104</v>
      </c>
      <c r="C494" t="s">
        <v>974</v>
      </c>
      <c r="D494" t="s">
        <v>85</v>
      </c>
      <c r="E494" s="8">
        <v>3168.15</v>
      </c>
      <c r="F494" s="9">
        <v>45784.666684444448</v>
      </c>
      <c r="G494" t="s">
        <v>115</v>
      </c>
      <c r="H494" t="s">
        <v>76</v>
      </c>
      <c r="I494" t="s">
        <v>119</v>
      </c>
      <c r="J494" t="str">
        <f t="shared" si="56"/>
        <v/>
      </c>
      <c r="K494" t="str">
        <f t="shared" si="57"/>
        <v/>
      </c>
      <c r="L494" t="str">
        <f t="shared" si="58"/>
        <v/>
      </c>
      <c r="M494" t="str">
        <f t="shared" si="59"/>
        <v/>
      </c>
      <c r="N494" t="str">
        <f t="shared" si="60"/>
        <v/>
      </c>
      <c r="O494" t="str">
        <f t="shared" ca="1" si="61"/>
        <v>Outdated</v>
      </c>
      <c r="P494" t="str">
        <f t="shared" si="62"/>
        <v>Late Delivery</v>
      </c>
      <c r="Q494" t="str">
        <f t="shared" si="63"/>
        <v/>
      </c>
    </row>
    <row r="495" spans="1:17" x14ac:dyDescent="0.45">
      <c r="A495" t="s">
        <v>975</v>
      </c>
      <c r="B495" t="s">
        <v>99</v>
      </c>
      <c r="C495" t="s">
        <v>976</v>
      </c>
      <c r="D495" t="s">
        <v>74</v>
      </c>
      <c r="E495" s="8">
        <v>0</v>
      </c>
      <c r="F495" s="9">
        <v>45649.666684444448</v>
      </c>
      <c r="G495" t="s">
        <v>102</v>
      </c>
      <c r="H495" t="s">
        <v>128</v>
      </c>
      <c r="I495" t="s">
        <v>119</v>
      </c>
      <c r="J495" t="str">
        <f t="shared" si="56"/>
        <v/>
      </c>
      <c r="K495" t="str">
        <f t="shared" si="57"/>
        <v/>
      </c>
      <c r="L495" t="str">
        <f t="shared" si="58"/>
        <v>Unusual</v>
      </c>
      <c r="M495" t="str">
        <f t="shared" si="59"/>
        <v/>
      </c>
      <c r="N495" t="str">
        <f t="shared" si="60"/>
        <v>Invalid</v>
      </c>
      <c r="O495" t="str">
        <f t="shared" ca="1" si="61"/>
        <v>Outdated</v>
      </c>
      <c r="P495" t="str">
        <f t="shared" si="62"/>
        <v>Wrong Item</v>
      </c>
      <c r="Q495" t="str">
        <f t="shared" si="63"/>
        <v/>
      </c>
    </row>
    <row r="496" spans="1:17" x14ac:dyDescent="0.45">
      <c r="A496" t="s">
        <v>977</v>
      </c>
      <c r="B496" t="s">
        <v>72</v>
      </c>
      <c r="C496" t="s">
        <v>367</v>
      </c>
      <c r="D496" t="s">
        <v>74</v>
      </c>
      <c r="E496" s="8">
        <v>11671.52</v>
      </c>
      <c r="F496" s="9">
        <v>45537.666684444448</v>
      </c>
      <c r="G496" t="s">
        <v>75</v>
      </c>
      <c r="H496" t="s">
        <v>81</v>
      </c>
      <c r="I496" t="s">
        <v>88</v>
      </c>
      <c r="J496" t="str">
        <f t="shared" si="56"/>
        <v/>
      </c>
      <c r="K496" t="str">
        <f t="shared" si="57"/>
        <v/>
      </c>
      <c r="L496" t="str">
        <f t="shared" si="58"/>
        <v>Unusual</v>
      </c>
      <c r="M496" t="str">
        <f t="shared" si="59"/>
        <v/>
      </c>
      <c r="N496" t="str">
        <f t="shared" si="60"/>
        <v/>
      </c>
      <c r="O496" t="str">
        <f t="shared" ca="1" si="61"/>
        <v>Outdated</v>
      </c>
      <c r="P496" t="str">
        <f t="shared" si="62"/>
        <v>Wrong Item</v>
      </c>
      <c r="Q496" t="str">
        <f t="shared" si="63"/>
        <v/>
      </c>
    </row>
    <row r="497" spans="1:17" x14ac:dyDescent="0.45">
      <c r="A497" t="s">
        <v>978</v>
      </c>
      <c r="B497" t="s">
        <v>99</v>
      </c>
      <c r="C497" t="s">
        <v>676</v>
      </c>
      <c r="D497" t="s">
        <v>92</v>
      </c>
      <c r="E497" s="8">
        <v>1439.06</v>
      </c>
      <c r="F497" s="9">
        <v>45823.666684444448</v>
      </c>
      <c r="G497" t="s">
        <v>102</v>
      </c>
      <c r="H497" t="s">
        <v>116</v>
      </c>
      <c r="I497" t="s">
        <v>88</v>
      </c>
      <c r="J497" t="str">
        <f t="shared" si="56"/>
        <v/>
      </c>
      <c r="K497" t="str">
        <f t="shared" si="57"/>
        <v/>
      </c>
      <c r="L497" t="str">
        <f t="shared" si="58"/>
        <v/>
      </c>
      <c r="M497" t="str">
        <f t="shared" si="59"/>
        <v/>
      </c>
      <c r="N497" t="str">
        <f t="shared" si="60"/>
        <v/>
      </c>
      <c r="O497" t="str">
        <f t="shared" ca="1" si="61"/>
        <v>Outdated</v>
      </c>
      <c r="P497" t="str">
        <f t="shared" si="62"/>
        <v>Not As Described</v>
      </c>
      <c r="Q497" t="str">
        <f t="shared" si="63"/>
        <v/>
      </c>
    </row>
    <row r="498" spans="1:17" x14ac:dyDescent="0.45">
      <c r="A498" t="s">
        <v>979</v>
      </c>
      <c r="B498" t="s">
        <v>90</v>
      </c>
      <c r="C498" t="s">
        <v>980</v>
      </c>
      <c r="D498" t="s">
        <v>74</v>
      </c>
      <c r="E498" s="8">
        <v>10411.700000000001</v>
      </c>
      <c r="F498" s="9">
        <v>45677.666684444448</v>
      </c>
      <c r="G498" t="s">
        <v>93</v>
      </c>
      <c r="H498" t="s">
        <v>118</v>
      </c>
      <c r="I498" t="s">
        <v>82</v>
      </c>
      <c r="J498" t="str">
        <f t="shared" si="56"/>
        <v/>
      </c>
      <c r="K498" t="str">
        <f t="shared" si="57"/>
        <v/>
      </c>
      <c r="L498" t="str">
        <f t="shared" si="58"/>
        <v>Unusual</v>
      </c>
      <c r="M498" t="str">
        <f t="shared" si="59"/>
        <v/>
      </c>
      <c r="N498" t="str">
        <f t="shared" si="60"/>
        <v>Invalid</v>
      </c>
      <c r="O498" t="str">
        <f t="shared" ca="1" si="61"/>
        <v>Outdated</v>
      </c>
      <c r="P498" t="str">
        <f t="shared" si="62"/>
        <v>Wrong Item</v>
      </c>
      <c r="Q498" t="str">
        <f t="shared" si="63"/>
        <v/>
      </c>
    </row>
    <row r="499" spans="1:17" x14ac:dyDescent="0.45">
      <c r="A499" t="s">
        <v>981</v>
      </c>
      <c r="B499" t="s">
        <v>109</v>
      </c>
      <c r="C499" t="s">
        <v>982</v>
      </c>
      <c r="D499" t="s">
        <v>85</v>
      </c>
      <c r="E499" s="8">
        <v>7292.35</v>
      </c>
      <c r="F499" s="9">
        <v>45467.666684444448</v>
      </c>
      <c r="G499" t="s">
        <v>111</v>
      </c>
      <c r="H499" t="s">
        <v>87</v>
      </c>
      <c r="I499" t="s">
        <v>82</v>
      </c>
      <c r="J499" t="str">
        <f t="shared" si="56"/>
        <v/>
      </c>
      <c r="K499" t="str">
        <f t="shared" si="57"/>
        <v/>
      </c>
      <c r="L499" t="str">
        <f t="shared" si="58"/>
        <v/>
      </c>
      <c r="M499" t="str">
        <f t="shared" si="59"/>
        <v/>
      </c>
      <c r="N499" t="str">
        <f t="shared" si="60"/>
        <v>Invalid</v>
      </c>
      <c r="O499" t="str">
        <f t="shared" ca="1" si="61"/>
        <v>Outdated</v>
      </c>
      <c r="P499" t="str">
        <f t="shared" si="62"/>
        <v>Late Delivery</v>
      </c>
      <c r="Q499" t="str">
        <f t="shared" si="63"/>
        <v/>
      </c>
    </row>
    <row r="500" spans="1:17" x14ac:dyDescent="0.45">
      <c r="A500" t="s">
        <v>835</v>
      </c>
      <c r="B500" t="s">
        <v>99</v>
      </c>
      <c r="C500" t="s">
        <v>983</v>
      </c>
      <c r="D500" t="s">
        <v>101</v>
      </c>
      <c r="E500" s="8">
        <v>2494.12</v>
      </c>
      <c r="F500" s="9">
        <v>45156.666684444448</v>
      </c>
      <c r="G500" t="s">
        <v>102</v>
      </c>
      <c r="H500" t="s">
        <v>116</v>
      </c>
      <c r="I500" t="s">
        <v>77</v>
      </c>
      <c r="J500" t="str">
        <f t="shared" si="56"/>
        <v/>
      </c>
      <c r="K500" t="str">
        <f t="shared" si="57"/>
        <v>Duplicate</v>
      </c>
      <c r="L500" t="str">
        <f t="shared" si="58"/>
        <v/>
      </c>
      <c r="M500" t="str">
        <f t="shared" si="59"/>
        <v/>
      </c>
      <c r="N500" t="str">
        <f t="shared" si="60"/>
        <v/>
      </c>
      <c r="O500" t="str">
        <f t="shared" ca="1" si="61"/>
        <v>Outdated</v>
      </c>
      <c r="P500" t="str">
        <f t="shared" si="62"/>
        <v>Damaged</v>
      </c>
      <c r="Q500" t="str">
        <f t="shared" si="63"/>
        <v/>
      </c>
    </row>
    <row r="501" spans="1:17" x14ac:dyDescent="0.45">
      <c r="A501" t="s">
        <v>984</v>
      </c>
      <c r="B501" t="s">
        <v>104</v>
      </c>
      <c r="C501" t="s">
        <v>985</v>
      </c>
      <c r="D501" t="s">
        <v>148</v>
      </c>
      <c r="E501" s="8">
        <v>8913.98</v>
      </c>
      <c r="F501" s="9">
        <v>45246.666684444448</v>
      </c>
      <c r="G501" t="s">
        <v>115</v>
      </c>
      <c r="I501" t="s">
        <v>163</v>
      </c>
      <c r="J501" t="str">
        <f t="shared" si="56"/>
        <v/>
      </c>
      <c r="K501" t="str">
        <f t="shared" si="57"/>
        <v/>
      </c>
      <c r="L501" t="str">
        <f t="shared" si="58"/>
        <v/>
      </c>
      <c r="M501" t="str">
        <f t="shared" si="59"/>
        <v/>
      </c>
      <c r="N501" t="str">
        <f t="shared" si="60"/>
        <v>Invalid</v>
      </c>
      <c r="O501" t="str">
        <f t="shared" ca="1" si="61"/>
        <v>Outdated</v>
      </c>
      <c r="P501" t="str">
        <f t="shared" si="62"/>
        <v>Wrong Item</v>
      </c>
      <c r="Q501" t="str">
        <f t="shared" si="63"/>
        <v>Inconsistent</v>
      </c>
    </row>
    <row r="502" spans="1:17" x14ac:dyDescent="0.45">
      <c r="A502" t="s">
        <v>986</v>
      </c>
      <c r="B502" t="s">
        <v>104</v>
      </c>
      <c r="C502" t="s">
        <v>987</v>
      </c>
      <c r="D502" t="s">
        <v>106</v>
      </c>
      <c r="E502" s="8">
        <v>2836.04</v>
      </c>
      <c r="F502" s="9">
        <v>45395.666684444448</v>
      </c>
      <c r="H502" t="s">
        <v>145</v>
      </c>
      <c r="I502" t="s">
        <v>112</v>
      </c>
      <c r="J502" t="str">
        <f t="shared" si="56"/>
        <v/>
      </c>
      <c r="K502" t="str">
        <f t="shared" si="57"/>
        <v/>
      </c>
      <c r="L502" t="str">
        <f t="shared" si="58"/>
        <v/>
      </c>
      <c r="M502" t="str">
        <f t="shared" si="59"/>
        <v>Invalid</v>
      </c>
      <c r="N502" t="str">
        <f t="shared" si="60"/>
        <v/>
      </c>
      <c r="O502" t="str">
        <f t="shared" ca="1" si="61"/>
        <v>Outdated</v>
      </c>
      <c r="P502" t="str">
        <f t="shared" si="62"/>
        <v>Damaged</v>
      </c>
      <c r="Q502" t="str">
        <f t="shared" si="63"/>
        <v>Inconsistent</v>
      </c>
    </row>
    <row r="503" spans="1:17" x14ac:dyDescent="0.45">
      <c r="A503" t="s">
        <v>988</v>
      </c>
      <c r="B503" t="s">
        <v>95</v>
      </c>
      <c r="C503" t="s">
        <v>989</v>
      </c>
      <c r="D503" t="s">
        <v>148</v>
      </c>
      <c r="E503" s="8">
        <v>0</v>
      </c>
      <c r="F503" s="9">
        <v>45310.666684444448</v>
      </c>
      <c r="G503" t="s">
        <v>97</v>
      </c>
      <c r="H503" t="s">
        <v>116</v>
      </c>
      <c r="I503" t="s">
        <v>88</v>
      </c>
      <c r="J503" t="str">
        <f t="shared" si="56"/>
        <v/>
      </c>
      <c r="K503" t="str">
        <f t="shared" si="57"/>
        <v>Duplicate</v>
      </c>
      <c r="L503" t="str">
        <f t="shared" si="58"/>
        <v>Unusual</v>
      </c>
      <c r="M503" t="str">
        <f t="shared" si="59"/>
        <v/>
      </c>
      <c r="N503" t="str">
        <f t="shared" si="60"/>
        <v/>
      </c>
      <c r="O503" t="str">
        <f t="shared" ca="1" si="61"/>
        <v>Outdated</v>
      </c>
      <c r="P503" t="str">
        <f t="shared" si="62"/>
        <v>Wrong Item</v>
      </c>
      <c r="Q503" t="str">
        <f t="shared" si="63"/>
        <v>Inconsistent</v>
      </c>
    </row>
    <row r="504" spans="1:17" x14ac:dyDescent="0.45">
      <c r="A504" t="s">
        <v>990</v>
      </c>
      <c r="B504" t="s">
        <v>138</v>
      </c>
      <c r="C504" t="s">
        <v>715</v>
      </c>
      <c r="D504" t="s">
        <v>101</v>
      </c>
      <c r="E504" s="8">
        <v>6644.13</v>
      </c>
      <c r="F504" s="9">
        <v>45722.666684444448</v>
      </c>
      <c r="H504" t="s">
        <v>128</v>
      </c>
      <c r="I504" t="s">
        <v>77</v>
      </c>
      <c r="J504" t="str">
        <f t="shared" si="56"/>
        <v/>
      </c>
      <c r="K504" t="str">
        <f t="shared" si="57"/>
        <v/>
      </c>
      <c r="L504" t="str">
        <f t="shared" si="58"/>
        <v/>
      </c>
      <c r="M504" t="str">
        <f t="shared" si="59"/>
        <v>Invalid</v>
      </c>
      <c r="N504" t="str">
        <f t="shared" si="60"/>
        <v>Invalid</v>
      </c>
      <c r="O504" t="str">
        <f t="shared" ca="1" si="61"/>
        <v>Outdated</v>
      </c>
      <c r="P504" t="str">
        <f t="shared" si="62"/>
        <v>Damaged</v>
      </c>
      <c r="Q504" t="str">
        <f t="shared" si="63"/>
        <v/>
      </c>
    </row>
    <row r="505" spans="1:17" x14ac:dyDescent="0.45">
      <c r="A505" t="s">
        <v>991</v>
      </c>
      <c r="B505" t="s">
        <v>138</v>
      </c>
      <c r="C505" t="s">
        <v>992</v>
      </c>
      <c r="D505" t="s">
        <v>74</v>
      </c>
      <c r="E505" s="8">
        <v>674.96</v>
      </c>
      <c r="F505" s="9">
        <v>45399.666684444448</v>
      </c>
      <c r="G505" t="s">
        <v>140</v>
      </c>
      <c r="H505" t="s">
        <v>145</v>
      </c>
      <c r="I505" t="s">
        <v>112</v>
      </c>
      <c r="J505" t="str">
        <f t="shared" si="56"/>
        <v/>
      </c>
      <c r="K505" t="str">
        <f t="shared" si="57"/>
        <v/>
      </c>
      <c r="L505" t="str">
        <f t="shared" si="58"/>
        <v/>
      </c>
      <c r="M505" t="str">
        <f t="shared" si="59"/>
        <v/>
      </c>
      <c r="N505" t="str">
        <f t="shared" si="60"/>
        <v/>
      </c>
      <c r="O505" t="str">
        <f t="shared" ca="1" si="61"/>
        <v>Outdated</v>
      </c>
      <c r="P505" t="str">
        <f t="shared" si="62"/>
        <v>Wrong Item</v>
      </c>
      <c r="Q505" t="str">
        <f t="shared" si="63"/>
        <v/>
      </c>
    </row>
    <row r="506" spans="1:17" x14ac:dyDescent="0.45">
      <c r="A506" t="s">
        <v>993</v>
      </c>
      <c r="B506" t="s">
        <v>90</v>
      </c>
      <c r="C506" t="s">
        <v>994</v>
      </c>
      <c r="D506" t="s">
        <v>85</v>
      </c>
      <c r="E506" s="8">
        <v>0</v>
      </c>
      <c r="F506" s="9">
        <v>45167.666684444448</v>
      </c>
      <c r="H506" t="s">
        <v>133</v>
      </c>
      <c r="I506" t="s">
        <v>119</v>
      </c>
      <c r="J506" t="str">
        <f t="shared" si="56"/>
        <v/>
      </c>
      <c r="K506" t="str">
        <f t="shared" si="57"/>
        <v/>
      </c>
      <c r="L506" t="str">
        <f t="shared" si="58"/>
        <v>Unusual</v>
      </c>
      <c r="M506" t="str">
        <f t="shared" si="59"/>
        <v>Invalid</v>
      </c>
      <c r="N506" t="str">
        <f t="shared" si="60"/>
        <v>Invalid</v>
      </c>
      <c r="O506" t="str">
        <f t="shared" ca="1" si="61"/>
        <v>Outdated</v>
      </c>
      <c r="P506" t="str">
        <f t="shared" si="62"/>
        <v>Late Delivery</v>
      </c>
      <c r="Q506" t="str">
        <f t="shared" si="63"/>
        <v/>
      </c>
    </row>
    <row r="507" spans="1:17" x14ac:dyDescent="0.45">
      <c r="A507" t="s">
        <v>995</v>
      </c>
      <c r="B507" t="s">
        <v>95</v>
      </c>
      <c r="C507" t="s">
        <v>821</v>
      </c>
      <c r="D507" t="s">
        <v>74</v>
      </c>
      <c r="E507" s="8">
        <v>9403.01</v>
      </c>
      <c r="F507" s="9">
        <v>45239.666684444448</v>
      </c>
      <c r="G507" t="s">
        <v>97</v>
      </c>
      <c r="H507" t="s">
        <v>107</v>
      </c>
      <c r="I507" t="s">
        <v>112</v>
      </c>
      <c r="J507" t="str">
        <f t="shared" si="56"/>
        <v/>
      </c>
      <c r="K507" t="str">
        <f t="shared" si="57"/>
        <v/>
      </c>
      <c r="L507" t="str">
        <f t="shared" si="58"/>
        <v/>
      </c>
      <c r="M507" t="str">
        <f t="shared" si="59"/>
        <v/>
      </c>
      <c r="N507" t="str">
        <f t="shared" si="60"/>
        <v/>
      </c>
      <c r="O507" t="str">
        <f t="shared" ca="1" si="61"/>
        <v>Outdated</v>
      </c>
      <c r="P507" t="str">
        <f t="shared" si="62"/>
        <v>Wrong Item</v>
      </c>
      <c r="Q507" t="str">
        <f t="shared" si="63"/>
        <v/>
      </c>
    </row>
    <row r="508" spans="1:17" x14ac:dyDescent="0.45">
      <c r="A508" t="s">
        <v>996</v>
      </c>
      <c r="B508" t="s">
        <v>79</v>
      </c>
      <c r="C508" t="s">
        <v>997</v>
      </c>
      <c r="D508" t="s">
        <v>74</v>
      </c>
      <c r="E508" s="8">
        <v>2340.66</v>
      </c>
      <c r="F508" s="9">
        <v>45738.666684444448</v>
      </c>
      <c r="G508" t="s">
        <v>86</v>
      </c>
      <c r="H508" t="s">
        <v>118</v>
      </c>
      <c r="I508" t="s">
        <v>112</v>
      </c>
      <c r="J508" t="str">
        <f t="shared" si="56"/>
        <v/>
      </c>
      <c r="K508" t="str">
        <f t="shared" si="57"/>
        <v/>
      </c>
      <c r="L508" t="str">
        <f t="shared" si="58"/>
        <v/>
      </c>
      <c r="M508" t="str">
        <f t="shared" si="59"/>
        <v/>
      </c>
      <c r="N508" t="str">
        <f t="shared" si="60"/>
        <v>Invalid</v>
      </c>
      <c r="O508" t="str">
        <f t="shared" ca="1" si="61"/>
        <v>Outdated</v>
      </c>
      <c r="P508" t="str">
        <f t="shared" si="62"/>
        <v>Wrong Item</v>
      </c>
      <c r="Q508" t="str">
        <f t="shared" si="63"/>
        <v/>
      </c>
    </row>
    <row r="509" spans="1:17" x14ac:dyDescent="0.45">
      <c r="A509" t="s">
        <v>998</v>
      </c>
      <c r="B509" t="s">
        <v>172</v>
      </c>
      <c r="C509" t="s">
        <v>999</v>
      </c>
      <c r="D509" t="s">
        <v>85</v>
      </c>
      <c r="E509" s="8">
        <v>1711.85</v>
      </c>
      <c r="F509" s="9">
        <v>45572.666684444448</v>
      </c>
      <c r="G509" t="s">
        <v>174</v>
      </c>
      <c r="H509" t="s">
        <v>118</v>
      </c>
      <c r="I509" t="s">
        <v>163</v>
      </c>
      <c r="J509" t="str">
        <f t="shared" si="56"/>
        <v/>
      </c>
      <c r="K509" t="str">
        <f t="shared" si="57"/>
        <v>Duplicate</v>
      </c>
      <c r="L509" t="str">
        <f t="shared" si="58"/>
        <v/>
      </c>
      <c r="M509" t="str">
        <f t="shared" si="59"/>
        <v/>
      </c>
      <c r="N509" t="str">
        <f t="shared" si="60"/>
        <v>Invalid</v>
      </c>
      <c r="O509" t="str">
        <f t="shared" ca="1" si="61"/>
        <v>Outdated</v>
      </c>
      <c r="P509" t="str">
        <f t="shared" si="62"/>
        <v>Late Delivery</v>
      </c>
      <c r="Q509" t="str">
        <f t="shared" si="63"/>
        <v/>
      </c>
    </row>
    <row r="510" spans="1:17" x14ac:dyDescent="0.45">
      <c r="A510" t="s">
        <v>1000</v>
      </c>
      <c r="B510" t="s">
        <v>99</v>
      </c>
      <c r="C510" t="s">
        <v>1001</v>
      </c>
      <c r="D510" t="s">
        <v>85</v>
      </c>
      <c r="E510" s="8">
        <v>9956.35</v>
      </c>
      <c r="F510" s="9">
        <v>45481.666684444448</v>
      </c>
      <c r="G510" t="s">
        <v>102</v>
      </c>
      <c r="H510" t="s">
        <v>81</v>
      </c>
      <c r="I510" t="s">
        <v>88</v>
      </c>
      <c r="J510" t="str">
        <f t="shared" si="56"/>
        <v/>
      </c>
      <c r="K510" t="str">
        <f t="shared" si="57"/>
        <v/>
      </c>
      <c r="L510" t="str">
        <f t="shared" si="58"/>
        <v/>
      </c>
      <c r="M510" t="str">
        <f t="shared" si="59"/>
        <v/>
      </c>
      <c r="N510" t="str">
        <f t="shared" si="60"/>
        <v/>
      </c>
      <c r="O510" t="str">
        <f t="shared" ca="1" si="61"/>
        <v>Outdated</v>
      </c>
      <c r="P510" t="str">
        <f t="shared" si="62"/>
        <v>Late Delivery</v>
      </c>
      <c r="Q510" t="str">
        <f t="shared" si="63"/>
        <v/>
      </c>
    </row>
    <row r="511" spans="1:17" x14ac:dyDescent="0.45">
      <c r="A511" t="s">
        <v>1002</v>
      </c>
      <c r="B511" t="s">
        <v>172</v>
      </c>
      <c r="C511" t="s">
        <v>395</v>
      </c>
      <c r="D511" t="s">
        <v>106</v>
      </c>
      <c r="E511" s="8">
        <v>5097.9399999999996</v>
      </c>
      <c r="F511" s="9">
        <v>45449.666684444448</v>
      </c>
      <c r="G511" t="s">
        <v>174</v>
      </c>
      <c r="H511" t="s">
        <v>128</v>
      </c>
      <c r="I511" t="s">
        <v>77</v>
      </c>
      <c r="J511" t="str">
        <f t="shared" si="56"/>
        <v/>
      </c>
      <c r="K511" t="str">
        <f t="shared" si="57"/>
        <v/>
      </c>
      <c r="L511" t="str">
        <f t="shared" si="58"/>
        <v/>
      </c>
      <c r="M511" t="str">
        <f t="shared" si="59"/>
        <v/>
      </c>
      <c r="N511" t="str">
        <f t="shared" si="60"/>
        <v>Invalid</v>
      </c>
      <c r="O511" t="str">
        <f t="shared" ca="1" si="61"/>
        <v>Outdated</v>
      </c>
      <c r="P511" t="str">
        <f t="shared" si="62"/>
        <v>Damaged</v>
      </c>
      <c r="Q511" t="str">
        <f t="shared" si="63"/>
        <v>Inconsistent</v>
      </c>
    </row>
    <row r="512" spans="1:17" x14ac:dyDescent="0.45">
      <c r="A512" t="s">
        <v>1003</v>
      </c>
      <c r="B512" t="s">
        <v>79</v>
      </c>
      <c r="C512" t="s">
        <v>1004</v>
      </c>
      <c r="D512" t="s">
        <v>74</v>
      </c>
      <c r="E512" s="8">
        <v>1475.06</v>
      </c>
      <c r="F512" s="9">
        <v>45574.666684444448</v>
      </c>
      <c r="G512" t="s">
        <v>278</v>
      </c>
      <c r="H512" t="s">
        <v>107</v>
      </c>
      <c r="I512" t="s">
        <v>82</v>
      </c>
      <c r="J512" t="str">
        <f t="shared" si="56"/>
        <v/>
      </c>
      <c r="K512" t="str">
        <f t="shared" si="57"/>
        <v/>
      </c>
      <c r="L512" t="str">
        <f t="shared" si="58"/>
        <v/>
      </c>
      <c r="M512" t="str">
        <f t="shared" si="59"/>
        <v>Invalid</v>
      </c>
      <c r="N512" t="str">
        <f t="shared" si="60"/>
        <v/>
      </c>
      <c r="O512" t="str">
        <f t="shared" ca="1" si="61"/>
        <v>Outdated</v>
      </c>
      <c r="P512" t="str">
        <f t="shared" si="62"/>
        <v>Wrong Item</v>
      </c>
      <c r="Q512" t="str">
        <f t="shared" si="63"/>
        <v/>
      </c>
    </row>
    <row r="513" spans="1:17" x14ac:dyDescent="0.45">
      <c r="A513" t="s">
        <v>1005</v>
      </c>
      <c r="B513" t="s">
        <v>109</v>
      </c>
      <c r="C513" t="s">
        <v>100</v>
      </c>
      <c r="D513" t="s">
        <v>101</v>
      </c>
      <c r="E513" s="8">
        <v>8106.39</v>
      </c>
      <c r="F513" s="9">
        <v>45748.666684444448</v>
      </c>
      <c r="G513" t="s">
        <v>111</v>
      </c>
      <c r="H513" t="s">
        <v>76</v>
      </c>
      <c r="I513" t="s">
        <v>88</v>
      </c>
      <c r="J513" t="str">
        <f t="shared" si="56"/>
        <v/>
      </c>
      <c r="K513" t="str">
        <f t="shared" si="57"/>
        <v/>
      </c>
      <c r="L513" t="str">
        <f t="shared" si="58"/>
        <v/>
      </c>
      <c r="M513" t="str">
        <f t="shared" si="59"/>
        <v/>
      </c>
      <c r="N513" t="str">
        <f t="shared" si="60"/>
        <v/>
      </c>
      <c r="O513" t="str">
        <f t="shared" ca="1" si="61"/>
        <v>Outdated</v>
      </c>
      <c r="P513" t="str">
        <f t="shared" si="62"/>
        <v>Damaged</v>
      </c>
      <c r="Q513" t="str">
        <f t="shared" si="63"/>
        <v/>
      </c>
    </row>
    <row r="514" spans="1:17" x14ac:dyDescent="0.45">
      <c r="A514" t="s">
        <v>1006</v>
      </c>
      <c r="B514" t="s">
        <v>95</v>
      </c>
      <c r="C514" t="s">
        <v>1007</v>
      </c>
      <c r="D514" t="s">
        <v>74</v>
      </c>
      <c r="E514" s="8">
        <v>6680.18</v>
      </c>
      <c r="F514" s="9">
        <v>45651.666684444448</v>
      </c>
      <c r="G514" t="s">
        <v>97</v>
      </c>
      <c r="H514" t="s">
        <v>128</v>
      </c>
      <c r="I514" t="s">
        <v>82</v>
      </c>
      <c r="J514" t="str">
        <f t="shared" ref="J514:J577" si="64">IF(OR(ISBLANK(C514),ISBLANK(D514)),"Missing","")</f>
        <v/>
      </c>
      <c r="K514" t="str">
        <f t="shared" ref="K514:K577" si="65">IF(COUNTIF($A$2:$A$2501,A514)&gt;1,"Duplicate","")</f>
        <v/>
      </c>
      <c r="L514" t="str">
        <f t="shared" ref="L514:L577" si="66">IF(OR(E514=0,E514&gt;10000),"Unusual","")</f>
        <v/>
      </c>
      <c r="M514" t="str">
        <f t="shared" ref="M514:M577" si="67">IF(OR(ISBLANK(G514),ISERROR(FIND("@",G514)),ISERROR(FIND(".",G514,FIND("@",G514)+1))),"Invalid","")</f>
        <v/>
      </c>
      <c r="N514" t="str">
        <f t="shared" ref="N514:N577" si="68">IF(COUNTIF($S$2:$S$6,H514)=0,"Invalid","")</f>
        <v>Invalid</v>
      </c>
      <c r="O514" t="str">
        <f t="shared" ref="O514:O577" ca="1" si="69">IF(F514&lt;EDATE(TODAY(),-12),"Outdated","")</f>
        <v>Outdated</v>
      </c>
      <c r="P514" t="str">
        <f t="shared" ref="P514:P577" si="70">IF(ISBLANK(D514),"",PROPER(TRIM(D514)))</f>
        <v>Wrong Item</v>
      </c>
      <c r="Q514" t="str">
        <f t="shared" ref="Q514:Q577" si="71">IF(ISBLANK(D514),"",IF(EXACT(D514,P514),"","Inconsistent"))</f>
        <v/>
      </c>
    </row>
    <row r="515" spans="1:17" x14ac:dyDescent="0.45">
      <c r="A515" t="s">
        <v>1008</v>
      </c>
      <c r="B515" t="s">
        <v>172</v>
      </c>
      <c r="C515" t="s">
        <v>489</v>
      </c>
      <c r="D515" t="s">
        <v>155</v>
      </c>
      <c r="E515" s="8">
        <v>162.21</v>
      </c>
      <c r="F515" s="9">
        <v>45246.666684444448</v>
      </c>
      <c r="G515" t="s">
        <v>174</v>
      </c>
      <c r="I515" t="s">
        <v>82</v>
      </c>
      <c r="J515" t="str">
        <f t="shared" si="64"/>
        <v/>
      </c>
      <c r="K515" t="str">
        <f t="shared" si="65"/>
        <v/>
      </c>
      <c r="L515" t="str">
        <f t="shared" si="66"/>
        <v/>
      </c>
      <c r="M515" t="str">
        <f t="shared" si="67"/>
        <v/>
      </c>
      <c r="N515" t="str">
        <f t="shared" si="68"/>
        <v>Invalid</v>
      </c>
      <c r="O515" t="str">
        <f t="shared" ca="1" si="69"/>
        <v>Outdated</v>
      </c>
      <c r="P515" t="str">
        <f t="shared" si="70"/>
        <v>Damaged</v>
      </c>
      <c r="Q515" t="str">
        <f t="shared" si="71"/>
        <v>Inconsistent</v>
      </c>
    </row>
    <row r="516" spans="1:17" x14ac:dyDescent="0.45">
      <c r="A516" t="s">
        <v>1009</v>
      </c>
      <c r="B516" t="s">
        <v>95</v>
      </c>
      <c r="C516" t="s">
        <v>594</v>
      </c>
      <c r="D516" t="s">
        <v>92</v>
      </c>
      <c r="E516" s="8">
        <v>11818.98</v>
      </c>
      <c r="F516" s="9">
        <v>45522.666684444448</v>
      </c>
      <c r="G516" t="s">
        <v>97</v>
      </c>
      <c r="H516" t="s">
        <v>136</v>
      </c>
      <c r="I516" t="s">
        <v>163</v>
      </c>
      <c r="J516" t="str">
        <f t="shared" si="64"/>
        <v/>
      </c>
      <c r="K516" t="str">
        <f t="shared" si="65"/>
        <v/>
      </c>
      <c r="L516" t="str">
        <f t="shared" si="66"/>
        <v>Unusual</v>
      </c>
      <c r="M516" t="str">
        <f t="shared" si="67"/>
        <v/>
      </c>
      <c r="N516" t="str">
        <f t="shared" si="68"/>
        <v>Invalid</v>
      </c>
      <c r="O516" t="str">
        <f t="shared" ca="1" si="69"/>
        <v>Outdated</v>
      </c>
      <c r="P516" t="str">
        <f t="shared" si="70"/>
        <v>Not As Described</v>
      </c>
      <c r="Q516" t="str">
        <f t="shared" si="71"/>
        <v/>
      </c>
    </row>
    <row r="517" spans="1:17" x14ac:dyDescent="0.45">
      <c r="A517" t="s">
        <v>1010</v>
      </c>
      <c r="B517" t="s">
        <v>95</v>
      </c>
      <c r="C517" t="s">
        <v>957</v>
      </c>
      <c r="E517" s="8">
        <v>0</v>
      </c>
      <c r="F517" s="9">
        <v>45718.666684444448</v>
      </c>
      <c r="G517" t="s">
        <v>97</v>
      </c>
      <c r="H517" t="s">
        <v>116</v>
      </c>
      <c r="I517" t="s">
        <v>77</v>
      </c>
      <c r="J517" t="str">
        <f t="shared" si="64"/>
        <v>Missing</v>
      </c>
      <c r="K517" t="str">
        <f t="shared" si="65"/>
        <v/>
      </c>
      <c r="L517" t="str">
        <f t="shared" si="66"/>
        <v>Unusual</v>
      </c>
      <c r="M517" t="str">
        <f t="shared" si="67"/>
        <v/>
      </c>
      <c r="N517" t="str">
        <f t="shared" si="68"/>
        <v/>
      </c>
      <c r="O517" t="str">
        <f t="shared" ca="1" si="69"/>
        <v>Outdated</v>
      </c>
      <c r="P517" t="str">
        <f t="shared" si="70"/>
        <v/>
      </c>
      <c r="Q517" t="str">
        <f t="shared" si="71"/>
        <v/>
      </c>
    </row>
    <row r="518" spans="1:17" x14ac:dyDescent="0.45">
      <c r="A518" t="s">
        <v>1011</v>
      </c>
      <c r="B518" t="s">
        <v>104</v>
      </c>
      <c r="C518" t="s">
        <v>974</v>
      </c>
      <c r="D518" t="s">
        <v>155</v>
      </c>
      <c r="E518" s="8">
        <v>2112.9899999999998</v>
      </c>
      <c r="F518" s="9">
        <v>45322.666684444448</v>
      </c>
      <c r="G518" t="s">
        <v>115</v>
      </c>
      <c r="H518" t="s">
        <v>81</v>
      </c>
      <c r="I518" t="s">
        <v>77</v>
      </c>
      <c r="J518" t="str">
        <f t="shared" si="64"/>
        <v/>
      </c>
      <c r="K518" t="str">
        <f t="shared" si="65"/>
        <v/>
      </c>
      <c r="L518" t="str">
        <f t="shared" si="66"/>
        <v/>
      </c>
      <c r="M518" t="str">
        <f t="shared" si="67"/>
        <v/>
      </c>
      <c r="N518" t="str">
        <f t="shared" si="68"/>
        <v/>
      </c>
      <c r="O518" t="str">
        <f t="shared" ca="1" si="69"/>
        <v>Outdated</v>
      </c>
      <c r="P518" t="str">
        <f t="shared" si="70"/>
        <v>Damaged</v>
      </c>
      <c r="Q518" t="str">
        <f t="shared" si="71"/>
        <v>Inconsistent</v>
      </c>
    </row>
    <row r="519" spans="1:17" x14ac:dyDescent="0.45">
      <c r="A519" t="s">
        <v>1012</v>
      </c>
      <c r="B519" t="s">
        <v>72</v>
      </c>
      <c r="C519" t="s">
        <v>1013</v>
      </c>
      <c r="D519" t="s">
        <v>85</v>
      </c>
      <c r="E519" s="8">
        <v>8471.8799999999992</v>
      </c>
      <c r="F519" s="9">
        <v>45388.666684444448</v>
      </c>
      <c r="G519" t="s">
        <v>75</v>
      </c>
      <c r="H519" t="s">
        <v>133</v>
      </c>
      <c r="I519" t="s">
        <v>119</v>
      </c>
      <c r="J519" t="str">
        <f t="shared" si="64"/>
        <v/>
      </c>
      <c r="K519" t="str">
        <f t="shared" si="65"/>
        <v/>
      </c>
      <c r="L519" t="str">
        <f t="shared" si="66"/>
        <v/>
      </c>
      <c r="M519" t="str">
        <f t="shared" si="67"/>
        <v/>
      </c>
      <c r="N519" t="str">
        <f t="shared" si="68"/>
        <v>Invalid</v>
      </c>
      <c r="O519" t="str">
        <f t="shared" ca="1" si="69"/>
        <v>Outdated</v>
      </c>
      <c r="P519" t="str">
        <f t="shared" si="70"/>
        <v>Late Delivery</v>
      </c>
      <c r="Q519" t="str">
        <f t="shared" si="71"/>
        <v/>
      </c>
    </row>
    <row r="520" spans="1:17" x14ac:dyDescent="0.45">
      <c r="A520" t="s">
        <v>1014</v>
      </c>
      <c r="B520" t="s">
        <v>90</v>
      </c>
      <c r="C520" t="s">
        <v>1015</v>
      </c>
      <c r="D520" t="s">
        <v>85</v>
      </c>
      <c r="E520" s="8">
        <v>3235.61</v>
      </c>
      <c r="F520" s="9">
        <v>45173.666684444448</v>
      </c>
      <c r="G520" t="s">
        <v>296</v>
      </c>
      <c r="H520" t="s">
        <v>133</v>
      </c>
      <c r="I520" t="s">
        <v>163</v>
      </c>
      <c r="J520" t="str">
        <f t="shared" si="64"/>
        <v/>
      </c>
      <c r="K520" t="str">
        <f t="shared" si="65"/>
        <v/>
      </c>
      <c r="L520" t="str">
        <f t="shared" si="66"/>
        <v/>
      </c>
      <c r="M520" t="str">
        <f t="shared" si="67"/>
        <v>Invalid</v>
      </c>
      <c r="N520" t="str">
        <f t="shared" si="68"/>
        <v>Invalid</v>
      </c>
      <c r="O520" t="str">
        <f t="shared" ca="1" si="69"/>
        <v>Outdated</v>
      </c>
      <c r="P520" t="str">
        <f t="shared" si="70"/>
        <v>Late Delivery</v>
      </c>
      <c r="Q520" t="str">
        <f t="shared" si="71"/>
        <v/>
      </c>
    </row>
    <row r="521" spans="1:17" x14ac:dyDescent="0.45">
      <c r="A521" t="s">
        <v>1016</v>
      </c>
      <c r="B521" t="s">
        <v>138</v>
      </c>
      <c r="C521" t="s">
        <v>615</v>
      </c>
      <c r="D521" t="s">
        <v>101</v>
      </c>
      <c r="E521" s="8">
        <v>4681.03</v>
      </c>
      <c r="F521" s="9">
        <v>45853.666684444448</v>
      </c>
      <c r="G521" t="s">
        <v>140</v>
      </c>
      <c r="H521" t="s">
        <v>116</v>
      </c>
      <c r="I521" t="s">
        <v>119</v>
      </c>
      <c r="J521" t="str">
        <f t="shared" si="64"/>
        <v/>
      </c>
      <c r="K521" t="str">
        <f t="shared" si="65"/>
        <v/>
      </c>
      <c r="L521" t="str">
        <f t="shared" si="66"/>
        <v/>
      </c>
      <c r="M521" t="str">
        <f t="shared" si="67"/>
        <v/>
      </c>
      <c r="N521" t="str">
        <f t="shared" si="68"/>
        <v/>
      </c>
      <c r="O521" t="str">
        <f t="shared" ca="1" si="69"/>
        <v/>
      </c>
      <c r="P521" t="str">
        <f t="shared" si="70"/>
        <v>Damaged</v>
      </c>
      <c r="Q521" t="str">
        <f t="shared" si="71"/>
        <v/>
      </c>
    </row>
    <row r="522" spans="1:17" x14ac:dyDescent="0.45">
      <c r="A522" t="s">
        <v>1017</v>
      </c>
      <c r="B522" t="s">
        <v>95</v>
      </c>
      <c r="C522" t="s">
        <v>1018</v>
      </c>
      <c r="D522" t="s">
        <v>85</v>
      </c>
      <c r="E522" s="8">
        <v>8780.16</v>
      </c>
      <c r="F522" s="9">
        <v>45574.666684444448</v>
      </c>
      <c r="G522" t="s">
        <v>97</v>
      </c>
      <c r="H522" t="s">
        <v>116</v>
      </c>
      <c r="I522" t="s">
        <v>163</v>
      </c>
      <c r="J522" t="str">
        <f t="shared" si="64"/>
        <v/>
      </c>
      <c r="K522" t="str">
        <f t="shared" si="65"/>
        <v/>
      </c>
      <c r="L522" t="str">
        <f t="shared" si="66"/>
        <v/>
      </c>
      <c r="M522" t="str">
        <f t="shared" si="67"/>
        <v/>
      </c>
      <c r="N522" t="str">
        <f t="shared" si="68"/>
        <v/>
      </c>
      <c r="O522" t="str">
        <f t="shared" ca="1" si="69"/>
        <v>Outdated</v>
      </c>
      <c r="P522" t="str">
        <f t="shared" si="70"/>
        <v>Late Delivery</v>
      </c>
      <c r="Q522" t="str">
        <f t="shared" si="71"/>
        <v/>
      </c>
    </row>
    <row r="523" spans="1:17" x14ac:dyDescent="0.45">
      <c r="A523" t="s">
        <v>1019</v>
      </c>
      <c r="B523" t="s">
        <v>172</v>
      </c>
      <c r="C523" t="s">
        <v>809</v>
      </c>
      <c r="D523" t="s">
        <v>85</v>
      </c>
      <c r="E523" s="8">
        <v>10267.719999999999</v>
      </c>
      <c r="F523" s="9">
        <v>45129.666684444448</v>
      </c>
      <c r="G523" t="s">
        <v>174</v>
      </c>
      <c r="I523" t="s">
        <v>163</v>
      </c>
      <c r="J523" t="str">
        <f t="shared" si="64"/>
        <v/>
      </c>
      <c r="K523" t="str">
        <f t="shared" si="65"/>
        <v/>
      </c>
      <c r="L523" t="str">
        <f t="shared" si="66"/>
        <v>Unusual</v>
      </c>
      <c r="M523" t="str">
        <f t="shared" si="67"/>
        <v/>
      </c>
      <c r="N523" t="str">
        <f t="shared" si="68"/>
        <v>Invalid</v>
      </c>
      <c r="O523" t="str">
        <f t="shared" ca="1" si="69"/>
        <v>Outdated</v>
      </c>
      <c r="P523" t="str">
        <f t="shared" si="70"/>
        <v>Late Delivery</v>
      </c>
      <c r="Q523" t="str">
        <f t="shared" si="71"/>
        <v/>
      </c>
    </row>
    <row r="524" spans="1:17" x14ac:dyDescent="0.45">
      <c r="A524" t="s">
        <v>1020</v>
      </c>
      <c r="B524" t="s">
        <v>172</v>
      </c>
      <c r="C524" t="s">
        <v>1021</v>
      </c>
      <c r="D524" t="s">
        <v>85</v>
      </c>
      <c r="E524" s="8">
        <v>1268.4100000000001</v>
      </c>
      <c r="F524" s="9">
        <v>45660.666684444448</v>
      </c>
      <c r="G524" t="s">
        <v>236</v>
      </c>
      <c r="I524" t="s">
        <v>88</v>
      </c>
      <c r="J524" t="str">
        <f t="shared" si="64"/>
        <v/>
      </c>
      <c r="K524" t="str">
        <f t="shared" si="65"/>
        <v/>
      </c>
      <c r="L524" t="str">
        <f t="shared" si="66"/>
        <v/>
      </c>
      <c r="M524" t="str">
        <f t="shared" si="67"/>
        <v>Invalid</v>
      </c>
      <c r="N524" t="str">
        <f t="shared" si="68"/>
        <v>Invalid</v>
      </c>
      <c r="O524" t="str">
        <f t="shared" ca="1" si="69"/>
        <v>Outdated</v>
      </c>
      <c r="P524" t="str">
        <f t="shared" si="70"/>
        <v>Late Delivery</v>
      </c>
      <c r="Q524" t="str">
        <f t="shared" si="71"/>
        <v/>
      </c>
    </row>
    <row r="525" spans="1:17" x14ac:dyDescent="0.45">
      <c r="A525" t="s">
        <v>1022</v>
      </c>
      <c r="B525" t="s">
        <v>99</v>
      </c>
      <c r="C525" t="s">
        <v>955</v>
      </c>
      <c r="D525" t="s">
        <v>155</v>
      </c>
      <c r="E525" s="8">
        <v>6229.96</v>
      </c>
      <c r="F525" s="9">
        <v>45679.666684444448</v>
      </c>
      <c r="G525" t="s">
        <v>102</v>
      </c>
      <c r="H525" t="s">
        <v>116</v>
      </c>
      <c r="I525" t="s">
        <v>88</v>
      </c>
      <c r="J525" t="str">
        <f t="shared" si="64"/>
        <v/>
      </c>
      <c r="K525" t="str">
        <f t="shared" si="65"/>
        <v/>
      </c>
      <c r="L525" t="str">
        <f t="shared" si="66"/>
        <v/>
      </c>
      <c r="M525" t="str">
        <f t="shared" si="67"/>
        <v/>
      </c>
      <c r="N525" t="str">
        <f t="shared" si="68"/>
        <v/>
      </c>
      <c r="O525" t="str">
        <f t="shared" ca="1" si="69"/>
        <v>Outdated</v>
      </c>
      <c r="P525" t="str">
        <f t="shared" si="70"/>
        <v>Damaged</v>
      </c>
      <c r="Q525" t="str">
        <f t="shared" si="71"/>
        <v>Inconsistent</v>
      </c>
    </row>
    <row r="526" spans="1:17" x14ac:dyDescent="0.45">
      <c r="A526" t="s">
        <v>1023</v>
      </c>
      <c r="B526" t="s">
        <v>95</v>
      </c>
      <c r="C526" t="s">
        <v>944</v>
      </c>
      <c r="D526" t="s">
        <v>106</v>
      </c>
      <c r="E526" s="8">
        <v>5070.47</v>
      </c>
      <c r="F526" s="9">
        <v>45831.666684444448</v>
      </c>
      <c r="G526" t="s">
        <v>97</v>
      </c>
      <c r="H526" t="s">
        <v>128</v>
      </c>
      <c r="I526" t="s">
        <v>119</v>
      </c>
      <c r="J526" t="str">
        <f t="shared" si="64"/>
        <v/>
      </c>
      <c r="K526" t="str">
        <f t="shared" si="65"/>
        <v/>
      </c>
      <c r="L526" t="str">
        <f t="shared" si="66"/>
        <v/>
      </c>
      <c r="M526" t="str">
        <f t="shared" si="67"/>
        <v/>
      </c>
      <c r="N526" t="str">
        <f t="shared" si="68"/>
        <v>Invalid</v>
      </c>
      <c r="O526" t="str">
        <f t="shared" ca="1" si="69"/>
        <v>Outdated</v>
      </c>
      <c r="P526" t="str">
        <f t="shared" si="70"/>
        <v>Damaged</v>
      </c>
      <c r="Q526" t="str">
        <f t="shared" si="71"/>
        <v>Inconsistent</v>
      </c>
    </row>
    <row r="527" spans="1:17" x14ac:dyDescent="0.45">
      <c r="A527" t="s">
        <v>1024</v>
      </c>
      <c r="B527" t="s">
        <v>72</v>
      </c>
      <c r="C527" t="s">
        <v>1025</v>
      </c>
      <c r="D527" t="s">
        <v>92</v>
      </c>
      <c r="E527" s="8">
        <v>3156.31</v>
      </c>
      <c r="F527" s="9">
        <v>45814.666684444448</v>
      </c>
      <c r="G527" t="s">
        <v>521</v>
      </c>
      <c r="H527" t="s">
        <v>81</v>
      </c>
      <c r="I527" t="s">
        <v>112</v>
      </c>
      <c r="J527" t="str">
        <f t="shared" si="64"/>
        <v/>
      </c>
      <c r="K527" t="str">
        <f t="shared" si="65"/>
        <v>Duplicate</v>
      </c>
      <c r="L527" t="str">
        <f t="shared" si="66"/>
        <v/>
      </c>
      <c r="M527" t="str">
        <f t="shared" si="67"/>
        <v>Invalid</v>
      </c>
      <c r="N527" t="str">
        <f t="shared" si="68"/>
        <v/>
      </c>
      <c r="O527" t="str">
        <f t="shared" ca="1" si="69"/>
        <v>Outdated</v>
      </c>
      <c r="P527" t="str">
        <f t="shared" si="70"/>
        <v>Not As Described</v>
      </c>
      <c r="Q527" t="str">
        <f t="shared" si="71"/>
        <v/>
      </c>
    </row>
    <row r="528" spans="1:17" x14ac:dyDescent="0.45">
      <c r="A528" t="s">
        <v>1026</v>
      </c>
      <c r="B528" t="s">
        <v>90</v>
      </c>
      <c r="C528" t="s">
        <v>489</v>
      </c>
      <c r="D528" t="s">
        <v>92</v>
      </c>
      <c r="E528" s="8">
        <v>4353.21</v>
      </c>
      <c r="F528" s="9">
        <v>45329.666684444448</v>
      </c>
      <c r="G528" t="s">
        <v>93</v>
      </c>
      <c r="H528" t="s">
        <v>128</v>
      </c>
      <c r="I528" t="s">
        <v>88</v>
      </c>
      <c r="J528" t="str">
        <f t="shared" si="64"/>
        <v/>
      </c>
      <c r="K528" t="str">
        <f t="shared" si="65"/>
        <v/>
      </c>
      <c r="L528" t="str">
        <f t="shared" si="66"/>
        <v/>
      </c>
      <c r="M528" t="str">
        <f t="shared" si="67"/>
        <v/>
      </c>
      <c r="N528" t="str">
        <f t="shared" si="68"/>
        <v>Invalid</v>
      </c>
      <c r="O528" t="str">
        <f t="shared" ca="1" si="69"/>
        <v>Outdated</v>
      </c>
      <c r="P528" t="str">
        <f t="shared" si="70"/>
        <v>Not As Described</v>
      </c>
      <c r="Q528" t="str">
        <f t="shared" si="71"/>
        <v/>
      </c>
    </row>
    <row r="529" spans="1:17" x14ac:dyDescent="0.45">
      <c r="A529" t="s">
        <v>1027</v>
      </c>
      <c r="B529" t="s">
        <v>90</v>
      </c>
      <c r="C529" t="s">
        <v>1028</v>
      </c>
      <c r="D529" t="s">
        <v>92</v>
      </c>
      <c r="E529" s="8">
        <v>8201.2099999999991</v>
      </c>
      <c r="F529" s="9">
        <v>45500.666684444448</v>
      </c>
      <c r="G529" t="s">
        <v>93</v>
      </c>
      <c r="H529" t="s">
        <v>116</v>
      </c>
      <c r="I529" t="s">
        <v>82</v>
      </c>
      <c r="J529" t="str">
        <f t="shared" si="64"/>
        <v/>
      </c>
      <c r="K529" t="str">
        <f t="shared" si="65"/>
        <v/>
      </c>
      <c r="L529" t="str">
        <f t="shared" si="66"/>
        <v/>
      </c>
      <c r="M529" t="str">
        <f t="shared" si="67"/>
        <v/>
      </c>
      <c r="N529" t="str">
        <f t="shared" si="68"/>
        <v/>
      </c>
      <c r="O529" t="str">
        <f t="shared" ca="1" si="69"/>
        <v>Outdated</v>
      </c>
      <c r="P529" t="str">
        <f t="shared" si="70"/>
        <v>Not As Described</v>
      </c>
      <c r="Q529" t="str">
        <f t="shared" si="71"/>
        <v/>
      </c>
    </row>
    <row r="530" spans="1:17" x14ac:dyDescent="0.45">
      <c r="A530" t="s">
        <v>1029</v>
      </c>
      <c r="B530" t="s">
        <v>109</v>
      </c>
      <c r="C530" t="s">
        <v>658</v>
      </c>
      <c r="D530" t="s">
        <v>74</v>
      </c>
      <c r="E530" s="8">
        <v>6022.08</v>
      </c>
      <c r="F530" s="9">
        <v>45569.666684444448</v>
      </c>
      <c r="G530" t="s">
        <v>111</v>
      </c>
      <c r="H530" t="s">
        <v>76</v>
      </c>
      <c r="I530" t="s">
        <v>77</v>
      </c>
      <c r="J530" t="str">
        <f t="shared" si="64"/>
        <v/>
      </c>
      <c r="K530" t="str">
        <f t="shared" si="65"/>
        <v/>
      </c>
      <c r="L530" t="str">
        <f t="shared" si="66"/>
        <v/>
      </c>
      <c r="M530" t="str">
        <f t="shared" si="67"/>
        <v/>
      </c>
      <c r="N530" t="str">
        <f t="shared" si="68"/>
        <v/>
      </c>
      <c r="O530" t="str">
        <f t="shared" ca="1" si="69"/>
        <v>Outdated</v>
      </c>
      <c r="P530" t="str">
        <f t="shared" si="70"/>
        <v>Wrong Item</v>
      </c>
      <c r="Q530" t="str">
        <f t="shared" si="71"/>
        <v/>
      </c>
    </row>
    <row r="531" spans="1:17" x14ac:dyDescent="0.45">
      <c r="A531" t="s">
        <v>580</v>
      </c>
      <c r="B531" t="s">
        <v>109</v>
      </c>
      <c r="C531" t="s">
        <v>1030</v>
      </c>
      <c r="D531" t="s">
        <v>74</v>
      </c>
      <c r="E531" s="8">
        <v>10096.08</v>
      </c>
      <c r="F531" s="9">
        <v>45199.666684444448</v>
      </c>
      <c r="G531" t="s">
        <v>111</v>
      </c>
      <c r="H531" t="s">
        <v>136</v>
      </c>
      <c r="I531" t="s">
        <v>112</v>
      </c>
      <c r="J531" t="str">
        <f t="shared" si="64"/>
        <v/>
      </c>
      <c r="K531" t="str">
        <f t="shared" si="65"/>
        <v>Duplicate</v>
      </c>
      <c r="L531" t="str">
        <f t="shared" si="66"/>
        <v>Unusual</v>
      </c>
      <c r="M531" t="str">
        <f t="shared" si="67"/>
        <v/>
      </c>
      <c r="N531" t="str">
        <f t="shared" si="68"/>
        <v>Invalid</v>
      </c>
      <c r="O531" t="str">
        <f t="shared" ca="1" si="69"/>
        <v>Outdated</v>
      </c>
      <c r="P531" t="str">
        <f t="shared" si="70"/>
        <v>Wrong Item</v>
      </c>
      <c r="Q531" t="str">
        <f t="shared" si="71"/>
        <v/>
      </c>
    </row>
    <row r="532" spans="1:17" x14ac:dyDescent="0.45">
      <c r="A532" t="s">
        <v>1031</v>
      </c>
      <c r="B532" t="s">
        <v>99</v>
      </c>
      <c r="C532" t="s">
        <v>1032</v>
      </c>
      <c r="D532" t="s">
        <v>92</v>
      </c>
      <c r="E532" s="8">
        <v>7427.22</v>
      </c>
      <c r="F532" s="9">
        <v>45808.666684444448</v>
      </c>
      <c r="G532" t="s">
        <v>102</v>
      </c>
      <c r="H532" t="s">
        <v>116</v>
      </c>
      <c r="I532" t="s">
        <v>82</v>
      </c>
      <c r="J532" t="str">
        <f t="shared" si="64"/>
        <v/>
      </c>
      <c r="K532" t="str">
        <f t="shared" si="65"/>
        <v/>
      </c>
      <c r="L532" t="str">
        <f t="shared" si="66"/>
        <v/>
      </c>
      <c r="M532" t="str">
        <f t="shared" si="67"/>
        <v/>
      </c>
      <c r="N532" t="str">
        <f t="shared" si="68"/>
        <v/>
      </c>
      <c r="O532" t="str">
        <f t="shared" ca="1" si="69"/>
        <v>Outdated</v>
      </c>
      <c r="P532" t="str">
        <f t="shared" si="70"/>
        <v>Not As Described</v>
      </c>
      <c r="Q532" t="str">
        <f t="shared" si="71"/>
        <v/>
      </c>
    </row>
    <row r="533" spans="1:17" x14ac:dyDescent="0.45">
      <c r="A533" t="s">
        <v>1033</v>
      </c>
      <c r="B533" t="s">
        <v>138</v>
      </c>
      <c r="C533" t="s">
        <v>1034</v>
      </c>
      <c r="D533" t="s">
        <v>92</v>
      </c>
      <c r="E533" s="8">
        <v>10738.43</v>
      </c>
      <c r="F533" s="9">
        <v>45466.666684444448</v>
      </c>
      <c r="G533" t="s">
        <v>140</v>
      </c>
      <c r="H533" t="s">
        <v>145</v>
      </c>
      <c r="I533" t="s">
        <v>119</v>
      </c>
      <c r="J533" t="str">
        <f t="shared" si="64"/>
        <v/>
      </c>
      <c r="K533" t="str">
        <f t="shared" si="65"/>
        <v/>
      </c>
      <c r="L533" t="str">
        <f t="shared" si="66"/>
        <v>Unusual</v>
      </c>
      <c r="M533" t="str">
        <f t="shared" si="67"/>
        <v/>
      </c>
      <c r="N533" t="str">
        <f t="shared" si="68"/>
        <v/>
      </c>
      <c r="O533" t="str">
        <f t="shared" ca="1" si="69"/>
        <v>Outdated</v>
      </c>
      <c r="P533" t="str">
        <f t="shared" si="70"/>
        <v>Not As Described</v>
      </c>
      <c r="Q533" t="str">
        <f t="shared" si="71"/>
        <v/>
      </c>
    </row>
    <row r="534" spans="1:17" x14ac:dyDescent="0.45">
      <c r="A534" t="s">
        <v>1035</v>
      </c>
      <c r="B534" t="s">
        <v>109</v>
      </c>
      <c r="C534" t="s">
        <v>1036</v>
      </c>
      <c r="D534" t="s">
        <v>74</v>
      </c>
      <c r="E534" s="8">
        <v>0</v>
      </c>
      <c r="F534" s="9">
        <v>45766.666684444448</v>
      </c>
      <c r="H534" t="s">
        <v>118</v>
      </c>
      <c r="I534" t="s">
        <v>88</v>
      </c>
      <c r="J534" t="str">
        <f t="shared" si="64"/>
        <v/>
      </c>
      <c r="K534" t="str">
        <f t="shared" si="65"/>
        <v/>
      </c>
      <c r="L534" t="str">
        <f t="shared" si="66"/>
        <v>Unusual</v>
      </c>
      <c r="M534" t="str">
        <f t="shared" si="67"/>
        <v>Invalid</v>
      </c>
      <c r="N534" t="str">
        <f t="shared" si="68"/>
        <v>Invalid</v>
      </c>
      <c r="O534" t="str">
        <f t="shared" ca="1" si="69"/>
        <v>Outdated</v>
      </c>
      <c r="P534" t="str">
        <f t="shared" si="70"/>
        <v>Wrong Item</v>
      </c>
      <c r="Q534" t="str">
        <f t="shared" si="71"/>
        <v/>
      </c>
    </row>
    <row r="535" spans="1:17" x14ac:dyDescent="0.45">
      <c r="A535" t="s">
        <v>1037</v>
      </c>
      <c r="B535" t="s">
        <v>79</v>
      </c>
      <c r="C535" t="s">
        <v>840</v>
      </c>
      <c r="D535" t="s">
        <v>155</v>
      </c>
      <c r="E535" s="8">
        <v>8661.61</v>
      </c>
      <c r="F535" s="9">
        <v>45449.666684444448</v>
      </c>
      <c r="G535" t="s">
        <v>86</v>
      </c>
      <c r="H535" t="s">
        <v>76</v>
      </c>
      <c r="I535" t="s">
        <v>119</v>
      </c>
      <c r="J535" t="str">
        <f t="shared" si="64"/>
        <v/>
      </c>
      <c r="K535" t="str">
        <f t="shared" si="65"/>
        <v/>
      </c>
      <c r="L535" t="str">
        <f t="shared" si="66"/>
        <v/>
      </c>
      <c r="M535" t="str">
        <f t="shared" si="67"/>
        <v/>
      </c>
      <c r="N535" t="str">
        <f t="shared" si="68"/>
        <v/>
      </c>
      <c r="O535" t="str">
        <f t="shared" ca="1" si="69"/>
        <v>Outdated</v>
      </c>
      <c r="P535" t="str">
        <f t="shared" si="70"/>
        <v>Damaged</v>
      </c>
      <c r="Q535" t="str">
        <f t="shared" si="71"/>
        <v>Inconsistent</v>
      </c>
    </row>
    <row r="536" spans="1:17" x14ac:dyDescent="0.45">
      <c r="A536" t="s">
        <v>1038</v>
      </c>
      <c r="B536" t="s">
        <v>99</v>
      </c>
      <c r="C536" t="s">
        <v>239</v>
      </c>
      <c r="D536" t="s">
        <v>74</v>
      </c>
      <c r="E536" s="8">
        <v>0</v>
      </c>
      <c r="F536" s="9">
        <v>45807.666684444448</v>
      </c>
      <c r="G536" t="s">
        <v>102</v>
      </c>
      <c r="H536" t="s">
        <v>107</v>
      </c>
      <c r="I536" t="s">
        <v>77</v>
      </c>
      <c r="J536" t="str">
        <f t="shared" si="64"/>
        <v/>
      </c>
      <c r="K536" t="str">
        <f t="shared" si="65"/>
        <v/>
      </c>
      <c r="L536" t="str">
        <f t="shared" si="66"/>
        <v>Unusual</v>
      </c>
      <c r="M536" t="str">
        <f t="shared" si="67"/>
        <v/>
      </c>
      <c r="N536" t="str">
        <f t="shared" si="68"/>
        <v/>
      </c>
      <c r="O536" t="str">
        <f t="shared" ca="1" si="69"/>
        <v>Outdated</v>
      </c>
      <c r="P536" t="str">
        <f t="shared" si="70"/>
        <v>Wrong Item</v>
      </c>
      <c r="Q536" t="str">
        <f t="shared" si="71"/>
        <v/>
      </c>
    </row>
    <row r="537" spans="1:17" x14ac:dyDescent="0.45">
      <c r="A537" t="s">
        <v>1039</v>
      </c>
      <c r="B537" t="s">
        <v>90</v>
      </c>
      <c r="C537" t="s">
        <v>563</v>
      </c>
      <c r="D537" t="s">
        <v>101</v>
      </c>
      <c r="E537" s="8">
        <v>7071.43</v>
      </c>
      <c r="F537" s="9">
        <v>45255.666684444448</v>
      </c>
      <c r="G537" t="s">
        <v>93</v>
      </c>
      <c r="H537" t="s">
        <v>133</v>
      </c>
      <c r="I537" t="s">
        <v>112</v>
      </c>
      <c r="J537" t="str">
        <f t="shared" si="64"/>
        <v/>
      </c>
      <c r="K537" t="str">
        <f t="shared" si="65"/>
        <v/>
      </c>
      <c r="L537" t="str">
        <f t="shared" si="66"/>
        <v/>
      </c>
      <c r="M537" t="str">
        <f t="shared" si="67"/>
        <v/>
      </c>
      <c r="N537" t="str">
        <f t="shared" si="68"/>
        <v>Invalid</v>
      </c>
      <c r="O537" t="str">
        <f t="shared" ca="1" si="69"/>
        <v>Outdated</v>
      </c>
      <c r="P537" t="str">
        <f t="shared" si="70"/>
        <v>Damaged</v>
      </c>
      <c r="Q537" t="str">
        <f t="shared" si="71"/>
        <v/>
      </c>
    </row>
    <row r="538" spans="1:17" x14ac:dyDescent="0.45">
      <c r="A538" t="s">
        <v>1040</v>
      </c>
      <c r="B538" t="s">
        <v>90</v>
      </c>
      <c r="C538" t="s">
        <v>298</v>
      </c>
      <c r="D538" t="s">
        <v>92</v>
      </c>
      <c r="E538" s="8">
        <v>8867.14</v>
      </c>
      <c r="F538" s="9">
        <v>45435.666684444448</v>
      </c>
      <c r="H538" t="s">
        <v>128</v>
      </c>
      <c r="I538" t="s">
        <v>77</v>
      </c>
      <c r="J538" t="str">
        <f t="shared" si="64"/>
        <v/>
      </c>
      <c r="K538" t="str">
        <f t="shared" si="65"/>
        <v>Duplicate</v>
      </c>
      <c r="L538" t="str">
        <f t="shared" si="66"/>
        <v/>
      </c>
      <c r="M538" t="str">
        <f t="shared" si="67"/>
        <v>Invalid</v>
      </c>
      <c r="N538" t="str">
        <f t="shared" si="68"/>
        <v>Invalid</v>
      </c>
      <c r="O538" t="str">
        <f t="shared" ca="1" si="69"/>
        <v>Outdated</v>
      </c>
      <c r="P538" t="str">
        <f t="shared" si="70"/>
        <v>Not As Described</v>
      </c>
      <c r="Q538" t="str">
        <f t="shared" si="71"/>
        <v/>
      </c>
    </row>
    <row r="539" spans="1:17" x14ac:dyDescent="0.45">
      <c r="A539" t="s">
        <v>1041</v>
      </c>
      <c r="B539" t="s">
        <v>72</v>
      </c>
      <c r="C539" t="s">
        <v>1042</v>
      </c>
      <c r="D539" t="s">
        <v>74</v>
      </c>
      <c r="E539" s="8">
        <v>1542.95</v>
      </c>
      <c r="F539" s="9">
        <v>45647.666684444448</v>
      </c>
      <c r="G539" t="s">
        <v>75</v>
      </c>
      <c r="H539" t="s">
        <v>133</v>
      </c>
      <c r="I539" t="s">
        <v>163</v>
      </c>
      <c r="J539" t="str">
        <f t="shared" si="64"/>
        <v/>
      </c>
      <c r="K539" t="str">
        <f t="shared" si="65"/>
        <v/>
      </c>
      <c r="L539" t="str">
        <f t="shared" si="66"/>
        <v/>
      </c>
      <c r="M539" t="str">
        <f t="shared" si="67"/>
        <v/>
      </c>
      <c r="N539" t="str">
        <f t="shared" si="68"/>
        <v>Invalid</v>
      </c>
      <c r="O539" t="str">
        <f t="shared" ca="1" si="69"/>
        <v>Outdated</v>
      </c>
      <c r="P539" t="str">
        <f t="shared" si="70"/>
        <v>Wrong Item</v>
      </c>
      <c r="Q539" t="str">
        <f t="shared" si="71"/>
        <v/>
      </c>
    </row>
    <row r="540" spans="1:17" x14ac:dyDescent="0.45">
      <c r="A540" t="s">
        <v>1043</v>
      </c>
      <c r="B540" t="s">
        <v>79</v>
      </c>
      <c r="C540" t="s">
        <v>1044</v>
      </c>
      <c r="D540" t="s">
        <v>74</v>
      </c>
      <c r="E540" s="8">
        <v>0</v>
      </c>
      <c r="F540" s="9">
        <v>45444.666684444448</v>
      </c>
      <c r="G540" t="s">
        <v>86</v>
      </c>
      <c r="H540" t="s">
        <v>116</v>
      </c>
      <c r="I540" t="s">
        <v>163</v>
      </c>
      <c r="J540" t="str">
        <f t="shared" si="64"/>
        <v/>
      </c>
      <c r="K540" t="str">
        <f t="shared" si="65"/>
        <v/>
      </c>
      <c r="L540" t="str">
        <f t="shared" si="66"/>
        <v>Unusual</v>
      </c>
      <c r="M540" t="str">
        <f t="shared" si="67"/>
        <v/>
      </c>
      <c r="N540" t="str">
        <f t="shared" si="68"/>
        <v/>
      </c>
      <c r="O540" t="str">
        <f t="shared" ca="1" si="69"/>
        <v>Outdated</v>
      </c>
      <c r="P540" t="str">
        <f t="shared" si="70"/>
        <v>Wrong Item</v>
      </c>
      <c r="Q540" t="str">
        <f t="shared" si="71"/>
        <v/>
      </c>
    </row>
    <row r="541" spans="1:17" x14ac:dyDescent="0.45">
      <c r="A541" t="s">
        <v>1045</v>
      </c>
      <c r="B541" t="s">
        <v>138</v>
      </c>
      <c r="C541" t="s">
        <v>139</v>
      </c>
      <c r="D541" t="s">
        <v>101</v>
      </c>
      <c r="E541" s="8">
        <v>3616.7</v>
      </c>
      <c r="F541" s="9">
        <v>45810.666684444448</v>
      </c>
      <c r="G541" t="s">
        <v>140</v>
      </c>
      <c r="H541" t="s">
        <v>76</v>
      </c>
      <c r="I541" t="s">
        <v>77</v>
      </c>
      <c r="J541" t="str">
        <f t="shared" si="64"/>
        <v/>
      </c>
      <c r="K541" t="str">
        <f t="shared" si="65"/>
        <v/>
      </c>
      <c r="L541" t="str">
        <f t="shared" si="66"/>
        <v/>
      </c>
      <c r="M541" t="str">
        <f t="shared" si="67"/>
        <v/>
      </c>
      <c r="N541" t="str">
        <f t="shared" si="68"/>
        <v/>
      </c>
      <c r="O541" t="str">
        <f t="shared" ca="1" si="69"/>
        <v>Outdated</v>
      </c>
      <c r="P541" t="str">
        <f t="shared" si="70"/>
        <v>Damaged</v>
      </c>
      <c r="Q541" t="str">
        <f t="shared" si="71"/>
        <v/>
      </c>
    </row>
    <row r="542" spans="1:17" x14ac:dyDescent="0.45">
      <c r="A542" t="s">
        <v>1046</v>
      </c>
      <c r="B542" t="s">
        <v>172</v>
      </c>
      <c r="C542" t="s">
        <v>1028</v>
      </c>
      <c r="D542" t="s">
        <v>92</v>
      </c>
      <c r="E542" s="8">
        <v>1806.54</v>
      </c>
      <c r="F542" s="9">
        <v>45546.666684444448</v>
      </c>
      <c r="G542" t="s">
        <v>236</v>
      </c>
      <c r="H542" t="s">
        <v>136</v>
      </c>
      <c r="I542" t="s">
        <v>88</v>
      </c>
      <c r="J542" t="str">
        <f t="shared" si="64"/>
        <v/>
      </c>
      <c r="K542" t="str">
        <f t="shared" si="65"/>
        <v>Duplicate</v>
      </c>
      <c r="L542" t="str">
        <f t="shared" si="66"/>
        <v/>
      </c>
      <c r="M542" t="str">
        <f t="shared" si="67"/>
        <v>Invalid</v>
      </c>
      <c r="N542" t="str">
        <f t="shared" si="68"/>
        <v>Invalid</v>
      </c>
      <c r="O542" t="str">
        <f t="shared" ca="1" si="69"/>
        <v>Outdated</v>
      </c>
      <c r="P542" t="str">
        <f t="shared" si="70"/>
        <v>Not As Described</v>
      </c>
      <c r="Q542" t="str">
        <f t="shared" si="71"/>
        <v/>
      </c>
    </row>
    <row r="543" spans="1:17" x14ac:dyDescent="0.45">
      <c r="A543" t="s">
        <v>1047</v>
      </c>
      <c r="B543" t="s">
        <v>99</v>
      </c>
      <c r="C543" t="s">
        <v>1048</v>
      </c>
      <c r="D543" t="s">
        <v>101</v>
      </c>
      <c r="E543" s="8">
        <v>6053.1</v>
      </c>
      <c r="F543" s="9">
        <v>45462.666684444448</v>
      </c>
      <c r="G543" t="s">
        <v>102</v>
      </c>
      <c r="H543" t="s">
        <v>118</v>
      </c>
      <c r="I543" t="s">
        <v>88</v>
      </c>
      <c r="J543" t="str">
        <f t="shared" si="64"/>
        <v/>
      </c>
      <c r="K543" t="str">
        <f t="shared" si="65"/>
        <v/>
      </c>
      <c r="L543" t="str">
        <f t="shared" si="66"/>
        <v/>
      </c>
      <c r="M543" t="str">
        <f t="shared" si="67"/>
        <v/>
      </c>
      <c r="N543" t="str">
        <f t="shared" si="68"/>
        <v>Invalid</v>
      </c>
      <c r="O543" t="str">
        <f t="shared" ca="1" si="69"/>
        <v>Outdated</v>
      </c>
      <c r="P543" t="str">
        <f t="shared" si="70"/>
        <v>Damaged</v>
      </c>
      <c r="Q543" t="str">
        <f t="shared" si="71"/>
        <v/>
      </c>
    </row>
    <row r="544" spans="1:17" x14ac:dyDescent="0.45">
      <c r="A544" t="s">
        <v>1049</v>
      </c>
      <c r="B544" t="s">
        <v>109</v>
      </c>
      <c r="C544" t="s">
        <v>1050</v>
      </c>
      <c r="D544" t="s">
        <v>92</v>
      </c>
      <c r="E544" s="8">
        <v>6158.04</v>
      </c>
      <c r="F544" s="9">
        <v>45540.666684444448</v>
      </c>
      <c r="H544" t="s">
        <v>118</v>
      </c>
      <c r="I544" t="s">
        <v>119</v>
      </c>
      <c r="J544" t="str">
        <f t="shared" si="64"/>
        <v/>
      </c>
      <c r="K544" t="str">
        <f t="shared" si="65"/>
        <v/>
      </c>
      <c r="L544" t="str">
        <f t="shared" si="66"/>
        <v/>
      </c>
      <c r="M544" t="str">
        <f t="shared" si="67"/>
        <v>Invalid</v>
      </c>
      <c r="N544" t="str">
        <f t="shared" si="68"/>
        <v>Invalid</v>
      </c>
      <c r="O544" t="str">
        <f t="shared" ca="1" si="69"/>
        <v>Outdated</v>
      </c>
      <c r="P544" t="str">
        <f t="shared" si="70"/>
        <v>Not As Described</v>
      </c>
      <c r="Q544" t="str">
        <f t="shared" si="71"/>
        <v/>
      </c>
    </row>
    <row r="545" spans="1:17" x14ac:dyDescent="0.45">
      <c r="A545" t="s">
        <v>1051</v>
      </c>
      <c r="B545" t="s">
        <v>104</v>
      </c>
      <c r="C545" t="s">
        <v>1052</v>
      </c>
      <c r="D545" t="s">
        <v>85</v>
      </c>
      <c r="E545" s="8">
        <v>3992.81</v>
      </c>
      <c r="F545" s="9">
        <v>45841.666684444448</v>
      </c>
      <c r="G545" t="s">
        <v>115</v>
      </c>
      <c r="H545" t="s">
        <v>76</v>
      </c>
      <c r="I545" t="s">
        <v>112</v>
      </c>
      <c r="J545" t="str">
        <f t="shared" si="64"/>
        <v/>
      </c>
      <c r="K545" t="str">
        <f t="shared" si="65"/>
        <v/>
      </c>
      <c r="L545" t="str">
        <f t="shared" si="66"/>
        <v/>
      </c>
      <c r="M545" t="str">
        <f t="shared" si="67"/>
        <v/>
      </c>
      <c r="N545" t="str">
        <f t="shared" si="68"/>
        <v/>
      </c>
      <c r="O545" t="str">
        <f t="shared" ca="1" si="69"/>
        <v>Outdated</v>
      </c>
      <c r="P545" t="str">
        <f t="shared" si="70"/>
        <v>Late Delivery</v>
      </c>
      <c r="Q545" t="str">
        <f t="shared" si="71"/>
        <v/>
      </c>
    </row>
    <row r="546" spans="1:17" x14ac:dyDescent="0.45">
      <c r="A546" t="s">
        <v>1053</v>
      </c>
      <c r="B546" t="s">
        <v>72</v>
      </c>
      <c r="C546" t="s">
        <v>105</v>
      </c>
      <c r="D546" t="s">
        <v>74</v>
      </c>
      <c r="E546" s="8">
        <v>0</v>
      </c>
      <c r="F546" s="9">
        <v>45430.666684444448</v>
      </c>
      <c r="G546" t="s">
        <v>75</v>
      </c>
      <c r="H546" t="s">
        <v>116</v>
      </c>
      <c r="I546" t="s">
        <v>163</v>
      </c>
      <c r="J546" t="str">
        <f t="shared" si="64"/>
        <v/>
      </c>
      <c r="K546" t="str">
        <f t="shared" si="65"/>
        <v/>
      </c>
      <c r="L546" t="str">
        <f t="shared" si="66"/>
        <v>Unusual</v>
      </c>
      <c r="M546" t="str">
        <f t="shared" si="67"/>
        <v/>
      </c>
      <c r="N546" t="str">
        <f t="shared" si="68"/>
        <v/>
      </c>
      <c r="O546" t="str">
        <f t="shared" ca="1" si="69"/>
        <v>Outdated</v>
      </c>
      <c r="P546" t="str">
        <f t="shared" si="70"/>
        <v>Wrong Item</v>
      </c>
      <c r="Q546" t="str">
        <f t="shared" si="71"/>
        <v/>
      </c>
    </row>
    <row r="547" spans="1:17" x14ac:dyDescent="0.45">
      <c r="A547" t="s">
        <v>1054</v>
      </c>
      <c r="B547" t="s">
        <v>90</v>
      </c>
      <c r="C547" t="s">
        <v>1055</v>
      </c>
      <c r="D547" t="s">
        <v>106</v>
      </c>
      <c r="E547" s="8">
        <v>0</v>
      </c>
      <c r="F547" s="9">
        <v>45695.666684444448</v>
      </c>
      <c r="G547" t="s">
        <v>93</v>
      </c>
      <c r="H547" t="s">
        <v>145</v>
      </c>
      <c r="I547" t="s">
        <v>88</v>
      </c>
      <c r="J547" t="str">
        <f t="shared" si="64"/>
        <v/>
      </c>
      <c r="K547" t="str">
        <f t="shared" si="65"/>
        <v/>
      </c>
      <c r="L547" t="str">
        <f t="shared" si="66"/>
        <v>Unusual</v>
      </c>
      <c r="M547" t="str">
        <f t="shared" si="67"/>
        <v/>
      </c>
      <c r="N547" t="str">
        <f t="shared" si="68"/>
        <v/>
      </c>
      <c r="O547" t="str">
        <f t="shared" ca="1" si="69"/>
        <v>Outdated</v>
      </c>
      <c r="P547" t="str">
        <f t="shared" si="70"/>
        <v>Damaged</v>
      </c>
      <c r="Q547" t="str">
        <f t="shared" si="71"/>
        <v>Inconsistent</v>
      </c>
    </row>
    <row r="548" spans="1:17" x14ac:dyDescent="0.45">
      <c r="A548" t="s">
        <v>1056</v>
      </c>
      <c r="B548" t="s">
        <v>104</v>
      </c>
      <c r="C548" t="s">
        <v>1057</v>
      </c>
      <c r="D548" t="s">
        <v>74</v>
      </c>
      <c r="E548" s="8">
        <v>4269.5200000000004</v>
      </c>
      <c r="F548" s="9">
        <v>45258.666684444448</v>
      </c>
      <c r="H548" t="s">
        <v>133</v>
      </c>
      <c r="I548" t="s">
        <v>163</v>
      </c>
      <c r="J548" t="str">
        <f t="shared" si="64"/>
        <v/>
      </c>
      <c r="K548" t="str">
        <f t="shared" si="65"/>
        <v/>
      </c>
      <c r="L548" t="str">
        <f t="shared" si="66"/>
        <v/>
      </c>
      <c r="M548" t="str">
        <f t="shared" si="67"/>
        <v>Invalid</v>
      </c>
      <c r="N548" t="str">
        <f t="shared" si="68"/>
        <v>Invalid</v>
      </c>
      <c r="O548" t="str">
        <f t="shared" ca="1" si="69"/>
        <v>Outdated</v>
      </c>
      <c r="P548" t="str">
        <f t="shared" si="70"/>
        <v>Wrong Item</v>
      </c>
      <c r="Q548" t="str">
        <f t="shared" si="71"/>
        <v/>
      </c>
    </row>
    <row r="549" spans="1:17" x14ac:dyDescent="0.45">
      <c r="A549" t="s">
        <v>1058</v>
      </c>
      <c r="B549" t="s">
        <v>99</v>
      </c>
      <c r="C549" t="s">
        <v>726</v>
      </c>
      <c r="D549" t="s">
        <v>106</v>
      </c>
      <c r="E549" s="8">
        <v>3658.06</v>
      </c>
      <c r="F549" s="9">
        <v>45324.666684444448</v>
      </c>
      <c r="H549" t="s">
        <v>87</v>
      </c>
      <c r="I549" t="s">
        <v>88</v>
      </c>
      <c r="J549" t="str">
        <f t="shared" si="64"/>
        <v/>
      </c>
      <c r="K549" t="str">
        <f t="shared" si="65"/>
        <v>Duplicate</v>
      </c>
      <c r="L549" t="str">
        <f t="shared" si="66"/>
        <v/>
      </c>
      <c r="M549" t="str">
        <f t="shared" si="67"/>
        <v>Invalid</v>
      </c>
      <c r="N549" t="str">
        <f t="shared" si="68"/>
        <v>Invalid</v>
      </c>
      <c r="O549" t="str">
        <f t="shared" ca="1" si="69"/>
        <v>Outdated</v>
      </c>
      <c r="P549" t="str">
        <f t="shared" si="70"/>
        <v>Damaged</v>
      </c>
      <c r="Q549" t="str">
        <f t="shared" si="71"/>
        <v>Inconsistent</v>
      </c>
    </row>
    <row r="550" spans="1:17" x14ac:dyDescent="0.45">
      <c r="A550" t="s">
        <v>1059</v>
      </c>
      <c r="B550" t="s">
        <v>95</v>
      </c>
      <c r="C550" t="s">
        <v>590</v>
      </c>
      <c r="D550" t="s">
        <v>85</v>
      </c>
      <c r="E550" s="8">
        <v>10367.459999999999</v>
      </c>
      <c r="F550" s="9">
        <v>45558.666684444448</v>
      </c>
      <c r="G550" t="s">
        <v>97</v>
      </c>
      <c r="H550" t="s">
        <v>81</v>
      </c>
      <c r="I550" t="s">
        <v>163</v>
      </c>
      <c r="J550" t="str">
        <f t="shared" si="64"/>
        <v/>
      </c>
      <c r="K550" t="str">
        <f t="shared" si="65"/>
        <v/>
      </c>
      <c r="L550" t="str">
        <f t="shared" si="66"/>
        <v>Unusual</v>
      </c>
      <c r="M550" t="str">
        <f t="shared" si="67"/>
        <v/>
      </c>
      <c r="N550" t="str">
        <f t="shared" si="68"/>
        <v/>
      </c>
      <c r="O550" t="str">
        <f t="shared" ca="1" si="69"/>
        <v>Outdated</v>
      </c>
      <c r="P550" t="str">
        <f t="shared" si="70"/>
        <v>Late Delivery</v>
      </c>
      <c r="Q550" t="str">
        <f t="shared" si="71"/>
        <v/>
      </c>
    </row>
    <row r="551" spans="1:17" x14ac:dyDescent="0.45">
      <c r="A551" t="s">
        <v>1060</v>
      </c>
      <c r="B551" t="s">
        <v>138</v>
      </c>
      <c r="C551" t="s">
        <v>1061</v>
      </c>
      <c r="D551" t="s">
        <v>106</v>
      </c>
      <c r="E551" s="8">
        <v>2315.81</v>
      </c>
      <c r="F551" s="9">
        <v>45808.666684444448</v>
      </c>
      <c r="H551" t="s">
        <v>145</v>
      </c>
      <c r="I551" t="s">
        <v>163</v>
      </c>
      <c r="J551" t="str">
        <f t="shared" si="64"/>
        <v/>
      </c>
      <c r="K551" t="str">
        <f t="shared" si="65"/>
        <v/>
      </c>
      <c r="L551" t="str">
        <f t="shared" si="66"/>
        <v/>
      </c>
      <c r="M551" t="str">
        <f t="shared" si="67"/>
        <v>Invalid</v>
      </c>
      <c r="N551" t="str">
        <f t="shared" si="68"/>
        <v/>
      </c>
      <c r="O551" t="str">
        <f t="shared" ca="1" si="69"/>
        <v>Outdated</v>
      </c>
      <c r="P551" t="str">
        <f t="shared" si="70"/>
        <v>Damaged</v>
      </c>
      <c r="Q551" t="str">
        <f t="shared" si="71"/>
        <v>Inconsistent</v>
      </c>
    </row>
    <row r="552" spans="1:17" x14ac:dyDescent="0.45">
      <c r="A552" t="s">
        <v>1062</v>
      </c>
      <c r="B552" t="s">
        <v>95</v>
      </c>
      <c r="C552" t="s">
        <v>639</v>
      </c>
      <c r="D552" t="s">
        <v>74</v>
      </c>
      <c r="E552" s="8">
        <v>7395.05</v>
      </c>
      <c r="F552" s="9">
        <v>45516.666684444448</v>
      </c>
      <c r="G552" t="s">
        <v>97</v>
      </c>
      <c r="H552" t="s">
        <v>133</v>
      </c>
      <c r="I552" t="s">
        <v>88</v>
      </c>
      <c r="J552" t="str">
        <f t="shared" si="64"/>
        <v/>
      </c>
      <c r="K552" t="str">
        <f t="shared" si="65"/>
        <v/>
      </c>
      <c r="L552" t="str">
        <f t="shared" si="66"/>
        <v/>
      </c>
      <c r="M552" t="str">
        <f t="shared" si="67"/>
        <v/>
      </c>
      <c r="N552" t="str">
        <f t="shared" si="68"/>
        <v>Invalid</v>
      </c>
      <c r="O552" t="str">
        <f t="shared" ca="1" si="69"/>
        <v>Outdated</v>
      </c>
      <c r="P552" t="str">
        <f t="shared" si="70"/>
        <v>Wrong Item</v>
      </c>
      <c r="Q552" t="str">
        <f t="shared" si="71"/>
        <v/>
      </c>
    </row>
    <row r="553" spans="1:17" x14ac:dyDescent="0.45">
      <c r="A553" t="s">
        <v>1063</v>
      </c>
      <c r="B553" t="s">
        <v>99</v>
      </c>
      <c r="C553" t="s">
        <v>1064</v>
      </c>
      <c r="D553" t="s">
        <v>85</v>
      </c>
      <c r="E553" s="8">
        <v>2256.19</v>
      </c>
      <c r="F553" s="9">
        <v>45821.666684444448</v>
      </c>
      <c r="G553" t="s">
        <v>102</v>
      </c>
      <c r="H553" t="s">
        <v>118</v>
      </c>
      <c r="I553" t="s">
        <v>82</v>
      </c>
      <c r="J553" t="str">
        <f t="shared" si="64"/>
        <v/>
      </c>
      <c r="K553" t="str">
        <f t="shared" si="65"/>
        <v/>
      </c>
      <c r="L553" t="str">
        <f t="shared" si="66"/>
        <v/>
      </c>
      <c r="M553" t="str">
        <f t="shared" si="67"/>
        <v/>
      </c>
      <c r="N553" t="str">
        <f t="shared" si="68"/>
        <v>Invalid</v>
      </c>
      <c r="O553" t="str">
        <f t="shared" ca="1" si="69"/>
        <v>Outdated</v>
      </c>
      <c r="P553" t="str">
        <f t="shared" si="70"/>
        <v>Late Delivery</v>
      </c>
      <c r="Q553" t="str">
        <f t="shared" si="71"/>
        <v/>
      </c>
    </row>
    <row r="554" spans="1:17" x14ac:dyDescent="0.45">
      <c r="A554" t="s">
        <v>1065</v>
      </c>
      <c r="B554" t="s">
        <v>95</v>
      </c>
      <c r="C554" t="s">
        <v>511</v>
      </c>
      <c r="D554" t="s">
        <v>74</v>
      </c>
      <c r="E554" s="8">
        <v>1781.8</v>
      </c>
      <c r="F554" s="9">
        <v>45306.666684444448</v>
      </c>
      <c r="G554" t="s">
        <v>97</v>
      </c>
      <c r="H554" t="s">
        <v>107</v>
      </c>
      <c r="I554" t="s">
        <v>112</v>
      </c>
      <c r="J554" t="str">
        <f t="shared" si="64"/>
        <v/>
      </c>
      <c r="K554" t="str">
        <f t="shared" si="65"/>
        <v/>
      </c>
      <c r="L554" t="str">
        <f t="shared" si="66"/>
        <v/>
      </c>
      <c r="M554" t="str">
        <f t="shared" si="67"/>
        <v/>
      </c>
      <c r="N554" t="str">
        <f t="shared" si="68"/>
        <v/>
      </c>
      <c r="O554" t="str">
        <f t="shared" ca="1" si="69"/>
        <v>Outdated</v>
      </c>
      <c r="P554" t="str">
        <f t="shared" si="70"/>
        <v>Wrong Item</v>
      </c>
      <c r="Q554" t="str">
        <f t="shared" si="71"/>
        <v/>
      </c>
    </row>
    <row r="555" spans="1:17" x14ac:dyDescent="0.45">
      <c r="A555" t="s">
        <v>1066</v>
      </c>
      <c r="B555" t="s">
        <v>138</v>
      </c>
      <c r="C555" t="s">
        <v>1067</v>
      </c>
      <c r="D555" t="s">
        <v>74</v>
      </c>
      <c r="E555" s="8">
        <v>6325.78</v>
      </c>
      <c r="F555" s="9">
        <v>45758.666684444448</v>
      </c>
      <c r="G555" t="s">
        <v>140</v>
      </c>
      <c r="H555" t="s">
        <v>128</v>
      </c>
      <c r="I555" t="s">
        <v>112</v>
      </c>
      <c r="J555" t="str">
        <f t="shared" si="64"/>
        <v/>
      </c>
      <c r="K555" t="str">
        <f t="shared" si="65"/>
        <v/>
      </c>
      <c r="L555" t="str">
        <f t="shared" si="66"/>
        <v/>
      </c>
      <c r="M555" t="str">
        <f t="shared" si="67"/>
        <v/>
      </c>
      <c r="N555" t="str">
        <f t="shared" si="68"/>
        <v>Invalid</v>
      </c>
      <c r="O555" t="str">
        <f t="shared" ca="1" si="69"/>
        <v>Outdated</v>
      </c>
      <c r="P555" t="str">
        <f t="shared" si="70"/>
        <v>Wrong Item</v>
      </c>
      <c r="Q555" t="str">
        <f t="shared" si="71"/>
        <v/>
      </c>
    </row>
    <row r="556" spans="1:17" x14ac:dyDescent="0.45">
      <c r="A556" t="s">
        <v>1068</v>
      </c>
      <c r="B556" t="s">
        <v>99</v>
      </c>
      <c r="C556" t="s">
        <v>484</v>
      </c>
      <c r="D556" t="s">
        <v>85</v>
      </c>
      <c r="E556" s="8">
        <v>661.32</v>
      </c>
      <c r="F556" s="9">
        <v>45710.666684444448</v>
      </c>
      <c r="G556" t="s">
        <v>102</v>
      </c>
      <c r="H556" t="s">
        <v>76</v>
      </c>
      <c r="I556" t="s">
        <v>119</v>
      </c>
      <c r="J556" t="str">
        <f t="shared" si="64"/>
        <v/>
      </c>
      <c r="K556" t="str">
        <f t="shared" si="65"/>
        <v/>
      </c>
      <c r="L556" t="str">
        <f t="shared" si="66"/>
        <v/>
      </c>
      <c r="M556" t="str">
        <f t="shared" si="67"/>
        <v/>
      </c>
      <c r="N556" t="str">
        <f t="shared" si="68"/>
        <v/>
      </c>
      <c r="O556" t="str">
        <f t="shared" ca="1" si="69"/>
        <v>Outdated</v>
      </c>
      <c r="P556" t="str">
        <f t="shared" si="70"/>
        <v>Late Delivery</v>
      </c>
      <c r="Q556" t="str">
        <f t="shared" si="71"/>
        <v/>
      </c>
    </row>
    <row r="557" spans="1:17" x14ac:dyDescent="0.45">
      <c r="A557" t="s">
        <v>1058</v>
      </c>
      <c r="B557" t="s">
        <v>104</v>
      </c>
      <c r="C557" t="s">
        <v>1069</v>
      </c>
      <c r="D557" t="s">
        <v>74</v>
      </c>
      <c r="E557" s="8">
        <v>8435.9</v>
      </c>
      <c r="F557" s="9">
        <v>45436.666684444448</v>
      </c>
      <c r="G557" t="s">
        <v>247</v>
      </c>
      <c r="H557" t="s">
        <v>116</v>
      </c>
      <c r="I557" t="s">
        <v>112</v>
      </c>
      <c r="J557" t="str">
        <f t="shared" si="64"/>
        <v/>
      </c>
      <c r="K557" t="str">
        <f t="shared" si="65"/>
        <v>Duplicate</v>
      </c>
      <c r="L557" t="str">
        <f t="shared" si="66"/>
        <v/>
      </c>
      <c r="M557" t="str">
        <f t="shared" si="67"/>
        <v>Invalid</v>
      </c>
      <c r="N557" t="str">
        <f t="shared" si="68"/>
        <v/>
      </c>
      <c r="O557" t="str">
        <f t="shared" ca="1" si="69"/>
        <v>Outdated</v>
      </c>
      <c r="P557" t="str">
        <f t="shared" si="70"/>
        <v>Wrong Item</v>
      </c>
      <c r="Q557" t="str">
        <f t="shared" si="71"/>
        <v/>
      </c>
    </row>
    <row r="558" spans="1:17" x14ac:dyDescent="0.45">
      <c r="A558" t="s">
        <v>1070</v>
      </c>
      <c r="B558" t="s">
        <v>95</v>
      </c>
      <c r="C558" t="s">
        <v>348</v>
      </c>
      <c r="D558" t="s">
        <v>85</v>
      </c>
      <c r="E558" s="8">
        <v>2200.86</v>
      </c>
      <c r="F558" s="9">
        <v>45543.666684444448</v>
      </c>
      <c r="G558" t="s">
        <v>97</v>
      </c>
      <c r="H558" t="s">
        <v>107</v>
      </c>
      <c r="I558" t="s">
        <v>88</v>
      </c>
      <c r="J558" t="str">
        <f t="shared" si="64"/>
        <v/>
      </c>
      <c r="K558" t="str">
        <f t="shared" si="65"/>
        <v/>
      </c>
      <c r="L558" t="str">
        <f t="shared" si="66"/>
        <v/>
      </c>
      <c r="M558" t="str">
        <f t="shared" si="67"/>
        <v/>
      </c>
      <c r="N558" t="str">
        <f t="shared" si="68"/>
        <v/>
      </c>
      <c r="O558" t="str">
        <f t="shared" ca="1" si="69"/>
        <v>Outdated</v>
      </c>
      <c r="P558" t="str">
        <f t="shared" si="70"/>
        <v>Late Delivery</v>
      </c>
      <c r="Q558" t="str">
        <f t="shared" si="71"/>
        <v/>
      </c>
    </row>
    <row r="559" spans="1:17" x14ac:dyDescent="0.45">
      <c r="A559" t="s">
        <v>1071</v>
      </c>
      <c r="B559" t="s">
        <v>138</v>
      </c>
      <c r="C559" t="s">
        <v>1072</v>
      </c>
      <c r="D559" t="s">
        <v>74</v>
      </c>
      <c r="E559" s="8">
        <v>9810.7800000000007</v>
      </c>
      <c r="F559" s="9">
        <v>45689.666684444448</v>
      </c>
      <c r="G559" t="s">
        <v>140</v>
      </c>
      <c r="H559" t="s">
        <v>118</v>
      </c>
      <c r="I559" t="s">
        <v>112</v>
      </c>
      <c r="J559" t="str">
        <f t="shared" si="64"/>
        <v/>
      </c>
      <c r="K559" t="str">
        <f t="shared" si="65"/>
        <v/>
      </c>
      <c r="L559" t="str">
        <f t="shared" si="66"/>
        <v/>
      </c>
      <c r="M559" t="str">
        <f t="shared" si="67"/>
        <v/>
      </c>
      <c r="N559" t="str">
        <f t="shared" si="68"/>
        <v>Invalid</v>
      </c>
      <c r="O559" t="str">
        <f t="shared" ca="1" si="69"/>
        <v>Outdated</v>
      </c>
      <c r="P559" t="str">
        <f t="shared" si="70"/>
        <v>Wrong Item</v>
      </c>
      <c r="Q559" t="str">
        <f t="shared" si="71"/>
        <v/>
      </c>
    </row>
    <row r="560" spans="1:17" x14ac:dyDescent="0.45">
      <c r="A560" t="s">
        <v>1073</v>
      </c>
      <c r="B560" t="s">
        <v>109</v>
      </c>
      <c r="C560" t="s">
        <v>1074</v>
      </c>
      <c r="D560" t="s">
        <v>101</v>
      </c>
      <c r="E560" s="8">
        <v>6245.47</v>
      </c>
      <c r="F560" s="9">
        <v>45128.666684444448</v>
      </c>
      <c r="G560" t="s">
        <v>111</v>
      </c>
      <c r="H560" t="s">
        <v>87</v>
      </c>
      <c r="I560" t="s">
        <v>88</v>
      </c>
      <c r="J560" t="str">
        <f t="shared" si="64"/>
        <v/>
      </c>
      <c r="K560" t="str">
        <f t="shared" si="65"/>
        <v/>
      </c>
      <c r="L560" t="str">
        <f t="shared" si="66"/>
        <v/>
      </c>
      <c r="M560" t="str">
        <f t="shared" si="67"/>
        <v/>
      </c>
      <c r="N560" t="str">
        <f t="shared" si="68"/>
        <v>Invalid</v>
      </c>
      <c r="O560" t="str">
        <f t="shared" ca="1" si="69"/>
        <v>Outdated</v>
      </c>
      <c r="P560" t="str">
        <f t="shared" si="70"/>
        <v>Damaged</v>
      </c>
      <c r="Q560" t="str">
        <f t="shared" si="71"/>
        <v/>
      </c>
    </row>
    <row r="561" spans="1:17" x14ac:dyDescent="0.45">
      <c r="A561" t="s">
        <v>1075</v>
      </c>
      <c r="B561" t="s">
        <v>172</v>
      </c>
      <c r="C561" t="s">
        <v>1076</v>
      </c>
      <c r="D561" t="s">
        <v>92</v>
      </c>
      <c r="E561" s="8">
        <v>65.319999999999993</v>
      </c>
      <c r="F561" s="9">
        <v>45439.666684444448</v>
      </c>
      <c r="G561" t="s">
        <v>174</v>
      </c>
      <c r="H561" t="s">
        <v>118</v>
      </c>
      <c r="I561" t="s">
        <v>77</v>
      </c>
      <c r="J561" t="str">
        <f t="shared" si="64"/>
        <v/>
      </c>
      <c r="K561" t="str">
        <f t="shared" si="65"/>
        <v/>
      </c>
      <c r="L561" t="str">
        <f t="shared" si="66"/>
        <v/>
      </c>
      <c r="M561" t="str">
        <f t="shared" si="67"/>
        <v/>
      </c>
      <c r="N561" t="str">
        <f t="shared" si="68"/>
        <v>Invalid</v>
      </c>
      <c r="O561" t="str">
        <f t="shared" ca="1" si="69"/>
        <v>Outdated</v>
      </c>
      <c r="P561" t="str">
        <f t="shared" si="70"/>
        <v>Not As Described</v>
      </c>
      <c r="Q561" t="str">
        <f t="shared" si="71"/>
        <v/>
      </c>
    </row>
    <row r="562" spans="1:17" x14ac:dyDescent="0.45">
      <c r="A562" t="s">
        <v>1077</v>
      </c>
      <c r="B562" t="s">
        <v>138</v>
      </c>
      <c r="C562" t="s">
        <v>1078</v>
      </c>
      <c r="D562" t="s">
        <v>101</v>
      </c>
      <c r="E562" s="8">
        <v>0</v>
      </c>
      <c r="F562" s="9">
        <v>45421.666684444448</v>
      </c>
      <c r="G562" t="s">
        <v>140</v>
      </c>
      <c r="H562" t="s">
        <v>136</v>
      </c>
      <c r="I562" t="s">
        <v>119</v>
      </c>
      <c r="J562" t="str">
        <f t="shared" si="64"/>
        <v/>
      </c>
      <c r="K562" t="str">
        <f t="shared" si="65"/>
        <v/>
      </c>
      <c r="L562" t="str">
        <f t="shared" si="66"/>
        <v>Unusual</v>
      </c>
      <c r="M562" t="str">
        <f t="shared" si="67"/>
        <v/>
      </c>
      <c r="N562" t="str">
        <f t="shared" si="68"/>
        <v>Invalid</v>
      </c>
      <c r="O562" t="str">
        <f t="shared" ca="1" si="69"/>
        <v>Outdated</v>
      </c>
      <c r="P562" t="str">
        <f t="shared" si="70"/>
        <v>Damaged</v>
      </c>
      <c r="Q562" t="str">
        <f t="shared" si="71"/>
        <v/>
      </c>
    </row>
    <row r="563" spans="1:17" x14ac:dyDescent="0.45">
      <c r="A563" t="s">
        <v>1079</v>
      </c>
      <c r="B563" t="s">
        <v>72</v>
      </c>
      <c r="C563" t="s">
        <v>1080</v>
      </c>
      <c r="D563" t="s">
        <v>85</v>
      </c>
      <c r="E563" s="8">
        <v>9303.98</v>
      </c>
      <c r="F563" s="9">
        <v>45343.666684444448</v>
      </c>
      <c r="G563" t="s">
        <v>75</v>
      </c>
      <c r="H563" t="s">
        <v>136</v>
      </c>
      <c r="I563" t="s">
        <v>88</v>
      </c>
      <c r="J563" t="str">
        <f t="shared" si="64"/>
        <v/>
      </c>
      <c r="K563" t="str">
        <f t="shared" si="65"/>
        <v>Duplicate</v>
      </c>
      <c r="L563" t="str">
        <f t="shared" si="66"/>
        <v/>
      </c>
      <c r="M563" t="str">
        <f t="shared" si="67"/>
        <v/>
      </c>
      <c r="N563" t="str">
        <f t="shared" si="68"/>
        <v>Invalid</v>
      </c>
      <c r="O563" t="str">
        <f t="shared" ca="1" si="69"/>
        <v>Outdated</v>
      </c>
      <c r="P563" t="str">
        <f t="shared" si="70"/>
        <v>Late Delivery</v>
      </c>
      <c r="Q563" t="str">
        <f t="shared" si="71"/>
        <v/>
      </c>
    </row>
    <row r="564" spans="1:17" x14ac:dyDescent="0.45">
      <c r="A564" t="s">
        <v>549</v>
      </c>
      <c r="B564" t="s">
        <v>172</v>
      </c>
      <c r="C564" t="s">
        <v>1081</v>
      </c>
      <c r="D564" t="s">
        <v>85</v>
      </c>
      <c r="E564" s="8">
        <v>9043.32</v>
      </c>
      <c r="F564" s="9">
        <v>45568.666684444448</v>
      </c>
      <c r="G564" t="s">
        <v>174</v>
      </c>
      <c r="H564" t="s">
        <v>145</v>
      </c>
      <c r="I564" t="s">
        <v>163</v>
      </c>
      <c r="J564" t="str">
        <f t="shared" si="64"/>
        <v/>
      </c>
      <c r="K564" t="str">
        <f t="shared" si="65"/>
        <v>Duplicate</v>
      </c>
      <c r="L564" t="str">
        <f t="shared" si="66"/>
        <v/>
      </c>
      <c r="M564" t="str">
        <f t="shared" si="67"/>
        <v/>
      </c>
      <c r="N564" t="str">
        <f t="shared" si="68"/>
        <v/>
      </c>
      <c r="O564" t="str">
        <f t="shared" ca="1" si="69"/>
        <v>Outdated</v>
      </c>
      <c r="P564" t="str">
        <f t="shared" si="70"/>
        <v>Late Delivery</v>
      </c>
      <c r="Q564" t="str">
        <f t="shared" si="71"/>
        <v/>
      </c>
    </row>
    <row r="565" spans="1:17" x14ac:dyDescent="0.45">
      <c r="A565" t="s">
        <v>1082</v>
      </c>
      <c r="B565" t="s">
        <v>109</v>
      </c>
      <c r="C565" t="s">
        <v>1083</v>
      </c>
      <c r="E565" s="8">
        <v>9265.07</v>
      </c>
      <c r="F565" s="9">
        <v>45721.666684444448</v>
      </c>
      <c r="G565" t="s">
        <v>111</v>
      </c>
      <c r="H565" t="s">
        <v>76</v>
      </c>
      <c r="I565" t="s">
        <v>88</v>
      </c>
      <c r="J565" t="str">
        <f t="shared" si="64"/>
        <v>Missing</v>
      </c>
      <c r="K565" t="str">
        <f t="shared" si="65"/>
        <v/>
      </c>
      <c r="L565" t="str">
        <f t="shared" si="66"/>
        <v/>
      </c>
      <c r="M565" t="str">
        <f t="shared" si="67"/>
        <v/>
      </c>
      <c r="N565" t="str">
        <f t="shared" si="68"/>
        <v/>
      </c>
      <c r="O565" t="str">
        <f t="shared" ca="1" si="69"/>
        <v>Outdated</v>
      </c>
      <c r="P565" t="str">
        <f t="shared" si="70"/>
        <v/>
      </c>
      <c r="Q565" t="str">
        <f t="shared" si="71"/>
        <v/>
      </c>
    </row>
    <row r="566" spans="1:17" x14ac:dyDescent="0.45">
      <c r="A566" t="s">
        <v>1084</v>
      </c>
      <c r="B566" t="s">
        <v>79</v>
      </c>
      <c r="C566" t="s">
        <v>459</v>
      </c>
      <c r="D566" t="s">
        <v>101</v>
      </c>
      <c r="E566" s="8">
        <v>9127.2800000000007</v>
      </c>
      <c r="F566" s="9">
        <v>45749.666684444448</v>
      </c>
      <c r="G566" t="s">
        <v>278</v>
      </c>
      <c r="H566" t="s">
        <v>128</v>
      </c>
      <c r="I566" t="s">
        <v>77</v>
      </c>
      <c r="J566" t="str">
        <f t="shared" si="64"/>
        <v/>
      </c>
      <c r="K566" t="str">
        <f t="shared" si="65"/>
        <v/>
      </c>
      <c r="L566" t="str">
        <f t="shared" si="66"/>
        <v/>
      </c>
      <c r="M566" t="str">
        <f t="shared" si="67"/>
        <v>Invalid</v>
      </c>
      <c r="N566" t="str">
        <f t="shared" si="68"/>
        <v>Invalid</v>
      </c>
      <c r="O566" t="str">
        <f t="shared" ca="1" si="69"/>
        <v>Outdated</v>
      </c>
      <c r="P566" t="str">
        <f t="shared" si="70"/>
        <v>Damaged</v>
      </c>
      <c r="Q566" t="str">
        <f t="shared" si="71"/>
        <v/>
      </c>
    </row>
    <row r="567" spans="1:17" x14ac:dyDescent="0.45">
      <c r="A567" t="s">
        <v>1085</v>
      </c>
      <c r="B567" t="s">
        <v>104</v>
      </c>
      <c r="C567" t="s">
        <v>1086</v>
      </c>
      <c r="D567" t="s">
        <v>92</v>
      </c>
      <c r="E567" s="8">
        <v>10002.89</v>
      </c>
      <c r="F567" s="9">
        <v>45798.666684444448</v>
      </c>
      <c r="G567" t="s">
        <v>115</v>
      </c>
      <c r="H567" t="s">
        <v>87</v>
      </c>
      <c r="I567" t="s">
        <v>77</v>
      </c>
      <c r="J567" t="str">
        <f t="shared" si="64"/>
        <v/>
      </c>
      <c r="K567" t="str">
        <f t="shared" si="65"/>
        <v/>
      </c>
      <c r="L567" t="str">
        <f t="shared" si="66"/>
        <v>Unusual</v>
      </c>
      <c r="M567" t="str">
        <f t="shared" si="67"/>
        <v/>
      </c>
      <c r="N567" t="str">
        <f t="shared" si="68"/>
        <v>Invalid</v>
      </c>
      <c r="O567" t="str">
        <f t="shared" ca="1" si="69"/>
        <v>Outdated</v>
      </c>
      <c r="P567" t="str">
        <f t="shared" si="70"/>
        <v>Not As Described</v>
      </c>
      <c r="Q567" t="str">
        <f t="shared" si="71"/>
        <v/>
      </c>
    </row>
    <row r="568" spans="1:17" x14ac:dyDescent="0.45">
      <c r="A568" t="s">
        <v>1087</v>
      </c>
      <c r="B568" t="s">
        <v>90</v>
      </c>
      <c r="C568" t="s">
        <v>1088</v>
      </c>
      <c r="D568" t="s">
        <v>106</v>
      </c>
      <c r="E568" s="8">
        <v>10711.34</v>
      </c>
      <c r="F568" s="9">
        <v>45457.666684444448</v>
      </c>
      <c r="H568" t="s">
        <v>145</v>
      </c>
      <c r="I568" t="s">
        <v>88</v>
      </c>
      <c r="J568" t="str">
        <f t="shared" si="64"/>
        <v/>
      </c>
      <c r="K568" t="str">
        <f t="shared" si="65"/>
        <v/>
      </c>
      <c r="L568" t="str">
        <f t="shared" si="66"/>
        <v>Unusual</v>
      </c>
      <c r="M568" t="str">
        <f t="shared" si="67"/>
        <v>Invalid</v>
      </c>
      <c r="N568" t="str">
        <f t="shared" si="68"/>
        <v/>
      </c>
      <c r="O568" t="str">
        <f t="shared" ca="1" si="69"/>
        <v>Outdated</v>
      </c>
      <c r="P568" t="str">
        <f t="shared" si="70"/>
        <v>Damaged</v>
      </c>
      <c r="Q568" t="str">
        <f t="shared" si="71"/>
        <v>Inconsistent</v>
      </c>
    </row>
    <row r="569" spans="1:17" x14ac:dyDescent="0.45">
      <c r="A569" t="s">
        <v>1089</v>
      </c>
      <c r="B569" t="s">
        <v>109</v>
      </c>
      <c r="C569" t="s">
        <v>459</v>
      </c>
      <c r="D569" t="s">
        <v>92</v>
      </c>
      <c r="E569" s="8">
        <v>8123.72</v>
      </c>
      <c r="F569" s="9">
        <v>45604.666684444448</v>
      </c>
      <c r="G569" t="s">
        <v>111</v>
      </c>
      <c r="H569" t="s">
        <v>76</v>
      </c>
      <c r="I569" t="s">
        <v>82</v>
      </c>
      <c r="J569" t="str">
        <f t="shared" si="64"/>
        <v/>
      </c>
      <c r="K569" t="str">
        <f t="shared" si="65"/>
        <v/>
      </c>
      <c r="L569" t="str">
        <f t="shared" si="66"/>
        <v/>
      </c>
      <c r="M569" t="str">
        <f t="shared" si="67"/>
        <v/>
      </c>
      <c r="N569" t="str">
        <f t="shared" si="68"/>
        <v/>
      </c>
      <c r="O569" t="str">
        <f t="shared" ca="1" si="69"/>
        <v>Outdated</v>
      </c>
      <c r="P569" t="str">
        <f t="shared" si="70"/>
        <v>Not As Described</v>
      </c>
      <c r="Q569" t="str">
        <f t="shared" si="71"/>
        <v/>
      </c>
    </row>
    <row r="570" spans="1:17" x14ac:dyDescent="0.45">
      <c r="A570" t="s">
        <v>1090</v>
      </c>
      <c r="B570" t="s">
        <v>172</v>
      </c>
      <c r="C570" t="s">
        <v>328</v>
      </c>
      <c r="D570" t="s">
        <v>85</v>
      </c>
      <c r="E570" s="8">
        <v>1127.8900000000001</v>
      </c>
      <c r="F570" s="9">
        <v>45580.666684444448</v>
      </c>
      <c r="G570" t="s">
        <v>174</v>
      </c>
      <c r="H570" t="s">
        <v>87</v>
      </c>
      <c r="I570" t="s">
        <v>82</v>
      </c>
      <c r="J570" t="str">
        <f t="shared" si="64"/>
        <v/>
      </c>
      <c r="K570" t="str">
        <f t="shared" si="65"/>
        <v/>
      </c>
      <c r="L570" t="str">
        <f t="shared" si="66"/>
        <v/>
      </c>
      <c r="M570" t="str">
        <f t="shared" si="67"/>
        <v/>
      </c>
      <c r="N570" t="str">
        <f t="shared" si="68"/>
        <v>Invalid</v>
      </c>
      <c r="O570" t="str">
        <f t="shared" ca="1" si="69"/>
        <v>Outdated</v>
      </c>
      <c r="P570" t="str">
        <f t="shared" si="70"/>
        <v>Late Delivery</v>
      </c>
      <c r="Q570" t="str">
        <f t="shared" si="71"/>
        <v/>
      </c>
    </row>
    <row r="571" spans="1:17" x14ac:dyDescent="0.45">
      <c r="A571" t="s">
        <v>1091</v>
      </c>
      <c r="B571" t="s">
        <v>172</v>
      </c>
      <c r="C571" t="s">
        <v>1092</v>
      </c>
      <c r="D571" t="s">
        <v>85</v>
      </c>
      <c r="E571" s="8">
        <v>11804.78</v>
      </c>
      <c r="F571" s="9">
        <v>45580.666684444448</v>
      </c>
      <c r="G571" t="s">
        <v>174</v>
      </c>
      <c r="H571" t="s">
        <v>87</v>
      </c>
      <c r="I571" t="s">
        <v>112</v>
      </c>
      <c r="J571" t="str">
        <f t="shared" si="64"/>
        <v/>
      </c>
      <c r="K571" t="str">
        <f t="shared" si="65"/>
        <v/>
      </c>
      <c r="L571" t="str">
        <f t="shared" si="66"/>
        <v>Unusual</v>
      </c>
      <c r="M571" t="str">
        <f t="shared" si="67"/>
        <v/>
      </c>
      <c r="N571" t="str">
        <f t="shared" si="68"/>
        <v>Invalid</v>
      </c>
      <c r="O571" t="str">
        <f t="shared" ca="1" si="69"/>
        <v>Outdated</v>
      </c>
      <c r="P571" t="str">
        <f t="shared" si="70"/>
        <v>Late Delivery</v>
      </c>
      <c r="Q571" t="str">
        <f t="shared" si="71"/>
        <v/>
      </c>
    </row>
    <row r="572" spans="1:17" x14ac:dyDescent="0.45">
      <c r="A572" t="s">
        <v>1093</v>
      </c>
      <c r="B572" t="s">
        <v>72</v>
      </c>
      <c r="C572" t="s">
        <v>1094</v>
      </c>
      <c r="D572" t="s">
        <v>92</v>
      </c>
      <c r="E572" s="8">
        <v>3845.84</v>
      </c>
      <c r="F572" s="9">
        <v>45819.666684444448</v>
      </c>
      <c r="H572" t="s">
        <v>87</v>
      </c>
      <c r="I572" t="s">
        <v>82</v>
      </c>
      <c r="J572" t="str">
        <f t="shared" si="64"/>
        <v/>
      </c>
      <c r="K572" t="str">
        <f t="shared" si="65"/>
        <v/>
      </c>
      <c r="L572" t="str">
        <f t="shared" si="66"/>
        <v/>
      </c>
      <c r="M572" t="str">
        <f t="shared" si="67"/>
        <v>Invalid</v>
      </c>
      <c r="N572" t="str">
        <f t="shared" si="68"/>
        <v>Invalid</v>
      </c>
      <c r="O572" t="str">
        <f t="shared" ca="1" si="69"/>
        <v>Outdated</v>
      </c>
      <c r="P572" t="str">
        <f t="shared" si="70"/>
        <v>Not As Described</v>
      </c>
      <c r="Q572" t="str">
        <f t="shared" si="71"/>
        <v/>
      </c>
    </row>
    <row r="573" spans="1:17" x14ac:dyDescent="0.45">
      <c r="A573" t="s">
        <v>1095</v>
      </c>
      <c r="B573" t="s">
        <v>79</v>
      </c>
      <c r="C573" t="s">
        <v>1096</v>
      </c>
      <c r="D573" t="s">
        <v>85</v>
      </c>
      <c r="E573" s="8">
        <v>10146.61</v>
      </c>
      <c r="F573" s="9">
        <v>45346.666684444448</v>
      </c>
      <c r="G573" t="s">
        <v>86</v>
      </c>
      <c r="H573" t="s">
        <v>133</v>
      </c>
      <c r="I573" t="s">
        <v>77</v>
      </c>
      <c r="J573" t="str">
        <f t="shared" si="64"/>
        <v/>
      </c>
      <c r="K573" t="str">
        <f t="shared" si="65"/>
        <v/>
      </c>
      <c r="L573" t="str">
        <f t="shared" si="66"/>
        <v>Unusual</v>
      </c>
      <c r="M573" t="str">
        <f t="shared" si="67"/>
        <v/>
      </c>
      <c r="N573" t="str">
        <f t="shared" si="68"/>
        <v>Invalid</v>
      </c>
      <c r="O573" t="str">
        <f t="shared" ca="1" si="69"/>
        <v>Outdated</v>
      </c>
      <c r="P573" t="str">
        <f t="shared" si="70"/>
        <v>Late Delivery</v>
      </c>
      <c r="Q573" t="str">
        <f t="shared" si="71"/>
        <v/>
      </c>
    </row>
    <row r="574" spans="1:17" x14ac:dyDescent="0.45">
      <c r="A574" t="s">
        <v>1097</v>
      </c>
      <c r="B574" t="s">
        <v>90</v>
      </c>
      <c r="C574" t="s">
        <v>823</v>
      </c>
      <c r="D574" t="s">
        <v>74</v>
      </c>
      <c r="E574" s="8">
        <v>481.5</v>
      </c>
      <c r="F574" s="9">
        <v>45651.666684444448</v>
      </c>
      <c r="G574" t="s">
        <v>93</v>
      </c>
      <c r="H574" t="s">
        <v>128</v>
      </c>
      <c r="I574" t="s">
        <v>82</v>
      </c>
      <c r="J574" t="str">
        <f t="shared" si="64"/>
        <v/>
      </c>
      <c r="K574" t="str">
        <f t="shared" si="65"/>
        <v/>
      </c>
      <c r="L574" t="str">
        <f t="shared" si="66"/>
        <v/>
      </c>
      <c r="M574" t="str">
        <f t="shared" si="67"/>
        <v/>
      </c>
      <c r="N574" t="str">
        <f t="shared" si="68"/>
        <v>Invalid</v>
      </c>
      <c r="O574" t="str">
        <f t="shared" ca="1" si="69"/>
        <v>Outdated</v>
      </c>
      <c r="P574" t="str">
        <f t="shared" si="70"/>
        <v>Wrong Item</v>
      </c>
      <c r="Q574" t="str">
        <f t="shared" si="71"/>
        <v/>
      </c>
    </row>
    <row r="575" spans="1:17" x14ac:dyDescent="0.45">
      <c r="A575" t="s">
        <v>1098</v>
      </c>
      <c r="B575" t="s">
        <v>72</v>
      </c>
      <c r="C575" t="s">
        <v>1021</v>
      </c>
      <c r="D575" t="s">
        <v>74</v>
      </c>
      <c r="E575" s="8">
        <v>6689.15</v>
      </c>
      <c r="F575" s="9">
        <v>45612.666684444448</v>
      </c>
      <c r="G575" t="s">
        <v>75</v>
      </c>
      <c r="H575" t="s">
        <v>136</v>
      </c>
      <c r="I575" t="s">
        <v>88</v>
      </c>
      <c r="J575" t="str">
        <f t="shared" si="64"/>
        <v/>
      </c>
      <c r="K575" t="str">
        <f t="shared" si="65"/>
        <v/>
      </c>
      <c r="L575" t="str">
        <f t="shared" si="66"/>
        <v/>
      </c>
      <c r="M575" t="str">
        <f t="shared" si="67"/>
        <v/>
      </c>
      <c r="N575" t="str">
        <f t="shared" si="68"/>
        <v>Invalid</v>
      </c>
      <c r="O575" t="str">
        <f t="shared" ca="1" si="69"/>
        <v>Outdated</v>
      </c>
      <c r="P575" t="str">
        <f t="shared" si="70"/>
        <v>Wrong Item</v>
      </c>
      <c r="Q575" t="str">
        <f t="shared" si="71"/>
        <v/>
      </c>
    </row>
    <row r="576" spans="1:17" x14ac:dyDescent="0.45">
      <c r="A576" t="s">
        <v>1099</v>
      </c>
      <c r="B576" t="s">
        <v>109</v>
      </c>
      <c r="C576" t="s">
        <v>1100</v>
      </c>
      <c r="E576" s="8">
        <v>10013.15</v>
      </c>
      <c r="F576" s="9">
        <v>45301.666684444448</v>
      </c>
      <c r="G576" t="s">
        <v>307</v>
      </c>
      <c r="H576" t="s">
        <v>118</v>
      </c>
      <c r="I576" t="s">
        <v>119</v>
      </c>
      <c r="J576" t="str">
        <f t="shared" si="64"/>
        <v>Missing</v>
      </c>
      <c r="K576" t="str">
        <f t="shared" si="65"/>
        <v/>
      </c>
      <c r="L576" t="str">
        <f t="shared" si="66"/>
        <v>Unusual</v>
      </c>
      <c r="M576" t="str">
        <f t="shared" si="67"/>
        <v>Invalid</v>
      </c>
      <c r="N576" t="str">
        <f t="shared" si="68"/>
        <v>Invalid</v>
      </c>
      <c r="O576" t="str">
        <f t="shared" ca="1" si="69"/>
        <v>Outdated</v>
      </c>
      <c r="P576" t="str">
        <f t="shared" si="70"/>
        <v/>
      </c>
      <c r="Q576" t="str">
        <f t="shared" si="71"/>
        <v/>
      </c>
    </row>
    <row r="577" spans="1:17" x14ac:dyDescent="0.45">
      <c r="A577" t="s">
        <v>1101</v>
      </c>
      <c r="B577" t="s">
        <v>172</v>
      </c>
      <c r="C577" t="s">
        <v>243</v>
      </c>
      <c r="D577" t="s">
        <v>101</v>
      </c>
      <c r="E577" s="8">
        <v>8378.09</v>
      </c>
      <c r="F577" s="9">
        <v>45802.666684444448</v>
      </c>
      <c r="G577" t="s">
        <v>174</v>
      </c>
      <c r="H577" t="s">
        <v>81</v>
      </c>
      <c r="I577" t="s">
        <v>112</v>
      </c>
      <c r="J577" t="str">
        <f t="shared" si="64"/>
        <v/>
      </c>
      <c r="K577" t="str">
        <f t="shared" si="65"/>
        <v/>
      </c>
      <c r="L577" t="str">
        <f t="shared" si="66"/>
        <v/>
      </c>
      <c r="M577" t="str">
        <f t="shared" si="67"/>
        <v/>
      </c>
      <c r="N577" t="str">
        <f t="shared" si="68"/>
        <v/>
      </c>
      <c r="O577" t="str">
        <f t="shared" ca="1" si="69"/>
        <v>Outdated</v>
      </c>
      <c r="P577" t="str">
        <f t="shared" si="70"/>
        <v>Damaged</v>
      </c>
      <c r="Q577" t="str">
        <f t="shared" si="71"/>
        <v/>
      </c>
    </row>
    <row r="578" spans="1:17" x14ac:dyDescent="0.45">
      <c r="A578" t="s">
        <v>1102</v>
      </c>
      <c r="B578" t="s">
        <v>109</v>
      </c>
      <c r="C578" t="s">
        <v>1103</v>
      </c>
      <c r="D578" t="s">
        <v>92</v>
      </c>
      <c r="E578" s="8">
        <v>4033.92</v>
      </c>
      <c r="F578" s="9">
        <v>45214.666684444448</v>
      </c>
      <c r="G578" t="s">
        <v>111</v>
      </c>
      <c r="H578" t="s">
        <v>133</v>
      </c>
      <c r="I578" t="s">
        <v>112</v>
      </c>
      <c r="J578" t="str">
        <f t="shared" ref="J578:J641" si="72">IF(OR(ISBLANK(C578),ISBLANK(D578)),"Missing","")</f>
        <v/>
      </c>
      <c r="K578" t="str">
        <f t="shared" ref="K578:K641" si="73">IF(COUNTIF($A$2:$A$2501,A578)&gt;1,"Duplicate","")</f>
        <v/>
      </c>
      <c r="L578" t="str">
        <f t="shared" ref="L578:L641" si="74">IF(OR(E578=0,E578&gt;10000),"Unusual","")</f>
        <v/>
      </c>
      <c r="M578" t="str">
        <f t="shared" ref="M578:M641" si="75">IF(OR(ISBLANK(G578),ISERROR(FIND("@",G578)),ISERROR(FIND(".",G578,FIND("@",G578)+1))),"Invalid","")</f>
        <v/>
      </c>
      <c r="N578" t="str">
        <f t="shared" ref="N578:N641" si="76">IF(COUNTIF($S$2:$S$6,H578)=0,"Invalid","")</f>
        <v>Invalid</v>
      </c>
      <c r="O578" t="str">
        <f t="shared" ref="O578:O641" ca="1" si="77">IF(F578&lt;EDATE(TODAY(),-12),"Outdated","")</f>
        <v>Outdated</v>
      </c>
      <c r="P578" t="str">
        <f t="shared" ref="P578:P641" si="78">IF(ISBLANK(D578),"",PROPER(TRIM(D578)))</f>
        <v>Not As Described</v>
      </c>
      <c r="Q578" t="str">
        <f t="shared" ref="Q578:Q641" si="79">IF(ISBLANK(D578),"",IF(EXACT(D578,P578),"","Inconsistent"))</f>
        <v/>
      </c>
    </row>
    <row r="579" spans="1:17" x14ac:dyDescent="0.45">
      <c r="A579" t="s">
        <v>1104</v>
      </c>
      <c r="B579" t="s">
        <v>138</v>
      </c>
      <c r="C579" t="s">
        <v>1105</v>
      </c>
      <c r="D579" t="s">
        <v>101</v>
      </c>
      <c r="E579" s="8">
        <v>240.55</v>
      </c>
      <c r="F579" s="9">
        <v>45418.666684444448</v>
      </c>
      <c r="G579" t="s">
        <v>140</v>
      </c>
      <c r="H579" t="s">
        <v>76</v>
      </c>
      <c r="I579" t="s">
        <v>119</v>
      </c>
      <c r="J579" t="str">
        <f t="shared" si="72"/>
        <v/>
      </c>
      <c r="K579" t="str">
        <f t="shared" si="73"/>
        <v/>
      </c>
      <c r="L579" t="str">
        <f t="shared" si="74"/>
        <v/>
      </c>
      <c r="M579" t="str">
        <f t="shared" si="75"/>
        <v/>
      </c>
      <c r="N579" t="str">
        <f t="shared" si="76"/>
        <v/>
      </c>
      <c r="O579" t="str">
        <f t="shared" ca="1" si="77"/>
        <v>Outdated</v>
      </c>
      <c r="P579" t="str">
        <f t="shared" si="78"/>
        <v>Damaged</v>
      </c>
      <c r="Q579" t="str">
        <f t="shared" si="79"/>
        <v/>
      </c>
    </row>
    <row r="580" spans="1:17" x14ac:dyDescent="0.45">
      <c r="A580" t="s">
        <v>1106</v>
      </c>
      <c r="B580" t="s">
        <v>79</v>
      </c>
      <c r="C580" t="s">
        <v>637</v>
      </c>
      <c r="D580" t="s">
        <v>85</v>
      </c>
      <c r="E580" s="8">
        <v>8386</v>
      </c>
      <c r="F580" s="9">
        <v>45655.666684444448</v>
      </c>
      <c r="G580" t="s">
        <v>86</v>
      </c>
      <c r="H580" t="s">
        <v>81</v>
      </c>
      <c r="I580" t="s">
        <v>88</v>
      </c>
      <c r="J580" t="str">
        <f t="shared" si="72"/>
        <v/>
      </c>
      <c r="K580" t="str">
        <f t="shared" si="73"/>
        <v/>
      </c>
      <c r="L580" t="str">
        <f t="shared" si="74"/>
        <v/>
      </c>
      <c r="M580" t="str">
        <f t="shared" si="75"/>
        <v/>
      </c>
      <c r="N580" t="str">
        <f t="shared" si="76"/>
        <v/>
      </c>
      <c r="O580" t="str">
        <f t="shared" ca="1" si="77"/>
        <v>Outdated</v>
      </c>
      <c r="P580" t="str">
        <f t="shared" si="78"/>
        <v>Late Delivery</v>
      </c>
      <c r="Q580" t="str">
        <f t="shared" si="79"/>
        <v/>
      </c>
    </row>
    <row r="581" spans="1:17" x14ac:dyDescent="0.45">
      <c r="A581" t="s">
        <v>1107</v>
      </c>
      <c r="B581" t="s">
        <v>104</v>
      </c>
      <c r="C581" t="s">
        <v>1108</v>
      </c>
      <c r="D581" t="s">
        <v>74</v>
      </c>
      <c r="E581" s="8">
        <v>1681.99</v>
      </c>
      <c r="F581" s="9">
        <v>45807.666684444448</v>
      </c>
      <c r="G581" t="s">
        <v>115</v>
      </c>
      <c r="H581" t="s">
        <v>128</v>
      </c>
      <c r="I581" t="s">
        <v>112</v>
      </c>
      <c r="J581" t="str">
        <f t="shared" si="72"/>
        <v/>
      </c>
      <c r="K581" t="str">
        <f t="shared" si="73"/>
        <v/>
      </c>
      <c r="L581" t="str">
        <f t="shared" si="74"/>
        <v/>
      </c>
      <c r="M581" t="str">
        <f t="shared" si="75"/>
        <v/>
      </c>
      <c r="N581" t="str">
        <f t="shared" si="76"/>
        <v>Invalid</v>
      </c>
      <c r="O581" t="str">
        <f t="shared" ca="1" si="77"/>
        <v>Outdated</v>
      </c>
      <c r="P581" t="str">
        <f t="shared" si="78"/>
        <v>Wrong Item</v>
      </c>
      <c r="Q581" t="str">
        <f t="shared" si="79"/>
        <v/>
      </c>
    </row>
    <row r="582" spans="1:17" x14ac:dyDescent="0.45">
      <c r="A582" t="s">
        <v>1109</v>
      </c>
      <c r="B582" t="s">
        <v>138</v>
      </c>
      <c r="C582" t="s">
        <v>888</v>
      </c>
      <c r="D582" t="s">
        <v>74</v>
      </c>
      <c r="E582" s="8">
        <v>96.1</v>
      </c>
      <c r="F582" s="9">
        <v>45776.666684444448</v>
      </c>
      <c r="H582" t="s">
        <v>116</v>
      </c>
      <c r="I582" t="s">
        <v>82</v>
      </c>
      <c r="J582" t="str">
        <f t="shared" si="72"/>
        <v/>
      </c>
      <c r="K582" t="str">
        <f t="shared" si="73"/>
        <v/>
      </c>
      <c r="L582" t="str">
        <f t="shared" si="74"/>
        <v/>
      </c>
      <c r="M582" t="str">
        <f t="shared" si="75"/>
        <v>Invalid</v>
      </c>
      <c r="N582" t="str">
        <f t="shared" si="76"/>
        <v/>
      </c>
      <c r="O582" t="str">
        <f t="shared" ca="1" si="77"/>
        <v>Outdated</v>
      </c>
      <c r="P582" t="str">
        <f t="shared" si="78"/>
        <v>Wrong Item</v>
      </c>
      <c r="Q582" t="str">
        <f t="shared" si="79"/>
        <v/>
      </c>
    </row>
    <row r="583" spans="1:17" x14ac:dyDescent="0.45">
      <c r="A583" t="s">
        <v>1110</v>
      </c>
      <c r="B583" t="s">
        <v>79</v>
      </c>
      <c r="C583" t="s">
        <v>843</v>
      </c>
      <c r="D583" t="s">
        <v>106</v>
      </c>
      <c r="E583" s="8">
        <v>0</v>
      </c>
      <c r="F583" s="9">
        <v>45762.666684444448</v>
      </c>
      <c r="H583" t="s">
        <v>116</v>
      </c>
      <c r="I583" t="s">
        <v>119</v>
      </c>
      <c r="J583" t="str">
        <f t="shared" si="72"/>
        <v/>
      </c>
      <c r="K583" t="str">
        <f t="shared" si="73"/>
        <v/>
      </c>
      <c r="L583" t="str">
        <f t="shared" si="74"/>
        <v>Unusual</v>
      </c>
      <c r="M583" t="str">
        <f t="shared" si="75"/>
        <v>Invalid</v>
      </c>
      <c r="N583" t="str">
        <f t="shared" si="76"/>
        <v/>
      </c>
      <c r="O583" t="str">
        <f t="shared" ca="1" si="77"/>
        <v>Outdated</v>
      </c>
      <c r="P583" t="str">
        <f t="shared" si="78"/>
        <v>Damaged</v>
      </c>
      <c r="Q583" t="str">
        <f t="shared" si="79"/>
        <v>Inconsistent</v>
      </c>
    </row>
    <row r="584" spans="1:17" x14ac:dyDescent="0.45">
      <c r="A584" t="s">
        <v>1111</v>
      </c>
      <c r="B584" t="s">
        <v>79</v>
      </c>
      <c r="C584" t="s">
        <v>1112</v>
      </c>
      <c r="D584" t="s">
        <v>148</v>
      </c>
      <c r="E584" s="8">
        <v>0</v>
      </c>
      <c r="F584" s="9">
        <v>45471.666684444448</v>
      </c>
      <c r="G584" t="s">
        <v>86</v>
      </c>
      <c r="H584" t="s">
        <v>118</v>
      </c>
      <c r="I584" t="s">
        <v>77</v>
      </c>
      <c r="J584" t="str">
        <f t="shared" si="72"/>
        <v/>
      </c>
      <c r="K584" t="str">
        <f t="shared" si="73"/>
        <v/>
      </c>
      <c r="L584" t="str">
        <f t="shared" si="74"/>
        <v>Unusual</v>
      </c>
      <c r="M584" t="str">
        <f t="shared" si="75"/>
        <v/>
      </c>
      <c r="N584" t="str">
        <f t="shared" si="76"/>
        <v>Invalid</v>
      </c>
      <c r="O584" t="str">
        <f t="shared" ca="1" si="77"/>
        <v>Outdated</v>
      </c>
      <c r="P584" t="str">
        <f t="shared" si="78"/>
        <v>Wrong Item</v>
      </c>
      <c r="Q584" t="str">
        <f t="shared" si="79"/>
        <v>Inconsistent</v>
      </c>
    </row>
    <row r="585" spans="1:17" x14ac:dyDescent="0.45">
      <c r="A585" t="s">
        <v>1113</v>
      </c>
      <c r="B585" t="s">
        <v>109</v>
      </c>
      <c r="C585" t="s">
        <v>1114</v>
      </c>
      <c r="D585" t="s">
        <v>92</v>
      </c>
      <c r="E585" s="8">
        <v>972.71</v>
      </c>
      <c r="F585" s="9">
        <v>45223.666684444448</v>
      </c>
      <c r="G585" t="s">
        <v>111</v>
      </c>
      <c r="H585" t="s">
        <v>118</v>
      </c>
      <c r="I585" t="s">
        <v>112</v>
      </c>
      <c r="J585" t="str">
        <f t="shared" si="72"/>
        <v/>
      </c>
      <c r="K585" t="str">
        <f t="shared" si="73"/>
        <v/>
      </c>
      <c r="L585" t="str">
        <f t="shared" si="74"/>
        <v/>
      </c>
      <c r="M585" t="str">
        <f t="shared" si="75"/>
        <v/>
      </c>
      <c r="N585" t="str">
        <f t="shared" si="76"/>
        <v>Invalid</v>
      </c>
      <c r="O585" t="str">
        <f t="shared" ca="1" si="77"/>
        <v>Outdated</v>
      </c>
      <c r="P585" t="str">
        <f t="shared" si="78"/>
        <v>Not As Described</v>
      </c>
      <c r="Q585" t="str">
        <f t="shared" si="79"/>
        <v/>
      </c>
    </row>
    <row r="586" spans="1:17" x14ac:dyDescent="0.45">
      <c r="A586" t="s">
        <v>1115</v>
      </c>
      <c r="B586" t="s">
        <v>138</v>
      </c>
      <c r="C586" t="s">
        <v>1116</v>
      </c>
      <c r="D586" t="s">
        <v>85</v>
      </c>
      <c r="E586" s="8">
        <v>2995.5</v>
      </c>
      <c r="F586" s="9">
        <v>45368.666684444448</v>
      </c>
      <c r="G586" t="s">
        <v>140</v>
      </c>
      <c r="H586" t="s">
        <v>87</v>
      </c>
      <c r="I586" t="s">
        <v>82</v>
      </c>
      <c r="J586" t="str">
        <f t="shared" si="72"/>
        <v/>
      </c>
      <c r="K586" t="str">
        <f t="shared" si="73"/>
        <v/>
      </c>
      <c r="L586" t="str">
        <f t="shared" si="74"/>
        <v/>
      </c>
      <c r="M586" t="str">
        <f t="shared" si="75"/>
        <v/>
      </c>
      <c r="N586" t="str">
        <f t="shared" si="76"/>
        <v>Invalid</v>
      </c>
      <c r="O586" t="str">
        <f t="shared" ca="1" si="77"/>
        <v>Outdated</v>
      </c>
      <c r="P586" t="str">
        <f t="shared" si="78"/>
        <v>Late Delivery</v>
      </c>
      <c r="Q586" t="str">
        <f t="shared" si="79"/>
        <v/>
      </c>
    </row>
    <row r="587" spans="1:17" x14ac:dyDescent="0.45">
      <c r="A587" t="s">
        <v>1117</v>
      </c>
      <c r="B587" t="s">
        <v>109</v>
      </c>
      <c r="C587" t="s">
        <v>1118</v>
      </c>
      <c r="D587" t="s">
        <v>92</v>
      </c>
      <c r="E587" s="8">
        <v>9757.7999999999993</v>
      </c>
      <c r="F587" s="9">
        <v>45816.666684444448</v>
      </c>
      <c r="H587" t="s">
        <v>76</v>
      </c>
      <c r="I587" t="s">
        <v>112</v>
      </c>
      <c r="J587" t="str">
        <f t="shared" si="72"/>
        <v/>
      </c>
      <c r="K587" t="str">
        <f t="shared" si="73"/>
        <v/>
      </c>
      <c r="L587" t="str">
        <f t="shared" si="74"/>
        <v/>
      </c>
      <c r="M587" t="str">
        <f t="shared" si="75"/>
        <v>Invalid</v>
      </c>
      <c r="N587" t="str">
        <f t="shared" si="76"/>
        <v/>
      </c>
      <c r="O587" t="str">
        <f t="shared" ca="1" si="77"/>
        <v>Outdated</v>
      </c>
      <c r="P587" t="str">
        <f t="shared" si="78"/>
        <v>Not As Described</v>
      </c>
      <c r="Q587" t="str">
        <f t="shared" si="79"/>
        <v/>
      </c>
    </row>
    <row r="588" spans="1:17" x14ac:dyDescent="0.45">
      <c r="A588" t="s">
        <v>1119</v>
      </c>
      <c r="B588" t="s">
        <v>109</v>
      </c>
      <c r="C588" t="s">
        <v>1120</v>
      </c>
      <c r="D588" t="s">
        <v>85</v>
      </c>
      <c r="E588" s="8">
        <v>10605.14</v>
      </c>
      <c r="F588" s="9">
        <v>45445.666684444448</v>
      </c>
      <c r="G588" t="s">
        <v>111</v>
      </c>
      <c r="H588" t="s">
        <v>87</v>
      </c>
      <c r="I588" t="s">
        <v>82</v>
      </c>
      <c r="J588" t="str">
        <f t="shared" si="72"/>
        <v/>
      </c>
      <c r="K588" t="str">
        <f t="shared" si="73"/>
        <v/>
      </c>
      <c r="L588" t="str">
        <f t="shared" si="74"/>
        <v>Unusual</v>
      </c>
      <c r="M588" t="str">
        <f t="shared" si="75"/>
        <v/>
      </c>
      <c r="N588" t="str">
        <f t="shared" si="76"/>
        <v>Invalid</v>
      </c>
      <c r="O588" t="str">
        <f t="shared" ca="1" si="77"/>
        <v>Outdated</v>
      </c>
      <c r="P588" t="str">
        <f t="shared" si="78"/>
        <v>Late Delivery</v>
      </c>
      <c r="Q588" t="str">
        <f t="shared" si="79"/>
        <v/>
      </c>
    </row>
    <row r="589" spans="1:17" x14ac:dyDescent="0.45">
      <c r="A589" t="s">
        <v>1121</v>
      </c>
      <c r="B589" t="s">
        <v>109</v>
      </c>
      <c r="C589" t="s">
        <v>1122</v>
      </c>
      <c r="D589" t="s">
        <v>85</v>
      </c>
      <c r="E589" s="8">
        <v>10304.91</v>
      </c>
      <c r="F589" s="9">
        <v>45358.666684444448</v>
      </c>
      <c r="G589" t="s">
        <v>111</v>
      </c>
      <c r="H589" t="s">
        <v>81</v>
      </c>
      <c r="I589" t="s">
        <v>119</v>
      </c>
      <c r="J589" t="str">
        <f t="shared" si="72"/>
        <v/>
      </c>
      <c r="K589" t="str">
        <f t="shared" si="73"/>
        <v/>
      </c>
      <c r="L589" t="str">
        <f t="shared" si="74"/>
        <v>Unusual</v>
      </c>
      <c r="M589" t="str">
        <f t="shared" si="75"/>
        <v/>
      </c>
      <c r="N589" t="str">
        <f t="shared" si="76"/>
        <v/>
      </c>
      <c r="O589" t="str">
        <f t="shared" ca="1" si="77"/>
        <v>Outdated</v>
      </c>
      <c r="P589" t="str">
        <f t="shared" si="78"/>
        <v>Late Delivery</v>
      </c>
      <c r="Q589" t="str">
        <f t="shared" si="79"/>
        <v/>
      </c>
    </row>
    <row r="590" spans="1:17" x14ac:dyDescent="0.45">
      <c r="A590" t="s">
        <v>1123</v>
      </c>
      <c r="B590" t="s">
        <v>172</v>
      </c>
      <c r="C590" t="s">
        <v>298</v>
      </c>
      <c r="D590" t="s">
        <v>74</v>
      </c>
      <c r="E590" s="8">
        <v>2043.11</v>
      </c>
      <c r="F590" s="9">
        <v>45331.666684444448</v>
      </c>
      <c r="G590" t="s">
        <v>236</v>
      </c>
      <c r="H590" t="s">
        <v>87</v>
      </c>
      <c r="I590" t="s">
        <v>77</v>
      </c>
      <c r="J590" t="str">
        <f t="shared" si="72"/>
        <v/>
      </c>
      <c r="K590" t="str">
        <f t="shared" si="73"/>
        <v>Duplicate</v>
      </c>
      <c r="L590" t="str">
        <f t="shared" si="74"/>
        <v/>
      </c>
      <c r="M590" t="str">
        <f t="shared" si="75"/>
        <v>Invalid</v>
      </c>
      <c r="N590" t="str">
        <f t="shared" si="76"/>
        <v>Invalid</v>
      </c>
      <c r="O590" t="str">
        <f t="shared" ca="1" si="77"/>
        <v>Outdated</v>
      </c>
      <c r="P590" t="str">
        <f t="shared" si="78"/>
        <v>Wrong Item</v>
      </c>
      <c r="Q590" t="str">
        <f t="shared" si="79"/>
        <v/>
      </c>
    </row>
    <row r="591" spans="1:17" x14ac:dyDescent="0.45">
      <c r="A591" t="s">
        <v>1124</v>
      </c>
      <c r="B591" t="s">
        <v>172</v>
      </c>
      <c r="C591" t="s">
        <v>1125</v>
      </c>
      <c r="D591" t="s">
        <v>85</v>
      </c>
      <c r="E591" s="8">
        <v>2552.7199999999998</v>
      </c>
      <c r="F591" s="9">
        <v>45278.666684444448</v>
      </c>
      <c r="G591" t="s">
        <v>174</v>
      </c>
      <c r="H591" t="s">
        <v>81</v>
      </c>
      <c r="I591" t="s">
        <v>112</v>
      </c>
      <c r="J591" t="str">
        <f t="shared" si="72"/>
        <v/>
      </c>
      <c r="K591" t="str">
        <f t="shared" si="73"/>
        <v>Duplicate</v>
      </c>
      <c r="L591" t="str">
        <f t="shared" si="74"/>
        <v/>
      </c>
      <c r="M591" t="str">
        <f t="shared" si="75"/>
        <v/>
      </c>
      <c r="N591" t="str">
        <f t="shared" si="76"/>
        <v/>
      </c>
      <c r="O591" t="str">
        <f t="shared" ca="1" si="77"/>
        <v>Outdated</v>
      </c>
      <c r="P591" t="str">
        <f t="shared" si="78"/>
        <v>Late Delivery</v>
      </c>
      <c r="Q591" t="str">
        <f t="shared" si="79"/>
        <v/>
      </c>
    </row>
    <row r="592" spans="1:17" x14ac:dyDescent="0.45">
      <c r="A592" t="s">
        <v>1126</v>
      </c>
      <c r="B592" t="s">
        <v>90</v>
      </c>
      <c r="C592" t="s">
        <v>922</v>
      </c>
      <c r="D592" t="s">
        <v>92</v>
      </c>
      <c r="E592" s="8">
        <v>6043.44</v>
      </c>
      <c r="F592" s="9">
        <v>45153.666684444448</v>
      </c>
      <c r="G592" t="s">
        <v>93</v>
      </c>
      <c r="H592" t="s">
        <v>136</v>
      </c>
      <c r="I592" t="s">
        <v>112</v>
      </c>
      <c r="J592" t="str">
        <f t="shared" si="72"/>
        <v/>
      </c>
      <c r="K592" t="str">
        <f t="shared" si="73"/>
        <v/>
      </c>
      <c r="L592" t="str">
        <f t="shared" si="74"/>
        <v/>
      </c>
      <c r="M592" t="str">
        <f t="shared" si="75"/>
        <v/>
      </c>
      <c r="N592" t="str">
        <f t="shared" si="76"/>
        <v>Invalid</v>
      </c>
      <c r="O592" t="str">
        <f t="shared" ca="1" si="77"/>
        <v>Outdated</v>
      </c>
      <c r="P592" t="str">
        <f t="shared" si="78"/>
        <v>Not As Described</v>
      </c>
      <c r="Q592" t="str">
        <f t="shared" si="79"/>
        <v/>
      </c>
    </row>
    <row r="593" spans="1:17" x14ac:dyDescent="0.45">
      <c r="A593" t="s">
        <v>1127</v>
      </c>
      <c r="B593" t="s">
        <v>104</v>
      </c>
      <c r="C593" t="s">
        <v>710</v>
      </c>
      <c r="D593" t="s">
        <v>106</v>
      </c>
      <c r="E593" s="8">
        <v>11432.07</v>
      </c>
      <c r="F593" s="9">
        <v>45175.666684444448</v>
      </c>
      <c r="G593" t="s">
        <v>115</v>
      </c>
      <c r="H593" t="s">
        <v>136</v>
      </c>
      <c r="I593" t="s">
        <v>88</v>
      </c>
      <c r="J593" t="str">
        <f t="shared" si="72"/>
        <v/>
      </c>
      <c r="K593" t="str">
        <f t="shared" si="73"/>
        <v/>
      </c>
      <c r="L593" t="str">
        <f t="shared" si="74"/>
        <v>Unusual</v>
      </c>
      <c r="M593" t="str">
        <f t="shared" si="75"/>
        <v/>
      </c>
      <c r="N593" t="str">
        <f t="shared" si="76"/>
        <v>Invalid</v>
      </c>
      <c r="O593" t="str">
        <f t="shared" ca="1" si="77"/>
        <v>Outdated</v>
      </c>
      <c r="P593" t="str">
        <f t="shared" si="78"/>
        <v>Damaged</v>
      </c>
      <c r="Q593" t="str">
        <f t="shared" si="79"/>
        <v>Inconsistent</v>
      </c>
    </row>
    <row r="594" spans="1:17" x14ac:dyDescent="0.45">
      <c r="A594" t="s">
        <v>1128</v>
      </c>
      <c r="B594" t="s">
        <v>72</v>
      </c>
      <c r="C594" t="s">
        <v>1129</v>
      </c>
      <c r="D594" t="s">
        <v>74</v>
      </c>
      <c r="E594" s="8">
        <v>6076.21</v>
      </c>
      <c r="F594" s="9">
        <v>45378.666684444448</v>
      </c>
      <c r="H594" t="s">
        <v>76</v>
      </c>
      <c r="I594" t="s">
        <v>119</v>
      </c>
      <c r="J594" t="str">
        <f t="shared" si="72"/>
        <v/>
      </c>
      <c r="K594" t="str">
        <f t="shared" si="73"/>
        <v/>
      </c>
      <c r="L594" t="str">
        <f t="shared" si="74"/>
        <v/>
      </c>
      <c r="M594" t="str">
        <f t="shared" si="75"/>
        <v>Invalid</v>
      </c>
      <c r="N594" t="str">
        <f t="shared" si="76"/>
        <v/>
      </c>
      <c r="O594" t="str">
        <f t="shared" ca="1" si="77"/>
        <v>Outdated</v>
      </c>
      <c r="P594" t="str">
        <f t="shared" si="78"/>
        <v>Wrong Item</v>
      </c>
      <c r="Q594" t="str">
        <f t="shared" si="79"/>
        <v/>
      </c>
    </row>
    <row r="595" spans="1:17" x14ac:dyDescent="0.45">
      <c r="A595" t="s">
        <v>1130</v>
      </c>
      <c r="B595" t="s">
        <v>104</v>
      </c>
      <c r="C595" t="s">
        <v>478</v>
      </c>
      <c r="D595" t="s">
        <v>92</v>
      </c>
      <c r="E595" s="8">
        <v>3314.87</v>
      </c>
      <c r="F595" s="9">
        <v>45614.666684444448</v>
      </c>
      <c r="G595" t="s">
        <v>115</v>
      </c>
      <c r="I595" t="s">
        <v>119</v>
      </c>
      <c r="J595" t="str">
        <f t="shared" si="72"/>
        <v/>
      </c>
      <c r="K595" t="str">
        <f t="shared" si="73"/>
        <v>Duplicate</v>
      </c>
      <c r="L595" t="str">
        <f t="shared" si="74"/>
        <v/>
      </c>
      <c r="M595" t="str">
        <f t="shared" si="75"/>
        <v/>
      </c>
      <c r="N595" t="str">
        <f t="shared" si="76"/>
        <v>Invalid</v>
      </c>
      <c r="O595" t="str">
        <f t="shared" ca="1" si="77"/>
        <v>Outdated</v>
      </c>
      <c r="P595" t="str">
        <f t="shared" si="78"/>
        <v>Not As Described</v>
      </c>
      <c r="Q595" t="str">
        <f t="shared" si="79"/>
        <v/>
      </c>
    </row>
    <row r="596" spans="1:17" x14ac:dyDescent="0.45">
      <c r="A596" t="s">
        <v>593</v>
      </c>
      <c r="B596" t="s">
        <v>95</v>
      </c>
      <c r="C596" t="s">
        <v>431</v>
      </c>
      <c r="D596" t="s">
        <v>85</v>
      </c>
      <c r="E596" s="8">
        <v>2702.88</v>
      </c>
      <c r="F596" s="9">
        <v>45753.666684444448</v>
      </c>
      <c r="G596" t="s">
        <v>97</v>
      </c>
      <c r="H596" t="s">
        <v>81</v>
      </c>
      <c r="I596" t="s">
        <v>77</v>
      </c>
      <c r="J596" t="str">
        <f t="shared" si="72"/>
        <v/>
      </c>
      <c r="K596" t="str">
        <f t="shared" si="73"/>
        <v>Duplicate</v>
      </c>
      <c r="L596" t="str">
        <f t="shared" si="74"/>
        <v/>
      </c>
      <c r="M596" t="str">
        <f t="shared" si="75"/>
        <v/>
      </c>
      <c r="N596" t="str">
        <f t="shared" si="76"/>
        <v/>
      </c>
      <c r="O596" t="str">
        <f t="shared" ca="1" si="77"/>
        <v>Outdated</v>
      </c>
      <c r="P596" t="str">
        <f t="shared" si="78"/>
        <v>Late Delivery</v>
      </c>
      <c r="Q596" t="str">
        <f t="shared" si="79"/>
        <v/>
      </c>
    </row>
    <row r="597" spans="1:17" x14ac:dyDescent="0.45">
      <c r="A597" t="s">
        <v>1131</v>
      </c>
      <c r="B597" t="s">
        <v>72</v>
      </c>
      <c r="C597" t="s">
        <v>1132</v>
      </c>
      <c r="D597" t="s">
        <v>101</v>
      </c>
      <c r="E597" s="8">
        <v>3043.39</v>
      </c>
      <c r="F597" s="9">
        <v>45202.666684444448</v>
      </c>
      <c r="G597" t="s">
        <v>521</v>
      </c>
      <c r="H597" t="s">
        <v>136</v>
      </c>
      <c r="I597" t="s">
        <v>82</v>
      </c>
      <c r="J597" t="str">
        <f t="shared" si="72"/>
        <v/>
      </c>
      <c r="K597" t="str">
        <f t="shared" si="73"/>
        <v/>
      </c>
      <c r="L597" t="str">
        <f t="shared" si="74"/>
        <v/>
      </c>
      <c r="M597" t="str">
        <f t="shared" si="75"/>
        <v>Invalid</v>
      </c>
      <c r="N597" t="str">
        <f t="shared" si="76"/>
        <v>Invalid</v>
      </c>
      <c r="O597" t="str">
        <f t="shared" ca="1" si="77"/>
        <v>Outdated</v>
      </c>
      <c r="P597" t="str">
        <f t="shared" si="78"/>
        <v>Damaged</v>
      </c>
      <c r="Q597" t="str">
        <f t="shared" si="79"/>
        <v/>
      </c>
    </row>
    <row r="598" spans="1:17" x14ac:dyDescent="0.45">
      <c r="A598" t="s">
        <v>1133</v>
      </c>
      <c r="B598" t="s">
        <v>90</v>
      </c>
      <c r="C598" t="s">
        <v>1134</v>
      </c>
      <c r="D598" t="s">
        <v>74</v>
      </c>
      <c r="E598" s="8">
        <v>6737.74</v>
      </c>
      <c r="F598" s="9">
        <v>45594.666684444448</v>
      </c>
      <c r="G598" t="s">
        <v>93</v>
      </c>
      <c r="H598" t="s">
        <v>136</v>
      </c>
      <c r="I598" t="s">
        <v>77</v>
      </c>
      <c r="J598" t="str">
        <f t="shared" si="72"/>
        <v/>
      </c>
      <c r="K598" t="str">
        <f t="shared" si="73"/>
        <v/>
      </c>
      <c r="L598" t="str">
        <f t="shared" si="74"/>
        <v/>
      </c>
      <c r="M598" t="str">
        <f t="shared" si="75"/>
        <v/>
      </c>
      <c r="N598" t="str">
        <f t="shared" si="76"/>
        <v>Invalid</v>
      </c>
      <c r="O598" t="str">
        <f t="shared" ca="1" si="77"/>
        <v>Outdated</v>
      </c>
      <c r="P598" t="str">
        <f t="shared" si="78"/>
        <v>Wrong Item</v>
      </c>
      <c r="Q598" t="str">
        <f t="shared" si="79"/>
        <v/>
      </c>
    </row>
    <row r="599" spans="1:17" x14ac:dyDescent="0.45">
      <c r="A599" t="s">
        <v>1135</v>
      </c>
      <c r="B599" t="s">
        <v>99</v>
      </c>
      <c r="C599" t="s">
        <v>183</v>
      </c>
      <c r="D599" t="s">
        <v>101</v>
      </c>
      <c r="E599" s="8">
        <v>2692.43</v>
      </c>
      <c r="F599" s="9">
        <v>45552.666684444448</v>
      </c>
      <c r="G599" t="s">
        <v>102</v>
      </c>
      <c r="H599" t="s">
        <v>128</v>
      </c>
      <c r="I599" t="s">
        <v>88</v>
      </c>
      <c r="J599" t="str">
        <f t="shared" si="72"/>
        <v/>
      </c>
      <c r="K599" t="str">
        <f t="shared" si="73"/>
        <v/>
      </c>
      <c r="L599" t="str">
        <f t="shared" si="74"/>
        <v/>
      </c>
      <c r="M599" t="str">
        <f t="shared" si="75"/>
        <v/>
      </c>
      <c r="N599" t="str">
        <f t="shared" si="76"/>
        <v>Invalid</v>
      </c>
      <c r="O599" t="str">
        <f t="shared" ca="1" si="77"/>
        <v>Outdated</v>
      </c>
      <c r="P599" t="str">
        <f t="shared" si="78"/>
        <v>Damaged</v>
      </c>
      <c r="Q599" t="str">
        <f t="shared" si="79"/>
        <v/>
      </c>
    </row>
    <row r="600" spans="1:17" x14ac:dyDescent="0.45">
      <c r="A600" t="s">
        <v>1136</v>
      </c>
      <c r="B600" t="s">
        <v>72</v>
      </c>
      <c r="C600" t="s">
        <v>1137</v>
      </c>
      <c r="D600" t="s">
        <v>101</v>
      </c>
      <c r="E600" s="8">
        <v>11539.22</v>
      </c>
      <c r="F600" s="9">
        <v>45772.666684444448</v>
      </c>
      <c r="G600" t="s">
        <v>75</v>
      </c>
      <c r="H600" t="s">
        <v>107</v>
      </c>
      <c r="I600" t="s">
        <v>82</v>
      </c>
      <c r="J600" t="str">
        <f t="shared" si="72"/>
        <v/>
      </c>
      <c r="K600" t="str">
        <f t="shared" si="73"/>
        <v/>
      </c>
      <c r="L600" t="str">
        <f t="shared" si="74"/>
        <v>Unusual</v>
      </c>
      <c r="M600" t="str">
        <f t="shared" si="75"/>
        <v/>
      </c>
      <c r="N600" t="str">
        <f t="shared" si="76"/>
        <v/>
      </c>
      <c r="O600" t="str">
        <f t="shared" ca="1" si="77"/>
        <v>Outdated</v>
      </c>
      <c r="P600" t="str">
        <f t="shared" si="78"/>
        <v>Damaged</v>
      </c>
      <c r="Q600" t="str">
        <f t="shared" si="79"/>
        <v/>
      </c>
    </row>
    <row r="601" spans="1:17" x14ac:dyDescent="0.45">
      <c r="A601" t="s">
        <v>1138</v>
      </c>
      <c r="B601" t="s">
        <v>79</v>
      </c>
      <c r="C601" t="s">
        <v>1139</v>
      </c>
      <c r="D601" t="s">
        <v>101</v>
      </c>
      <c r="E601" s="8">
        <v>5859.72</v>
      </c>
      <c r="F601" s="9">
        <v>45717.666684444448</v>
      </c>
      <c r="G601" t="s">
        <v>86</v>
      </c>
      <c r="H601" t="s">
        <v>87</v>
      </c>
      <c r="I601" t="s">
        <v>82</v>
      </c>
      <c r="J601" t="str">
        <f t="shared" si="72"/>
        <v/>
      </c>
      <c r="K601" t="str">
        <f t="shared" si="73"/>
        <v/>
      </c>
      <c r="L601" t="str">
        <f t="shared" si="74"/>
        <v/>
      </c>
      <c r="M601" t="str">
        <f t="shared" si="75"/>
        <v/>
      </c>
      <c r="N601" t="str">
        <f t="shared" si="76"/>
        <v>Invalid</v>
      </c>
      <c r="O601" t="str">
        <f t="shared" ca="1" si="77"/>
        <v>Outdated</v>
      </c>
      <c r="P601" t="str">
        <f t="shared" si="78"/>
        <v>Damaged</v>
      </c>
      <c r="Q601" t="str">
        <f t="shared" si="79"/>
        <v/>
      </c>
    </row>
    <row r="602" spans="1:17" x14ac:dyDescent="0.45">
      <c r="A602" t="s">
        <v>1140</v>
      </c>
      <c r="B602" t="s">
        <v>99</v>
      </c>
      <c r="C602" t="s">
        <v>1141</v>
      </c>
      <c r="D602" t="s">
        <v>92</v>
      </c>
      <c r="E602" s="8">
        <v>6591.22</v>
      </c>
      <c r="F602" s="9">
        <v>45327.666684444448</v>
      </c>
      <c r="G602" t="s">
        <v>102</v>
      </c>
      <c r="H602" t="s">
        <v>87</v>
      </c>
      <c r="I602" t="s">
        <v>119</v>
      </c>
      <c r="J602" t="str">
        <f t="shared" si="72"/>
        <v/>
      </c>
      <c r="K602" t="str">
        <f t="shared" si="73"/>
        <v/>
      </c>
      <c r="L602" t="str">
        <f t="shared" si="74"/>
        <v/>
      </c>
      <c r="M602" t="str">
        <f t="shared" si="75"/>
        <v/>
      </c>
      <c r="N602" t="str">
        <f t="shared" si="76"/>
        <v>Invalid</v>
      </c>
      <c r="O602" t="str">
        <f t="shared" ca="1" si="77"/>
        <v>Outdated</v>
      </c>
      <c r="P602" t="str">
        <f t="shared" si="78"/>
        <v>Not As Described</v>
      </c>
      <c r="Q602" t="str">
        <f t="shared" si="79"/>
        <v/>
      </c>
    </row>
    <row r="603" spans="1:17" x14ac:dyDescent="0.45">
      <c r="A603" t="s">
        <v>1142</v>
      </c>
      <c r="B603" t="s">
        <v>104</v>
      </c>
      <c r="C603" t="s">
        <v>801</v>
      </c>
      <c r="D603" t="s">
        <v>92</v>
      </c>
      <c r="E603" s="8">
        <v>9407.14</v>
      </c>
      <c r="F603" s="9">
        <v>45841.666684444448</v>
      </c>
      <c r="G603" t="s">
        <v>115</v>
      </c>
      <c r="H603" t="s">
        <v>136</v>
      </c>
      <c r="I603" t="s">
        <v>77</v>
      </c>
      <c r="J603" t="str">
        <f t="shared" si="72"/>
        <v/>
      </c>
      <c r="K603" t="str">
        <f t="shared" si="73"/>
        <v/>
      </c>
      <c r="L603" t="str">
        <f t="shared" si="74"/>
        <v/>
      </c>
      <c r="M603" t="str">
        <f t="shared" si="75"/>
        <v/>
      </c>
      <c r="N603" t="str">
        <f t="shared" si="76"/>
        <v>Invalid</v>
      </c>
      <c r="O603" t="str">
        <f t="shared" ca="1" si="77"/>
        <v>Outdated</v>
      </c>
      <c r="P603" t="str">
        <f t="shared" si="78"/>
        <v>Not As Described</v>
      </c>
      <c r="Q603" t="str">
        <f t="shared" si="79"/>
        <v/>
      </c>
    </row>
    <row r="604" spans="1:17" x14ac:dyDescent="0.45">
      <c r="A604" t="s">
        <v>1143</v>
      </c>
      <c r="B604" t="s">
        <v>99</v>
      </c>
      <c r="C604" t="s">
        <v>1144</v>
      </c>
      <c r="D604" t="s">
        <v>85</v>
      </c>
      <c r="E604" s="8">
        <v>8653.91</v>
      </c>
      <c r="F604" s="9">
        <v>45521.666684444448</v>
      </c>
      <c r="G604" t="s">
        <v>102</v>
      </c>
      <c r="H604" t="s">
        <v>128</v>
      </c>
      <c r="I604" t="s">
        <v>88</v>
      </c>
      <c r="J604" t="str">
        <f t="shared" si="72"/>
        <v/>
      </c>
      <c r="K604" t="str">
        <f t="shared" si="73"/>
        <v/>
      </c>
      <c r="L604" t="str">
        <f t="shared" si="74"/>
        <v/>
      </c>
      <c r="M604" t="str">
        <f t="shared" si="75"/>
        <v/>
      </c>
      <c r="N604" t="str">
        <f t="shared" si="76"/>
        <v>Invalid</v>
      </c>
      <c r="O604" t="str">
        <f t="shared" ca="1" si="77"/>
        <v>Outdated</v>
      </c>
      <c r="P604" t="str">
        <f t="shared" si="78"/>
        <v>Late Delivery</v>
      </c>
      <c r="Q604" t="str">
        <f t="shared" si="79"/>
        <v/>
      </c>
    </row>
    <row r="605" spans="1:17" x14ac:dyDescent="0.45">
      <c r="A605" t="s">
        <v>1145</v>
      </c>
      <c r="B605" t="s">
        <v>104</v>
      </c>
      <c r="C605" t="s">
        <v>1146</v>
      </c>
      <c r="D605" t="s">
        <v>155</v>
      </c>
      <c r="E605" s="8">
        <v>11509.35</v>
      </c>
      <c r="F605" s="9">
        <v>45634.666684444448</v>
      </c>
      <c r="G605" t="s">
        <v>115</v>
      </c>
      <c r="H605" t="s">
        <v>107</v>
      </c>
      <c r="I605" t="s">
        <v>82</v>
      </c>
      <c r="J605" t="str">
        <f t="shared" si="72"/>
        <v/>
      </c>
      <c r="K605" t="str">
        <f t="shared" si="73"/>
        <v/>
      </c>
      <c r="L605" t="str">
        <f t="shared" si="74"/>
        <v>Unusual</v>
      </c>
      <c r="M605" t="str">
        <f t="shared" si="75"/>
        <v/>
      </c>
      <c r="N605" t="str">
        <f t="shared" si="76"/>
        <v/>
      </c>
      <c r="O605" t="str">
        <f t="shared" ca="1" si="77"/>
        <v>Outdated</v>
      </c>
      <c r="P605" t="str">
        <f t="shared" si="78"/>
        <v>Damaged</v>
      </c>
      <c r="Q605" t="str">
        <f t="shared" si="79"/>
        <v>Inconsistent</v>
      </c>
    </row>
    <row r="606" spans="1:17" x14ac:dyDescent="0.45">
      <c r="A606" t="s">
        <v>1147</v>
      </c>
      <c r="B606" t="s">
        <v>138</v>
      </c>
      <c r="C606" t="s">
        <v>1148</v>
      </c>
      <c r="D606" t="s">
        <v>101</v>
      </c>
      <c r="E606" s="8">
        <v>9472.5499999999993</v>
      </c>
      <c r="F606" s="9">
        <v>45537.666684444448</v>
      </c>
      <c r="G606" t="s">
        <v>140</v>
      </c>
      <c r="H606" t="s">
        <v>118</v>
      </c>
      <c r="I606" t="s">
        <v>77</v>
      </c>
      <c r="J606" t="str">
        <f t="shared" si="72"/>
        <v/>
      </c>
      <c r="K606" t="str">
        <f t="shared" si="73"/>
        <v>Duplicate</v>
      </c>
      <c r="L606" t="str">
        <f t="shared" si="74"/>
        <v/>
      </c>
      <c r="M606" t="str">
        <f t="shared" si="75"/>
        <v/>
      </c>
      <c r="N606" t="str">
        <f t="shared" si="76"/>
        <v>Invalid</v>
      </c>
      <c r="O606" t="str">
        <f t="shared" ca="1" si="77"/>
        <v>Outdated</v>
      </c>
      <c r="P606" t="str">
        <f t="shared" si="78"/>
        <v>Damaged</v>
      </c>
      <c r="Q606" t="str">
        <f t="shared" si="79"/>
        <v/>
      </c>
    </row>
    <row r="607" spans="1:17" x14ac:dyDescent="0.45">
      <c r="A607" t="s">
        <v>1149</v>
      </c>
      <c r="B607" t="s">
        <v>95</v>
      </c>
      <c r="C607" t="s">
        <v>728</v>
      </c>
      <c r="D607" t="s">
        <v>74</v>
      </c>
      <c r="E607" s="8">
        <v>3288.5</v>
      </c>
      <c r="F607" s="9">
        <v>45377.666684444448</v>
      </c>
      <c r="G607" t="s">
        <v>97</v>
      </c>
      <c r="H607" t="s">
        <v>118</v>
      </c>
      <c r="I607" t="s">
        <v>112</v>
      </c>
      <c r="J607" t="str">
        <f t="shared" si="72"/>
        <v/>
      </c>
      <c r="K607" t="str">
        <f t="shared" si="73"/>
        <v/>
      </c>
      <c r="L607" t="str">
        <f t="shared" si="74"/>
        <v/>
      </c>
      <c r="M607" t="str">
        <f t="shared" si="75"/>
        <v/>
      </c>
      <c r="N607" t="str">
        <f t="shared" si="76"/>
        <v>Invalid</v>
      </c>
      <c r="O607" t="str">
        <f t="shared" ca="1" si="77"/>
        <v>Outdated</v>
      </c>
      <c r="P607" t="str">
        <f t="shared" si="78"/>
        <v>Wrong Item</v>
      </c>
      <c r="Q607" t="str">
        <f t="shared" si="79"/>
        <v/>
      </c>
    </row>
    <row r="608" spans="1:17" x14ac:dyDescent="0.45">
      <c r="A608" t="s">
        <v>895</v>
      </c>
      <c r="B608" t="s">
        <v>90</v>
      </c>
      <c r="C608" t="s">
        <v>1150</v>
      </c>
      <c r="D608" t="s">
        <v>92</v>
      </c>
      <c r="E608" s="8">
        <v>5130.07</v>
      </c>
      <c r="F608" s="9">
        <v>45279.666684444448</v>
      </c>
      <c r="G608" t="s">
        <v>296</v>
      </c>
      <c r="H608" t="s">
        <v>81</v>
      </c>
      <c r="I608" t="s">
        <v>163</v>
      </c>
      <c r="J608" t="str">
        <f t="shared" si="72"/>
        <v/>
      </c>
      <c r="K608" t="str">
        <f t="shared" si="73"/>
        <v>Duplicate</v>
      </c>
      <c r="L608" t="str">
        <f t="shared" si="74"/>
        <v/>
      </c>
      <c r="M608" t="str">
        <f t="shared" si="75"/>
        <v>Invalid</v>
      </c>
      <c r="N608" t="str">
        <f t="shared" si="76"/>
        <v/>
      </c>
      <c r="O608" t="str">
        <f t="shared" ca="1" si="77"/>
        <v>Outdated</v>
      </c>
      <c r="P608" t="str">
        <f t="shared" si="78"/>
        <v>Not As Described</v>
      </c>
      <c r="Q608" t="str">
        <f t="shared" si="79"/>
        <v/>
      </c>
    </row>
    <row r="609" spans="1:17" x14ac:dyDescent="0.45">
      <c r="A609" t="s">
        <v>1151</v>
      </c>
      <c r="B609" t="s">
        <v>90</v>
      </c>
      <c r="C609" t="s">
        <v>423</v>
      </c>
      <c r="D609" t="s">
        <v>74</v>
      </c>
      <c r="E609" s="8">
        <v>4609.93</v>
      </c>
      <c r="F609" s="9">
        <v>45799.666684444448</v>
      </c>
      <c r="G609" t="s">
        <v>93</v>
      </c>
      <c r="H609" t="s">
        <v>107</v>
      </c>
      <c r="I609" t="s">
        <v>88</v>
      </c>
      <c r="J609" t="str">
        <f t="shared" si="72"/>
        <v/>
      </c>
      <c r="K609" t="str">
        <f t="shared" si="73"/>
        <v/>
      </c>
      <c r="L609" t="str">
        <f t="shared" si="74"/>
        <v/>
      </c>
      <c r="M609" t="str">
        <f t="shared" si="75"/>
        <v/>
      </c>
      <c r="N609" t="str">
        <f t="shared" si="76"/>
        <v/>
      </c>
      <c r="O609" t="str">
        <f t="shared" ca="1" si="77"/>
        <v>Outdated</v>
      </c>
      <c r="P609" t="str">
        <f t="shared" si="78"/>
        <v>Wrong Item</v>
      </c>
      <c r="Q609" t="str">
        <f t="shared" si="79"/>
        <v/>
      </c>
    </row>
    <row r="610" spans="1:17" x14ac:dyDescent="0.45">
      <c r="A610" t="s">
        <v>1152</v>
      </c>
      <c r="B610" t="s">
        <v>79</v>
      </c>
      <c r="C610" t="s">
        <v>1015</v>
      </c>
      <c r="D610" t="s">
        <v>101</v>
      </c>
      <c r="E610" s="8">
        <v>1783.6</v>
      </c>
      <c r="F610" s="9">
        <v>45832.666684444448</v>
      </c>
      <c r="G610" t="s">
        <v>86</v>
      </c>
      <c r="H610" t="s">
        <v>128</v>
      </c>
      <c r="I610" t="s">
        <v>82</v>
      </c>
      <c r="J610" t="str">
        <f t="shared" si="72"/>
        <v/>
      </c>
      <c r="K610" t="str">
        <f t="shared" si="73"/>
        <v>Duplicate</v>
      </c>
      <c r="L610" t="str">
        <f t="shared" si="74"/>
        <v/>
      </c>
      <c r="M610" t="str">
        <f t="shared" si="75"/>
        <v/>
      </c>
      <c r="N610" t="str">
        <f t="shared" si="76"/>
        <v>Invalid</v>
      </c>
      <c r="O610" t="str">
        <f t="shared" ca="1" si="77"/>
        <v>Outdated</v>
      </c>
      <c r="P610" t="str">
        <f t="shared" si="78"/>
        <v>Damaged</v>
      </c>
      <c r="Q610" t="str">
        <f t="shared" si="79"/>
        <v/>
      </c>
    </row>
    <row r="611" spans="1:17" x14ac:dyDescent="0.45">
      <c r="A611" t="s">
        <v>1153</v>
      </c>
      <c r="B611" t="s">
        <v>95</v>
      </c>
      <c r="C611" t="s">
        <v>868</v>
      </c>
      <c r="D611" t="s">
        <v>74</v>
      </c>
      <c r="E611" s="8">
        <v>5908.29</v>
      </c>
      <c r="F611" s="9">
        <v>45133.666684444448</v>
      </c>
      <c r="G611" t="s">
        <v>97</v>
      </c>
      <c r="I611" t="s">
        <v>82</v>
      </c>
      <c r="J611" t="str">
        <f t="shared" si="72"/>
        <v/>
      </c>
      <c r="K611" t="str">
        <f t="shared" si="73"/>
        <v/>
      </c>
      <c r="L611" t="str">
        <f t="shared" si="74"/>
        <v/>
      </c>
      <c r="M611" t="str">
        <f t="shared" si="75"/>
        <v/>
      </c>
      <c r="N611" t="str">
        <f t="shared" si="76"/>
        <v>Invalid</v>
      </c>
      <c r="O611" t="str">
        <f t="shared" ca="1" si="77"/>
        <v>Outdated</v>
      </c>
      <c r="P611" t="str">
        <f t="shared" si="78"/>
        <v>Wrong Item</v>
      </c>
      <c r="Q611" t="str">
        <f t="shared" si="79"/>
        <v/>
      </c>
    </row>
    <row r="612" spans="1:17" x14ac:dyDescent="0.45">
      <c r="A612" t="s">
        <v>1154</v>
      </c>
      <c r="B612" t="s">
        <v>95</v>
      </c>
      <c r="C612" t="s">
        <v>1155</v>
      </c>
      <c r="D612" t="s">
        <v>74</v>
      </c>
      <c r="E612" s="8">
        <v>0</v>
      </c>
      <c r="F612" s="9">
        <v>45237.666684444448</v>
      </c>
      <c r="G612" t="s">
        <v>97</v>
      </c>
      <c r="H612" t="s">
        <v>76</v>
      </c>
      <c r="I612" t="s">
        <v>119</v>
      </c>
      <c r="J612" t="str">
        <f t="shared" si="72"/>
        <v/>
      </c>
      <c r="K612" t="str">
        <f t="shared" si="73"/>
        <v/>
      </c>
      <c r="L612" t="str">
        <f t="shared" si="74"/>
        <v>Unusual</v>
      </c>
      <c r="M612" t="str">
        <f t="shared" si="75"/>
        <v/>
      </c>
      <c r="N612" t="str">
        <f t="shared" si="76"/>
        <v/>
      </c>
      <c r="O612" t="str">
        <f t="shared" ca="1" si="77"/>
        <v>Outdated</v>
      </c>
      <c r="P612" t="str">
        <f t="shared" si="78"/>
        <v>Wrong Item</v>
      </c>
      <c r="Q612" t="str">
        <f t="shared" si="79"/>
        <v/>
      </c>
    </row>
    <row r="613" spans="1:17" x14ac:dyDescent="0.45">
      <c r="A613" t="s">
        <v>1156</v>
      </c>
      <c r="B613" t="s">
        <v>79</v>
      </c>
      <c r="C613" t="s">
        <v>1157</v>
      </c>
      <c r="E613" s="8">
        <v>9920.91</v>
      </c>
      <c r="F613" s="9">
        <v>45563.666684444448</v>
      </c>
      <c r="G613" t="s">
        <v>86</v>
      </c>
      <c r="H613" t="s">
        <v>87</v>
      </c>
      <c r="I613" t="s">
        <v>77</v>
      </c>
      <c r="J613" t="str">
        <f t="shared" si="72"/>
        <v>Missing</v>
      </c>
      <c r="K613" t="str">
        <f t="shared" si="73"/>
        <v/>
      </c>
      <c r="L613" t="str">
        <f t="shared" si="74"/>
        <v/>
      </c>
      <c r="M613" t="str">
        <f t="shared" si="75"/>
        <v/>
      </c>
      <c r="N613" t="str">
        <f t="shared" si="76"/>
        <v>Invalid</v>
      </c>
      <c r="O613" t="str">
        <f t="shared" ca="1" si="77"/>
        <v>Outdated</v>
      </c>
      <c r="P613" t="str">
        <f t="shared" si="78"/>
        <v/>
      </c>
      <c r="Q613" t="str">
        <f t="shared" si="79"/>
        <v/>
      </c>
    </row>
    <row r="614" spans="1:17" x14ac:dyDescent="0.45">
      <c r="A614" t="s">
        <v>1158</v>
      </c>
      <c r="B614" t="s">
        <v>104</v>
      </c>
      <c r="C614" t="s">
        <v>1159</v>
      </c>
      <c r="D614" t="s">
        <v>101</v>
      </c>
      <c r="E614" s="8">
        <v>3508.98</v>
      </c>
      <c r="F614" s="9">
        <v>45352.666684444448</v>
      </c>
      <c r="H614" t="s">
        <v>133</v>
      </c>
      <c r="I614" t="s">
        <v>119</v>
      </c>
      <c r="J614" t="str">
        <f t="shared" si="72"/>
        <v/>
      </c>
      <c r="K614" t="str">
        <f t="shared" si="73"/>
        <v/>
      </c>
      <c r="L614" t="str">
        <f t="shared" si="74"/>
        <v/>
      </c>
      <c r="M614" t="str">
        <f t="shared" si="75"/>
        <v>Invalid</v>
      </c>
      <c r="N614" t="str">
        <f t="shared" si="76"/>
        <v>Invalid</v>
      </c>
      <c r="O614" t="str">
        <f t="shared" ca="1" si="77"/>
        <v>Outdated</v>
      </c>
      <c r="P614" t="str">
        <f t="shared" si="78"/>
        <v>Damaged</v>
      </c>
      <c r="Q614" t="str">
        <f t="shared" si="79"/>
        <v/>
      </c>
    </row>
    <row r="615" spans="1:17" x14ac:dyDescent="0.45">
      <c r="A615" t="s">
        <v>1160</v>
      </c>
      <c r="B615" t="s">
        <v>79</v>
      </c>
      <c r="C615" t="s">
        <v>1161</v>
      </c>
      <c r="D615" t="s">
        <v>85</v>
      </c>
      <c r="E615" s="8">
        <v>9261.4</v>
      </c>
      <c r="F615" s="9">
        <v>45308.666684444448</v>
      </c>
      <c r="G615" t="s">
        <v>86</v>
      </c>
      <c r="H615" t="s">
        <v>136</v>
      </c>
      <c r="I615" t="s">
        <v>82</v>
      </c>
      <c r="J615" t="str">
        <f t="shared" si="72"/>
        <v/>
      </c>
      <c r="K615" t="str">
        <f t="shared" si="73"/>
        <v/>
      </c>
      <c r="L615" t="str">
        <f t="shared" si="74"/>
        <v/>
      </c>
      <c r="M615" t="str">
        <f t="shared" si="75"/>
        <v/>
      </c>
      <c r="N615" t="str">
        <f t="shared" si="76"/>
        <v>Invalid</v>
      </c>
      <c r="O615" t="str">
        <f t="shared" ca="1" si="77"/>
        <v>Outdated</v>
      </c>
      <c r="P615" t="str">
        <f t="shared" si="78"/>
        <v>Late Delivery</v>
      </c>
      <c r="Q615" t="str">
        <f t="shared" si="79"/>
        <v/>
      </c>
    </row>
    <row r="616" spans="1:17" x14ac:dyDescent="0.45">
      <c r="A616" t="s">
        <v>217</v>
      </c>
      <c r="B616" t="s">
        <v>104</v>
      </c>
      <c r="C616" t="s">
        <v>259</v>
      </c>
      <c r="D616" t="s">
        <v>74</v>
      </c>
      <c r="E616" s="8">
        <v>8980.8799999999992</v>
      </c>
      <c r="F616" s="9">
        <v>45840.666684444448</v>
      </c>
      <c r="G616" t="s">
        <v>115</v>
      </c>
      <c r="H616" t="s">
        <v>145</v>
      </c>
      <c r="I616" t="s">
        <v>112</v>
      </c>
      <c r="J616" t="str">
        <f t="shared" si="72"/>
        <v/>
      </c>
      <c r="K616" t="str">
        <f t="shared" si="73"/>
        <v>Duplicate</v>
      </c>
      <c r="L616" t="str">
        <f t="shared" si="74"/>
        <v/>
      </c>
      <c r="M616" t="str">
        <f t="shared" si="75"/>
        <v/>
      </c>
      <c r="N616" t="str">
        <f t="shared" si="76"/>
        <v/>
      </c>
      <c r="O616" t="str">
        <f t="shared" ca="1" si="77"/>
        <v>Outdated</v>
      </c>
      <c r="P616" t="str">
        <f t="shared" si="78"/>
        <v>Wrong Item</v>
      </c>
      <c r="Q616" t="str">
        <f t="shared" si="79"/>
        <v/>
      </c>
    </row>
    <row r="617" spans="1:17" x14ac:dyDescent="0.45">
      <c r="A617" t="s">
        <v>1162</v>
      </c>
      <c r="B617" t="s">
        <v>79</v>
      </c>
      <c r="C617" t="s">
        <v>728</v>
      </c>
      <c r="D617" t="s">
        <v>92</v>
      </c>
      <c r="E617" s="8">
        <v>5507.64</v>
      </c>
      <c r="F617" s="9">
        <v>45658.666684444448</v>
      </c>
      <c r="G617" t="s">
        <v>86</v>
      </c>
      <c r="H617" t="s">
        <v>128</v>
      </c>
      <c r="I617" t="s">
        <v>77</v>
      </c>
      <c r="J617" t="str">
        <f t="shared" si="72"/>
        <v/>
      </c>
      <c r="K617" t="str">
        <f t="shared" si="73"/>
        <v/>
      </c>
      <c r="L617" t="str">
        <f t="shared" si="74"/>
        <v/>
      </c>
      <c r="M617" t="str">
        <f t="shared" si="75"/>
        <v/>
      </c>
      <c r="N617" t="str">
        <f t="shared" si="76"/>
        <v>Invalid</v>
      </c>
      <c r="O617" t="str">
        <f t="shared" ca="1" si="77"/>
        <v>Outdated</v>
      </c>
      <c r="P617" t="str">
        <f t="shared" si="78"/>
        <v>Not As Described</v>
      </c>
      <c r="Q617" t="str">
        <f t="shared" si="79"/>
        <v/>
      </c>
    </row>
    <row r="618" spans="1:17" x14ac:dyDescent="0.45">
      <c r="A618" t="s">
        <v>1163</v>
      </c>
      <c r="B618" t="s">
        <v>72</v>
      </c>
      <c r="C618" t="s">
        <v>966</v>
      </c>
      <c r="D618" t="s">
        <v>101</v>
      </c>
      <c r="E618" s="8">
        <v>11301.8</v>
      </c>
      <c r="F618" s="9">
        <v>45603.666684444448</v>
      </c>
      <c r="G618" t="s">
        <v>75</v>
      </c>
      <c r="I618" t="s">
        <v>82</v>
      </c>
      <c r="J618" t="str">
        <f t="shared" si="72"/>
        <v/>
      </c>
      <c r="K618" t="str">
        <f t="shared" si="73"/>
        <v/>
      </c>
      <c r="L618" t="str">
        <f t="shared" si="74"/>
        <v>Unusual</v>
      </c>
      <c r="M618" t="str">
        <f t="shared" si="75"/>
        <v/>
      </c>
      <c r="N618" t="str">
        <f t="shared" si="76"/>
        <v>Invalid</v>
      </c>
      <c r="O618" t="str">
        <f t="shared" ca="1" si="77"/>
        <v>Outdated</v>
      </c>
      <c r="P618" t="str">
        <f t="shared" si="78"/>
        <v>Damaged</v>
      </c>
      <c r="Q618" t="str">
        <f t="shared" si="79"/>
        <v/>
      </c>
    </row>
    <row r="619" spans="1:17" x14ac:dyDescent="0.45">
      <c r="A619" t="s">
        <v>1164</v>
      </c>
      <c r="B619" t="s">
        <v>72</v>
      </c>
      <c r="C619" t="s">
        <v>997</v>
      </c>
      <c r="D619" t="s">
        <v>92</v>
      </c>
      <c r="E619" s="8">
        <v>1263.18</v>
      </c>
      <c r="F619" s="9">
        <v>45179.666684444448</v>
      </c>
      <c r="G619" t="s">
        <v>75</v>
      </c>
      <c r="I619" t="s">
        <v>112</v>
      </c>
      <c r="J619" t="str">
        <f t="shared" si="72"/>
        <v/>
      </c>
      <c r="K619" t="str">
        <f t="shared" si="73"/>
        <v/>
      </c>
      <c r="L619" t="str">
        <f t="shared" si="74"/>
        <v/>
      </c>
      <c r="M619" t="str">
        <f t="shared" si="75"/>
        <v/>
      </c>
      <c r="N619" t="str">
        <f t="shared" si="76"/>
        <v>Invalid</v>
      </c>
      <c r="O619" t="str">
        <f t="shared" ca="1" si="77"/>
        <v>Outdated</v>
      </c>
      <c r="P619" t="str">
        <f t="shared" si="78"/>
        <v>Not As Described</v>
      </c>
      <c r="Q619" t="str">
        <f t="shared" si="79"/>
        <v/>
      </c>
    </row>
    <row r="620" spans="1:17" x14ac:dyDescent="0.45">
      <c r="A620" t="s">
        <v>1165</v>
      </c>
      <c r="B620" t="s">
        <v>138</v>
      </c>
      <c r="C620" t="s">
        <v>130</v>
      </c>
      <c r="D620" t="s">
        <v>101</v>
      </c>
      <c r="E620" s="8">
        <v>6006.97</v>
      </c>
      <c r="F620" s="9">
        <v>45698.666684444448</v>
      </c>
      <c r="G620" t="s">
        <v>140</v>
      </c>
      <c r="H620" t="s">
        <v>136</v>
      </c>
      <c r="I620" t="s">
        <v>82</v>
      </c>
      <c r="J620" t="str">
        <f t="shared" si="72"/>
        <v/>
      </c>
      <c r="K620" t="str">
        <f t="shared" si="73"/>
        <v/>
      </c>
      <c r="L620" t="str">
        <f t="shared" si="74"/>
        <v/>
      </c>
      <c r="M620" t="str">
        <f t="shared" si="75"/>
        <v/>
      </c>
      <c r="N620" t="str">
        <f t="shared" si="76"/>
        <v>Invalid</v>
      </c>
      <c r="O620" t="str">
        <f t="shared" ca="1" si="77"/>
        <v>Outdated</v>
      </c>
      <c r="P620" t="str">
        <f t="shared" si="78"/>
        <v>Damaged</v>
      </c>
      <c r="Q620" t="str">
        <f t="shared" si="79"/>
        <v/>
      </c>
    </row>
    <row r="621" spans="1:17" x14ac:dyDescent="0.45">
      <c r="A621" t="s">
        <v>1166</v>
      </c>
      <c r="B621" t="s">
        <v>172</v>
      </c>
      <c r="C621" t="s">
        <v>706</v>
      </c>
      <c r="D621" t="s">
        <v>74</v>
      </c>
      <c r="E621" s="8">
        <v>6368.34</v>
      </c>
      <c r="F621" s="9">
        <v>45383.666684444448</v>
      </c>
      <c r="H621" t="s">
        <v>133</v>
      </c>
      <c r="I621" t="s">
        <v>119</v>
      </c>
      <c r="J621" t="str">
        <f t="shared" si="72"/>
        <v/>
      </c>
      <c r="K621" t="str">
        <f t="shared" si="73"/>
        <v/>
      </c>
      <c r="L621" t="str">
        <f t="shared" si="74"/>
        <v/>
      </c>
      <c r="M621" t="str">
        <f t="shared" si="75"/>
        <v>Invalid</v>
      </c>
      <c r="N621" t="str">
        <f t="shared" si="76"/>
        <v>Invalid</v>
      </c>
      <c r="O621" t="str">
        <f t="shared" ca="1" si="77"/>
        <v>Outdated</v>
      </c>
      <c r="P621" t="str">
        <f t="shared" si="78"/>
        <v>Wrong Item</v>
      </c>
      <c r="Q621" t="str">
        <f t="shared" si="79"/>
        <v/>
      </c>
    </row>
    <row r="622" spans="1:17" x14ac:dyDescent="0.45">
      <c r="A622" t="s">
        <v>1167</v>
      </c>
      <c r="B622" t="s">
        <v>79</v>
      </c>
      <c r="D622" t="s">
        <v>85</v>
      </c>
      <c r="E622" s="8">
        <v>8107.73</v>
      </c>
      <c r="F622" s="9">
        <v>45252.666684444448</v>
      </c>
      <c r="G622" t="s">
        <v>86</v>
      </c>
      <c r="H622" t="s">
        <v>118</v>
      </c>
      <c r="I622" t="s">
        <v>88</v>
      </c>
      <c r="J622" t="str">
        <f t="shared" si="72"/>
        <v>Missing</v>
      </c>
      <c r="K622" t="str">
        <f t="shared" si="73"/>
        <v/>
      </c>
      <c r="L622" t="str">
        <f t="shared" si="74"/>
        <v/>
      </c>
      <c r="M622" t="str">
        <f t="shared" si="75"/>
        <v/>
      </c>
      <c r="N622" t="str">
        <f t="shared" si="76"/>
        <v>Invalid</v>
      </c>
      <c r="O622" t="str">
        <f t="shared" ca="1" si="77"/>
        <v>Outdated</v>
      </c>
      <c r="P622" t="str">
        <f t="shared" si="78"/>
        <v>Late Delivery</v>
      </c>
      <c r="Q622" t="str">
        <f t="shared" si="79"/>
        <v/>
      </c>
    </row>
    <row r="623" spans="1:17" x14ac:dyDescent="0.45">
      <c r="A623" t="s">
        <v>1168</v>
      </c>
      <c r="B623" t="s">
        <v>95</v>
      </c>
      <c r="C623" t="s">
        <v>1169</v>
      </c>
      <c r="D623" t="s">
        <v>74</v>
      </c>
      <c r="E623" s="8">
        <v>2796.54</v>
      </c>
      <c r="F623" s="9">
        <v>45595.666684444448</v>
      </c>
      <c r="G623" t="s">
        <v>97</v>
      </c>
      <c r="H623" t="s">
        <v>136</v>
      </c>
      <c r="I623" t="s">
        <v>77</v>
      </c>
      <c r="J623" t="str">
        <f t="shared" si="72"/>
        <v/>
      </c>
      <c r="K623" t="str">
        <f t="shared" si="73"/>
        <v/>
      </c>
      <c r="L623" t="str">
        <f t="shared" si="74"/>
        <v/>
      </c>
      <c r="M623" t="str">
        <f t="shared" si="75"/>
        <v/>
      </c>
      <c r="N623" t="str">
        <f t="shared" si="76"/>
        <v>Invalid</v>
      </c>
      <c r="O623" t="str">
        <f t="shared" ca="1" si="77"/>
        <v>Outdated</v>
      </c>
      <c r="P623" t="str">
        <f t="shared" si="78"/>
        <v>Wrong Item</v>
      </c>
      <c r="Q623" t="str">
        <f t="shared" si="79"/>
        <v/>
      </c>
    </row>
    <row r="624" spans="1:17" x14ac:dyDescent="0.45">
      <c r="A624" t="s">
        <v>1170</v>
      </c>
      <c r="B624" t="s">
        <v>72</v>
      </c>
      <c r="C624" t="s">
        <v>612</v>
      </c>
      <c r="D624" t="s">
        <v>101</v>
      </c>
      <c r="E624" s="8">
        <v>9858.43</v>
      </c>
      <c r="F624" s="9">
        <v>45264.666684444448</v>
      </c>
      <c r="G624" t="s">
        <v>75</v>
      </c>
      <c r="H624" t="s">
        <v>87</v>
      </c>
      <c r="I624" t="s">
        <v>88</v>
      </c>
      <c r="J624" t="str">
        <f t="shared" si="72"/>
        <v/>
      </c>
      <c r="K624" t="str">
        <f t="shared" si="73"/>
        <v/>
      </c>
      <c r="L624" t="str">
        <f t="shared" si="74"/>
        <v/>
      </c>
      <c r="M624" t="str">
        <f t="shared" si="75"/>
        <v/>
      </c>
      <c r="N624" t="str">
        <f t="shared" si="76"/>
        <v>Invalid</v>
      </c>
      <c r="O624" t="str">
        <f t="shared" ca="1" si="77"/>
        <v>Outdated</v>
      </c>
      <c r="P624" t="str">
        <f t="shared" si="78"/>
        <v>Damaged</v>
      </c>
      <c r="Q624" t="str">
        <f t="shared" si="79"/>
        <v/>
      </c>
    </row>
    <row r="625" spans="1:17" x14ac:dyDescent="0.45">
      <c r="A625" t="s">
        <v>1171</v>
      </c>
      <c r="B625" t="s">
        <v>109</v>
      </c>
      <c r="C625" t="s">
        <v>1172</v>
      </c>
      <c r="D625" t="s">
        <v>101</v>
      </c>
      <c r="E625" s="8">
        <v>0</v>
      </c>
      <c r="F625" s="9">
        <v>45603.666684444448</v>
      </c>
      <c r="G625" t="s">
        <v>111</v>
      </c>
      <c r="H625" t="s">
        <v>145</v>
      </c>
      <c r="I625" t="s">
        <v>119</v>
      </c>
      <c r="J625" t="str">
        <f t="shared" si="72"/>
        <v/>
      </c>
      <c r="K625" t="str">
        <f t="shared" si="73"/>
        <v/>
      </c>
      <c r="L625" t="str">
        <f t="shared" si="74"/>
        <v>Unusual</v>
      </c>
      <c r="M625" t="str">
        <f t="shared" si="75"/>
        <v/>
      </c>
      <c r="N625" t="str">
        <f t="shared" si="76"/>
        <v/>
      </c>
      <c r="O625" t="str">
        <f t="shared" ca="1" si="77"/>
        <v>Outdated</v>
      </c>
      <c r="P625" t="str">
        <f t="shared" si="78"/>
        <v>Damaged</v>
      </c>
      <c r="Q625" t="str">
        <f t="shared" si="79"/>
        <v/>
      </c>
    </row>
    <row r="626" spans="1:17" x14ac:dyDescent="0.45">
      <c r="A626" t="s">
        <v>1173</v>
      </c>
      <c r="B626" t="s">
        <v>104</v>
      </c>
      <c r="C626" t="s">
        <v>944</v>
      </c>
      <c r="D626" t="s">
        <v>155</v>
      </c>
      <c r="E626" s="8">
        <v>4195.0200000000004</v>
      </c>
      <c r="F626" s="9">
        <v>45811.666684444448</v>
      </c>
      <c r="G626" t="s">
        <v>115</v>
      </c>
      <c r="H626" t="s">
        <v>107</v>
      </c>
      <c r="I626" t="s">
        <v>77</v>
      </c>
      <c r="J626" t="str">
        <f t="shared" si="72"/>
        <v/>
      </c>
      <c r="K626" t="str">
        <f t="shared" si="73"/>
        <v/>
      </c>
      <c r="L626" t="str">
        <f t="shared" si="74"/>
        <v/>
      </c>
      <c r="M626" t="str">
        <f t="shared" si="75"/>
        <v/>
      </c>
      <c r="N626" t="str">
        <f t="shared" si="76"/>
        <v/>
      </c>
      <c r="O626" t="str">
        <f t="shared" ca="1" si="77"/>
        <v>Outdated</v>
      </c>
      <c r="P626" t="str">
        <f t="shared" si="78"/>
        <v>Damaged</v>
      </c>
      <c r="Q626" t="str">
        <f t="shared" si="79"/>
        <v>Inconsistent</v>
      </c>
    </row>
    <row r="627" spans="1:17" x14ac:dyDescent="0.45">
      <c r="A627" t="s">
        <v>1174</v>
      </c>
      <c r="B627" t="s">
        <v>72</v>
      </c>
      <c r="C627" t="s">
        <v>452</v>
      </c>
      <c r="D627" t="s">
        <v>74</v>
      </c>
      <c r="E627" s="8">
        <v>4711.05</v>
      </c>
      <c r="F627" s="9">
        <v>45671.666684444448</v>
      </c>
      <c r="H627" t="s">
        <v>116</v>
      </c>
      <c r="I627" t="s">
        <v>77</v>
      </c>
      <c r="J627" t="str">
        <f t="shared" si="72"/>
        <v/>
      </c>
      <c r="K627" t="str">
        <f t="shared" si="73"/>
        <v/>
      </c>
      <c r="L627" t="str">
        <f t="shared" si="74"/>
        <v/>
      </c>
      <c r="M627" t="str">
        <f t="shared" si="75"/>
        <v>Invalid</v>
      </c>
      <c r="N627" t="str">
        <f t="shared" si="76"/>
        <v/>
      </c>
      <c r="O627" t="str">
        <f t="shared" ca="1" si="77"/>
        <v>Outdated</v>
      </c>
      <c r="P627" t="str">
        <f t="shared" si="78"/>
        <v>Wrong Item</v>
      </c>
      <c r="Q627" t="str">
        <f t="shared" si="79"/>
        <v/>
      </c>
    </row>
    <row r="628" spans="1:17" x14ac:dyDescent="0.45">
      <c r="A628" t="s">
        <v>1175</v>
      </c>
      <c r="B628" t="s">
        <v>72</v>
      </c>
      <c r="C628" t="s">
        <v>326</v>
      </c>
      <c r="D628" t="s">
        <v>92</v>
      </c>
      <c r="E628" s="8">
        <v>9986.8700000000008</v>
      </c>
      <c r="F628" s="9">
        <v>45700.666684444448</v>
      </c>
      <c r="G628" t="s">
        <v>75</v>
      </c>
      <c r="H628" t="s">
        <v>81</v>
      </c>
      <c r="I628" t="s">
        <v>77</v>
      </c>
      <c r="J628" t="str">
        <f t="shared" si="72"/>
        <v/>
      </c>
      <c r="K628" t="str">
        <f t="shared" si="73"/>
        <v>Duplicate</v>
      </c>
      <c r="L628" t="str">
        <f t="shared" si="74"/>
        <v/>
      </c>
      <c r="M628" t="str">
        <f t="shared" si="75"/>
        <v/>
      </c>
      <c r="N628" t="str">
        <f t="shared" si="76"/>
        <v/>
      </c>
      <c r="O628" t="str">
        <f t="shared" ca="1" si="77"/>
        <v>Outdated</v>
      </c>
      <c r="P628" t="str">
        <f t="shared" si="78"/>
        <v>Not As Described</v>
      </c>
      <c r="Q628" t="str">
        <f t="shared" si="79"/>
        <v/>
      </c>
    </row>
    <row r="629" spans="1:17" x14ac:dyDescent="0.45">
      <c r="A629" t="s">
        <v>1176</v>
      </c>
      <c r="B629" t="s">
        <v>104</v>
      </c>
      <c r="C629" t="s">
        <v>674</v>
      </c>
      <c r="D629" t="s">
        <v>74</v>
      </c>
      <c r="E629" s="8">
        <v>8797.84</v>
      </c>
      <c r="F629" s="9">
        <v>45737.666684444448</v>
      </c>
      <c r="G629" t="s">
        <v>247</v>
      </c>
      <c r="H629" t="s">
        <v>128</v>
      </c>
      <c r="I629" t="s">
        <v>163</v>
      </c>
      <c r="J629" t="str">
        <f t="shared" si="72"/>
        <v/>
      </c>
      <c r="K629" t="str">
        <f t="shared" si="73"/>
        <v/>
      </c>
      <c r="L629" t="str">
        <f t="shared" si="74"/>
        <v/>
      </c>
      <c r="M629" t="str">
        <f t="shared" si="75"/>
        <v>Invalid</v>
      </c>
      <c r="N629" t="str">
        <f t="shared" si="76"/>
        <v>Invalid</v>
      </c>
      <c r="O629" t="str">
        <f t="shared" ca="1" si="77"/>
        <v>Outdated</v>
      </c>
      <c r="P629" t="str">
        <f t="shared" si="78"/>
        <v>Wrong Item</v>
      </c>
      <c r="Q629" t="str">
        <f t="shared" si="79"/>
        <v/>
      </c>
    </row>
    <row r="630" spans="1:17" x14ac:dyDescent="0.45">
      <c r="A630" t="s">
        <v>1177</v>
      </c>
      <c r="B630" t="s">
        <v>90</v>
      </c>
      <c r="C630" t="s">
        <v>1083</v>
      </c>
      <c r="D630" t="s">
        <v>101</v>
      </c>
      <c r="E630" s="8">
        <v>0</v>
      </c>
      <c r="F630" s="9">
        <v>45452.666684444448</v>
      </c>
      <c r="G630" t="s">
        <v>93</v>
      </c>
      <c r="H630" t="s">
        <v>118</v>
      </c>
      <c r="I630" t="s">
        <v>77</v>
      </c>
      <c r="J630" t="str">
        <f t="shared" si="72"/>
        <v/>
      </c>
      <c r="K630" t="str">
        <f t="shared" si="73"/>
        <v/>
      </c>
      <c r="L630" t="str">
        <f t="shared" si="74"/>
        <v>Unusual</v>
      </c>
      <c r="M630" t="str">
        <f t="shared" si="75"/>
        <v/>
      </c>
      <c r="N630" t="str">
        <f t="shared" si="76"/>
        <v>Invalid</v>
      </c>
      <c r="O630" t="str">
        <f t="shared" ca="1" si="77"/>
        <v>Outdated</v>
      </c>
      <c r="P630" t="str">
        <f t="shared" si="78"/>
        <v>Damaged</v>
      </c>
      <c r="Q630" t="str">
        <f t="shared" si="79"/>
        <v/>
      </c>
    </row>
    <row r="631" spans="1:17" x14ac:dyDescent="0.45">
      <c r="A631" t="s">
        <v>1178</v>
      </c>
      <c r="B631" t="s">
        <v>99</v>
      </c>
      <c r="C631" t="s">
        <v>1144</v>
      </c>
      <c r="D631" t="s">
        <v>101</v>
      </c>
      <c r="E631" s="8">
        <v>7467.8</v>
      </c>
      <c r="F631" s="9">
        <v>45581.666684444448</v>
      </c>
      <c r="G631" t="s">
        <v>102</v>
      </c>
      <c r="H631" t="s">
        <v>87</v>
      </c>
      <c r="I631" t="s">
        <v>82</v>
      </c>
      <c r="J631" t="str">
        <f t="shared" si="72"/>
        <v/>
      </c>
      <c r="K631" t="str">
        <f t="shared" si="73"/>
        <v/>
      </c>
      <c r="L631" t="str">
        <f t="shared" si="74"/>
        <v/>
      </c>
      <c r="M631" t="str">
        <f t="shared" si="75"/>
        <v/>
      </c>
      <c r="N631" t="str">
        <f t="shared" si="76"/>
        <v>Invalid</v>
      </c>
      <c r="O631" t="str">
        <f t="shared" ca="1" si="77"/>
        <v>Outdated</v>
      </c>
      <c r="P631" t="str">
        <f t="shared" si="78"/>
        <v>Damaged</v>
      </c>
      <c r="Q631" t="str">
        <f t="shared" si="79"/>
        <v/>
      </c>
    </row>
    <row r="632" spans="1:17" x14ac:dyDescent="0.45">
      <c r="A632" t="s">
        <v>1179</v>
      </c>
      <c r="B632" t="s">
        <v>104</v>
      </c>
      <c r="C632" t="s">
        <v>1180</v>
      </c>
      <c r="D632" t="s">
        <v>155</v>
      </c>
      <c r="E632" s="8">
        <v>3576.47</v>
      </c>
      <c r="F632" s="9">
        <v>45755.666684444448</v>
      </c>
      <c r="G632" t="s">
        <v>115</v>
      </c>
      <c r="H632" t="s">
        <v>76</v>
      </c>
      <c r="I632" t="s">
        <v>77</v>
      </c>
      <c r="J632" t="str">
        <f t="shared" si="72"/>
        <v/>
      </c>
      <c r="K632" t="str">
        <f t="shared" si="73"/>
        <v/>
      </c>
      <c r="L632" t="str">
        <f t="shared" si="74"/>
        <v/>
      </c>
      <c r="M632" t="str">
        <f t="shared" si="75"/>
        <v/>
      </c>
      <c r="N632" t="str">
        <f t="shared" si="76"/>
        <v/>
      </c>
      <c r="O632" t="str">
        <f t="shared" ca="1" si="77"/>
        <v>Outdated</v>
      </c>
      <c r="P632" t="str">
        <f t="shared" si="78"/>
        <v>Damaged</v>
      </c>
      <c r="Q632" t="str">
        <f t="shared" si="79"/>
        <v>Inconsistent</v>
      </c>
    </row>
    <row r="633" spans="1:17" x14ac:dyDescent="0.45">
      <c r="A633" t="s">
        <v>1181</v>
      </c>
      <c r="B633" t="s">
        <v>138</v>
      </c>
      <c r="C633" t="s">
        <v>1116</v>
      </c>
      <c r="D633" t="s">
        <v>74</v>
      </c>
      <c r="E633" s="8">
        <v>2685.34</v>
      </c>
      <c r="F633" s="9">
        <v>45644.666684444448</v>
      </c>
      <c r="G633" t="s">
        <v>194</v>
      </c>
      <c r="H633" t="s">
        <v>128</v>
      </c>
      <c r="I633" t="s">
        <v>77</v>
      </c>
      <c r="J633" t="str">
        <f t="shared" si="72"/>
        <v/>
      </c>
      <c r="K633" t="str">
        <f t="shared" si="73"/>
        <v/>
      </c>
      <c r="L633" t="str">
        <f t="shared" si="74"/>
        <v/>
      </c>
      <c r="M633" t="str">
        <f t="shared" si="75"/>
        <v>Invalid</v>
      </c>
      <c r="N633" t="str">
        <f t="shared" si="76"/>
        <v>Invalid</v>
      </c>
      <c r="O633" t="str">
        <f t="shared" ca="1" si="77"/>
        <v>Outdated</v>
      </c>
      <c r="P633" t="str">
        <f t="shared" si="78"/>
        <v>Wrong Item</v>
      </c>
      <c r="Q633" t="str">
        <f t="shared" si="79"/>
        <v/>
      </c>
    </row>
    <row r="634" spans="1:17" x14ac:dyDescent="0.45">
      <c r="A634" t="s">
        <v>1182</v>
      </c>
      <c r="B634" t="s">
        <v>104</v>
      </c>
      <c r="C634" t="s">
        <v>1183</v>
      </c>
      <c r="D634" t="s">
        <v>74</v>
      </c>
      <c r="E634" s="8">
        <v>5857.25</v>
      </c>
      <c r="F634" s="9">
        <v>45564.666684444448</v>
      </c>
      <c r="G634" t="s">
        <v>115</v>
      </c>
      <c r="H634" t="s">
        <v>128</v>
      </c>
      <c r="I634" t="s">
        <v>88</v>
      </c>
      <c r="J634" t="str">
        <f t="shared" si="72"/>
        <v/>
      </c>
      <c r="K634" t="str">
        <f t="shared" si="73"/>
        <v/>
      </c>
      <c r="L634" t="str">
        <f t="shared" si="74"/>
        <v/>
      </c>
      <c r="M634" t="str">
        <f t="shared" si="75"/>
        <v/>
      </c>
      <c r="N634" t="str">
        <f t="shared" si="76"/>
        <v>Invalid</v>
      </c>
      <c r="O634" t="str">
        <f t="shared" ca="1" si="77"/>
        <v>Outdated</v>
      </c>
      <c r="P634" t="str">
        <f t="shared" si="78"/>
        <v>Wrong Item</v>
      </c>
      <c r="Q634" t="str">
        <f t="shared" si="79"/>
        <v/>
      </c>
    </row>
    <row r="635" spans="1:17" x14ac:dyDescent="0.45">
      <c r="A635" t="s">
        <v>1184</v>
      </c>
      <c r="B635" t="s">
        <v>104</v>
      </c>
      <c r="C635" t="s">
        <v>1105</v>
      </c>
      <c r="D635" t="s">
        <v>101</v>
      </c>
      <c r="E635" s="8">
        <v>8811.26</v>
      </c>
      <c r="F635" s="9">
        <v>45689.666684444448</v>
      </c>
      <c r="G635" t="s">
        <v>115</v>
      </c>
      <c r="H635" t="s">
        <v>107</v>
      </c>
      <c r="I635" t="s">
        <v>88</v>
      </c>
      <c r="J635" t="str">
        <f t="shared" si="72"/>
        <v/>
      </c>
      <c r="K635" t="str">
        <f t="shared" si="73"/>
        <v/>
      </c>
      <c r="L635" t="str">
        <f t="shared" si="74"/>
        <v/>
      </c>
      <c r="M635" t="str">
        <f t="shared" si="75"/>
        <v/>
      </c>
      <c r="N635" t="str">
        <f t="shared" si="76"/>
        <v/>
      </c>
      <c r="O635" t="str">
        <f t="shared" ca="1" si="77"/>
        <v>Outdated</v>
      </c>
      <c r="P635" t="str">
        <f t="shared" si="78"/>
        <v>Damaged</v>
      </c>
      <c r="Q635" t="str">
        <f t="shared" si="79"/>
        <v/>
      </c>
    </row>
    <row r="636" spans="1:17" x14ac:dyDescent="0.45">
      <c r="A636" t="s">
        <v>1185</v>
      </c>
      <c r="B636" t="s">
        <v>172</v>
      </c>
      <c r="C636" t="s">
        <v>1186</v>
      </c>
      <c r="D636" t="s">
        <v>74</v>
      </c>
      <c r="E636" s="8">
        <v>8641.2199999999993</v>
      </c>
      <c r="F636" s="9">
        <v>45584.666684444448</v>
      </c>
      <c r="G636" t="s">
        <v>174</v>
      </c>
      <c r="H636" t="s">
        <v>145</v>
      </c>
      <c r="I636" t="s">
        <v>112</v>
      </c>
      <c r="J636" t="str">
        <f t="shared" si="72"/>
        <v/>
      </c>
      <c r="K636" t="str">
        <f t="shared" si="73"/>
        <v/>
      </c>
      <c r="L636" t="str">
        <f t="shared" si="74"/>
        <v/>
      </c>
      <c r="M636" t="str">
        <f t="shared" si="75"/>
        <v/>
      </c>
      <c r="N636" t="str">
        <f t="shared" si="76"/>
        <v/>
      </c>
      <c r="O636" t="str">
        <f t="shared" ca="1" si="77"/>
        <v>Outdated</v>
      </c>
      <c r="P636" t="str">
        <f t="shared" si="78"/>
        <v>Wrong Item</v>
      </c>
      <c r="Q636" t="str">
        <f t="shared" si="79"/>
        <v/>
      </c>
    </row>
    <row r="637" spans="1:17" x14ac:dyDescent="0.45">
      <c r="A637" t="s">
        <v>1187</v>
      </c>
      <c r="B637" t="s">
        <v>104</v>
      </c>
      <c r="C637" t="s">
        <v>1188</v>
      </c>
      <c r="D637" t="s">
        <v>74</v>
      </c>
      <c r="E637" s="8">
        <v>8467.91</v>
      </c>
      <c r="F637" s="9">
        <v>45290.666684444448</v>
      </c>
      <c r="G637" t="s">
        <v>115</v>
      </c>
      <c r="H637" t="s">
        <v>116</v>
      </c>
      <c r="I637" t="s">
        <v>163</v>
      </c>
      <c r="J637" t="str">
        <f t="shared" si="72"/>
        <v/>
      </c>
      <c r="K637" t="str">
        <f t="shared" si="73"/>
        <v/>
      </c>
      <c r="L637" t="str">
        <f t="shared" si="74"/>
        <v/>
      </c>
      <c r="M637" t="str">
        <f t="shared" si="75"/>
        <v/>
      </c>
      <c r="N637" t="str">
        <f t="shared" si="76"/>
        <v/>
      </c>
      <c r="O637" t="str">
        <f t="shared" ca="1" si="77"/>
        <v>Outdated</v>
      </c>
      <c r="P637" t="str">
        <f t="shared" si="78"/>
        <v>Wrong Item</v>
      </c>
      <c r="Q637" t="str">
        <f t="shared" si="79"/>
        <v/>
      </c>
    </row>
    <row r="638" spans="1:17" x14ac:dyDescent="0.45">
      <c r="A638" t="s">
        <v>1189</v>
      </c>
      <c r="B638" t="s">
        <v>99</v>
      </c>
      <c r="C638" t="s">
        <v>712</v>
      </c>
      <c r="D638" t="s">
        <v>85</v>
      </c>
      <c r="E638" s="8">
        <v>4595.25</v>
      </c>
      <c r="F638" s="9">
        <v>45614.666684444448</v>
      </c>
      <c r="G638" t="s">
        <v>102</v>
      </c>
      <c r="H638" t="s">
        <v>128</v>
      </c>
      <c r="I638" t="s">
        <v>112</v>
      </c>
      <c r="J638" t="str">
        <f t="shared" si="72"/>
        <v/>
      </c>
      <c r="K638" t="str">
        <f t="shared" si="73"/>
        <v/>
      </c>
      <c r="L638" t="str">
        <f t="shared" si="74"/>
        <v/>
      </c>
      <c r="M638" t="str">
        <f t="shared" si="75"/>
        <v/>
      </c>
      <c r="N638" t="str">
        <f t="shared" si="76"/>
        <v>Invalid</v>
      </c>
      <c r="O638" t="str">
        <f t="shared" ca="1" si="77"/>
        <v>Outdated</v>
      </c>
      <c r="P638" t="str">
        <f t="shared" si="78"/>
        <v>Late Delivery</v>
      </c>
      <c r="Q638" t="str">
        <f t="shared" si="79"/>
        <v/>
      </c>
    </row>
    <row r="639" spans="1:17" x14ac:dyDescent="0.45">
      <c r="A639" t="s">
        <v>1190</v>
      </c>
      <c r="B639" t="s">
        <v>99</v>
      </c>
      <c r="C639" t="s">
        <v>1191</v>
      </c>
      <c r="D639" t="s">
        <v>74</v>
      </c>
      <c r="E639" s="8">
        <v>9895.52</v>
      </c>
      <c r="F639" s="9">
        <v>45588.666684444448</v>
      </c>
      <c r="G639" t="s">
        <v>102</v>
      </c>
      <c r="H639" t="s">
        <v>128</v>
      </c>
      <c r="I639" t="s">
        <v>82</v>
      </c>
      <c r="J639" t="str">
        <f t="shared" si="72"/>
        <v/>
      </c>
      <c r="K639" t="str">
        <f t="shared" si="73"/>
        <v/>
      </c>
      <c r="L639" t="str">
        <f t="shared" si="74"/>
        <v/>
      </c>
      <c r="M639" t="str">
        <f t="shared" si="75"/>
        <v/>
      </c>
      <c r="N639" t="str">
        <f t="shared" si="76"/>
        <v>Invalid</v>
      </c>
      <c r="O639" t="str">
        <f t="shared" ca="1" si="77"/>
        <v>Outdated</v>
      </c>
      <c r="P639" t="str">
        <f t="shared" si="78"/>
        <v>Wrong Item</v>
      </c>
      <c r="Q639" t="str">
        <f t="shared" si="79"/>
        <v/>
      </c>
    </row>
    <row r="640" spans="1:17" x14ac:dyDescent="0.45">
      <c r="A640" t="s">
        <v>1192</v>
      </c>
      <c r="B640" t="s">
        <v>109</v>
      </c>
      <c r="C640" t="s">
        <v>494</v>
      </c>
      <c r="D640" t="s">
        <v>74</v>
      </c>
      <c r="E640" s="8">
        <v>5332.23</v>
      </c>
      <c r="F640" s="9">
        <v>45393.666684444448</v>
      </c>
      <c r="G640" t="s">
        <v>111</v>
      </c>
      <c r="H640" t="s">
        <v>107</v>
      </c>
      <c r="I640" t="s">
        <v>82</v>
      </c>
      <c r="J640" t="str">
        <f t="shared" si="72"/>
        <v/>
      </c>
      <c r="K640" t="str">
        <f t="shared" si="73"/>
        <v/>
      </c>
      <c r="L640" t="str">
        <f t="shared" si="74"/>
        <v/>
      </c>
      <c r="M640" t="str">
        <f t="shared" si="75"/>
        <v/>
      </c>
      <c r="N640" t="str">
        <f t="shared" si="76"/>
        <v/>
      </c>
      <c r="O640" t="str">
        <f t="shared" ca="1" si="77"/>
        <v>Outdated</v>
      </c>
      <c r="P640" t="str">
        <f t="shared" si="78"/>
        <v>Wrong Item</v>
      </c>
      <c r="Q640" t="str">
        <f t="shared" si="79"/>
        <v/>
      </c>
    </row>
    <row r="641" spans="1:17" x14ac:dyDescent="0.45">
      <c r="A641" t="s">
        <v>378</v>
      </c>
      <c r="B641" t="s">
        <v>90</v>
      </c>
      <c r="C641" t="s">
        <v>957</v>
      </c>
      <c r="D641" t="s">
        <v>92</v>
      </c>
      <c r="E641" s="8">
        <v>574.07000000000005</v>
      </c>
      <c r="F641" s="9">
        <v>45381.666684444448</v>
      </c>
      <c r="G641" t="s">
        <v>93</v>
      </c>
      <c r="H641" t="s">
        <v>128</v>
      </c>
      <c r="I641" t="s">
        <v>112</v>
      </c>
      <c r="J641" t="str">
        <f t="shared" si="72"/>
        <v/>
      </c>
      <c r="K641" t="str">
        <f t="shared" si="73"/>
        <v>Duplicate</v>
      </c>
      <c r="L641" t="str">
        <f t="shared" si="74"/>
        <v/>
      </c>
      <c r="M641" t="str">
        <f t="shared" si="75"/>
        <v/>
      </c>
      <c r="N641" t="str">
        <f t="shared" si="76"/>
        <v>Invalid</v>
      </c>
      <c r="O641" t="str">
        <f t="shared" ca="1" si="77"/>
        <v>Outdated</v>
      </c>
      <c r="P641" t="str">
        <f t="shared" si="78"/>
        <v>Not As Described</v>
      </c>
      <c r="Q641" t="str">
        <f t="shared" si="79"/>
        <v/>
      </c>
    </row>
    <row r="642" spans="1:17" x14ac:dyDescent="0.45">
      <c r="A642" t="s">
        <v>1193</v>
      </c>
      <c r="B642" t="s">
        <v>104</v>
      </c>
      <c r="C642" t="s">
        <v>440</v>
      </c>
      <c r="D642" t="s">
        <v>101</v>
      </c>
      <c r="E642" s="8">
        <v>11970.99</v>
      </c>
      <c r="F642" s="9">
        <v>45780.666684444448</v>
      </c>
      <c r="G642" t="s">
        <v>115</v>
      </c>
      <c r="H642" t="s">
        <v>118</v>
      </c>
      <c r="I642" t="s">
        <v>88</v>
      </c>
      <c r="J642" t="str">
        <f t="shared" ref="J642:J705" si="80">IF(OR(ISBLANK(C642),ISBLANK(D642)),"Missing","")</f>
        <v/>
      </c>
      <c r="K642" t="str">
        <f t="shared" ref="K642:K705" si="81">IF(COUNTIF($A$2:$A$2501,A642)&gt;1,"Duplicate","")</f>
        <v/>
      </c>
      <c r="L642" t="str">
        <f t="shared" ref="L642:L705" si="82">IF(OR(E642=0,E642&gt;10000),"Unusual","")</f>
        <v>Unusual</v>
      </c>
      <c r="M642" t="str">
        <f t="shared" ref="M642:M705" si="83">IF(OR(ISBLANK(G642),ISERROR(FIND("@",G642)),ISERROR(FIND(".",G642,FIND("@",G642)+1))),"Invalid","")</f>
        <v/>
      </c>
      <c r="N642" t="str">
        <f t="shared" ref="N642:N705" si="84">IF(COUNTIF($S$2:$S$6,H642)=0,"Invalid","")</f>
        <v>Invalid</v>
      </c>
      <c r="O642" t="str">
        <f t="shared" ref="O642:O705" ca="1" si="85">IF(F642&lt;EDATE(TODAY(),-12),"Outdated","")</f>
        <v>Outdated</v>
      </c>
      <c r="P642" t="str">
        <f t="shared" ref="P642:P705" si="86">IF(ISBLANK(D642),"",PROPER(TRIM(D642)))</f>
        <v>Damaged</v>
      </c>
      <c r="Q642" t="str">
        <f t="shared" ref="Q642:Q705" si="87">IF(ISBLANK(D642),"",IF(EXACT(D642,P642),"","Inconsistent"))</f>
        <v/>
      </c>
    </row>
    <row r="643" spans="1:17" x14ac:dyDescent="0.45">
      <c r="A643" t="s">
        <v>1194</v>
      </c>
      <c r="B643" t="s">
        <v>172</v>
      </c>
      <c r="C643" t="s">
        <v>1195</v>
      </c>
      <c r="D643" t="s">
        <v>74</v>
      </c>
      <c r="E643" s="8">
        <v>9725.24</v>
      </c>
      <c r="F643" s="9">
        <v>45411.666684444448</v>
      </c>
      <c r="G643" t="s">
        <v>174</v>
      </c>
      <c r="H643" t="s">
        <v>136</v>
      </c>
      <c r="I643" t="s">
        <v>77</v>
      </c>
      <c r="J643" t="str">
        <f t="shared" si="80"/>
        <v/>
      </c>
      <c r="K643" t="str">
        <f t="shared" si="81"/>
        <v/>
      </c>
      <c r="L643" t="str">
        <f t="shared" si="82"/>
        <v/>
      </c>
      <c r="M643" t="str">
        <f t="shared" si="83"/>
        <v/>
      </c>
      <c r="N643" t="str">
        <f t="shared" si="84"/>
        <v>Invalid</v>
      </c>
      <c r="O643" t="str">
        <f t="shared" ca="1" si="85"/>
        <v>Outdated</v>
      </c>
      <c r="P643" t="str">
        <f t="shared" si="86"/>
        <v>Wrong Item</v>
      </c>
      <c r="Q643" t="str">
        <f t="shared" si="87"/>
        <v/>
      </c>
    </row>
    <row r="644" spans="1:17" x14ac:dyDescent="0.45">
      <c r="A644" t="s">
        <v>1196</v>
      </c>
      <c r="B644" t="s">
        <v>172</v>
      </c>
      <c r="C644" t="s">
        <v>924</v>
      </c>
      <c r="D644" t="s">
        <v>101</v>
      </c>
      <c r="E644" s="8">
        <v>2775.77</v>
      </c>
      <c r="F644" s="9">
        <v>45661.666684444448</v>
      </c>
      <c r="G644" t="s">
        <v>174</v>
      </c>
      <c r="H644" t="s">
        <v>76</v>
      </c>
      <c r="I644" t="s">
        <v>163</v>
      </c>
      <c r="J644" t="str">
        <f t="shared" si="80"/>
        <v/>
      </c>
      <c r="K644" t="str">
        <f t="shared" si="81"/>
        <v/>
      </c>
      <c r="L644" t="str">
        <f t="shared" si="82"/>
        <v/>
      </c>
      <c r="M644" t="str">
        <f t="shared" si="83"/>
        <v/>
      </c>
      <c r="N644" t="str">
        <f t="shared" si="84"/>
        <v/>
      </c>
      <c r="O644" t="str">
        <f t="shared" ca="1" si="85"/>
        <v>Outdated</v>
      </c>
      <c r="P644" t="str">
        <f t="shared" si="86"/>
        <v>Damaged</v>
      </c>
      <c r="Q644" t="str">
        <f t="shared" si="87"/>
        <v/>
      </c>
    </row>
    <row r="645" spans="1:17" x14ac:dyDescent="0.45">
      <c r="A645" t="s">
        <v>1197</v>
      </c>
      <c r="B645" t="s">
        <v>95</v>
      </c>
      <c r="C645" t="s">
        <v>1198</v>
      </c>
      <c r="D645" t="s">
        <v>85</v>
      </c>
      <c r="E645" s="8">
        <v>3654.9</v>
      </c>
      <c r="F645" s="9">
        <v>45624.666684444448</v>
      </c>
      <c r="G645" t="s">
        <v>97</v>
      </c>
      <c r="H645" t="s">
        <v>81</v>
      </c>
      <c r="I645" t="s">
        <v>112</v>
      </c>
      <c r="J645" t="str">
        <f t="shared" si="80"/>
        <v/>
      </c>
      <c r="K645" t="str">
        <f t="shared" si="81"/>
        <v/>
      </c>
      <c r="L645" t="str">
        <f t="shared" si="82"/>
        <v/>
      </c>
      <c r="M645" t="str">
        <f t="shared" si="83"/>
        <v/>
      </c>
      <c r="N645" t="str">
        <f t="shared" si="84"/>
        <v/>
      </c>
      <c r="O645" t="str">
        <f t="shared" ca="1" si="85"/>
        <v>Outdated</v>
      </c>
      <c r="P645" t="str">
        <f t="shared" si="86"/>
        <v>Late Delivery</v>
      </c>
      <c r="Q645" t="str">
        <f t="shared" si="87"/>
        <v/>
      </c>
    </row>
    <row r="646" spans="1:17" x14ac:dyDescent="0.45">
      <c r="A646" t="s">
        <v>1199</v>
      </c>
      <c r="B646" t="s">
        <v>90</v>
      </c>
      <c r="C646" t="s">
        <v>1200</v>
      </c>
      <c r="D646" t="s">
        <v>101</v>
      </c>
      <c r="E646" s="8">
        <v>9438.31</v>
      </c>
      <c r="F646" s="9">
        <v>45769.666684444448</v>
      </c>
      <c r="G646" t="s">
        <v>93</v>
      </c>
      <c r="H646" t="s">
        <v>81</v>
      </c>
      <c r="I646" t="s">
        <v>163</v>
      </c>
      <c r="J646" t="str">
        <f t="shared" si="80"/>
        <v/>
      </c>
      <c r="K646" t="str">
        <f t="shared" si="81"/>
        <v/>
      </c>
      <c r="L646" t="str">
        <f t="shared" si="82"/>
        <v/>
      </c>
      <c r="M646" t="str">
        <f t="shared" si="83"/>
        <v/>
      </c>
      <c r="N646" t="str">
        <f t="shared" si="84"/>
        <v/>
      </c>
      <c r="O646" t="str">
        <f t="shared" ca="1" si="85"/>
        <v>Outdated</v>
      </c>
      <c r="P646" t="str">
        <f t="shared" si="86"/>
        <v>Damaged</v>
      </c>
      <c r="Q646" t="str">
        <f t="shared" si="87"/>
        <v/>
      </c>
    </row>
    <row r="647" spans="1:17" x14ac:dyDescent="0.45">
      <c r="A647" t="s">
        <v>1201</v>
      </c>
      <c r="B647" t="s">
        <v>172</v>
      </c>
      <c r="C647" t="s">
        <v>1202</v>
      </c>
      <c r="D647" t="s">
        <v>85</v>
      </c>
      <c r="E647" s="8">
        <v>10973.3</v>
      </c>
      <c r="F647" s="9">
        <v>45372.666684444448</v>
      </c>
      <c r="G647" t="s">
        <v>174</v>
      </c>
      <c r="H647" t="s">
        <v>128</v>
      </c>
      <c r="I647" t="s">
        <v>112</v>
      </c>
      <c r="J647" t="str">
        <f t="shared" si="80"/>
        <v/>
      </c>
      <c r="K647" t="str">
        <f t="shared" si="81"/>
        <v/>
      </c>
      <c r="L647" t="str">
        <f t="shared" si="82"/>
        <v>Unusual</v>
      </c>
      <c r="M647" t="str">
        <f t="shared" si="83"/>
        <v/>
      </c>
      <c r="N647" t="str">
        <f t="shared" si="84"/>
        <v>Invalid</v>
      </c>
      <c r="O647" t="str">
        <f t="shared" ca="1" si="85"/>
        <v>Outdated</v>
      </c>
      <c r="P647" t="str">
        <f t="shared" si="86"/>
        <v>Late Delivery</v>
      </c>
      <c r="Q647" t="str">
        <f t="shared" si="87"/>
        <v/>
      </c>
    </row>
    <row r="648" spans="1:17" x14ac:dyDescent="0.45">
      <c r="A648" t="s">
        <v>1203</v>
      </c>
      <c r="B648" t="s">
        <v>99</v>
      </c>
      <c r="C648" t="s">
        <v>1204</v>
      </c>
      <c r="D648" t="s">
        <v>74</v>
      </c>
      <c r="E648" s="8">
        <v>10171.68</v>
      </c>
      <c r="F648" s="9">
        <v>45409.666684444448</v>
      </c>
      <c r="G648" t="s">
        <v>102</v>
      </c>
      <c r="I648" t="s">
        <v>77</v>
      </c>
      <c r="J648" t="str">
        <f t="shared" si="80"/>
        <v/>
      </c>
      <c r="K648" t="str">
        <f t="shared" si="81"/>
        <v/>
      </c>
      <c r="L648" t="str">
        <f t="shared" si="82"/>
        <v>Unusual</v>
      </c>
      <c r="M648" t="str">
        <f t="shared" si="83"/>
        <v/>
      </c>
      <c r="N648" t="str">
        <f t="shared" si="84"/>
        <v>Invalid</v>
      </c>
      <c r="O648" t="str">
        <f t="shared" ca="1" si="85"/>
        <v>Outdated</v>
      </c>
      <c r="P648" t="str">
        <f t="shared" si="86"/>
        <v>Wrong Item</v>
      </c>
      <c r="Q648" t="str">
        <f t="shared" si="87"/>
        <v/>
      </c>
    </row>
    <row r="649" spans="1:17" x14ac:dyDescent="0.45">
      <c r="A649" t="s">
        <v>1205</v>
      </c>
      <c r="B649" t="s">
        <v>95</v>
      </c>
      <c r="C649" t="s">
        <v>293</v>
      </c>
      <c r="D649" t="s">
        <v>85</v>
      </c>
      <c r="E649" s="8">
        <v>10570.58</v>
      </c>
      <c r="F649" s="9">
        <v>45578.666684444448</v>
      </c>
      <c r="G649" t="s">
        <v>97</v>
      </c>
      <c r="H649" t="s">
        <v>107</v>
      </c>
      <c r="I649" t="s">
        <v>77</v>
      </c>
      <c r="J649" t="str">
        <f t="shared" si="80"/>
        <v/>
      </c>
      <c r="K649" t="str">
        <f t="shared" si="81"/>
        <v/>
      </c>
      <c r="L649" t="str">
        <f t="shared" si="82"/>
        <v>Unusual</v>
      </c>
      <c r="M649" t="str">
        <f t="shared" si="83"/>
        <v/>
      </c>
      <c r="N649" t="str">
        <f t="shared" si="84"/>
        <v/>
      </c>
      <c r="O649" t="str">
        <f t="shared" ca="1" si="85"/>
        <v>Outdated</v>
      </c>
      <c r="P649" t="str">
        <f t="shared" si="86"/>
        <v>Late Delivery</v>
      </c>
      <c r="Q649" t="str">
        <f t="shared" si="87"/>
        <v/>
      </c>
    </row>
    <row r="650" spans="1:17" x14ac:dyDescent="0.45">
      <c r="A650" t="s">
        <v>1206</v>
      </c>
      <c r="B650" t="s">
        <v>79</v>
      </c>
      <c r="C650" t="s">
        <v>1207</v>
      </c>
      <c r="D650" t="s">
        <v>101</v>
      </c>
      <c r="E650" s="8">
        <v>7230.14</v>
      </c>
      <c r="F650" s="9">
        <v>45207.666684444448</v>
      </c>
      <c r="G650" t="s">
        <v>86</v>
      </c>
      <c r="H650" t="s">
        <v>145</v>
      </c>
      <c r="I650" t="s">
        <v>163</v>
      </c>
      <c r="J650" t="str">
        <f t="shared" si="80"/>
        <v/>
      </c>
      <c r="K650" t="str">
        <f t="shared" si="81"/>
        <v/>
      </c>
      <c r="L650" t="str">
        <f t="shared" si="82"/>
        <v/>
      </c>
      <c r="M650" t="str">
        <f t="shared" si="83"/>
        <v/>
      </c>
      <c r="N650" t="str">
        <f t="shared" si="84"/>
        <v/>
      </c>
      <c r="O650" t="str">
        <f t="shared" ca="1" si="85"/>
        <v>Outdated</v>
      </c>
      <c r="P650" t="str">
        <f t="shared" si="86"/>
        <v>Damaged</v>
      </c>
      <c r="Q650" t="str">
        <f t="shared" si="87"/>
        <v/>
      </c>
    </row>
    <row r="651" spans="1:17" x14ac:dyDescent="0.45">
      <c r="A651" t="s">
        <v>1208</v>
      </c>
      <c r="B651" t="s">
        <v>172</v>
      </c>
      <c r="C651" t="s">
        <v>633</v>
      </c>
      <c r="D651" t="s">
        <v>85</v>
      </c>
      <c r="E651" s="8">
        <v>10658.51</v>
      </c>
      <c r="F651" s="9">
        <v>45858.666684444448</v>
      </c>
      <c r="H651" t="s">
        <v>107</v>
      </c>
      <c r="I651" t="s">
        <v>82</v>
      </c>
      <c r="J651" t="str">
        <f t="shared" si="80"/>
        <v/>
      </c>
      <c r="K651" t="str">
        <f t="shared" si="81"/>
        <v/>
      </c>
      <c r="L651" t="str">
        <f t="shared" si="82"/>
        <v>Unusual</v>
      </c>
      <c r="M651" t="str">
        <f t="shared" si="83"/>
        <v>Invalid</v>
      </c>
      <c r="N651" t="str">
        <f t="shared" si="84"/>
        <v/>
      </c>
      <c r="O651" t="str">
        <f t="shared" ca="1" si="85"/>
        <v/>
      </c>
      <c r="P651" t="str">
        <f t="shared" si="86"/>
        <v>Late Delivery</v>
      </c>
      <c r="Q651" t="str">
        <f t="shared" si="87"/>
        <v/>
      </c>
    </row>
    <row r="652" spans="1:17" x14ac:dyDescent="0.45">
      <c r="A652" t="s">
        <v>1209</v>
      </c>
      <c r="B652" t="s">
        <v>138</v>
      </c>
      <c r="C652" t="s">
        <v>1032</v>
      </c>
      <c r="E652" s="8">
        <v>5674.55</v>
      </c>
      <c r="F652" s="9">
        <v>45420.666684444448</v>
      </c>
      <c r="G652" t="s">
        <v>140</v>
      </c>
      <c r="H652" t="s">
        <v>87</v>
      </c>
      <c r="I652" t="s">
        <v>112</v>
      </c>
      <c r="J652" t="str">
        <f t="shared" si="80"/>
        <v>Missing</v>
      </c>
      <c r="K652" t="str">
        <f t="shared" si="81"/>
        <v/>
      </c>
      <c r="L652" t="str">
        <f t="shared" si="82"/>
        <v/>
      </c>
      <c r="M652" t="str">
        <f t="shared" si="83"/>
        <v/>
      </c>
      <c r="N652" t="str">
        <f t="shared" si="84"/>
        <v>Invalid</v>
      </c>
      <c r="O652" t="str">
        <f t="shared" ca="1" si="85"/>
        <v>Outdated</v>
      </c>
      <c r="P652" t="str">
        <f t="shared" si="86"/>
        <v/>
      </c>
      <c r="Q652" t="str">
        <f t="shared" si="87"/>
        <v/>
      </c>
    </row>
    <row r="653" spans="1:17" x14ac:dyDescent="0.45">
      <c r="A653" t="s">
        <v>1210</v>
      </c>
      <c r="B653" t="s">
        <v>172</v>
      </c>
      <c r="C653" t="s">
        <v>144</v>
      </c>
      <c r="D653" t="s">
        <v>85</v>
      </c>
      <c r="E653" s="8">
        <v>0</v>
      </c>
      <c r="F653" s="9">
        <v>45368.666684444448</v>
      </c>
      <c r="G653" t="s">
        <v>174</v>
      </c>
      <c r="H653" t="s">
        <v>128</v>
      </c>
      <c r="I653" t="s">
        <v>163</v>
      </c>
      <c r="J653" t="str">
        <f t="shared" si="80"/>
        <v/>
      </c>
      <c r="K653" t="str">
        <f t="shared" si="81"/>
        <v/>
      </c>
      <c r="L653" t="str">
        <f t="shared" si="82"/>
        <v>Unusual</v>
      </c>
      <c r="M653" t="str">
        <f t="shared" si="83"/>
        <v/>
      </c>
      <c r="N653" t="str">
        <f t="shared" si="84"/>
        <v>Invalid</v>
      </c>
      <c r="O653" t="str">
        <f t="shared" ca="1" si="85"/>
        <v>Outdated</v>
      </c>
      <c r="P653" t="str">
        <f t="shared" si="86"/>
        <v>Late Delivery</v>
      </c>
      <c r="Q653" t="str">
        <f t="shared" si="87"/>
        <v/>
      </c>
    </row>
    <row r="654" spans="1:17" x14ac:dyDescent="0.45">
      <c r="A654" t="s">
        <v>1211</v>
      </c>
      <c r="B654" t="s">
        <v>72</v>
      </c>
      <c r="C654" t="s">
        <v>277</v>
      </c>
      <c r="D654" t="s">
        <v>101</v>
      </c>
      <c r="E654" s="8">
        <v>607.16</v>
      </c>
      <c r="F654" s="9">
        <v>45406.666684444448</v>
      </c>
      <c r="G654" t="s">
        <v>75</v>
      </c>
      <c r="H654" t="s">
        <v>116</v>
      </c>
      <c r="I654" t="s">
        <v>119</v>
      </c>
      <c r="J654" t="str">
        <f t="shared" si="80"/>
        <v/>
      </c>
      <c r="K654" t="str">
        <f t="shared" si="81"/>
        <v/>
      </c>
      <c r="L654" t="str">
        <f t="shared" si="82"/>
        <v/>
      </c>
      <c r="M654" t="str">
        <f t="shared" si="83"/>
        <v/>
      </c>
      <c r="N654" t="str">
        <f t="shared" si="84"/>
        <v/>
      </c>
      <c r="O654" t="str">
        <f t="shared" ca="1" si="85"/>
        <v>Outdated</v>
      </c>
      <c r="P654" t="str">
        <f t="shared" si="86"/>
        <v>Damaged</v>
      </c>
      <c r="Q654" t="str">
        <f t="shared" si="87"/>
        <v/>
      </c>
    </row>
    <row r="655" spans="1:17" x14ac:dyDescent="0.45">
      <c r="A655" t="s">
        <v>1212</v>
      </c>
      <c r="B655" t="s">
        <v>90</v>
      </c>
      <c r="C655" t="s">
        <v>1213</v>
      </c>
      <c r="D655" t="s">
        <v>101</v>
      </c>
      <c r="E655" s="8">
        <v>11539.58</v>
      </c>
      <c r="F655" s="9">
        <v>45471.666684444448</v>
      </c>
      <c r="G655" t="s">
        <v>93</v>
      </c>
      <c r="H655" t="s">
        <v>81</v>
      </c>
      <c r="I655" t="s">
        <v>163</v>
      </c>
      <c r="J655" t="str">
        <f t="shared" si="80"/>
        <v/>
      </c>
      <c r="K655" t="str">
        <f t="shared" si="81"/>
        <v/>
      </c>
      <c r="L655" t="str">
        <f t="shared" si="82"/>
        <v>Unusual</v>
      </c>
      <c r="M655" t="str">
        <f t="shared" si="83"/>
        <v/>
      </c>
      <c r="N655" t="str">
        <f t="shared" si="84"/>
        <v/>
      </c>
      <c r="O655" t="str">
        <f t="shared" ca="1" si="85"/>
        <v>Outdated</v>
      </c>
      <c r="P655" t="str">
        <f t="shared" si="86"/>
        <v>Damaged</v>
      </c>
      <c r="Q655" t="str">
        <f t="shared" si="87"/>
        <v/>
      </c>
    </row>
    <row r="656" spans="1:17" x14ac:dyDescent="0.45">
      <c r="A656" t="s">
        <v>1214</v>
      </c>
      <c r="B656" t="s">
        <v>72</v>
      </c>
      <c r="C656" t="s">
        <v>1215</v>
      </c>
      <c r="D656" t="s">
        <v>101</v>
      </c>
      <c r="E656" s="8">
        <v>8116.67</v>
      </c>
      <c r="F656" s="9">
        <v>45455.666684444448</v>
      </c>
      <c r="G656" t="s">
        <v>75</v>
      </c>
      <c r="H656" t="s">
        <v>118</v>
      </c>
      <c r="I656" t="s">
        <v>112</v>
      </c>
      <c r="J656" t="str">
        <f t="shared" si="80"/>
        <v/>
      </c>
      <c r="K656" t="str">
        <f t="shared" si="81"/>
        <v/>
      </c>
      <c r="L656" t="str">
        <f t="shared" si="82"/>
        <v/>
      </c>
      <c r="M656" t="str">
        <f t="shared" si="83"/>
        <v/>
      </c>
      <c r="N656" t="str">
        <f t="shared" si="84"/>
        <v>Invalid</v>
      </c>
      <c r="O656" t="str">
        <f t="shared" ca="1" si="85"/>
        <v>Outdated</v>
      </c>
      <c r="P656" t="str">
        <f t="shared" si="86"/>
        <v>Damaged</v>
      </c>
      <c r="Q656" t="str">
        <f t="shared" si="87"/>
        <v/>
      </c>
    </row>
    <row r="657" spans="1:17" x14ac:dyDescent="0.45">
      <c r="A657" t="s">
        <v>1216</v>
      </c>
      <c r="B657" t="s">
        <v>109</v>
      </c>
      <c r="C657" t="s">
        <v>338</v>
      </c>
      <c r="D657" t="s">
        <v>74</v>
      </c>
      <c r="E657" s="8">
        <v>0</v>
      </c>
      <c r="F657" s="9">
        <v>45681.666684444448</v>
      </c>
      <c r="G657" t="s">
        <v>111</v>
      </c>
      <c r="H657" t="s">
        <v>107</v>
      </c>
      <c r="I657" t="s">
        <v>163</v>
      </c>
      <c r="J657" t="str">
        <f t="shared" si="80"/>
        <v/>
      </c>
      <c r="K657" t="str">
        <f t="shared" si="81"/>
        <v/>
      </c>
      <c r="L657" t="str">
        <f t="shared" si="82"/>
        <v>Unusual</v>
      </c>
      <c r="M657" t="str">
        <f t="shared" si="83"/>
        <v/>
      </c>
      <c r="N657" t="str">
        <f t="shared" si="84"/>
        <v/>
      </c>
      <c r="O657" t="str">
        <f t="shared" ca="1" si="85"/>
        <v>Outdated</v>
      </c>
      <c r="P657" t="str">
        <f t="shared" si="86"/>
        <v>Wrong Item</v>
      </c>
      <c r="Q657" t="str">
        <f t="shared" si="87"/>
        <v/>
      </c>
    </row>
    <row r="658" spans="1:17" x14ac:dyDescent="0.45">
      <c r="A658" t="s">
        <v>1217</v>
      </c>
      <c r="B658" t="s">
        <v>172</v>
      </c>
      <c r="C658" t="s">
        <v>821</v>
      </c>
      <c r="D658" t="s">
        <v>74</v>
      </c>
      <c r="E658" s="8">
        <v>4167.45</v>
      </c>
      <c r="F658" s="9">
        <v>45210.666684444448</v>
      </c>
      <c r="H658" t="s">
        <v>136</v>
      </c>
      <c r="I658" t="s">
        <v>112</v>
      </c>
      <c r="J658" t="str">
        <f t="shared" si="80"/>
        <v/>
      </c>
      <c r="K658" t="str">
        <f t="shared" si="81"/>
        <v/>
      </c>
      <c r="L658" t="str">
        <f t="shared" si="82"/>
        <v/>
      </c>
      <c r="M658" t="str">
        <f t="shared" si="83"/>
        <v>Invalid</v>
      </c>
      <c r="N658" t="str">
        <f t="shared" si="84"/>
        <v>Invalid</v>
      </c>
      <c r="O658" t="str">
        <f t="shared" ca="1" si="85"/>
        <v>Outdated</v>
      </c>
      <c r="P658" t="str">
        <f t="shared" si="86"/>
        <v>Wrong Item</v>
      </c>
      <c r="Q658" t="str">
        <f t="shared" si="87"/>
        <v/>
      </c>
    </row>
    <row r="659" spans="1:17" x14ac:dyDescent="0.45">
      <c r="A659" t="s">
        <v>1218</v>
      </c>
      <c r="B659" t="s">
        <v>79</v>
      </c>
      <c r="D659" t="s">
        <v>92</v>
      </c>
      <c r="E659" s="8">
        <v>4474.5200000000004</v>
      </c>
      <c r="F659" s="9">
        <v>45269.666684444448</v>
      </c>
      <c r="G659" t="s">
        <v>86</v>
      </c>
      <c r="H659" t="s">
        <v>128</v>
      </c>
      <c r="I659" t="s">
        <v>112</v>
      </c>
      <c r="J659" t="str">
        <f t="shared" si="80"/>
        <v>Missing</v>
      </c>
      <c r="K659" t="str">
        <f t="shared" si="81"/>
        <v/>
      </c>
      <c r="L659" t="str">
        <f t="shared" si="82"/>
        <v/>
      </c>
      <c r="M659" t="str">
        <f t="shared" si="83"/>
        <v/>
      </c>
      <c r="N659" t="str">
        <f t="shared" si="84"/>
        <v>Invalid</v>
      </c>
      <c r="O659" t="str">
        <f t="shared" ca="1" si="85"/>
        <v>Outdated</v>
      </c>
      <c r="P659" t="str">
        <f t="shared" si="86"/>
        <v>Not As Described</v>
      </c>
      <c r="Q659" t="str">
        <f t="shared" si="87"/>
        <v/>
      </c>
    </row>
    <row r="660" spans="1:17" x14ac:dyDescent="0.45">
      <c r="A660" t="s">
        <v>1219</v>
      </c>
      <c r="B660" t="s">
        <v>72</v>
      </c>
      <c r="C660" t="s">
        <v>764</v>
      </c>
      <c r="D660" t="s">
        <v>101</v>
      </c>
      <c r="E660" s="8">
        <v>4873.32</v>
      </c>
      <c r="F660" s="9">
        <v>45282.666684444448</v>
      </c>
      <c r="G660" t="s">
        <v>75</v>
      </c>
      <c r="H660" t="s">
        <v>118</v>
      </c>
      <c r="I660" t="s">
        <v>112</v>
      </c>
      <c r="J660" t="str">
        <f t="shared" si="80"/>
        <v/>
      </c>
      <c r="K660" t="str">
        <f t="shared" si="81"/>
        <v/>
      </c>
      <c r="L660" t="str">
        <f t="shared" si="82"/>
        <v/>
      </c>
      <c r="M660" t="str">
        <f t="shared" si="83"/>
        <v/>
      </c>
      <c r="N660" t="str">
        <f t="shared" si="84"/>
        <v>Invalid</v>
      </c>
      <c r="O660" t="str">
        <f t="shared" ca="1" si="85"/>
        <v>Outdated</v>
      </c>
      <c r="P660" t="str">
        <f t="shared" si="86"/>
        <v>Damaged</v>
      </c>
      <c r="Q660" t="str">
        <f t="shared" si="87"/>
        <v/>
      </c>
    </row>
    <row r="661" spans="1:17" x14ac:dyDescent="0.45">
      <c r="A661" t="s">
        <v>1220</v>
      </c>
      <c r="B661" t="s">
        <v>72</v>
      </c>
      <c r="C661" t="s">
        <v>1221</v>
      </c>
      <c r="D661" t="s">
        <v>101</v>
      </c>
      <c r="E661" s="8">
        <v>6922.6</v>
      </c>
      <c r="F661" s="9">
        <v>45364.666684444448</v>
      </c>
      <c r="G661" t="s">
        <v>75</v>
      </c>
      <c r="H661" t="s">
        <v>116</v>
      </c>
      <c r="I661" t="s">
        <v>88</v>
      </c>
      <c r="J661" t="str">
        <f t="shared" si="80"/>
        <v/>
      </c>
      <c r="K661" t="str">
        <f t="shared" si="81"/>
        <v/>
      </c>
      <c r="L661" t="str">
        <f t="shared" si="82"/>
        <v/>
      </c>
      <c r="M661" t="str">
        <f t="shared" si="83"/>
        <v/>
      </c>
      <c r="N661" t="str">
        <f t="shared" si="84"/>
        <v/>
      </c>
      <c r="O661" t="str">
        <f t="shared" ca="1" si="85"/>
        <v>Outdated</v>
      </c>
      <c r="P661" t="str">
        <f t="shared" si="86"/>
        <v>Damaged</v>
      </c>
      <c r="Q661" t="str">
        <f t="shared" si="87"/>
        <v/>
      </c>
    </row>
    <row r="662" spans="1:17" x14ac:dyDescent="0.45">
      <c r="A662" t="s">
        <v>1222</v>
      </c>
      <c r="B662" t="s">
        <v>90</v>
      </c>
      <c r="C662" t="s">
        <v>1223</v>
      </c>
      <c r="D662" t="s">
        <v>85</v>
      </c>
      <c r="E662" s="8">
        <v>0</v>
      </c>
      <c r="F662" s="9">
        <v>45520.666684444448</v>
      </c>
      <c r="H662" t="s">
        <v>81</v>
      </c>
      <c r="I662" t="s">
        <v>163</v>
      </c>
      <c r="J662" t="str">
        <f t="shared" si="80"/>
        <v/>
      </c>
      <c r="K662" t="str">
        <f t="shared" si="81"/>
        <v/>
      </c>
      <c r="L662" t="str">
        <f t="shared" si="82"/>
        <v>Unusual</v>
      </c>
      <c r="M662" t="str">
        <f t="shared" si="83"/>
        <v>Invalid</v>
      </c>
      <c r="N662" t="str">
        <f t="shared" si="84"/>
        <v/>
      </c>
      <c r="O662" t="str">
        <f t="shared" ca="1" si="85"/>
        <v>Outdated</v>
      </c>
      <c r="P662" t="str">
        <f t="shared" si="86"/>
        <v>Late Delivery</v>
      </c>
      <c r="Q662" t="str">
        <f t="shared" si="87"/>
        <v/>
      </c>
    </row>
    <row r="663" spans="1:17" x14ac:dyDescent="0.45">
      <c r="A663" t="s">
        <v>1224</v>
      </c>
      <c r="B663" t="s">
        <v>95</v>
      </c>
      <c r="C663" t="s">
        <v>1225</v>
      </c>
      <c r="D663" t="s">
        <v>85</v>
      </c>
      <c r="E663" s="8">
        <v>10636.42</v>
      </c>
      <c r="F663" s="9">
        <v>45838.666684444448</v>
      </c>
      <c r="G663" t="s">
        <v>97</v>
      </c>
      <c r="H663" t="s">
        <v>136</v>
      </c>
      <c r="I663" t="s">
        <v>77</v>
      </c>
      <c r="J663" t="str">
        <f t="shared" si="80"/>
        <v/>
      </c>
      <c r="K663" t="str">
        <f t="shared" si="81"/>
        <v/>
      </c>
      <c r="L663" t="str">
        <f t="shared" si="82"/>
        <v>Unusual</v>
      </c>
      <c r="M663" t="str">
        <f t="shared" si="83"/>
        <v/>
      </c>
      <c r="N663" t="str">
        <f t="shared" si="84"/>
        <v>Invalid</v>
      </c>
      <c r="O663" t="str">
        <f t="shared" ca="1" si="85"/>
        <v>Outdated</v>
      </c>
      <c r="P663" t="str">
        <f t="shared" si="86"/>
        <v>Late Delivery</v>
      </c>
      <c r="Q663" t="str">
        <f t="shared" si="87"/>
        <v/>
      </c>
    </row>
    <row r="664" spans="1:17" x14ac:dyDescent="0.45">
      <c r="A664" t="s">
        <v>1226</v>
      </c>
      <c r="B664" t="s">
        <v>79</v>
      </c>
      <c r="C664" t="s">
        <v>1227</v>
      </c>
      <c r="D664" t="s">
        <v>74</v>
      </c>
      <c r="E664" s="8">
        <v>10593.38</v>
      </c>
      <c r="F664" s="9">
        <v>45284.666684444448</v>
      </c>
      <c r="H664" t="s">
        <v>116</v>
      </c>
      <c r="I664" t="s">
        <v>112</v>
      </c>
      <c r="J664" t="str">
        <f t="shared" si="80"/>
        <v/>
      </c>
      <c r="K664" t="str">
        <f t="shared" si="81"/>
        <v/>
      </c>
      <c r="L664" t="str">
        <f t="shared" si="82"/>
        <v>Unusual</v>
      </c>
      <c r="M664" t="str">
        <f t="shared" si="83"/>
        <v>Invalid</v>
      </c>
      <c r="N664" t="str">
        <f t="shared" si="84"/>
        <v/>
      </c>
      <c r="O664" t="str">
        <f t="shared" ca="1" si="85"/>
        <v>Outdated</v>
      </c>
      <c r="P664" t="str">
        <f t="shared" si="86"/>
        <v>Wrong Item</v>
      </c>
      <c r="Q664" t="str">
        <f t="shared" si="87"/>
        <v/>
      </c>
    </row>
    <row r="665" spans="1:17" x14ac:dyDescent="0.45">
      <c r="A665" t="s">
        <v>1228</v>
      </c>
      <c r="B665" t="s">
        <v>72</v>
      </c>
      <c r="C665" t="s">
        <v>287</v>
      </c>
      <c r="E665" s="8">
        <v>1254.33</v>
      </c>
      <c r="F665" s="9">
        <v>45851.666684444448</v>
      </c>
      <c r="G665" t="s">
        <v>75</v>
      </c>
      <c r="H665" t="s">
        <v>133</v>
      </c>
      <c r="I665" t="s">
        <v>77</v>
      </c>
      <c r="J665" t="str">
        <f t="shared" si="80"/>
        <v>Missing</v>
      </c>
      <c r="K665" t="str">
        <f t="shared" si="81"/>
        <v/>
      </c>
      <c r="L665" t="str">
        <f t="shared" si="82"/>
        <v/>
      </c>
      <c r="M665" t="str">
        <f t="shared" si="83"/>
        <v/>
      </c>
      <c r="N665" t="str">
        <f t="shared" si="84"/>
        <v>Invalid</v>
      </c>
      <c r="O665" t="str">
        <f t="shared" ca="1" si="85"/>
        <v/>
      </c>
      <c r="P665" t="str">
        <f t="shared" si="86"/>
        <v/>
      </c>
      <c r="Q665" t="str">
        <f t="shared" si="87"/>
        <v/>
      </c>
    </row>
    <row r="666" spans="1:17" x14ac:dyDescent="0.45">
      <c r="A666" t="s">
        <v>1229</v>
      </c>
      <c r="B666" t="s">
        <v>104</v>
      </c>
      <c r="C666" t="s">
        <v>1230</v>
      </c>
      <c r="D666" t="s">
        <v>74</v>
      </c>
      <c r="E666" s="8">
        <v>6684.08</v>
      </c>
      <c r="F666" s="9">
        <v>45347.666684444448</v>
      </c>
      <c r="G666" t="s">
        <v>115</v>
      </c>
      <c r="H666" t="s">
        <v>107</v>
      </c>
      <c r="I666" t="s">
        <v>82</v>
      </c>
      <c r="J666" t="str">
        <f t="shared" si="80"/>
        <v/>
      </c>
      <c r="K666" t="str">
        <f t="shared" si="81"/>
        <v/>
      </c>
      <c r="L666" t="str">
        <f t="shared" si="82"/>
        <v/>
      </c>
      <c r="M666" t="str">
        <f t="shared" si="83"/>
        <v/>
      </c>
      <c r="N666" t="str">
        <f t="shared" si="84"/>
        <v/>
      </c>
      <c r="O666" t="str">
        <f t="shared" ca="1" si="85"/>
        <v>Outdated</v>
      </c>
      <c r="P666" t="str">
        <f t="shared" si="86"/>
        <v>Wrong Item</v>
      </c>
      <c r="Q666" t="str">
        <f t="shared" si="87"/>
        <v/>
      </c>
    </row>
    <row r="667" spans="1:17" x14ac:dyDescent="0.45">
      <c r="A667" t="s">
        <v>763</v>
      </c>
      <c r="B667" t="s">
        <v>79</v>
      </c>
      <c r="C667" t="s">
        <v>1231</v>
      </c>
      <c r="D667" t="s">
        <v>92</v>
      </c>
      <c r="E667" s="8">
        <v>11692.19</v>
      </c>
      <c r="F667" s="9">
        <v>45193.666684444448</v>
      </c>
      <c r="G667" t="s">
        <v>86</v>
      </c>
      <c r="I667" t="s">
        <v>119</v>
      </c>
      <c r="J667" t="str">
        <f t="shared" si="80"/>
        <v/>
      </c>
      <c r="K667" t="str">
        <f t="shared" si="81"/>
        <v>Duplicate</v>
      </c>
      <c r="L667" t="str">
        <f t="shared" si="82"/>
        <v>Unusual</v>
      </c>
      <c r="M667" t="str">
        <f t="shared" si="83"/>
        <v/>
      </c>
      <c r="N667" t="str">
        <f t="shared" si="84"/>
        <v>Invalid</v>
      </c>
      <c r="O667" t="str">
        <f t="shared" ca="1" si="85"/>
        <v>Outdated</v>
      </c>
      <c r="P667" t="str">
        <f t="shared" si="86"/>
        <v>Not As Described</v>
      </c>
      <c r="Q667" t="str">
        <f t="shared" si="87"/>
        <v/>
      </c>
    </row>
    <row r="668" spans="1:17" x14ac:dyDescent="0.45">
      <c r="A668" t="s">
        <v>1232</v>
      </c>
      <c r="B668" t="s">
        <v>104</v>
      </c>
      <c r="C668" t="s">
        <v>1233</v>
      </c>
      <c r="D668" t="s">
        <v>92</v>
      </c>
      <c r="E668" s="8">
        <v>0</v>
      </c>
      <c r="F668" s="9">
        <v>45552.666684444448</v>
      </c>
      <c r="G668" t="s">
        <v>115</v>
      </c>
      <c r="H668" t="s">
        <v>81</v>
      </c>
      <c r="I668" t="s">
        <v>82</v>
      </c>
      <c r="J668" t="str">
        <f t="shared" si="80"/>
        <v/>
      </c>
      <c r="K668" t="str">
        <f t="shared" si="81"/>
        <v/>
      </c>
      <c r="L668" t="str">
        <f t="shared" si="82"/>
        <v>Unusual</v>
      </c>
      <c r="M668" t="str">
        <f t="shared" si="83"/>
        <v/>
      </c>
      <c r="N668" t="str">
        <f t="shared" si="84"/>
        <v/>
      </c>
      <c r="O668" t="str">
        <f t="shared" ca="1" si="85"/>
        <v>Outdated</v>
      </c>
      <c r="P668" t="str">
        <f t="shared" si="86"/>
        <v>Not As Described</v>
      </c>
      <c r="Q668" t="str">
        <f t="shared" si="87"/>
        <v/>
      </c>
    </row>
    <row r="669" spans="1:17" x14ac:dyDescent="0.45">
      <c r="A669" t="s">
        <v>1234</v>
      </c>
      <c r="B669" t="s">
        <v>172</v>
      </c>
      <c r="C669" t="s">
        <v>84</v>
      </c>
      <c r="D669" t="s">
        <v>92</v>
      </c>
      <c r="E669" s="8">
        <v>2554.73</v>
      </c>
      <c r="F669" s="9">
        <v>45545.666684444448</v>
      </c>
      <c r="G669" t="s">
        <v>174</v>
      </c>
      <c r="H669" t="s">
        <v>133</v>
      </c>
      <c r="I669" t="s">
        <v>112</v>
      </c>
      <c r="J669" t="str">
        <f t="shared" si="80"/>
        <v/>
      </c>
      <c r="K669" t="str">
        <f t="shared" si="81"/>
        <v/>
      </c>
      <c r="L669" t="str">
        <f t="shared" si="82"/>
        <v/>
      </c>
      <c r="M669" t="str">
        <f t="shared" si="83"/>
        <v/>
      </c>
      <c r="N669" t="str">
        <f t="shared" si="84"/>
        <v>Invalid</v>
      </c>
      <c r="O669" t="str">
        <f t="shared" ca="1" si="85"/>
        <v>Outdated</v>
      </c>
      <c r="P669" t="str">
        <f t="shared" si="86"/>
        <v>Not As Described</v>
      </c>
      <c r="Q669" t="str">
        <f t="shared" si="87"/>
        <v/>
      </c>
    </row>
    <row r="670" spans="1:17" x14ac:dyDescent="0.45">
      <c r="A670" t="s">
        <v>1235</v>
      </c>
      <c r="B670" t="s">
        <v>72</v>
      </c>
      <c r="D670" t="s">
        <v>85</v>
      </c>
      <c r="E670" s="8">
        <v>7682.33</v>
      </c>
      <c r="F670" s="9">
        <v>45466.666684444448</v>
      </c>
      <c r="G670" t="s">
        <v>75</v>
      </c>
      <c r="H670" t="s">
        <v>118</v>
      </c>
      <c r="I670" t="s">
        <v>112</v>
      </c>
      <c r="J670" t="str">
        <f t="shared" si="80"/>
        <v>Missing</v>
      </c>
      <c r="K670" t="str">
        <f t="shared" si="81"/>
        <v/>
      </c>
      <c r="L670" t="str">
        <f t="shared" si="82"/>
        <v/>
      </c>
      <c r="M670" t="str">
        <f t="shared" si="83"/>
        <v/>
      </c>
      <c r="N670" t="str">
        <f t="shared" si="84"/>
        <v>Invalid</v>
      </c>
      <c r="O670" t="str">
        <f t="shared" ca="1" si="85"/>
        <v>Outdated</v>
      </c>
      <c r="P670" t="str">
        <f t="shared" si="86"/>
        <v>Late Delivery</v>
      </c>
      <c r="Q670" t="str">
        <f t="shared" si="87"/>
        <v/>
      </c>
    </row>
    <row r="671" spans="1:17" x14ac:dyDescent="0.45">
      <c r="A671" t="s">
        <v>1236</v>
      </c>
      <c r="B671" t="s">
        <v>72</v>
      </c>
      <c r="C671" t="s">
        <v>261</v>
      </c>
      <c r="D671" t="s">
        <v>74</v>
      </c>
      <c r="E671" s="8">
        <v>5802.26</v>
      </c>
      <c r="F671" s="9">
        <v>45683.666684444448</v>
      </c>
      <c r="G671" t="s">
        <v>521</v>
      </c>
      <c r="H671" t="s">
        <v>145</v>
      </c>
      <c r="I671" t="s">
        <v>163</v>
      </c>
      <c r="J671" t="str">
        <f t="shared" si="80"/>
        <v/>
      </c>
      <c r="K671" t="str">
        <f t="shared" si="81"/>
        <v/>
      </c>
      <c r="L671" t="str">
        <f t="shared" si="82"/>
        <v/>
      </c>
      <c r="M671" t="str">
        <f t="shared" si="83"/>
        <v>Invalid</v>
      </c>
      <c r="N671" t="str">
        <f t="shared" si="84"/>
        <v/>
      </c>
      <c r="O671" t="str">
        <f t="shared" ca="1" si="85"/>
        <v>Outdated</v>
      </c>
      <c r="P671" t="str">
        <f t="shared" si="86"/>
        <v>Wrong Item</v>
      </c>
      <c r="Q671" t="str">
        <f t="shared" si="87"/>
        <v/>
      </c>
    </row>
    <row r="672" spans="1:17" x14ac:dyDescent="0.45">
      <c r="A672" t="s">
        <v>1237</v>
      </c>
      <c r="B672" t="s">
        <v>99</v>
      </c>
      <c r="C672" t="s">
        <v>1238</v>
      </c>
      <c r="D672" t="s">
        <v>101</v>
      </c>
      <c r="E672" s="8">
        <v>9348.06</v>
      </c>
      <c r="F672" s="9">
        <v>45605.666684444448</v>
      </c>
      <c r="G672" t="s">
        <v>102</v>
      </c>
      <c r="I672" t="s">
        <v>77</v>
      </c>
      <c r="J672" t="str">
        <f t="shared" si="80"/>
        <v/>
      </c>
      <c r="K672" t="str">
        <f t="shared" si="81"/>
        <v/>
      </c>
      <c r="L672" t="str">
        <f t="shared" si="82"/>
        <v/>
      </c>
      <c r="M672" t="str">
        <f t="shared" si="83"/>
        <v/>
      </c>
      <c r="N672" t="str">
        <f t="shared" si="84"/>
        <v>Invalid</v>
      </c>
      <c r="O672" t="str">
        <f t="shared" ca="1" si="85"/>
        <v>Outdated</v>
      </c>
      <c r="P672" t="str">
        <f t="shared" si="86"/>
        <v>Damaged</v>
      </c>
      <c r="Q672" t="str">
        <f t="shared" si="87"/>
        <v/>
      </c>
    </row>
    <row r="673" spans="1:17" x14ac:dyDescent="0.45">
      <c r="A673" t="s">
        <v>1239</v>
      </c>
      <c r="B673" t="s">
        <v>99</v>
      </c>
      <c r="C673" t="s">
        <v>1240</v>
      </c>
      <c r="D673" t="s">
        <v>85</v>
      </c>
      <c r="E673" s="8">
        <v>0</v>
      </c>
      <c r="F673" s="9">
        <v>45553.666684444448</v>
      </c>
      <c r="G673" t="s">
        <v>102</v>
      </c>
      <c r="I673" t="s">
        <v>88</v>
      </c>
      <c r="J673" t="str">
        <f t="shared" si="80"/>
        <v/>
      </c>
      <c r="K673" t="str">
        <f t="shared" si="81"/>
        <v/>
      </c>
      <c r="L673" t="str">
        <f t="shared" si="82"/>
        <v>Unusual</v>
      </c>
      <c r="M673" t="str">
        <f t="shared" si="83"/>
        <v/>
      </c>
      <c r="N673" t="str">
        <f t="shared" si="84"/>
        <v>Invalid</v>
      </c>
      <c r="O673" t="str">
        <f t="shared" ca="1" si="85"/>
        <v>Outdated</v>
      </c>
      <c r="P673" t="str">
        <f t="shared" si="86"/>
        <v>Late Delivery</v>
      </c>
      <c r="Q673" t="str">
        <f t="shared" si="87"/>
        <v/>
      </c>
    </row>
    <row r="674" spans="1:17" x14ac:dyDescent="0.45">
      <c r="A674" t="s">
        <v>1241</v>
      </c>
      <c r="B674" t="s">
        <v>90</v>
      </c>
      <c r="C674" t="s">
        <v>796</v>
      </c>
      <c r="D674" t="s">
        <v>101</v>
      </c>
      <c r="E674" s="8">
        <v>6831.38</v>
      </c>
      <c r="F674" s="9">
        <v>45191.666684444448</v>
      </c>
      <c r="H674" t="s">
        <v>136</v>
      </c>
      <c r="I674" t="s">
        <v>112</v>
      </c>
      <c r="J674" t="str">
        <f t="shared" si="80"/>
        <v/>
      </c>
      <c r="K674" t="str">
        <f t="shared" si="81"/>
        <v/>
      </c>
      <c r="L674" t="str">
        <f t="shared" si="82"/>
        <v/>
      </c>
      <c r="M674" t="str">
        <f t="shared" si="83"/>
        <v>Invalid</v>
      </c>
      <c r="N674" t="str">
        <f t="shared" si="84"/>
        <v>Invalid</v>
      </c>
      <c r="O674" t="str">
        <f t="shared" ca="1" si="85"/>
        <v>Outdated</v>
      </c>
      <c r="P674" t="str">
        <f t="shared" si="86"/>
        <v>Damaged</v>
      </c>
      <c r="Q674" t="str">
        <f t="shared" si="87"/>
        <v/>
      </c>
    </row>
    <row r="675" spans="1:17" x14ac:dyDescent="0.45">
      <c r="A675" t="s">
        <v>1242</v>
      </c>
      <c r="B675" t="s">
        <v>95</v>
      </c>
      <c r="C675" t="s">
        <v>440</v>
      </c>
      <c r="D675" t="s">
        <v>148</v>
      </c>
      <c r="E675" s="8">
        <v>9695.26</v>
      </c>
      <c r="F675" s="9">
        <v>45339.666684444448</v>
      </c>
      <c r="G675" t="s">
        <v>97</v>
      </c>
      <c r="H675" t="s">
        <v>136</v>
      </c>
      <c r="I675" t="s">
        <v>119</v>
      </c>
      <c r="J675" t="str">
        <f t="shared" si="80"/>
        <v/>
      </c>
      <c r="K675" t="str">
        <f t="shared" si="81"/>
        <v/>
      </c>
      <c r="L675" t="str">
        <f t="shared" si="82"/>
        <v/>
      </c>
      <c r="M675" t="str">
        <f t="shared" si="83"/>
        <v/>
      </c>
      <c r="N675" t="str">
        <f t="shared" si="84"/>
        <v>Invalid</v>
      </c>
      <c r="O675" t="str">
        <f t="shared" ca="1" si="85"/>
        <v>Outdated</v>
      </c>
      <c r="P675" t="str">
        <f t="shared" si="86"/>
        <v>Wrong Item</v>
      </c>
      <c r="Q675" t="str">
        <f t="shared" si="87"/>
        <v>Inconsistent</v>
      </c>
    </row>
    <row r="676" spans="1:17" x14ac:dyDescent="0.45">
      <c r="A676" t="s">
        <v>1243</v>
      </c>
      <c r="B676" t="s">
        <v>90</v>
      </c>
      <c r="C676" t="s">
        <v>293</v>
      </c>
      <c r="D676" t="s">
        <v>101</v>
      </c>
      <c r="E676" s="8">
        <v>1322.07</v>
      </c>
      <c r="F676" s="9">
        <v>45558.666684444448</v>
      </c>
      <c r="G676" t="s">
        <v>93</v>
      </c>
      <c r="H676" t="s">
        <v>128</v>
      </c>
      <c r="I676" t="s">
        <v>112</v>
      </c>
      <c r="J676" t="str">
        <f t="shared" si="80"/>
        <v/>
      </c>
      <c r="K676" t="str">
        <f t="shared" si="81"/>
        <v/>
      </c>
      <c r="L676" t="str">
        <f t="shared" si="82"/>
        <v/>
      </c>
      <c r="M676" t="str">
        <f t="shared" si="83"/>
        <v/>
      </c>
      <c r="N676" t="str">
        <f t="shared" si="84"/>
        <v>Invalid</v>
      </c>
      <c r="O676" t="str">
        <f t="shared" ca="1" si="85"/>
        <v>Outdated</v>
      </c>
      <c r="P676" t="str">
        <f t="shared" si="86"/>
        <v>Damaged</v>
      </c>
      <c r="Q676" t="str">
        <f t="shared" si="87"/>
        <v/>
      </c>
    </row>
    <row r="677" spans="1:17" x14ac:dyDescent="0.45">
      <c r="A677" t="s">
        <v>1244</v>
      </c>
      <c r="B677" t="s">
        <v>90</v>
      </c>
      <c r="C677" t="s">
        <v>554</v>
      </c>
      <c r="D677" t="s">
        <v>101</v>
      </c>
      <c r="E677" s="8">
        <v>1877.12</v>
      </c>
      <c r="F677" s="9">
        <v>45526.666684444448</v>
      </c>
      <c r="G677" t="s">
        <v>296</v>
      </c>
      <c r="I677" t="s">
        <v>119</v>
      </c>
      <c r="J677" t="str">
        <f t="shared" si="80"/>
        <v/>
      </c>
      <c r="K677" t="str">
        <f t="shared" si="81"/>
        <v/>
      </c>
      <c r="L677" t="str">
        <f t="shared" si="82"/>
        <v/>
      </c>
      <c r="M677" t="str">
        <f t="shared" si="83"/>
        <v>Invalid</v>
      </c>
      <c r="N677" t="str">
        <f t="shared" si="84"/>
        <v>Invalid</v>
      </c>
      <c r="O677" t="str">
        <f t="shared" ca="1" si="85"/>
        <v>Outdated</v>
      </c>
      <c r="P677" t="str">
        <f t="shared" si="86"/>
        <v>Damaged</v>
      </c>
      <c r="Q677" t="str">
        <f t="shared" si="87"/>
        <v/>
      </c>
    </row>
    <row r="678" spans="1:17" x14ac:dyDescent="0.45">
      <c r="A678" t="s">
        <v>1245</v>
      </c>
      <c r="B678" t="s">
        <v>72</v>
      </c>
      <c r="C678" t="s">
        <v>538</v>
      </c>
      <c r="D678" t="s">
        <v>101</v>
      </c>
      <c r="E678" s="8">
        <v>8714.27</v>
      </c>
      <c r="F678" s="9">
        <v>45726.666684444448</v>
      </c>
      <c r="G678" t="s">
        <v>75</v>
      </c>
      <c r="H678" t="s">
        <v>145</v>
      </c>
      <c r="I678" t="s">
        <v>163</v>
      </c>
      <c r="J678" t="str">
        <f t="shared" si="80"/>
        <v/>
      </c>
      <c r="K678" t="str">
        <f t="shared" si="81"/>
        <v/>
      </c>
      <c r="L678" t="str">
        <f t="shared" si="82"/>
        <v/>
      </c>
      <c r="M678" t="str">
        <f t="shared" si="83"/>
        <v/>
      </c>
      <c r="N678" t="str">
        <f t="shared" si="84"/>
        <v/>
      </c>
      <c r="O678" t="str">
        <f t="shared" ca="1" si="85"/>
        <v>Outdated</v>
      </c>
      <c r="P678" t="str">
        <f t="shared" si="86"/>
        <v>Damaged</v>
      </c>
      <c r="Q678" t="str">
        <f t="shared" si="87"/>
        <v/>
      </c>
    </row>
    <row r="679" spans="1:17" x14ac:dyDescent="0.45">
      <c r="A679" t="s">
        <v>1246</v>
      </c>
      <c r="B679" t="s">
        <v>99</v>
      </c>
      <c r="C679" t="s">
        <v>1247</v>
      </c>
      <c r="D679" t="s">
        <v>101</v>
      </c>
      <c r="E679" s="8">
        <v>3588.15</v>
      </c>
      <c r="F679" s="9">
        <v>45840.666684444448</v>
      </c>
      <c r="G679" t="s">
        <v>285</v>
      </c>
      <c r="H679" t="s">
        <v>118</v>
      </c>
      <c r="I679" t="s">
        <v>112</v>
      </c>
      <c r="J679" t="str">
        <f t="shared" si="80"/>
        <v/>
      </c>
      <c r="K679" t="str">
        <f t="shared" si="81"/>
        <v/>
      </c>
      <c r="L679" t="str">
        <f t="shared" si="82"/>
        <v/>
      </c>
      <c r="M679" t="str">
        <f t="shared" si="83"/>
        <v>Invalid</v>
      </c>
      <c r="N679" t="str">
        <f t="shared" si="84"/>
        <v>Invalid</v>
      </c>
      <c r="O679" t="str">
        <f t="shared" ca="1" si="85"/>
        <v>Outdated</v>
      </c>
      <c r="P679" t="str">
        <f t="shared" si="86"/>
        <v>Damaged</v>
      </c>
      <c r="Q679" t="str">
        <f t="shared" si="87"/>
        <v/>
      </c>
    </row>
    <row r="680" spans="1:17" x14ac:dyDescent="0.45">
      <c r="A680" t="s">
        <v>1248</v>
      </c>
      <c r="B680" t="s">
        <v>99</v>
      </c>
      <c r="C680" t="s">
        <v>1249</v>
      </c>
      <c r="D680" t="s">
        <v>85</v>
      </c>
      <c r="E680" s="8">
        <v>8054.66</v>
      </c>
      <c r="F680" s="9">
        <v>45148.666684444448</v>
      </c>
      <c r="G680" t="s">
        <v>102</v>
      </c>
      <c r="H680" t="s">
        <v>107</v>
      </c>
      <c r="I680" t="s">
        <v>163</v>
      </c>
      <c r="J680" t="str">
        <f t="shared" si="80"/>
        <v/>
      </c>
      <c r="K680" t="str">
        <f t="shared" si="81"/>
        <v/>
      </c>
      <c r="L680" t="str">
        <f t="shared" si="82"/>
        <v/>
      </c>
      <c r="M680" t="str">
        <f t="shared" si="83"/>
        <v/>
      </c>
      <c r="N680" t="str">
        <f t="shared" si="84"/>
        <v/>
      </c>
      <c r="O680" t="str">
        <f t="shared" ca="1" si="85"/>
        <v>Outdated</v>
      </c>
      <c r="P680" t="str">
        <f t="shared" si="86"/>
        <v>Late Delivery</v>
      </c>
      <c r="Q680" t="str">
        <f t="shared" si="87"/>
        <v/>
      </c>
    </row>
    <row r="681" spans="1:17" x14ac:dyDescent="0.45">
      <c r="A681" t="s">
        <v>1250</v>
      </c>
      <c r="B681" t="s">
        <v>99</v>
      </c>
      <c r="C681" t="s">
        <v>816</v>
      </c>
      <c r="D681" t="s">
        <v>92</v>
      </c>
      <c r="E681" s="8">
        <v>0</v>
      </c>
      <c r="F681" s="9">
        <v>45717.666684444448</v>
      </c>
      <c r="G681" t="s">
        <v>102</v>
      </c>
      <c r="H681" t="s">
        <v>107</v>
      </c>
      <c r="I681" t="s">
        <v>77</v>
      </c>
      <c r="J681" t="str">
        <f t="shared" si="80"/>
        <v/>
      </c>
      <c r="K681" t="str">
        <f t="shared" si="81"/>
        <v/>
      </c>
      <c r="L681" t="str">
        <f t="shared" si="82"/>
        <v>Unusual</v>
      </c>
      <c r="M681" t="str">
        <f t="shared" si="83"/>
        <v/>
      </c>
      <c r="N681" t="str">
        <f t="shared" si="84"/>
        <v/>
      </c>
      <c r="O681" t="str">
        <f t="shared" ca="1" si="85"/>
        <v>Outdated</v>
      </c>
      <c r="P681" t="str">
        <f t="shared" si="86"/>
        <v>Not As Described</v>
      </c>
      <c r="Q681" t="str">
        <f t="shared" si="87"/>
        <v/>
      </c>
    </row>
    <row r="682" spans="1:17" x14ac:dyDescent="0.45">
      <c r="A682" t="s">
        <v>1251</v>
      </c>
      <c r="B682" t="s">
        <v>79</v>
      </c>
      <c r="D682" t="s">
        <v>92</v>
      </c>
      <c r="E682" s="8">
        <v>10029.4</v>
      </c>
      <c r="F682" s="9">
        <v>45517.666684444448</v>
      </c>
      <c r="G682" t="s">
        <v>86</v>
      </c>
      <c r="H682" t="s">
        <v>136</v>
      </c>
      <c r="I682" t="s">
        <v>163</v>
      </c>
      <c r="J682" t="str">
        <f t="shared" si="80"/>
        <v>Missing</v>
      </c>
      <c r="K682" t="str">
        <f t="shared" si="81"/>
        <v/>
      </c>
      <c r="L682" t="str">
        <f t="shared" si="82"/>
        <v>Unusual</v>
      </c>
      <c r="M682" t="str">
        <f t="shared" si="83"/>
        <v/>
      </c>
      <c r="N682" t="str">
        <f t="shared" si="84"/>
        <v>Invalid</v>
      </c>
      <c r="O682" t="str">
        <f t="shared" ca="1" si="85"/>
        <v>Outdated</v>
      </c>
      <c r="P682" t="str">
        <f t="shared" si="86"/>
        <v>Not As Described</v>
      </c>
      <c r="Q682" t="str">
        <f t="shared" si="87"/>
        <v/>
      </c>
    </row>
    <row r="683" spans="1:17" x14ac:dyDescent="0.45">
      <c r="A683" t="s">
        <v>1252</v>
      </c>
      <c r="B683" t="s">
        <v>138</v>
      </c>
      <c r="C683" t="s">
        <v>1064</v>
      </c>
      <c r="E683" s="8">
        <v>9178.5499999999993</v>
      </c>
      <c r="F683" s="9">
        <v>45616.666684444448</v>
      </c>
      <c r="G683" t="s">
        <v>140</v>
      </c>
      <c r="I683" t="s">
        <v>119</v>
      </c>
      <c r="J683" t="str">
        <f t="shared" si="80"/>
        <v>Missing</v>
      </c>
      <c r="K683" t="str">
        <f t="shared" si="81"/>
        <v/>
      </c>
      <c r="L683" t="str">
        <f t="shared" si="82"/>
        <v/>
      </c>
      <c r="M683" t="str">
        <f t="shared" si="83"/>
        <v/>
      </c>
      <c r="N683" t="str">
        <f t="shared" si="84"/>
        <v>Invalid</v>
      </c>
      <c r="O683" t="str">
        <f t="shared" ca="1" si="85"/>
        <v>Outdated</v>
      </c>
      <c r="P683" t="str">
        <f t="shared" si="86"/>
        <v/>
      </c>
      <c r="Q683" t="str">
        <f t="shared" si="87"/>
        <v/>
      </c>
    </row>
    <row r="684" spans="1:17" x14ac:dyDescent="0.45">
      <c r="A684" t="s">
        <v>1253</v>
      </c>
      <c r="B684" t="s">
        <v>72</v>
      </c>
      <c r="C684" t="s">
        <v>289</v>
      </c>
      <c r="D684" t="s">
        <v>148</v>
      </c>
      <c r="E684" s="8">
        <v>3867.12</v>
      </c>
      <c r="F684" s="9">
        <v>45134.666684444448</v>
      </c>
      <c r="G684" t="s">
        <v>75</v>
      </c>
      <c r="H684" t="s">
        <v>136</v>
      </c>
      <c r="I684" t="s">
        <v>77</v>
      </c>
      <c r="J684" t="str">
        <f t="shared" si="80"/>
        <v/>
      </c>
      <c r="K684" t="str">
        <f t="shared" si="81"/>
        <v/>
      </c>
      <c r="L684" t="str">
        <f t="shared" si="82"/>
        <v/>
      </c>
      <c r="M684" t="str">
        <f t="shared" si="83"/>
        <v/>
      </c>
      <c r="N684" t="str">
        <f t="shared" si="84"/>
        <v>Invalid</v>
      </c>
      <c r="O684" t="str">
        <f t="shared" ca="1" si="85"/>
        <v>Outdated</v>
      </c>
      <c r="P684" t="str">
        <f t="shared" si="86"/>
        <v>Wrong Item</v>
      </c>
      <c r="Q684" t="str">
        <f t="shared" si="87"/>
        <v>Inconsistent</v>
      </c>
    </row>
    <row r="685" spans="1:17" x14ac:dyDescent="0.45">
      <c r="A685" t="s">
        <v>1254</v>
      </c>
      <c r="B685" t="s">
        <v>172</v>
      </c>
      <c r="C685" t="s">
        <v>440</v>
      </c>
      <c r="E685" s="8">
        <v>11835.94</v>
      </c>
      <c r="F685" s="9">
        <v>45488.666684444448</v>
      </c>
      <c r="G685" t="s">
        <v>174</v>
      </c>
      <c r="H685" t="s">
        <v>76</v>
      </c>
      <c r="I685" t="s">
        <v>88</v>
      </c>
      <c r="J685" t="str">
        <f t="shared" si="80"/>
        <v>Missing</v>
      </c>
      <c r="K685" t="str">
        <f t="shared" si="81"/>
        <v/>
      </c>
      <c r="L685" t="str">
        <f t="shared" si="82"/>
        <v>Unusual</v>
      </c>
      <c r="M685" t="str">
        <f t="shared" si="83"/>
        <v/>
      </c>
      <c r="N685" t="str">
        <f t="shared" si="84"/>
        <v/>
      </c>
      <c r="O685" t="str">
        <f t="shared" ca="1" si="85"/>
        <v>Outdated</v>
      </c>
      <c r="P685" t="str">
        <f t="shared" si="86"/>
        <v/>
      </c>
      <c r="Q685" t="str">
        <f t="shared" si="87"/>
        <v/>
      </c>
    </row>
    <row r="686" spans="1:17" x14ac:dyDescent="0.45">
      <c r="A686" t="s">
        <v>1255</v>
      </c>
      <c r="B686" t="s">
        <v>90</v>
      </c>
      <c r="D686" t="s">
        <v>74</v>
      </c>
      <c r="E686" s="8">
        <v>11211.24</v>
      </c>
      <c r="F686" s="9">
        <v>45433.666684444448</v>
      </c>
      <c r="G686" t="s">
        <v>296</v>
      </c>
      <c r="H686" t="s">
        <v>87</v>
      </c>
      <c r="I686" t="s">
        <v>112</v>
      </c>
      <c r="J686" t="str">
        <f t="shared" si="80"/>
        <v>Missing</v>
      </c>
      <c r="K686" t="str">
        <f t="shared" si="81"/>
        <v>Duplicate</v>
      </c>
      <c r="L686" t="str">
        <f t="shared" si="82"/>
        <v>Unusual</v>
      </c>
      <c r="M686" t="str">
        <f t="shared" si="83"/>
        <v>Invalid</v>
      </c>
      <c r="N686" t="str">
        <f t="shared" si="84"/>
        <v>Invalid</v>
      </c>
      <c r="O686" t="str">
        <f t="shared" ca="1" si="85"/>
        <v>Outdated</v>
      </c>
      <c r="P686" t="str">
        <f t="shared" si="86"/>
        <v>Wrong Item</v>
      </c>
      <c r="Q686" t="str">
        <f t="shared" si="87"/>
        <v/>
      </c>
    </row>
    <row r="687" spans="1:17" x14ac:dyDescent="0.45">
      <c r="A687" t="s">
        <v>1256</v>
      </c>
      <c r="B687" t="s">
        <v>99</v>
      </c>
      <c r="C687" t="s">
        <v>1257</v>
      </c>
      <c r="D687" t="s">
        <v>92</v>
      </c>
      <c r="E687" s="8">
        <v>3499.06</v>
      </c>
      <c r="F687" s="9">
        <v>45527.666684444448</v>
      </c>
      <c r="G687" t="s">
        <v>102</v>
      </c>
      <c r="H687" t="s">
        <v>128</v>
      </c>
      <c r="I687" t="s">
        <v>77</v>
      </c>
      <c r="J687" t="str">
        <f t="shared" si="80"/>
        <v/>
      </c>
      <c r="K687" t="str">
        <f t="shared" si="81"/>
        <v/>
      </c>
      <c r="L687" t="str">
        <f t="shared" si="82"/>
        <v/>
      </c>
      <c r="M687" t="str">
        <f t="shared" si="83"/>
        <v/>
      </c>
      <c r="N687" t="str">
        <f t="shared" si="84"/>
        <v>Invalid</v>
      </c>
      <c r="O687" t="str">
        <f t="shared" ca="1" si="85"/>
        <v>Outdated</v>
      </c>
      <c r="P687" t="str">
        <f t="shared" si="86"/>
        <v>Not As Described</v>
      </c>
      <c r="Q687" t="str">
        <f t="shared" si="87"/>
        <v/>
      </c>
    </row>
    <row r="688" spans="1:17" x14ac:dyDescent="0.45">
      <c r="A688" t="s">
        <v>1258</v>
      </c>
      <c r="B688" t="s">
        <v>99</v>
      </c>
      <c r="D688" t="s">
        <v>74</v>
      </c>
      <c r="E688" s="8">
        <v>11154.07</v>
      </c>
      <c r="F688" s="9">
        <v>45557.666684444448</v>
      </c>
      <c r="G688" t="s">
        <v>102</v>
      </c>
      <c r="H688" t="s">
        <v>145</v>
      </c>
      <c r="I688" t="s">
        <v>119</v>
      </c>
      <c r="J688" t="str">
        <f t="shared" si="80"/>
        <v>Missing</v>
      </c>
      <c r="K688" t="str">
        <f t="shared" si="81"/>
        <v/>
      </c>
      <c r="L688" t="str">
        <f t="shared" si="82"/>
        <v>Unusual</v>
      </c>
      <c r="M688" t="str">
        <f t="shared" si="83"/>
        <v/>
      </c>
      <c r="N688" t="str">
        <f t="shared" si="84"/>
        <v/>
      </c>
      <c r="O688" t="str">
        <f t="shared" ca="1" si="85"/>
        <v>Outdated</v>
      </c>
      <c r="P688" t="str">
        <f t="shared" si="86"/>
        <v>Wrong Item</v>
      </c>
      <c r="Q688" t="str">
        <f t="shared" si="87"/>
        <v/>
      </c>
    </row>
    <row r="689" spans="1:17" x14ac:dyDescent="0.45">
      <c r="A689" t="s">
        <v>1259</v>
      </c>
      <c r="B689" t="s">
        <v>99</v>
      </c>
      <c r="C689" t="s">
        <v>503</v>
      </c>
      <c r="D689" t="s">
        <v>74</v>
      </c>
      <c r="E689" s="8">
        <v>6955.59</v>
      </c>
      <c r="F689" s="9">
        <v>45679.666684444448</v>
      </c>
      <c r="G689" t="s">
        <v>102</v>
      </c>
      <c r="H689" t="s">
        <v>116</v>
      </c>
      <c r="I689" t="s">
        <v>88</v>
      </c>
      <c r="J689" t="str">
        <f t="shared" si="80"/>
        <v/>
      </c>
      <c r="K689" t="str">
        <f t="shared" si="81"/>
        <v/>
      </c>
      <c r="L689" t="str">
        <f t="shared" si="82"/>
        <v/>
      </c>
      <c r="M689" t="str">
        <f t="shared" si="83"/>
        <v/>
      </c>
      <c r="N689" t="str">
        <f t="shared" si="84"/>
        <v/>
      </c>
      <c r="O689" t="str">
        <f t="shared" ca="1" si="85"/>
        <v>Outdated</v>
      </c>
      <c r="P689" t="str">
        <f t="shared" si="86"/>
        <v>Wrong Item</v>
      </c>
      <c r="Q689" t="str">
        <f t="shared" si="87"/>
        <v/>
      </c>
    </row>
    <row r="690" spans="1:17" x14ac:dyDescent="0.45">
      <c r="A690" t="s">
        <v>1260</v>
      </c>
      <c r="B690" t="s">
        <v>72</v>
      </c>
      <c r="C690" t="s">
        <v>823</v>
      </c>
      <c r="D690" t="s">
        <v>85</v>
      </c>
      <c r="E690" s="8">
        <v>8875.4599999999991</v>
      </c>
      <c r="F690" s="9">
        <v>45687.666684444448</v>
      </c>
      <c r="G690" t="s">
        <v>75</v>
      </c>
      <c r="H690" t="s">
        <v>118</v>
      </c>
      <c r="I690" t="s">
        <v>119</v>
      </c>
      <c r="J690" t="str">
        <f t="shared" si="80"/>
        <v/>
      </c>
      <c r="K690" t="str">
        <f t="shared" si="81"/>
        <v/>
      </c>
      <c r="L690" t="str">
        <f t="shared" si="82"/>
        <v/>
      </c>
      <c r="M690" t="str">
        <f t="shared" si="83"/>
        <v/>
      </c>
      <c r="N690" t="str">
        <f t="shared" si="84"/>
        <v>Invalid</v>
      </c>
      <c r="O690" t="str">
        <f t="shared" ca="1" si="85"/>
        <v>Outdated</v>
      </c>
      <c r="P690" t="str">
        <f t="shared" si="86"/>
        <v>Late Delivery</v>
      </c>
      <c r="Q690" t="str">
        <f t="shared" si="87"/>
        <v/>
      </c>
    </row>
    <row r="691" spans="1:17" x14ac:dyDescent="0.45">
      <c r="A691" t="s">
        <v>758</v>
      </c>
      <c r="B691" t="s">
        <v>99</v>
      </c>
      <c r="C691" t="s">
        <v>1261</v>
      </c>
      <c r="D691" t="s">
        <v>101</v>
      </c>
      <c r="E691" s="8">
        <v>3267.43</v>
      </c>
      <c r="F691" s="9">
        <v>45745.666684444448</v>
      </c>
      <c r="G691" t="s">
        <v>285</v>
      </c>
      <c r="H691" t="s">
        <v>128</v>
      </c>
      <c r="I691" t="s">
        <v>163</v>
      </c>
      <c r="J691" t="str">
        <f t="shared" si="80"/>
        <v/>
      </c>
      <c r="K691" t="str">
        <f t="shared" si="81"/>
        <v>Duplicate</v>
      </c>
      <c r="L691" t="str">
        <f t="shared" si="82"/>
        <v/>
      </c>
      <c r="M691" t="str">
        <f t="shared" si="83"/>
        <v>Invalid</v>
      </c>
      <c r="N691" t="str">
        <f t="shared" si="84"/>
        <v>Invalid</v>
      </c>
      <c r="O691" t="str">
        <f t="shared" ca="1" si="85"/>
        <v>Outdated</v>
      </c>
      <c r="P691" t="str">
        <f t="shared" si="86"/>
        <v>Damaged</v>
      </c>
      <c r="Q691" t="str">
        <f t="shared" si="87"/>
        <v/>
      </c>
    </row>
    <row r="692" spans="1:17" x14ac:dyDescent="0.45">
      <c r="A692" t="s">
        <v>1262</v>
      </c>
      <c r="B692" t="s">
        <v>95</v>
      </c>
      <c r="C692" t="s">
        <v>1263</v>
      </c>
      <c r="D692" t="s">
        <v>74</v>
      </c>
      <c r="E692" s="8">
        <v>7449.83</v>
      </c>
      <c r="F692" s="9">
        <v>45353.666684444448</v>
      </c>
      <c r="G692" t="s">
        <v>97</v>
      </c>
      <c r="I692" t="s">
        <v>163</v>
      </c>
      <c r="J692" t="str">
        <f t="shared" si="80"/>
        <v/>
      </c>
      <c r="K692" t="str">
        <f t="shared" si="81"/>
        <v/>
      </c>
      <c r="L692" t="str">
        <f t="shared" si="82"/>
        <v/>
      </c>
      <c r="M692" t="str">
        <f t="shared" si="83"/>
        <v/>
      </c>
      <c r="N692" t="str">
        <f t="shared" si="84"/>
        <v>Invalid</v>
      </c>
      <c r="O692" t="str">
        <f t="shared" ca="1" si="85"/>
        <v>Outdated</v>
      </c>
      <c r="P692" t="str">
        <f t="shared" si="86"/>
        <v>Wrong Item</v>
      </c>
      <c r="Q692" t="str">
        <f t="shared" si="87"/>
        <v/>
      </c>
    </row>
    <row r="693" spans="1:17" x14ac:dyDescent="0.45">
      <c r="A693" t="s">
        <v>1264</v>
      </c>
      <c r="B693" t="s">
        <v>90</v>
      </c>
      <c r="C693" t="s">
        <v>1265</v>
      </c>
      <c r="D693" t="s">
        <v>74</v>
      </c>
      <c r="E693" s="8">
        <v>6834.26</v>
      </c>
      <c r="F693" s="9">
        <v>45627.666684444448</v>
      </c>
      <c r="H693" t="s">
        <v>145</v>
      </c>
      <c r="I693" t="s">
        <v>119</v>
      </c>
      <c r="J693" t="str">
        <f t="shared" si="80"/>
        <v/>
      </c>
      <c r="K693" t="str">
        <f t="shared" si="81"/>
        <v/>
      </c>
      <c r="L693" t="str">
        <f t="shared" si="82"/>
        <v/>
      </c>
      <c r="M693" t="str">
        <f t="shared" si="83"/>
        <v>Invalid</v>
      </c>
      <c r="N693" t="str">
        <f t="shared" si="84"/>
        <v/>
      </c>
      <c r="O693" t="str">
        <f t="shared" ca="1" si="85"/>
        <v>Outdated</v>
      </c>
      <c r="P693" t="str">
        <f t="shared" si="86"/>
        <v>Wrong Item</v>
      </c>
      <c r="Q693" t="str">
        <f t="shared" si="87"/>
        <v/>
      </c>
    </row>
    <row r="694" spans="1:17" x14ac:dyDescent="0.45">
      <c r="A694" t="s">
        <v>1266</v>
      </c>
      <c r="B694" t="s">
        <v>72</v>
      </c>
      <c r="C694" t="s">
        <v>1267</v>
      </c>
      <c r="D694" t="s">
        <v>74</v>
      </c>
      <c r="E694" s="8">
        <v>1698.25</v>
      </c>
      <c r="F694" s="9">
        <v>45352.666684444448</v>
      </c>
      <c r="G694" t="s">
        <v>75</v>
      </c>
      <c r="H694" t="s">
        <v>118</v>
      </c>
      <c r="I694" t="s">
        <v>119</v>
      </c>
      <c r="J694" t="str">
        <f t="shared" si="80"/>
        <v/>
      </c>
      <c r="K694" t="str">
        <f t="shared" si="81"/>
        <v/>
      </c>
      <c r="L694" t="str">
        <f t="shared" si="82"/>
        <v/>
      </c>
      <c r="M694" t="str">
        <f t="shared" si="83"/>
        <v/>
      </c>
      <c r="N694" t="str">
        <f t="shared" si="84"/>
        <v>Invalid</v>
      </c>
      <c r="O694" t="str">
        <f t="shared" ca="1" si="85"/>
        <v>Outdated</v>
      </c>
      <c r="P694" t="str">
        <f t="shared" si="86"/>
        <v>Wrong Item</v>
      </c>
      <c r="Q694" t="str">
        <f t="shared" si="87"/>
        <v/>
      </c>
    </row>
    <row r="695" spans="1:17" x14ac:dyDescent="0.45">
      <c r="A695" t="s">
        <v>1268</v>
      </c>
      <c r="B695" t="s">
        <v>90</v>
      </c>
      <c r="C695" t="s">
        <v>1269</v>
      </c>
      <c r="D695" t="s">
        <v>155</v>
      </c>
      <c r="E695" s="8">
        <v>6988.75</v>
      </c>
      <c r="F695" s="9">
        <v>45407.666684444448</v>
      </c>
      <c r="G695" t="s">
        <v>93</v>
      </c>
      <c r="H695" t="s">
        <v>133</v>
      </c>
      <c r="I695" t="s">
        <v>119</v>
      </c>
      <c r="J695" t="str">
        <f t="shared" si="80"/>
        <v/>
      </c>
      <c r="K695" t="str">
        <f t="shared" si="81"/>
        <v/>
      </c>
      <c r="L695" t="str">
        <f t="shared" si="82"/>
        <v/>
      </c>
      <c r="M695" t="str">
        <f t="shared" si="83"/>
        <v/>
      </c>
      <c r="N695" t="str">
        <f t="shared" si="84"/>
        <v>Invalid</v>
      </c>
      <c r="O695" t="str">
        <f t="shared" ca="1" si="85"/>
        <v>Outdated</v>
      </c>
      <c r="P695" t="str">
        <f t="shared" si="86"/>
        <v>Damaged</v>
      </c>
      <c r="Q695" t="str">
        <f t="shared" si="87"/>
        <v>Inconsistent</v>
      </c>
    </row>
    <row r="696" spans="1:17" x14ac:dyDescent="0.45">
      <c r="A696" t="s">
        <v>1270</v>
      </c>
      <c r="B696" t="s">
        <v>104</v>
      </c>
      <c r="C696" t="s">
        <v>1271</v>
      </c>
      <c r="D696" t="s">
        <v>74</v>
      </c>
      <c r="E696" s="8">
        <v>5543.1</v>
      </c>
      <c r="F696" s="9">
        <v>45574.666684444448</v>
      </c>
      <c r="G696" t="s">
        <v>247</v>
      </c>
      <c r="H696" t="s">
        <v>116</v>
      </c>
      <c r="I696" t="s">
        <v>77</v>
      </c>
      <c r="J696" t="str">
        <f t="shared" si="80"/>
        <v/>
      </c>
      <c r="K696" t="str">
        <f t="shared" si="81"/>
        <v/>
      </c>
      <c r="L696" t="str">
        <f t="shared" si="82"/>
        <v/>
      </c>
      <c r="M696" t="str">
        <f t="shared" si="83"/>
        <v>Invalid</v>
      </c>
      <c r="N696" t="str">
        <f t="shared" si="84"/>
        <v/>
      </c>
      <c r="O696" t="str">
        <f t="shared" ca="1" si="85"/>
        <v>Outdated</v>
      </c>
      <c r="P696" t="str">
        <f t="shared" si="86"/>
        <v>Wrong Item</v>
      </c>
      <c r="Q696" t="str">
        <f t="shared" si="87"/>
        <v/>
      </c>
    </row>
    <row r="697" spans="1:17" x14ac:dyDescent="0.45">
      <c r="A697" t="s">
        <v>1272</v>
      </c>
      <c r="B697" t="s">
        <v>109</v>
      </c>
      <c r="D697" t="s">
        <v>74</v>
      </c>
      <c r="E697" s="8">
        <v>10770.75</v>
      </c>
      <c r="F697" s="9">
        <v>45625.666684444448</v>
      </c>
      <c r="G697" t="s">
        <v>111</v>
      </c>
      <c r="H697" t="s">
        <v>76</v>
      </c>
      <c r="I697" t="s">
        <v>119</v>
      </c>
      <c r="J697" t="str">
        <f t="shared" si="80"/>
        <v>Missing</v>
      </c>
      <c r="K697" t="str">
        <f t="shared" si="81"/>
        <v/>
      </c>
      <c r="L697" t="str">
        <f t="shared" si="82"/>
        <v>Unusual</v>
      </c>
      <c r="M697" t="str">
        <f t="shared" si="83"/>
        <v/>
      </c>
      <c r="N697" t="str">
        <f t="shared" si="84"/>
        <v/>
      </c>
      <c r="O697" t="str">
        <f t="shared" ca="1" si="85"/>
        <v>Outdated</v>
      </c>
      <c r="P697" t="str">
        <f t="shared" si="86"/>
        <v>Wrong Item</v>
      </c>
      <c r="Q697" t="str">
        <f t="shared" si="87"/>
        <v/>
      </c>
    </row>
    <row r="698" spans="1:17" x14ac:dyDescent="0.45">
      <c r="A698" t="s">
        <v>1273</v>
      </c>
      <c r="B698" t="s">
        <v>95</v>
      </c>
      <c r="D698" t="s">
        <v>101</v>
      </c>
      <c r="E698" s="8">
        <v>8535.19</v>
      </c>
      <c r="F698" s="9">
        <v>45157.666684444448</v>
      </c>
      <c r="G698" t="s">
        <v>97</v>
      </c>
      <c r="H698" t="s">
        <v>87</v>
      </c>
      <c r="I698" t="s">
        <v>112</v>
      </c>
      <c r="J698" t="str">
        <f t="shared" si="80"/>
        <v>Missing</v>
      </c>
      <c r="K698" t="str">
        <f t="shared" si="81"/>
        <v/>
      </c>
      <c r="L698" t="str">
        <f t="shared" si="82"/>
        <v/>
      </c>
      <c r="M698" t="str">
        <f t="shared" si="83"/>
        <v/>
      </c>
      <c r="N698" t="str">
        <f t="shared" si="84"/>
        <v>Invalid</v>
      </c>
      <c r="O698" t="str">
        <f t="shared" ca="1" si="85"/>
        <v>Outdated</v>
      </c>
      <c r="P698" t="str">
        <f t="shared" si="86"/>
        <v>Damaged</v>
      </c>
      <c r="Q698" t="str">
        <f t="shared" si="87"/>
        <v/>
      </c>
    </row>
    <row r="699" spans="1:17" x14ac:dyDescent="0.45">
      <c r="A699" t="s">
        <v>1274</v>
      </c>
      <c r="B699" t="s">
        <v>79</v>
      </c>
      <c r="C699" t="s">
        <v>1275</v>
      </c>
      <c r="D699" t="s">
        <v>101</v>
      </c>
      <c r="E699" s="8">
        <v>0</v>
      </c>
      <c r="F699" s="9">
        <v>45526.666684444448</v>
      </c>
      <c r="G699" t="s">
        <v>86</v>
      </c>
      <c r="H699" t="s">
        <v>87</v>
      </c>
      <c r="I699" t="s">
        <v>112</v>
      </c>
      <c r="J699" t="str">
        <f t="shared" si="80"/>
        <v/>
      </c>
      <c r="K699" t="str">
        <f t="shared" si="81"/>
        <v/>
      </c>
      <c r="L699" t="str">
        <f t="shared" si="82"/>
        <v>Unusual</v>
      </c>
      <c r="M699" t="str">
        <f t="shared" si="83"/>
        <v/>
      </c>
      <c r="N699" t="str">
        <f t="shared" si="84"/>
        <v>Invalid</v>
      </c>
      <c r="O699" t="str">
        <f t="shared" ca="1" si="85"/>
        <v>Outdated</v>
      </c>
      <c r="P699" t="str">
        <f t="shared" si="86"/>
        <v>Damaged</v>
      </c>
      <c r="Q699" t="str">
        <f t="shared" si="87"/>
        <v/>
      </c>
    </row>
    <row r="700" spans="1:17" x14ac:dyDescent="0.45">
      <c r="A700" t="s">
        <v>1276</v>
      </c>
      <c r="B700" t="s">
        <v>79</v>
      </c>
      <c r="C700" t="s">
        <v>1277</v>
      </c>
      <c r="D700" t="s">
        <v>155</v>
      </c>
      <c r="E700" s="8">
        <v>0</v>
      </c>
      <c r="F700" s="9">
        <v>45472.666684444448</v>
      </c>
      <c r="G700" t="s">
        <v>86</v>
      </c>
      <c r="H700" t="s">
        <v>116</v>
      </c>
      <c r="I700" t="s">
        <v>119</v>
      </c>
      <c r="J700" t="str">
        <f t="shared" si="80"/>
        <v/>
      </c>
      <c r="K700" t="str">
        <f t="shared" si="81"/>
        <v/>
      </c>
      <c r="L700" t="str">
        <f t="shared" si="82"/>
        <v>Unusual</v>
      </c>
      <c r="M700" t="str">
        <f t="shared" si="83"/>
        <v/>
      </c>
      <c r="N700" t="str">
        <f t="shared" si="84"/>
        <v/>
      </c>
      <c r="O700" t="str">
        <f t="shared" ca="1" si="85"/>
        <v>Outdated</v>
      </c>
      <c r="P700" t="str">
        <f t="shared" si="86"/>
        <v>Damaged</v>
      </c>
      <c r="Q700" t="str">
        <f t="shared" si="87"/>
        <v>Inconsistent</v>
      </c>
    </row>
    <row r="701" spans="1:17" x14ac:dyDescent="0.45">
      <c r="A701" t="s">
        <v>1278</v>
      </c>
      <c r="B701" t="s">
        <v>138</v>
      </c>
      <c r="C701" t="s">
        <v>1279</v>
      </c>
      <c r="D701" t="s">
        <v>74</v>
      </c>
      <c r="E701" s="8">
        <v>8337.93</v>
      </c>
      <c r="F701" s="9">
        <v>45812.666684444448</v>
      </c>
      <c r="G701" t="s">
        <v>194</v>
      </c>
      <c r="H701" t="s">
        <v>116</v>
      </c>
      <c r="I701" t="s">
        <v>82</v>
      </c>
      <c r="J701" t="str">
        <f t="shared" si="80"/>
        <v/>
      </c>
      <c r="K701" t="str">
        <f t="shared" si="81"/>
        <v/>
      </c>
      <c r="L701" t="str">
        <f t="shared" si="82"/>
        <v/>
      </c>
      <c r="M701" t="str">
        <f t="shared" si="83"/>
        <v>Invalid</v>
      </c>
      <c r="N701" t="str">
        <f t="shared" si="84"/>
        <v/>
      </c>
      <c r="O701" t="str">
        <f t="shared" ca="1" si="85"/>
        <v>Outdated</v>
      </c>
      <c r="P701" t="str">
        <f t="shared" si="86"/>
        <v>Wrong Item</v>
      </c>
      <c r="Q701" t="str">
        <f t="shared" si="87"/>
        <v/>
      </c>
    </row>
    <row r="702" spans="1:17" x14ac:dyDescent="0.45">
      <c r="A702" t="s">
        <v>1280</v>
      </c>
      <c r="B702" t="s">
        <v>95</v>
      </c>
      <c r="C702" t="s">
        <v>220</v>
      </c>
      <c r="D702" t="s">
        <v>85</v>
      </c>
      <c r="E702" s="8">
        <v>4082.59</v>
      </c>
      <c r="F702" s="9">
        <v>45823.666684444448</v>
      </c>
      <c r="G702" t="s">
        <v>97</v>
      </c>
      <c r="H702" t="s">
        <v>81</v>
      </c>
      <c r="I702" t="s">
        <v>112</v>
      </c>
      <c r="J702" t="str">
        <f t="shared" si="80"/>
        <v/>
      </c>
      <c r="K702" t="str">
        <f t="shared" si="81"/>
        <v/>
      </c>
      <c r="L702" t="str">
        <f t="shared" si="82"/>
        <v/>
      </c>
      <c r="M702" t="str">
        <f t="shared" si="83"/>
        <v/>
      </c>
      <c r="N702" t="str">
        <f t="shared" si="84"/>
        <v/>
      </c>
      <c r="O702" t="str">
        <f t="shared" ca="1" si="85"/>
        <v>Outdated</v>
      </c>
      <c r="P702" t="str">
        <f t="shared" si="86"/>
        <v>Late Delivery</v>
      </c>
      <c r="Q702" t="str">
        <f t="shared" si="87"/>
        <v/>
      </c>
    </row>
    <row r="703" spans="1:17" x14ac:dyDescent="0.45">
      <c r="A703" t="s">
        <v>1281</v>
      </c>
      <c r="B703" t="s">
        <v>90</v>
      </c>
      <c r="C703" t="s">
        <v>193</v>
      </c>
      <c r="D703" t="s">
        <v>92</v>
      </c>
      <c r="E703" s="8">
        <v>0</v>
      </c>
      <c r="F703" s="9">
        <v>45542.666684444448</v>
      </c>
      <c r="H703" t="s">
        <v>87</v>
      </c>
      <c r="I703" t="s">
        <v>77</v>
      </c>
      <c r="J703" t="str">
        <f t="shared" si="80"/>
        <v/>
      </c>
      <c r="K703" t="str">
        <f t="shared" si="81"/>
        <v/>
      </c>
      <c r="L703" t="str">
        <f t="shared" si="82"/>
        <v>Unusual</v>
      </c>
      <c r="M703" t="str">
        <f t="shared" si="83"/>
        <v>Invalid</v>
      </c>
      <c r="N703" t="str">
        <f t="shared" si="84"/>
        <v>Invalid</v>
      </c>
      <c r="O703" t="str">
        <f t="shared" ca="1" si="85"/>
        <v>Outdated</v>
      </c>
      <c r="P703" t="str">
        <f t="shared" si="86"/>
        <v>Not As Described</v>
      </c>
      <c r="Q703" t="str">
        <f t="shared" si="87"/>
        <v/>
      </c>
    </row>
    <row r="704" spans="1:17" x14ac:dyDescent="0.45">
      <c r="A704" t="s">
        <v>1282</v>
      </c>
      <c r="B704" t="s">
        <v>79</v>
      </c>
      <c r="C704" t="s">
        <v>1283</v>
      </c>
      <c r="D704" t="s">
        <v>155</v>
      </c>
      <c r="E704" s="8">
        <v>190.24</v>
      </c>
      <c r="F704" s="9">
        <v>45297.666684444448</v>
      </c>
      <c r="G704" t="s">
        <v>86</v>
      </c>
      <c r="H704" t="s">
        <v>76</v>
      </c>
      <c r="I704" t="s">
        <v>88</v>
      </c>
      <c r="J704" t="str">
        <f t="shared" si="80"/>
        <v/>
      </c>
      <c r="K704" t="str">
        <f t="shared" si="81"/>
        <v/>
      </c>
      <c r="L704" t="str">
        <f t="shared" si="82"/>
        <v/>
      </c>
      <c r="M704" t="str">
        <f t="shared" si="83"/>
        <v/>
      </c>
      <c r="N704" t="str">
        <f t="shared" si="84"/>
        <v/>
      </c>
      <c r="O704" t="str">
        <f t="shared" ca="1" si="85"/>
        <v>Outdated</v>
      </c>
      <c r="P704" t="str">
        <f t="shared" si="86"/>
        <v>Damaged</v>
      </c>
      <c r="Q704" t="str">
        <f t="shared" si="87"/>
        <v>Inconsistent</v>
      </c>
    </row>
    <row r="705" spans="1:17" x14ac:dyDescent="0.45">
      <c r="A705" t="s">
        <v>1284</v>
      </c>
      <c r="B705" t="s">
        <v>109</v>
      </c>
      <c r="C705" t="s">
        <v>110</v>
      </c>
      <c r="D705" t="s">
        <v>85</v>
      </c>
      <c r="E705" s="8">
        <v>0</v>
      </c>
      <c r="F705" s="9">
        <v>45606.666684444448</v>
      </c>
      <c r="G705" t="s">
        <v>111</v>
      </c>
      <c r="H705" t="s">
        <v>133</v>
      </c>
      <c r="I705" t="s">
        <v>119</v>
      </c>
      <c r="J705" t="str">
        <f t="shared" si="80"/>
        <v/>
      </c>
      <c r="K705" t="str">
        <f t="shared" si="81"/>
        <v/>
      </c>
      <c r="L705" t="str">
        <f t="shared" si="82"/>
        <v>Unusual</v>
      </c>
      <c r="M705" t="str">
        <f t="shared" si="83"/>
        <v/>
      </c>
      <c r="N705" t="str">
        <f t="shared" si="84"/>
        <v>Invalid</v>
      </c>
      <c r="O705" t="str">
        <f t="shared" ca="1" si="85"/>
        <v>Outdated</v>
      </c>
      <c r="P705" t="str">
        <f t="shared" si="86"/>
        <v>Late Delivery</v>
      </c>
      <c r="Q705" t="str">
        <f t="shared" si="87"/>
        <v/>
      </c>
    </row>
    <row r="706" spans="1:17" x14ac:dyDescent="0.45">
      <c r="A706" t="s">
        <v>1285</v>
      </c>
      <c r="B706" t="s">
        <v>79</v>
      </c>
      <c r="C706" t="s">
        <v>1286</v>
      </c>
      <c r="E706" s="8">
        <v>5246.06</v>
      </c>
      <c r="F706" s="9">
        <v>45258.666684444448</v>
      </c>
      <c r="G706" t="s">
        <v>86</v>
      </c>
      <c r="H706" t="s">
        <v>145</v>
      </c>
      <c r="I706" t="s">
        <v>119</v>
      </c>
      <c r="J706" t="str">
        <f t="shared" ref="J706:J769" si="88">IF(OR(ISBLANK(C706),ISBLANK(D706)),"Missing","")</f>
        <v>Missing</v>
      </c>
      <c r="K706" t="str">
        <f t="shared" ref="K706:K769" si="89">IF(COUNTIF($A$2:$A$2501,A706)&gt;1,"Duplicate","")</f>
        <v/>
      </c>
      <c r="L706" t="str">
        <f t="shared" ref="L706:L769" si="90">IF(OR(E706=0,E706&gt;10000),"Unusual","")</f>
        <v/>
      </c>
      <c r="M706" t="str">
        <f t="shared" ref="M706:M769" si="91">IF(OR(ISBLANK(G706),ISERROR(FIND("@",G706)),ISERROR(FIND(".",G706,FIND("@",G706)+1))),"Invalid","")</f>
        <v/>
      </c>
      <c r="N706" t="str">
        <f t="shared" ref="N706:N769" si="92">IF(COUNTIF($S$2:$S$6,H706)=0,"Invalid","")</f>
        <v/>
      </c>
      <c r="O706" t="str">
        <f t="shared" ref="O706:O769" ca="1" si="93">IF(F706&lt;EDATE(TODAY(),-12),"Outdated","")</f>
        <v>Outdated</v>
      </c>
      <c r="P706" t="str">
        <f t="shared" ref="P706:P769" si="94">IF(ISBLANK(D706),"",PROPER(TRIM(D706)))</f>
        <v/>
      </c>
      <c r="Q706" t="str">
        <f t="shared" ref="Q706:Q769" si="95">IF(ISBLANK(D706),"",IF(EXACT(D706,P706),"","Inconsistent"))</f>
        <v/>
      </c>
    </row>
    <row r="707" spans="1:17" x14ac:dyDescent="0.45">
      <c r="A707" t="s">
        <v>1287</v>
      </c>
      <c r="B707" t="s">
        <v>99</v>
      </c>
      <c r="C707" t="s">
        <v>1288</v>
      </c>
      <c r="D707" t="s">
        <v>74</v>
      </c>
      <c r="E707" s="8">
        <v>6982.38</v>
      </c>
      <c r="F707" s="9">
        <v>45765.666684444448</v>
      </c>
      <c r="G707" t="s">
        <v>102</v>
      </c>
      <c r="H707" t="s">
        <v>133</v>
      </c>
      <c r="I707" t="s">
        <v>119</v>
      </c>
      <c r="J707" t="str">
        <f t="shared" si="88"/>
        <v/>
      </c>
      <c r="K707" t="str">
        <f t="shared" si="89"/>
        <v/>
      </c>
      <c r="L707" t="str">
        <f t="shared" si="90"/>
        <v/>
      </c>
      <c r="M707" t="str">
        <f t="shared" si="91"/>
        <v/>
      </c>
      <c r="N707" t="str">
        <f t="shared" si="92"/>
        <v>Invalid</v>
      </c>
      <c r="O707" t="str">
        <f t="shared" ca="1" si="93"/>
        <v>Outdated</v>
      </c>
      <c r="P707" t="str">
        <f t="shared" si="94"/>
        <v>Wrong Item</v>
      </c>
      <c r="Q707" t="str">
        <f t="shared" si="95"/>
        <v/>
      </c>
    </row>
    <row r="708" spans="1:17" x14ac:dyDescent="0.45">
      <c r="A708" t="s">
        <v>1289</v>
      </c>
      <c r="B708" t="s">
        <v>138</v>
      </c>
      <c r="C708" t="s">
        <v>1290</v>
      </c>
      <c r="D708" t="s">
        <v>101</v>
      </c>
      <c r="E708" s="8">
        <v>0</v>
      </c>
      <c r="F708" s="9">
        <v>45674.666684444448</v>
      </c>
      <c r="G708" t="s">
        <v>140</v>
      </c>
      <c r="H708" t="s">
        <v>116</v>
      </c>
      <c r="I708" t="s">
        <v>88</v>
      </c>
      <c r="J708" t="str">
        <f t="shared" si="88"/>
        <v/>
      </c>
      <c r="K708" t="str">
        <f t="shared" si="89"/>
        <v/>
      </c>
      <c r="L708" t="str">
        <f t="shared" si="90"/>
        <v>Unusual</v>
      </c>
      <c r="M708" t="str">
        <f t="shared" si="91"/>
        <v/>
      </c>
      <c r="N708" t="str">
        <f t="shared" si="92"/>
        <v/>
      </c>
      <c r="O708" t="str">
        <f t="shared" ca="1" si="93"/>
        <v>Outdated</v>
      </c>
      <c r="P708" t="str">
        <f t="shared" si="94"/>
        <v>Damaged</v>
      </c>
      <c r="Q708" t="str">
        <f t="shared" si="95"/>
        <v/>
      </c>
    </row>
    <row r="709" spans="1:17" x14ac:dyDescent="0.45">
      <c r="A709" t="s">
        <v>1291</v>
      </c>
      <c r="B709" t="s">
        <v>72</v>
      </c>
      <c r="C709" t="s">
        <v>73</v>
      </c>
      <c r="D709" t="s">
        <v>101</v>
      </c>
      <c r="E709" s="8">
        <v>8343.1</v>
      </c>
      <c r="F709" s="9">
        <v>45155.666684444448</v>
      </c>
      <c r="G709" t="s">
        <v>75</v>
      </c>
      <c r="H709" t="s">
        <v>118</v>
      </c>
      <c r="I709" t="s">
        <v>77</v>
      </c>
      <c r="J709" t="str">
        <f t="shared" si="88"/>
        <v/>
      </c>
      <c r="K709" t="str">
        <f t="shared" si="89"/>
        <v/>
      </c>
      <c r="L709" t="str">
        <f t="shared" si="90"/>
        <v/>
      </c>
      <c r="M709" t="str">
        <f t="shared" si="91"/>
        <v/>
      </c>
      <c r="N709" t="str">
        <f t="shared" si="92"/>
        <v>Invalid</v>
      </c>
      <c r="O709" t="str">
        <f t="shared" ca="1" si="93"/>
        <v>Outdated</v>
      </c>
      <c r="P709" t="str">
        <f t="shared" si="94"/>
        <v>Damaged</v>
      </c>
      <c r="Q709" t="str">
        <f t="shared" si="95"/>
        <v/>
      </c>
    </row>
    <row r="710" spans="1:17" x14ac:dyDescent="0.45">
      <c r="A710" t="s">
        <v>1292</v>
      </c>
      <c r="B710" t="s">
        <v>172</v>
      </c>
      <c r="C710" t="s">
        <v>603</v>
      </c>
      <c r="D710" t="s">
        <v>148</v>
      </c>
      <c r="E710" s="8">
        <v>7677.3</v>
      </c>
      <c r="F710" s="9">
        <v>45531.666684444448</v>
      </c>
      <c r="G710" t="s">
        <v>236</v>
      </c>
      <c r="H710" t="s">
        <v>136</v>
      </c>
      <c r="I710" t="s">
        <v>82</v>
      </c>
      <c r="J710" t="str">
        <f t="shared" si="88"/>
        <v/>
      </c>
      <c r="K710" t="str">
        <f t="shared" si="89"/>
        <v/>
      </c>
      <c r="L710" t="str">
        <f t="shared" si="90"/>
        <v/>
      </c>
      <c r="M710" t="str">
        <f t="shared" si="91"/>
        <v>Invalid</v>
      </c>
      <c r="N710" t="str">
        <f t="shared" si="92"/>
        <v>Invalid</v>
      </c>
      <c r="O710" t="str">
        <f t="shared" ca="1" si="93"/>
        <v>Outdated</v>
      </c>
      <c r="P710" t="str">
        <f t="shared" si="94"/>
        <v>Wrong Item</v>
      </c>
      <c r="Q710" t="str">
        <f t="shared" si="95"/>
        <v>Inconsistent</v>
      </c>
    </row>
    <row r="711" spans="1:17" x14ac:dyDescent="0.45">
      <c r="A711" t="s">
        <v>1293</v>
      </c>
      <c r="B711" t="s">
        <v>172</v>
      </c>
      <c r="C711" t="s">
        <v>1294</v>
      </c>
      <c r="D711" t="s">
        <v>74</v>
      </c>
      <c r="E711" s="8">
        <v>0</v>
      </c>
      <c r="F711" s="9">
        <v>45734.666684444448</v>
      </c>
      <c r="G711" t="s">
        <v>174</v>
      </c>
      <c r="H711" t="s">
        <v>128</v>
      </c>
      <c r="I711" t="s">
        <v>77</v>
      </c>
      <c r="J711" t="str">
        <f t="shared" si="88"/>
        <v/>
      </c>
      <c r="K711" t="str">
        <f t="shared" si="89"/>
        <v/>
      </c>
      <c r="L711" t="str">
        <f t="shared" si="90"/>
        <v>Unusual</v>
      </c>
      <c r="M711" t="str">
        <f t="shared" si="91"/>
        <v/>
      </c>
      <c r="N711" t="str">
        <f t="shared" si="92"/>
        <v>Invalid</v>
      </c>
      <c r="O711" t="str">
        <f t="shared" ca="1" si="93"/>
        <v>Outdated</v>
      </c>
      <c r="P711" t="str">
        <f t="shared" si="94"/>
        <v>Wrong Item</v>
      </c>
      <c r="Q711" t="str">
        <f t="shared" si="95"/>
        <v/>
      </c>
    </row>
    <row r="712" spans="1:17" x14ac:dyDescent="0.45">
      <c r="A712" t="s">
        <v>1295</v>
      </c>
      <c r="B712" t="s">
        <v>79</v>
      </c>
      <c r="C712" t="s">
        <v>1129</v>
      </c>
      <c r="D712" t="s">
        <v>74</v>
      </c>
      <c r="E712" s="8">
        <v>2128.91</v>
      </c>
      <c r="F712" s="9">
        <v>45705.666684444448</v>
      </c>
      <c r="G712" t="s">
        <v>86</v>
      </c>
      <c r="H712" t="s">
        <v>87</v>
      </c>
      <c r="I712" t="s">
        <v>119</v>
      </c>
      <c r="J712" t="str">
        <f t="shared" si="88"/>
        <v/>
      </c>
      <c r="K712" t="str">
        <f t="shared" si="89"/>
        <v/>
      </c>
      <c r="L712" t="str">
        <f t="shared" si="90"/>
        <v/>
      </c>
      <c r="M712" t="str">
        <f t="shared" si="91"/>
        <v/>
      </c>
      <c r="N712" t="str">
        <f t="shared" si="92"/>
        <v>Invalid</v>
      </c>
      <c r="O712" t="str">
        <f t="shared" ca="1" si="93"/>
        <v>Outdated</v>
      </c>
      <c r="P712" t="str">
        <f t="shared" si="94"/>
        <v>Wrong Item</v>
      </c>
      <c r="Q712" t="str">
        <f t="shared" si="95"/>
        <v/>
      </c>
    </row>
    <row r="713" spans="1:17" x14ac:dyDescent="0.45">
      <c r="A713" t="s">
        <v>1296</v>
      </c>
      <c r="B713" t="s">
        <v>90</v>
      </c>
      <c r="C713" t="s">
        <v>1297</v>
      </c>
      <c r="D713" t="s">
        <v>101</v>
      </c>
      <c r="E713" s="8">
        <v>6804.39</v>
      </c>
      <c r="F713" s="9">
        <v>45806.666684444448</v>
      </c>
      <c r="G713" t="s">
        <v>93</v>
      </c>
      <c r="I713" t="s">
        <v>112</v>
      </c>
      <c r="J713" t="str">
        <f t="shared" si="88"/>
        <v/>
      </c>
      <c r="K713" t="str">
        <f t="shared" si="89"/>
        <v/>
      </c>
      <c r="L713" t="str">
        <f t="shared" si="90"/>
        <v/>
      </c>
      <c r="M713" t="str">
        <f t="shared" si="91"/>
        <v/>
      </c>
      <c r="N713" t="str">
        <f t="shared" si="92"/>
        <v>Invalid</v>
      </c>
      <c r="O713" t="str">
        <f t="shared" ca="1" si="93"/>
        <v>Outdated</v>
      </c>
      <c r="P713" t="str">
        <f t="shared" si="94"/>
        <v>Damaged</v>
      </c>
      <c r="Q713" t="str">
        <f t="shared" si="95"/>
        <v/>
      </c>
    </row>
    <row r="714" spans="1:17" x14ac:dyDescent="0.45">
      <c r="A714" t="s">
        <v>1298</v>
      </c>
      <c r="B714" t="s">
        <v>90</v>
      </c>
      <c r="C714" t="s">
        <v>1299</v>
      </c>
      <c r="D714" t="s">
        <v>74</v>
      </c>
      <c r="E714" s="8">
        <v>657.44</v>
      </c>
      <c r="F714" s="9">
        <v>45155.666684444448</v>
      </c>
      <c r="G714" t="s">
        <v>93</v>
      </c>
      <c r="H714" t="s">
        <v>128</v>
      </c>
      <c r="I714" t="s">
        <v>112</v>
      </c>
      <c r="J714" t="str">
        <f t="shared" si="88"/>
        <v/>
      </c>
      <c r="K714" t="str">
        <f t="shared" si="89"/>
        <v/>
      </c>
      <c r="L714" t="str">
        <f t="shared" si="90"/>
        <v/>
      </c>
      <c r="M714" t="str">
        <f t="shared" si="91"/>
        <v/>
      </c>
      <c r="N714" t="str">
        <f t="shared" si="92"/>
        <v>Invalid</v>
      </c>
      <c r="O714" t="str">
        <f t="shared" ca="1" si="93"/>
        <v>Outdated</v>
      </c>
      <c r="P714" t="str">
        <f t="shared" si="94"/>
        <v>Wrong Item</v>
      </c>
      <c r="Q714" t="str">
        <f t="shared" si="95"/>
        <v/>
      </c>
    </row>
    <row r="715" spans="1:17" x14ac:dyDescent="0.45">
      <c r="A715" t="s">
        <v>1300</v>
      </c>
      <c r="B715" t="s">
        <v>99</v>
      </c>
      <c r="C715" t="s">
        <v>1301</v>
      </c>
      <c r="D715" t="s">
        <v>74</v>
      </c>
      <c r="E715" s="8">
        <v>8490.43</v>
      </c>
      <c r="F715" s="9">
        <v>45213.666684444448</v>
      </c>
      <c r="G715" t="s">
        <v>102</v>
      </c>
      <c r="H715" t="s">
        <v>128</v>
      </c>
      <c r="I715" t="s">
        <v>163</v>
      </c>
      <c r="J715" t="str">
        <f t="shared" si="88"/>
        <v/>
      </c>
      <c r="K715" t="str">
        <f t="shared" si="89"/>
        <v/>
      </c>
      <c r="L715" t="str">
        <f t="shared" si="90"/>
        <v/>
      </c>
      <c r="M715" t="str">
        <f t="shared" si="91"/>
        <v/>
      </c>
      <c r="N715" t="str">
        <f t="shared" si="92"/>
        <v>Invalid</v>
      </c>
      <c r="O715" t="str">
        <f t="shared" ca="1" si="93"/>
        <v>Outdated</v>
      </c>
      <c r="P715" t="str">
        <f t="shared" si="94"/>
        <v>Wrong Item</v>
      </c>
      <c r="Q715" t="str">
        <f t="shared" si="95"/>
        <v/>
      </c>
    </row>
    <row r="716" spans="1:17" x14ac:dyDescent="0.45">
      <c r="A716" t="s">
        <v>1302</v>
      </c>
      <c r="B716" t="s">
        <v>79</v>
      </c>
      <c r="C716" t="s">
        <v>183</v>
      </c>
      <c r="D716" t="s">
        <v>106</v>
      </c>
      <c r="E716" s="8">
        <v>9677.9500000000007</v>
      </c>
      <c r="F716" s="9">
        <v>45786.666684444448</v>
      </c>
      <c r="G716" t="s">
        <v>86</v>
      </c>
      <c r="H716" t="s">
        <v>87</v>
      </c>
      <c r="I716" t="s">
        <v>88</v>
      </c>
      <c r="J716" t="str">
        <f t="shared" si="88"/>
        <v/>
      </c>
      <c r="K716" t="str">
        <f t="shared" si="89"/>
        <v/>
      </c>
      <c r="L716" t="str">
        <f t="shared" si="90"/>
        <v/>
      </c>
      <c r="M716" t="str">
        <f t="shared" si="91"/>
        <v/>
      </c>
      <c r="N716" t="str">
        <f t="shared" si="92"/>
        <v>Invalid</v>
      </c>
      <c r="O716" t="str">
        <f t="shared" ca="1" si="93"/>
        <v>Outdated</v>
      </c>
      <c r="P716" t="str">
        <f t="shared" si="94"/>
        <v>Damaged</v>
      </c>
      <c r="Q716" t="str">
        <f t="shared" si="95"/>
        <v>Inconsistent</v>
      </c>
    </row>
    <row r="717" spans="1:17" x14ac:dyDescent="0.45">
      <c r="A717" t="s">
        <v>1303</v>
      </c>
      <c r="B717" t="s">
        <v>79</v>
      </c>
      <c r="C717" t="s">
        <v>373</v>
      </c>
      <c r="D717" t="s">
        <v>101</v>
      </c>
      <c r="E717" s="8">
        <v>11515.13</v>
      </c>
      <c r="F717" s="9">
        <v>45566.666684444448</v>
      </c>
      <c r="G717" t="s">
        <v>86</v>
      </c>
      <c r="H717" t="s">
        <v>107</v>
      </c>
      <c r="I717" t="s">
        <v>163</v>
      </c>
      <c r="J717" t="str">
        <f t="shared" si="88"/>
        <v/>
      </c>
      <c r="K717" t="str">
        <f t="shared" si="89"/>
        <v/>
      </c>
      <c r="L717" t="str">
        <f t="shared" si="90"/>
        <v>Unusual</v>
      </c>
      <c r="M717" t="str">
        <f t="shared" si="91"/>
        <v/>
      </c>
      <c r="N717" t="str">
        <f t="shared" si="92"/>
        <v/>
      </c>
      <c r="O717" t="str">
        <f t="shared" ca="1" si="93"/>
        <v>Outdated</v>
      </c>
      <c r="P717" t="str">
        <f t="shared" si="94"/>
        <v>Damaged</v>
      </c>
      <c r="Q717" t="str">
        <f t="shared" si="95"/>
        <v/>
      </c>
    </row>
    <row r="718" spans="1:17" x14ac:dyDescent="0.45">
      <c r="A718" t="s">
        <v>1304</v>
      </c>
      <c r="B718" t="s">
        <v>172</v>
      </c>
      <c r="C718" t="s">
        <v>1297</v>
      </c>
      <c r="D718" t="s">
        <v>85</v>
      </c>
      <c r="E718" s="8">
        <v>4098.84</v>
      </c>
      <c r="F718" s="9">
        <v>45266.666684444448</v>
      </c>
      <c r="G718" t="s">
        <v>174</v>
      </c>
      <c r="I718" t="s">
        <v>112</v>
      </c>
      <c r="J718" t="str">
        <f t="shared" si="88"/>
        <v/>
      </c>
      <c r="K718" t="str">
        <f t="shared" si="89"/>
        <v/>
      </c>
      <c r="L718" t="str">
        <f t="shared" si="90"/>
        <v/>
      </c>
      <c r="M718" t="str">
        <f t="shared" si="91"/>
        <v/>
      </c>
      <c r="N718" t="str">
        <f t="shared" si="92"/>
        <v>Invalid</v>
      </c>
      <c r="O718" t="str">
        <f t="shared" ca="1" si="93"/>
        <v>Outdated</v>
      </c>
      <c r="P718" t="str">
        <f t="shared" si="94"/>
        <v>Late Delivery</v>
      </c>
      <c r="Q718" t="str">
        <f t="shared" si="95"/>
        <v/>
      </c>
    </row>
    <row r="719" spans="1:17" x14ac:dyDescent="0.45">
      <c r="A719" t="s">
        <v>1305</v>
      </c>
      <c r="B719" t="s">
        <v>104</v>
      </c>
      <c r="C719" t="s">
        <v>210</v>
      </c>
      <c r="D719" t="s">
        <v>92</v>
      </c>
      <c r="E719" s="8">
        <v>6766.4</v>
      </c>
      <c r="F719" s="9">
        <v>45600.666684444448</v>
      </c>
      <c r="G719" t="s">
        <v>115</v>
      </c>
      <c r="H719" t="s">
        <v>133</v>
      </c>
      <c r="I719" t="s">
        <v>82</v>
      </c>
      <c r="J719" t="str">
        <f t="shared" si="88"/>
        <v/>
      </c>
      <c r="K719" t="str">
        <f t="shared" si="89"/>
        <v/>
      </c>
      <c r="L719" t="str">
        <f t="shared" si="90"/>
        <v/>
      </c>
      <c r="M719" t="str">
        <f t="shared" si="91"/>
        <v/>
      </c>
      <c r="N719" t="str">
        <f t="shared" si="92"/>
        <v>Invalid</v>
      </c>
      <c r="O719" t="str">
        <f t="shared" ca="1" si="93"/>
        <v>Outdated</v>
      </c>
      <c r="P719" t="str">
        <f t="shared" si="94"/>
        <v>Not As Described</v>
      </c>
      <c r="Q719" t="str">
        <f t="shared" si="95"/>
        <v/>
      </c>
    </row>
    <row r="720" spans="1:17" x14ac:dyDescent="0.45">
      <c r="A720" t="s">
        <v>1306</v>
      </c>
      <c r="B720" t="s">
        <v>79</v>
      </c>
      <c r="C720" t="s">
        <v>1307</v>
      </c>
      <c r="D720" t="s">
        <v>101</v>
      </c>
      <c r="E720" s="8">
        <v>8723.74</v>
      </c>
      <c r="F720" s="9">
        <v>45314.666684444448</v>
      </c>
      <c r="G720" t="s">
        <v>86</v>
      </c>
      <c r="H720" t="s">
        <v>136</v>
      </c>
      <c r="I720" t="s">
        <v>82</v>
      </c>
      <c r="J720" t="str">
        <f t="shared" si="88"/>
        <v/>
      </c>
      <c r="K720" t="str">
        <f t="shared" si="89"/>
        <v/>
      </c>
      <c r="L720" t="str">
        <f t="shared" si="90"/>
        <v/>
      </c>
      <c r="M720" t="str">
        <f t="shared" si="91"/>
        <v/>
      </c>
      <c r="N720" t="str">
        <f t="shared" si="92"/>
        <v>Invalid</v>
      </c>
      <c r="O720" t="str">
        <f t="shared" ca="1" si="93"/>
        <v>Outdated</v>
      </c>
      <c r="P720" t="str">
        <f t="shared" si="94"/>
        <v>Damaged</v>
      </c>
      <c r="Q720" t="str">
        <f t="shared" si="95"/>
        <v/>
      </c>
    </row>
    <row r="721" spans="1:17" x14ac:dyDescent="0.45">
      <c r="A721" t="s">
        <v>1308</v>
      </c>
      <c r="B721" t="s">
        <v>72</v>
      </c>
      <c r="C721" t="s">
        <v>838</v>
      </c>
      <c r="D721" t="s">
        <v>74</v>
      </c>
      <c r="E721" s="8">
        <v>1950.19</v>
      </c>
      <c r="F721" s="9">
        <v>45179.666684444448</v>
      </c>
      <c r="G721" t="s">
        <v>75</v>
      </c>
      <c r="H721" t="s">
        <v>87</v>
      </c>
      <c r="I721" t="s">
        <v>163</v>
      </c>
      <c r="J721" t="str">
        <f t="shared" si="88"/>
        <v/>
      </c>
      <c r="K721" t="str">
        <f t="shared" si="89"/>
        <v/>
      </c>
      <c r="L721" t="str">
        <f t="shared" si="90"/>
        <v/>
      </c>
      <c r="M721" t="str">
        <f t="shared" si="91"/>
        <v/>
      </c>
      <c r="N721" t="str">
        <f t="shared" si="92"/>
        <v>Invalid</v>
      </c>
      <c r="O721" t="str">
        <f t="shared" ca="1" si="93"/>
        <v>Outdated</v>
      </c>
      <c r="P721" t="str">
        <f t="shared" si="94"/>
        <v>Wrong Item</v>
      </c>
      <c r="Q721" t="str">
        <f t="shared" si="95"/>
        <v/>
      </c>
    </row>
    <row r="722" spans="1:17" x14ac:dyDescent="0.45">
      <c r="A722" t="s">
        <v>1309</v>
      </c>
      <c r="B722" t="s">
        <v>138</v>
      </c>
      <c r="C722" t="s">
        <v>1310</v>
      </c>
      <c r="D722" t="s">
        <v>74</v>
      </c>
      <c r="E722" s="8">
        <v>1601.63</v>
      </c>
      <c r="F722" s="9">
        <v>45394.666684444448</v>
      </c>
      <c r="G722" t="s">
        <v>194</v>
      </c>
      <c r="H722" t="s">
        <v>133</v>
      </c>
      <c r="I722" t="s">
        <v>112</v>
      </c>
      <c r="J722" t="str">
        <f t="shared" si="88"/>
        <v/>
      </c>
      <c r="K722" t="str">
        <f t="shared" si="89"/>
        <v/>
      </c>
      <c r="L722" t="str">
        <f t="shared" si="90"/>
        <v/>
      </c>
      <c r="M722" t="str">
        <f t="shared" si="91"/>
        <v>Invalid</v>
      </c>
      <c r="N722" t="str">
        <f t="shared" si="92"/>
        <v>Invalid</v>
      </c>
      <c r="O722" t="str">
        <f t="shared" ca="1" si="93"/>
        <v>Outdated</v>
      </c>
      <c r="P722" t="str">
        <f t="shared" si="94"/>
        <v>Wrong Item</v>
      </c>
      <c r="Q722" t="str">
        <f t="shared" si="95"/>
        <v/>
      </c>
    </row>
    <row r="723" spans="1:17" x14ac:dyDescent="0.45">
      <c r="A723" t="s">
        <v>1311</v>
      </c>
      <c r="B723" t="s">
        <v>138</v>
      </c>
      <c r="C723" t="s">
        <v>1312</v>
      </c>
      <c r="D723" t="s">
        <v>101</v>
      </c>
      <c r="E723" s="8">
        <v>11876.84</v>
      </c>
      <c r="F723" s="9">
        <v>45516.666684444448</v>
      </c>
      <c r="G723" t="s">
        <v>140</v>
      </c>
      <c r="H723" t="s">
        <v>133</v>
      </c>
      <c r="I723" t="s">
        <v>112</v>
      </c>
      <c r="J723" t="str">
        <f t="shared" si="88"/>
        <v/>
      </c>
      <c r="K723" t="str">
        <f t="shared" si="89"/>
        <v/>
      </c>
      <c r="L723" t="str">
        <f t="shared" si="90"/>
        <v>Unusual</v>
      </c>
      <c r="M723" t="str">
        <f t="shared" si="91"/>
        <v/>
      </c>
      <c r="N723" t="str">
        <f t="shared" si="92"/>
        <v>Invalid</v>
      </c>
      <c r="O723" t="str">
        <f t="shared" ca="1" si="93"/>
        <v>Outdated</v>
      </c>
      <c r="P723" t="str">
        <f t="shared" si="94"/>
        <v>Damaged</v>
      </c>
      <c r="Q723" t="str">
        <f t="shared" si="95"/>
        <v/>
      </c>
    </row>
    <row r="724" spans="1:17" x14ac:dyDescent="0.45">
      <c r="A724" t="s">
        <v>1313</v>
      </c>
      <c r="B724" t="s">
        <v>72</v>
      </c>
      <c r="C724" t="s">
        <v>1314</v>
      </c>
      <c r="D724" t="s">
        <v>85</v>
      </c>
      <c r="E724" s="8">
        <v>5337.07</v>
      </c>
      <c r="F724" s="9">
        <v>45463.666684444448</v>
      </c>
      <c r="G724" t="s">
        <v>75</v>
      </c>
      <c r="H724" t="s">
        <v>87</v>
      </c>
      <c r="I724" t="s">
        <v>119</v>
      </c>
      <c r="J724" t="str">
        <f t="shared" si="88"/>
        <v/>
      </c>
      <c r="K724" t="str">
        <f t="shared" si="89"/>
        <v/>
      </c>
      <c r="L724" t="str">
        <f t="shared" si="90"/>
        <v/>
      </c>
      <c r="M724" t="str">
        <f t="shared" si="91"/>
        <v/>
      </c>
      <c r="N724" t="str">
        <f t="shared" si="92"/>
        <v>Invalid</v>
      </c>
      <c r="O724" t="str">
        <f t="shared" ca="1" si="93"/>
        <v>Outdated</v>
      </c>
      <c r="P724" t="str">
        <f t="shared" si="94"/>
        <v>Late Delivery</v>
      </c>
      <c r="Q724" t="str">
        <f t="shared" si="95"/>
        <v/>
      </c>
    </row>
    <row r="725" spans="1:17" x14ac:dyDescent="0.45">
      <c r="A725" t="s">
        <v>386</v>
      </c>
      <c r="B725" t="s">
        <v>104</v>
      </c>
      <c r="C725" t="s">
        <v>526</v>
      </c>
      <c r="D725" t="s">
        <v>101</v>
      </c>
      <c r="E725" s="8">
        <v>0</v>
      </c>
      <c r="F725" s="9">
        <v>45344.666684444448</v>
      </c>
      <c r="G725" t="s">
        <v>115</v>
      </c>
      <c r="H725" t="s">
        <v>76</v>
      </c>
      <c r="I725" t="s">
        <v>88</v>
      </c>
      <c r="J725" t="str">
        <f t="shared" si="88"/>
        <v/>
      </c>
      <c r="K725" t="str">
        <f t="shared" si="89"/>
        <v>Duplicate</v>
      </c>
      <c r="L725" t="str">
        <f t="shared" si="90"/>
        <v>Unusual</v>
      </c>
      <c r="M725" t="str">
        <f t="shared" si="91"/>
        <v/>
      </c>
      <c r="N725" t="str">
        <f t="shared" si="92"/>
        <v/>
      </c>
      <c r="O725" t="str">
        <f t="shared" ca="1" si="93"/>
        <v>Outdated</v>
      </c>
      <c r="P725" t="str">
        <f t="shared" si="94"/>
        <v>Damaged</v>
      </c>
      <c r="Q725" t="str">
        <f t="shared" si="95"/>
        <v/>
      </c>
    </row>
    <row r="726" spans="1:17" x14ac:dyDescent="0.45">
      <c r="A726" t="s">
        <v>1315</v>
      </c>
      <c r="B726" t="s">
        <v>90</v>
      </c>
      <c r="C726" t="s">
        <v>1316</v>
      </c>
      <c r="D726" t="s">
        <v>74</v>
      </c>
      <c r="E726" s="8">
        <v>0</v>
      </c>
      <c r="F726" s="9">
        <v>45593.666684444448</v>
      </c>
      <c r="G726" t="s">
        <v>93</v>
      </c>
      <c r="H726" t="s">
        <v>76</v>
      </c>
      <c r="I726" t="s">
        <v>77</v>
      </c>
      <c r="J726" t="str">
        <f t="shared" si="88"/>
        <v/>
      </c>
      <c r="K726" t="str">
        <f t="shared" si="89"/>
        <v/>
      </c>
      <c r="L726" t="str">
        <f t="shared" si="90"/>
        <v>Unusual</v>
      </c>
      <c r="M726" t="str">
        <f t="shared" si="91"/>
        <v/>
      </c>
      <c r="N726" t="str">
        <f t="shared" si="92"/>
        <v/>
      </c>
      <c r="O726" t="str">
        <f t="shared" ca="1" si="93"/>
        <v>Outdated</v>
      </c>
      <c r="P726" t="str">
        <f t="shared" si="94"/>
        <v>Wrong Item</v>
      </c>
      <c r="Q726" t="str">
        <f t="shared" si="95"/>
        <v/>
      </c>
    </row>
    <row r="727" spans="1:17" x14ac:dyDescent="0.45">
      <c r="A727" t="s">
        <v>1317</v>
      </c>
      <c r="B727" t="s">
        <v>172</v>
      </c>
      <c r="C727" t="s">
        <v>985</v>
      </c>
      <c r="D727" t="s">
        <v>85</v>
      </c>
      <c r="E727" s="8">
        <v>1543.49</v>
      </c>
      <c r="F727" s="9">
        <v>45462.666684444448</v>
      </c>
      <c r="G727" t="s">
        <v>174</v>
      </c>
      <c r="H727" t="s">
        <v>128</v>
      </c>
      <c r="I727" t="s">
        <v>82</v>
      </c>
      <c r="J727" t="str">
        <f t="shared" si="88"/>
        <v/>
      </c>
      <c r="K727" t="str">
        <f t="shared" si="89"/>
        <v/>
      </c>
      <c r="L727" t="str">
        <f t="shared" si="90"/>
        <v/>
      </c>
      <c r="M727" t="str">
        <f t="shared" si="91"/>
        <v/>
      </c>
      <c r="N727" t="str">
        <f t="shared" si="92"/>
        <v>Invalid</v>
      </c>
      <c r="O727" t="str">
        <f t="shared" ca="1" si="93"/>
        <v>Outdated</v>
      </c>
      <c r="P727" t="str">
        <f t="shared" si="94"/>
        <v>Late Delivery</v>
      </c>
      <c r="Q727" t="str">
        <f t="shared" si="95"/>
        <v/>
      </c>
    </row>
    <row r="728" spans="1:17" x14ac:dyDescent="0.45">
      <c r="A728" t="s">
        <v>1318</v>
      </c>
      <c r="B728" t="s">
        <v>138</v>
      </c>
      <c r="C728" t="s">
        <v>280</v>
      </c>
      <c r="D728" t="s">
        <v>155</v>
      </c>
      <c r="E728" s="8">
        <v>9784.26</v>
      </c>
      <c r="F728" s="9">
        <v>45473.666684444448</v>
      </c>
      <c r="G728" t="s">
        <v>140</v>
      </c>
      <c r="H728" t="s">
        <v>76</v>
      </c>
      <c r="I728" t="s">
        <v>77</v>
      </c>
      <c r="J728" t="str">
        <f t="shared" si="88"/>
        <v/>
      </c>
      <c r="K728" t="str">
        <f t="shared" si="89"/>
        <v/>
      </c>
      <c r="L728" t="str">
        <f t="shared" si="90"/>
        <v/>
      </c>
      <c r="M728" t="str">
        <f t="shared" si="91"/>
        <v/>
      </c>
      <c r="N728" t="str">
        <f t="shared" si="92"/>
        <v/>
      </c>
      <c r="O728" t="str">
        <f t="shared" ca="1" si="93"/>
        <v>Outdated</v>
      </c>
      <c r="P728" t="str">
        <f t="shared" si="94"/>
        <v>Damaged</v>
      </c>
      <c r="Q728" t="str">
        <f t="shared" si="95"/>
        <v>Inconsistent</v>
      </c>
    </row>
    <row r="729" spans="1:17" x14ac:dyDescent="0.45">
      <c r="A729" t="s">
        <v>387</v>
      </c>
      <c r="B729" t="s">
        <v>95</v>
      </c>
      <c r="E729" s="8">
        <v>6232.77</v>
      </c>
      <c r="F729" s="9">
        <v>45516.666684444448</v>
      </c>
      <c r="G729" t="s">
        <v>97</v>
      </c>
      <c r="H729" t="s">
        <v>133</v>
      </c>
      <c r="I729" t="s">
        <v>88</v>
      </c>
      <c r="J729" t="str">
        <f t="shared" si="88"/>
        <v>Missing</v>
      </c>
      <c r="K729" t="str">
        <f t="shared" si="89"/>
        <v>Duplicate</v>
      </c>
      <c r="L729" t="str">
        <f t="shared" si="90"/>
        <v/>
      </c>
      <c r="M729" t="str">
        <f t="shared" si="91"/>
        <v/>
      </c>
      <c r="N729" t="str">
        <f t="shared" si="92"/>
        <v>Invalid</v>
      </c>
      <c r="O729" t="str">
        <f t="shared" ca="1" si="93"/>
        <v>Outdated</v>
      </c>
      <c r="P729" t="str">
        <f t="shared" si="94"/>
        <v/>
      </c>
      <c r="Q729" t="str">
        <f t="shared" si="95"/>
        <v/>
      </c>
    </row>
    <row r="730" spans="1:17" x14ac:dyDescent="0.45">
      <c r="A730" t="s">
        <v>1319</v>
      </c>
      <c r="B730" t="s">
        <v>109</v>
      </c>
      <c r="C730" t="s">
        <v>1320</v>
      </c>
      <c r="E730" s="8">
        <v>8036.21</v>
      </c>
      <c r="F730" s="9">
        <v>45412.666684444448</v>
      </c>
      <c r="G730" t="s">
        <v>111</v>
      </c>
      <c r="H730" t="s">
        <v>133</v>
      </c>
      <c r="I730" t="s">
        <v>119</v>
      </c>
      <c r="J730" t="str">
        <f t="shared" si="88"/>
        <v>Missing</v>
      </c>
      <c r="K730" t="str">
        <f t="shared" si="89"/>
        <v/>
      </c>
      <c r="L730" t="str">
        <f t="shared" si="90"/>
        <v/>
      </c>
      <c r="M730" t="str">
        <f t="shared" si="91"/>
        <v/>
      </c>
      <c r="N730" t="str">
        <f t="shared" si="92"/>
        <v>Invalid</v>
      </c>
      <c r="O730" t="str">
        <f t="shared" ca="1" si="93"/>
        <v>Outdated</v>
      </c>
      <c r="P730" t="str">
        <f t="shared" si="94"/>
        <v/>
      </c>
      <c r="Q730" t="str">
        <f t="shared" si="95"/>
        <v/>
      </c>
    </row>
    <row r="731" spans="1:17" x14ac:dyDescent="0.45">
      <c r="A731" t="s">
        <v>1321</v>
      </c>
      <c r="B731" t="s">
        <v>172</v>
      </c>
      <c r="C731" t="s">
        <v>892</v>
      </c>
      <c r="D731" t="s">
        <v>92</v>
      </c>
      <c r="E731" s="8">
        <v>7232.04</v>
      </c>
      <c r="F731" s="9">
        <v>45559.666684444448</v>
      </c>
      <c r="G731" t="s">
        <v>174</v>
      </c>
      <c r="H731" t="s">
        <v>76</v>
      </c>
      <c r="I731" t="s">
        <v>119</v>
      </c>
      <c r="J731" t="str">
        <f t="shared" si="88"/>
        <v/>
      </c>
      <c r="K731" t="str">
        <f t="shared" si="89"/>
        <v/>
      </c>
      <c r="L731" t="str">
        <f t="shared" si="90"/>
        <v/>
      </c>
      <c r="M731" t="str">
        <f t="shared" si="91"/>
        <v/>
      </c>
      <c r="N731" t="str">
        <f t="shared" si="92"/>
        <v/>
      </c>
      <c r="O731" t="str">
        <f t="shared" ca="1" si="93"/>
        <v>Outdated</v>
      </c>
      <c r="P731" t="str">
        <f t="shared" si="94"/>
        <v>Not As Described</v>
      </c>
      <c r="Q731" t="str">
        <f t="shared" si="95"/>
        <v/>
      </c>
    </row>
    <row r="732" spans="1:17" x14ac:dyDescent="0.45">
      <c r="A732" t="s">
        <v>1322</v>
      </c>
      <c r="B732" t="s">
        <v>104</v>
      </c>
      <c r="C732" t="s">
        <v>1323</v>
      </c>
      <c r="D732" t="s">
        <v>101</v>
      </c>
      <c r="E732" s="8">
        <v>174.41</v>
      </c>
      <c r="F732" s="9">
        <v>45386.666684444448</v>
      </c>
      <c r="G732" t="s">
        <v>115</v>
      </c>
      <c r="H732" t="s">
        <v>128</v>
      </c>
      <c r="I732" t="s">
        <v>119</v>
      </c>
      <c r="J732" t="str">
        <f t="shared" si="88"/>
        <v/>
      </c>
      <c r="K732" t="str">
        <f t="shared" si="89"/>
        <v/>
      </c>
      <c r="L732" t="str">
        <f t="shared" si="90"/>
        <v/>
      </c>
      <c r="M732" t="str">
        <f t="shared" si="91"/>
        <v/>
      </c>
      <c r="N732" t="str">
        <f t="shared" si="92"/>
        <v>Invalid</v>
      </c>
      <c r="O732" t="str">
        <f t="shared" ca="1" si="93"/>
        <v>Outdated</v>
      </c>
      <c r="P732" t="str">
        <f t="shared" si="94"/>
        <v>Damaged</v>
      </c>
      <c r="Q732" t="str">
        <f t="shared" si="95"/>
        <v/>
      </c>
    </row>
    <row r="733" spans="1:17" x14ac:dyDescent="0.45">
      <c r="A733" t="s">
        <v>1324</v>
      </c>
      <c r="B733" t="s">
        <v>95</v>
      </c>
      <c r="C733" t="s">
        <v>1325</v>
      </c>
      <c r="D733" t="s">
        <v>92</v>
      </c>
      <c r="E733" s="8">
        <v>0</v>
      </c>
      <c r="F733" s="9">
        <v>45211.666684444448</v>
      </c>
      <c r="G733" t="s">
        <v>97</v>
      </c>
      <c r="H733" t="s">
        <v>128</v>
      </c>
      <c r="I733" t="s">
        <v>119</v>
      </c>
      <c r="J733" t="str">
        <f t="shared" si="88"/>
        <v/>
      </c>
      <c r="K733" t="str">
        <f t="shared" si="89"/>
        <v/>
      </c>
      <c r="L733" t="str">
        <f t="shared" si="90"/>
        <v>Unusual</v>
      </c>
      <c r="M733" t="str">
        <f t="shared" si="91"/>
        <v/>
      </c>
      <c r="N733" t="str">
        <f t="shared" si="92"/>
        <v>Invalid</v>
      </c>
      <c r="O733" t="str">
        <f t="shared" ca="1" si="93"/>
        <v>Outdated</v>
      </c>
      <c r="P733" t="str">
        <f t="shared" si="94"/>
        <v>Not As Described</v>
      </c>
      <c r="Q733" t="str">
        <f t="shared" si="95"/>
        <v/>
      </c>
    </row>
    <row r="734" spans="1:17" x14ac:dyDescent="0.45">
      <c r="A734" t="s">
        <v>1326</v>
      </c>
      <c r="B734" t="s">
        <v>79</v>
      </c>
      <c r="C734" t="s">
        <v>1096</v>
      </c>
      <c r="D734" t="s">
        <v>74</v>
      </c>
      <c r="E734" s="8">
        <v>11234.88</v>
      </c>
      <c r="F734" s="9">
        <v>45609.666684444448</v>
      </c>
      <c r="G734" t="s">
        <v>86</v>
      </c>
      <c r="H734" t="s">
        <v>116</v>
      </c>
      <c r="I734" t="s">
        <v>88</v>
      </c>
      <c r="J734" t="str">
        <f t="shared" si="88"/>
        <v/>
      </c>
      <c r="K734" t="str">
        <f t="shared" si="89"/>
        <v/>
      </c>
      <c r="L734" t="str">
        <f t="shared" si="90"/>
        <v>Unusual</v>
      </c>
      <c r="M734" t="str">
        <f t="shared" si="91"/>
        <v/>
      </c>
      <c r="N734" t="str">
        <f t="shared" si="92"/>
        <v/>
      </c>
      <c r="O734" t="str">
        <f t="shared" ca="1" si="93"/>
        <v>Outdated</v>
      </c>
      <c r="P734" t="str">
        <f t="shared" si="94"/>
        <v>Wrong Item</v>
      </c>
      <c r="Q734" t="str">
        <f t="shared" si="95"/>
        <v/>
      </c>
    </row>
    <row r="735" spans="1:17" x14ac:dyDescent="0.45">
      <c r="A735" t="s">
        <v>1327</v>
      </c>
      <c r="B735" t="s">
        <v>72</v>
      </c>
      <c r="C735" t="s">
        <v>1328</v>
      </c>
      <c r="D735" t="s">
        <v>92</v>
      </c>
      <c r="E735" s="8">
        <v>11790.95</v>
      </c>
      <c r="F735" s="9">
        <v>45147.666684444448</v>
      </c>
      <c r="G735" t="s">
        <v>521</v>
      </c>
      <c r="H735" t="s">
        <v>145</v>
      </c>
      <c r="I735" t="s">
        <v>82</v>
      </c>
      <c r="J735" t="str">
        <f t="shared" si="88"/>
        <v/>
      </c>
      <c r="K735" t="str">
        <f t="shared" si="89"/>
        <v/>
      </c>
      <c r="L735" t="str">
        <f t="shared" si="90"/>
        <v>Unusual</v>
      </c>
      <c r="M735" t="str">
        <f t="shared" si="91"/>
        <v>Invalid</v>
      </c>
      <c r="N735" t="str">
        <f t="shared" si="92"/>
        <v/>
      </c>
      <c r="O735" t="str">
        <f t="shared" ca="1" si="93"/>
        <v>Outdated</v>
      </c>
      <c r="P735" t="str">
        <f t="shared" si="94"/>
        <v>Not As Described</v>
      </c>
      <c r="Q735" t="str">
        <f t="shared" si="95"/>
        <v/>
      </c>
    </row>
    <row r="736" spans="1:17" x14ac:dyDescent="0.45">
      <c r="A736" t="s">
        <v>1329</v>
      </c>
      <c r="B736" t="s">
        <v>79</v>
      </c>
      <c r="C736" t="s">
        <v>1330</v>
      </c>
      <c r="D736" t="s">
        <v>85</v>
      </c>
      <c r="E736" s="8">
        <v>9455.17</v>
      </c>
      <c r="F736" s="9">
        <v>45680.666684444448</v>
      </c>
      <c r="G736" t="s">
        <v>86</v>
      </c>
      <c r="H736" t="s">
        <v>133</v>
      </c>
      <c r="I736" t="s">
        <v>119</v>
      </c>
      <c r="J736" t="str">
        <f t="shared" si="88"/>
        <v/>
      </c>
      <c r="K736" t="str">
        <f t="shared" si="89"/>
        <v/>
      </c>
      <c r="L736" t="str">
        <f t="shared" si="90"/>
        <v/>
      </c>
      <c r="M736" t="str">
        <f t="shared" si="91"/>
        <v/>
      </c>
      <c r="N736" t="str">
        <f t="shared" si="92"/>
        <v>Invalid</v>
      </c>
      <c r="O736" t="str">
        <f t="shared" ca="1" si="93"/>
        <v>Outdated</v>
      </c>
      <c r="P736" t="str">
        <f t="shared" si="94"/>
        <v>Late Delivery</v>
      </c>
      <c r="Q736" t="str">
        <f t="shared" si="95"/>
        <v/>
      </c>
    </row>
    <row r="737" spans="1:17" x14ac:dyDescent="0.45">
      <c r="A737" t="s">
        <v>1331</v>
      </c>
      <c r="B737" t="s">
        <v>99</v>
      </c>
      <c r="C737" t="s">
        <v>1227</v>
      </c>
      <c r="D737" t="s">
        <v>74</v>
      </c>
      <c r="E737" s="8">
        <v>7776.38</v>
      </c>
      <c r="F737" s="9">
        <v>45181.666684444448</v>
      </c>
      <c r="G737" t="s">
        <v>102</v>
      </c>
      <c r="H737" t="s">
        <v>133</v>
      </c>
      <c r="I737" t="s">
        <v>88</v>
      </c>
      <c r="J737" t="str">
        <f t="shared" si="88"/>
        <v/>
      </c>
      <c r="K737" t="str">
        <f t="shared" si="89"/>
        <v/>
      </c>
      <c r="L737" t="str">
        <f t="shared" si="90"/>
        <v/>
      </c>
      <c r="M737" t="str">
        <f t="shared" si="91"/>
        <v/>
      </c>
      <c r="N737" t="str">
        <f t="shared" si="92"/>
        <v>Invalid</v>
      </c>
      <c r="O737" t="str">
        <f t="shared" ca="1" si="93"/>
        <v>Outdated</v>
      </c>
      <c r="P737" t="str">
        <f t="shared" si="94"/>
        <v>Wrong Item</v>
      </c>
      <c r="Q737" t="str">
        <f t="shared" si="95"/>
        <v/>
      </c>
    </row>
    <row r="738" spans="1:17" x14ac:dyDescent="0.45">
      <c r="A738" t="s">
        <v>1332</v>
      </c>
      <c r="B738" t="s">
        <v>72</v>
      </c>
      <c r="C738" t="s">
        <v>1132</v>
      </c>
      <c r="D738" t="s">
        <v>92</v>
      </c>
      <c r="E738" s="8">
        <v>5639.74</v>
      </c>
      <c r="F738" s="9">
        <v>45486.666684444448</v>
      </c>
      <c r="H738" t="s">
        <v>81</v>
      </c>
      <c r="I738" t="s">
        <v>163</v>
      </c>
      <c r="J738" t="str">
        <f t="shared" si="88"/>
        <v/>
      </c>
      <c r="K738" t="str">
        <f t="shared" si="89"/>
        <v/>
      </c>
      <c r="L738" t="str">
        <f t="shared" si="90"/>
        <v/>
      </c>
      <c r="M738" t="str">
        <f t="shared" si="91"/>
        <v>Invalid</v>
      </c>
      <c r="N738" t="str">
        <f t="shared" si="92"/>
        <v/>
      </c>
      <c r="O738" t="str">
        <f t="shared" ca="1" si="93"/>
        <v>Outdated</v>
      </c>
      <c r="P738" t="str">
        <f t="shared" si="94"/>
        <v>Not As Described</v>
      </c>
      <c r="Q738" t="str">
        <f t="shared" si="95"/>
        <v/>
      </c>
    </row>
    <row r="739" spans="1:17" x14ac:dyDescent="0.45">
      <c r="A739" t="s">
        <v>1333</v>
      </c>
      <c r="B739" t="s">
        <v>95</v>
      </c>
      <c r="C739" t="s">
        <v>1334</v>
      </c>
      <c r="D739" t="s">
        <v>155</v>
      </c>
      <c r="E739" s="8">
        <v>3582.58</v>
      </c>
      <c r="F739" s="9">
        <v>45357.666684444448</v>
      </c>
      <c r="G739" t="s">
        <v>97</v>
      </c>
      <c r="H739" t="s">
        <v>76</v>
      </c>
      <c r="I739" t="s">
        <v>112</v>
      </c>
      <c r="J739" t="str">
        <f t="shared" si="88"/>
        <v/>
      </c>
      <c r="K739" t="str">
        <f t="shared" si="89"/>
        <v/>
      </c>
      <c r="L739" t="str">
        <f t="shared" si="90"/>
        <v/>
      </c>
      <c r="M739" t="str">
        <f t="shared" si="91"/>
        <v/>
      </c>
      <c r="N739" t="str">
        <f t="shared" si="92"/>
        <v/>
      </c>
      <c r="O739" t="str">
        <f t="shared" ca="1" si="93"/>
        <v>Outdated</v>
      </c>
      <c r="P739" t="str">
        <f t="shared" si="94"/>
        <v>Damaged</v>
      </c>
      <c r="Q739" t="str">
        <f t="shared" si="95"/>
        <v>Inconsistent</v>
      </c>
    </row>
    <row r="740" spans="1:17" x14ac:dyDescent="0.45">
      <c r="A740" t="s">
        <v>1335</v>
      </c>
      <c r="B740" t="s">
        <v>109</v>
      </c>
      <c r="C740" t="s">
        <v>328</v>
      </c>
      <c r="D740" t="s">
        <v>101</v>
      </c>
      <c r="E740" s="8">
        <v>2757.68</v>
      </c>
      <c r="F740" s="9">
        <v>45793.666684444448</v>
      </c>
      <c r="G740" t="s">
        <v>111</v>
      </c>
      <c r="H740" t="s">
        <v>128</v>
      </c>
      <c r="I740" t="s">
        <v>119</v>
      </c>
      <c r="J740" t="str">
        <f t="shared" si="88"/>
        <v/>
      </c>
      <c r="K740" t="str">
        <f t="shared" si="89"/>
        <v/>
      </c>
      <c r="L740" t="str">
        <f t="shared" si="90"/>
        <v/>
      </c>
      <c r="M740" t="str">
        <f t="shared" si="91"/>
        <v/>
      </c>
      <c r="N740" t="str">
        <f t="shared" si="92"/>
        <v>Invalid</v>
      </c>
      <c r="O740" t="str">
        <f t="shared" ca="1" si="93"/>
        <v>Outdated</v>
      </c>
      <c r="P740" t="str">
        <f t="shared" si="94"/>
        <v>Damaged</v>
      </c>
      <c r="Q740" t="str">
        <f t="shared" si="95"/>
        <v/>
      </c>
    </row>
    <row r="741" spans="1:17" x14ac:dyDescent="0.45">
      <c r="A741" t="s">
        <v>1336</v>
      </c>
      <c r="B741" t="s">
        <v>99</v>
      </c>
      <c r="C741" t="s">
        <v>427</v>
      </c>
      <c r="E741" s="8">
        <v>7566.71</v>
      </c>
      <c r="F741" s="9">
        <v>45198.666684444448</v>
      </c>
      <c r="G741" t="s">
        <v>102</v>
      </c>
      <c r="H741" t="s">
        <v>118</v>
      </c>
      <c r="I741" t="s">
        <v>112</v>
      </c>
      <c r="J741" t="str">
        <f t="shared" si="88"/>
        <v>Missing</v>
      </c>
      <c r="K741" t="str">
        <f t="shared" si="89"/>
        <v/>
      </c>
      <c r="L741" t="str">
        <f t="shared" si="90"/>
        <v/>
      </c>
      <c r="M741" t="str">
        <f t="shared" si="91"/>
        <v/>
      </c>
      <c r="N741" t="str">
        <f t="shared" si="92"/>
        <v>Invalid</v>
      </c>
      <c r="O741" t="str">
        <f t="shared" ca="1" si="93"/>
        <v>Outdated</v>
      </c>
      <c r="P741" t="str">
        <f t="shared" si="94"/>
        <v/>
      </c>
      <c r="Q741" t="str">
        <f t="shared" si="95"/>
        <v/>
      </c>
    </row>
    <row r="742" spans="1:17" x14ac:dyDescent="0.45">
      <c r="A742" t="s">
        <v>1337</v>
      </c>
      <c r="B742" t="s">
        <v>90</v>
      </c>
      <c r="C742" t="s">
        <v>1338</v>
      </c>
      <c r="D742" t="s">
        <v>74</v>
      </c>
      <c r="E742" s="8">
        <v>5248.17</v>
      </c>
      <c r="F742" s="9">
        <v>45795.666684444448</v>
      </c>
      <c r="H742" t="s">
        <v>116</v>
      </c>
      <c r="I742" t="s">
        <v>119</v>
      </c>
      <c r="J742" t="str">
        <f t="shared" si="88"/>
        <v/>
      </c>
      <c r="K742" t="str">
        <f t="shared" si="89"/>
        <v/>
      </c>
      <c r="L742" t="str">
        <f t="shared" si="90"/>
        <v/>
      </c>
      <c r="M742" t="str">
        <f t="shared" si="91"/>
        <v>Invalid</v>
      </c>
      <c r="N742" t="str">
        <f t="shared" si="92"/>
        <v/>
      </c>
      <c r="O742" t="str">
        <f t="shared" ca="1" si="93"/>
        <v>Outdated</v>
      </c>
      <c r="P742" t="str">
        <f t="shared" si="94"/>
        <v>Wrong Item</v>
      </c>
      <c r="Q742" t="str">
        <f t="shared" si="95"/>
        <v/>
      </c>
    </row>
    <row r="743" spans="1:17" x14ac:dyDescent="0.45">
      <c r="A743" t="s">
        <v>1339</v>
      </c>
      <c r="B743" t="s">
        <v>99</v>
      </c>
      <c r="C743" t="s">
        <v>246</v>
      </c>
      <c r="D743" t="s">
        <v>85</v>
      </c>
      <c r="E743" s="8">
        <v>7589.67</v>
      </c>
      <c r="F743" s="9">
        <v>45169.666684444448</v>
      </c>
      <c r="G743" t="s">
        <v>102</v>
      </c>
      <c r="I743" t="s">
        <v>112</v>
      </c>
      <c r="J743" t="str">
        <f t="shared" si="88"/>
        <v/>
      </c>
      <c r="K743" t="str">
        <f t="shared" si="89"/>
        <v/>
      </c>
      <c r="L743" t="str">
        <f t="shared" si="90"/>
        <v/>
      </c>
      <c r="M743" t="str">
        <f t="shared" si="91"/>
        <v/>
      </c>
      <c r="N743" t="str">
        <f t="shared" si="92"/>
        <v>Invalid</v>
      </c>
      <c r="O743" t="str">
        <f t="shared" ca="1" si="93"/>
        <v>Outdated</v>
      </c>
      <c r="P743" t="str">
        <f t="shared" si="94"/>
        <v>Late Delivery</v>
      </c>
      <c r="Q743" t="str">
        <f t="shared" si="95"/>
        <v/>
      </c>
    </row>
    <row r="744" spans="1:17" x14ac:dyDescent="0.45">
      <c r="A744" t="s">
        <v>1340</v>
      </c>
      <c r="B744" t="s">
        <v>138</v>
      </c>
      <c r="C744" t="s">
        <v>838</v>
      </c>
      <c r="D744" t="s">
        <v>85</v>
      </c>
      <c r="E744" s="8">
        <v>7661.46</v>
      </c>
      <c r="F744" s="9">
        <v>45159.666684444448</v>
      </c>
      <c r="G744" t="s">
        <v>140</v>
      </c>
      <c r="H744" t="s">
        <v>87</v>
      </c>
      <c r="I744" t="s">
        <v>163</v>
      </c>
      <c r="J744" t="str">
        <f t="shared" si="88"/>
        <v/>
      </c>
      <c r="K744" t="str">
        <f t="shared" si="89"/>
        <v/>
      </c>
      <c r="L744" t="str">
        <f t="shared" si="90"/>
        <v/>
      </c>
      <c r="M744" t="str">
        <f t="shared" si="91"/>
        <v/>
      </c>
      <c r="N744" t="str">
        <f t="shared" si="92"/>
        <v>Invalid</v>
      </c>
      <c r="O744" t="str">
        <f t="shared" ca="1" si="93"/>
        <v>Outdated</v>
      </c>
      <c r="P744" t="str">
        <f t="shared" si="94"/>
        <v>Late Delivery</v>
      </c>
      <c r="Q744" t="str">
        <f t="shared" si="95"/>
        <v/>
      </c>
    </row>
    <row r="745" spans="1:17" x14ac:dyDescent="0.45">
      <c r="A745" t="s">
        <v>1341</v>
      </c>
      <c r="B745" t="s">
        <v>172</v>
      </c>
      <c r="C745" t="s">
        <v>926</v>
      </c>
      <c r="D745" t="s">
        <v>85</v>
      </c>
      <c r="E745" s="8">
        <v>3523.59</v>
      </c>
      <c r="F745" s="9">
        <v>45381.666684444448</v>
      </c>
      <c r="G745" t="s">
        <v>236</v>
      </c>
      <c r="H745" t="s">
        <v>116</v>
      </c>
      <c r="I745" t="s">
        <v>163</v>
      </c>
      <c r="J745" t="str">
        <f t="shared" si="88"/>
        <v/>
      </c>
      <c r="K745" t="str">
        <f t="shared" si="89"/>
        <v/>
      </c>
      <c r="L745" t="str">
        <f t="shared" si="90"/>
        <v/>
      </c>
      <c r="M745" t="str">
        <f t="shared" si="91"/>
        <v>Invalid</v>
      </c>
      <c r="N745" t="str">
        <f t="shared" si="92"/>
        <v/>
      </c>
      <c r="O745" t="str">
        <f t="shared" ca="1" si="93"/>
        <v>Outdated</v>
      </c>
      <c r="P745" t="str">
        <f t="shared" si="94"/>
        <v>Late Delivery</v>
      </c>
      <c r="Q745" t="str">
        <f t="shared" si="95"/>
        <v/>
      </c>
    </row>
    <row r="746" spans="1:17" x14ac:dyDescent="0.45">
      <c r="A746" t="s">
        <v>1342</v>
      </c>
      <c r="B746" t="s">
        <v>104</v>
      </c>
      <c r="C746" t="s">
        <v>1290</v>
      </c>
      <c r="D746" t="s">
        <v>155</v>
      </c>
      <c r="E746" s="8">
        <v>10229.17</v>
      </c>
      <c r="F746" s="9">
        <v>45332.666684444448</v>
      </c>
      <c r="G746" t="s">
        <v>115</v>
      </c>
      <c r="H746" t="s">
        <v>116</v>
      </c>
      <c r="I746" t="s">
        <v>112</v>
      </c>
      <c r="J746" t="str">
        <f t="shared" si="88"/>
        <v/>
      </c>
      <c r="K746" t="str">
        <f t="shared" si="89"/>
        <v>Duplicate</v>
      </c>
      <c r="L746" t="str">
        <f t="shared" si="90"/>
        <v>Unusual</v>
      </c>
      <c r="M746" t="str">
        <f t="shared" si="91"/>
        <v/>
      </c>
      <c r="N746" t="str">
        <f t="shared" si="92"/>
        <v/>
      </c>
      <c r="O746" t="str">
        <f t="shared" ca="1" si="93"/>
        <v>Outdated</v>
      </c>
      <c r="P746" t="str">
        <f t="shared" si="94"/>
        <v>Damaged</v>
      </c>
      <c r="Q746" t="str">
        <f t="shared" si="95"/>
        <v>Inconsistent</v>
      </c>
    </row>
    <row r="747" spans="1:17" x14ac:dyDescent="0.45">
      <c r="A747" t="s">
        <v>1343</v>
      </c>
      <c r="B747" t="s">
        <v>79</v>
      </c>
      <c r="C747" t="s">
        <v>1344</v>
      </c>
      <c r="D747" t="s">
        <v>148</v>
      </c>
      <c r="E747" s="8">
        <v>8146.81</v>
      </c>
      <c r="F747" s="9">
        <v>45148.666684444448</v>
      </c>
      <c r="G747" t="s">
        <v>86</v>
      </c>
      <c r="H747" t="s">
        <v>118</v>
      </c>
      <c r="I747" t="s">
        <v>82</v>
      </c>
      <c r="J747" t="str">
        <f t="shared" si="88"/>
        <v/>
      </c>
      <c r="K747" t="str">
        <f t="shared" si="89"/>
        <v/>
      </c>
      <c r="L747" t="str">
        <f t="shared" si="90"/>
        <v/>
      </c>
      <c r="M747" t="str">
        <f t="shared" si="91"/>
        <v/>
      </c>
      <c r="N747" t="str">
        <f t="shared" si="92"/>
        <v>Invalid</v>
      </c>
      <c r="O747" t="str">
        <f t="shared" ca="1" si="93"/>
        <v>Outdated</v>
      </c>
      <c r="P747" t="str">
        <f t="shared" si="94"/>
        <v>Wrong Item</v>
      </c>
      <c r="Q747" t="str">
        <f t="shared" si="95"/>
        <v>Inconsistent</v>
      </c>
    </row>
    <row r="748" spans="1:17" x14ac:dyDescent="0.45">
      <c r="A748" t="s">
        <v>1345</v>
      </c>
      <c r="B748" t="s">
        <v>90</v>
      </c>
      <c r="C748" t="s">
        <v>1346</v>
      </c>
      <c r="D748" t="s">
        <v>92</v>
      </c>
      <c r="E748" s="8">
        <v>3163.27</v>
      </c>
      <c r="F748" s="9">
        <v>45764.666684444448</v>
      </c>
      <c r="G748" t="s">
        <v>93</v>
      </c>
      <c r="I748" t="s">
        <v>77</v>
      </c>
      <c r="J748" t="str">
        <f t="shared" si="88"/>
        <v/>
      </c>
      <c r="K748" t="str">
        <f t="shared" si="89"/>
        <v/>
      </c>
      <c r="L748" t="str">
        <f t="shared" si="90"/>
        <v/>
      </c>
      <c r="M748" t="str">
        <f t="shared" si="91"/>
        <v/>
      </c>
      <c r="N748" t="str">
        <f t="shared" si="92"/>
        <v>Invalid</v>
      </c>
      <c r="O748" t="str">
        <f t="shared" ca="1" si="93"/>
        <v>Outdated</v>
      </c>
      <c r="P748" t="str">
        <f t="shared" si="94"/>
        <v>Not As Described</v>
      </c>
      <c r="Q748" t="str">
        <f t="shared" si="95"/>
        <v/>
      </c>
    </row>
    <row r="749" spans="1:17" x14ac:dyDescent="0.45">
      <c r="A749" t="s">
        <v>1347</v>
      </c>
      <c r="B749" t="s">
        <v>104</v>
      </c>
      <c r="C749" t="s">
        <v>1320</v>
      </c>
      <c r="D749" t="s">
        <v>101</v>
      </c>
      <c r="E749" s="8">
        <v>7242.97</v>
      </c>
      <c r="F749" s="9">
        <v>45284.666684444448</v>
      </c>
      <c r="G749" t="s">
        <v>115</v>
      </c>
      <c r="H749" t="s">
        <v>107</v>
      </c>
      <c r="I749" t="s">
        <v>82</v>
      </c>
      <c r="J749" t="str">
        <f t="shared" si="88"/>
        <v/>
      </c>
      <c r="K749" t="str">
        <f t="shared" si="89"/>
        <v/>
      </c>
      <c r="L749" t="str">
        <f t="shared" si="90"/>
        <v/>
      </c>
      <c r="M749" t="str">
        <f t="shared" si="91"/>
        <v/>
      </c>
      <c r="N749" t="str">
        <f t="shared" si="92"/>
        <v/>
      </c>
      <c r="O749" t="str">
        <f t="shared" ca="1" si="93"/>
        <v>Outdated</v>
      </c>
      <c r="P749" t="str">
        <f t="shared" si="94"/>
        <v>Damaged</v>
      </c>
      <c r="Q749" t="str">
        <f t="shared" si="95"/>
        <v/>
      </c>
    </row>
    <row r="750" spans="1:17" x14ac:dyDescent="0.45">
      <c r="A750" t="s">
        <v>1348</v>
      </c>
      <c r="B750" t="s">
        <v>99</v>
      </c>
      <c r="C750" t="s">
        <v>1349</v>
      </c>
      <c r="D750" t="s">
        <v>155</v>
      </c>
      <c r="E750" s="8">
        <v>2440.96</v>
      </c>
      <c r="F750" s="9">
        <v>45372.666684444448</v>
      </c>
      <c r="G750" t="s">
        <v>102</v>
      </c>
      <c r="H750" t="s">
        <v>81</v>
      </c>
      <c r="I750" t="s">
        <v>112</v>
      </c>
      <c r="J750" t="str">
        <f t="shared" si="88"/>
        <v/>
      </c>
      <c r="K750" t="str">
        <f t="shared" si="89"/>
        <v/>
      </c>
      <c r="L750" t="str">
        <f t="shared" si="90"/>
        <v/>
      </c>
      <c r="M750" t="str">
        <f t="shared" si="91"/>
        <v/>
      </c>
      <c r="N750" t="str">
        <f t="shared" si="92"/>
        <v/>
      </c>
      <c r="O750" t="str">
        <f t="shared" ca="1" si="93"/>
        <v>Outdated</v>
      </c>
      <c r="P750" t="str">
        <f t="shared" si="94"/>
        <v>Damaged</v>
      </c>
      <c r="Q750" t="str">
        <f t="shared" si="95"/>
        <v>Inconsistent</v>
      </c>
    </row>
    <row r="751" spans="1:17" x14ac:dyDescent="0.45">
      <c r="A751" t="s">
        <v>1350</v>
      </c>
      <c r="B751" t="s">
        <v>109</v>
      </c>
      <c r="C751" t="s">
        <v>843</v>
      </c>
      <c r="D751" t="s">
        <v>74</v>
      </c>
      <c r="E751" s="8">
        <v>10269.870000000001</v>
      </c>
      <c r="F751" s="9">
        <v>45257.666684444448</v>
      </c>
      <c r="G751" t="s">
        <v>111</v>
      </c>
      <c r="H751" t="s">
        <v>128</v>
      </c>
      <c r="I751" t="s">
        <v>77</v>
      </c>
      <c r="J751" t="str">
        <f t="shared" si="88"/>
        <v/>
      </c>
      <c r="K751" t="str">
        <f t="shared" si="89"/>
        <v/>
      </c>
      <c r="L751" t="str">
        <f t="shared" si="90"/>
        <v>Unusual</v>
      </c>
      <c r="M751" t="str">
        <f t="shared" si="91"/>
        <v/>
      </c>
      <c r="N751" t="str">
        <f t="shared" si="92"/>
        <v>Invalid</v>
      </c>
      <c r="O751" t="str">
        <f t="shared" ca="1" si="93"/>
        <v>Outdated</v>
      </c>
      <c r="P751" t="str">
        <f t="shared" si="94"/>
        <v>Wrong Item</v>
      </c>
      <c r="Q751" t="str">
        <f t="shared" si="95"/>
        <v/>
      </c>
    </row>
    <row r="752" spans="1:17" x14ac:dyDescent="0.45">
      <c r="A752" t="s">
        <v>1351</v>
      </c>
      <c r="B752" t="s">
        <v>79</v>
      </c>
      <c r="C752" t="s">
        <v>1346</v>
      </c>
      <c r="D752" t="s">
        <v>148</v>
      </c>
      <c r="E752" s="8">
        <v>2238.94</v>
      </c>
      <c r="F752" s="9">
        <v>45612.666684444448</v>
      </c>
      <c r="G752" t="s">
        <v>86</v>
      </c>
      <c r="H752" t="s">
        <v>76</v>
      </c>
      <c r="I752" t="s">
        <v>163</v>
      </c>
      <c r="J752" t="str">
        <f t="shared" si="88"/>
        <v/>
      </c>
      <c r="K752" t="str">
        <f t="shared" si="89"/>
        <v/>
      </c>
      <c r="L752" t="str">
        <f t="shared" si="90"/>
        <v/>
      </c>
      <c r="M752" t="str">
        <f t="shared" si="91"/>
        <v/>
      </c>
      <c r="N752" t="str">
        <f t="shared" si="92"/>
        <v/>
      </c>
      <c r="O752" t="str">
        <f t="shared" ca="1" si="93"/>
        <v>Outdated</v>
      </c>
      <c r="P752" t="str">
        <f t="shared" si="94"/>
        <v>Wrong Item</v>
      </c>
      <c r="Q752" t="str">
        <f t="shared" si="95"/>
        <v>Inconsistent</v>
      </c>
    </row>
    <row r="753" spans="1:17" x14ac:dyDescent="0.45">
      <c r="A753" t="s">
        <v>1352</v>
      </c>
      <c r="B753" t="s">
        <v>90</v>
      </c>
      <c r="C753" t="s">
        <v>1353</v>
      </c>
      <c r="D753" t="s">
        <v>101</v>
      </c>
      <c r="E753" s="8">
        <v>9607.9699999999993</v>
      </c>
      <c r="F753" s="9">
        <v>45813.666684444448</v>
      </c>
      <c r="G753" t="s">
        <v>93</v>
      </c>
      <c r="H753" t="s">
        <v>116</v>
      </c>
      <c r="I753" t="s">
        <v>77</v>
      </c>
      <c r="J753" t="str">
        <f t="shared" si="88"/>
        <v/>
      </c>
      <c r="K753" t="str">
        <f t="shared" si="89"/>
        <v/>
      </c>
      <c r="L753" t="str">
        <f t="shared" si="90"/>
        <v/>
      </c>
      <c r="M753" t="str">
        <f t="shared" si="91"/>
        <v/>
      </c>
      <c r="N753" t="str">
        <f t="shared" si="92"/>
        <v/>
      </c>
      <c r="O753" t="str">
        <f t="shared" ca="1" si="93"/>
        <v>Outdated</v>
      </c>
      <c r="P753" t="str">
        <f t="shared" si="94"/>
        <v>Damaged</v>
      </c>
      <c r="Q753" t="str">
        <f t="shared" si="95"/>
        <v/>
      </c>
    </row>
    <row r="754" spans="1:17" x14ac:dyDescent="0.45">
      <c r="A754" t="s">
        <v>1354</v>
      </c>
      <c r="B754" t="s">
        <v>104</v>
      </c>
      <c r="C754" t="s">
        <v>862</v>
      </c>
      <c r="D754" t="s">
        <v>74</v>
      </c>
      <c r="E754" s="8">
        <v>8046.49</v>
      </c>
      <c r="F754" s="9">
        <v>45245.666684444448</v>
      </c>
      <c r="G754" t="s">
        <v>115</v>
      </c>
      <c r="H754" t="s">
        <v>118</v>
      </c>
      <c r="I754" t="s">
        <v>77</v>
      </c>
      <c r="J754" t="str">
        <f t="shared" si="88"/>
        <v/>
      </c>
      <c r="K754" t="str">
        <f t="shared" si="89"/>
        <v/>
      </c>
      <c r="L754" t="str">
        <f t="shared" si="90"/>
        <v/>
      </c>
      <c r="M754" t="str">
        <f t="shared" si="91"/>
        <v/>
      </c>
      <c r="N754" t="str">
        <f t="shared" si="92"/>
        <v>Invalid</v>
      </c>
      <c r="O754" t="str">
        <f t="shared" ca="1" si="93"/>
        <v>Outdated</v>
      </c>
      <c r="P754" t="str">
        <f t="shared" si="94"/>
        <v>Wrong Item</v>
      </c>
      <c r="Q754" t="str">
        <f t="shared" si="95"/>
        <v/>
      </c>
    </row>
    <row r="755" spans="1:17" x14ac:dyDescent="0.45">
      <c r="A755" t="s">
        <v>1355</v>
      </c>
      <c r="B755" t="s">
        <v>79</v>
      </c>
      <c r="C755" t="s">
        <v>880</v>
      </c>
      <c r="D755" t="s">
        <v>92</v>
      </c>
      <c r="E755" s="8">
        <v>4574.76</v>
      </c>
      <c r="F755" s="9">
        <v>45705.666684444448</v>
      </c>
      <c r="G755" t="s">
        <v>86</v>
      </c>
      <c r="H755" t="s">
        <v>107</v>
      </c>
      <c r="I755" t="s">
        <v>119</v>
      </c>
      <c r="J755" t="str">
        <f t="shared" si="88"/>
        <v/>
      </c>
      <c r="K755" t="str">
        <f t="shared" si="89"/>
        <v/>
      </c>
      <c r="L755" t="str">
        <f t="shared" si="90"/>
        <v/>
      </c>
      <c r="M755" t="str">
        <f t="shared" si="91"/>
        <v/>
      </c>
      <c r="N755" t="str">
        <f t="shared" si="92"/>
        <v/>
      </c>
      <c r="O755" t="str">
        <f t="shared" ca="1" si="93"/>
        <v>Outdated</v>
      </c>
      <c r="P755" t="str">
        <f t="shared" si="94"/>
        <v>Not As Described</v>
      </c>
      <c r="Q755" t="str">
        <f t="shared" si="95"/>
        <v/>
      </c>
    </row>
    <row r="756" spans="1:17" x14ac:dyDescent="0.45">
      <c r="A756" t="s">
        <v>1356</v>
      </c>
      <c r="B756" t="s">
        <v>79</v>
      </c>
      <c r="C756" t="s">
        <v>1118</v>
      </c>
      <c r="D756" t="s">
        <v>74</v>
      </c>
      <c r="E756" s="8">
        <v>2971.41</v>
      </c>
      <c r="F756" s="9">
        <v>45351.666684444448</v>
      </c>
      <c r="G756" t="s">
        <v>86</v>
      </c>
      <c r="H756" t="s">
        <v>118</v>
      </c>
      <c r="I756" t="s">
        <v>163</v>
      </c>
      <c r="J756" t="str">
        <f t="shared" si="88"/>
        <v/>
      </c>
      <c r="K756" t="str">
        <f t="shared" si="89"/>
        <v/>
      </c>
      <c r="L756" t="str">
        <f t="shared" si="90"/>
        <v/>
      </c>
      <c r="M756" t="str">
        <f t="shared" si="91"/>
        <v/>
      </c>
      <c r="N756" t="str">
        <f t="shared" si="92"/>
        <v>Invalid</v>
      </c>
      <c r="O756" t="str">
        <f t="shared" ca="1" si="93"/>
        <v>Outdated</v>
      </c>
      <c r="P756" t="str">
        <f t="shared" si="94"/>
        <v>Wrong Item</v>
      </c>
      <c r="Q756" t="str">
        <f t="shared" si="95"/>
        <v/>
      </c>
    </row>
    <row r="757" spans="1:17" x14ac:dyDescent="0.45">
      <c r="A757" t="s">
        <v>1357</v>
      </c>
      <c r="B757" t="s">
        <v>90</v>
      </c>
      <c r="C757" t="s">
        <v>1358</v>
      </c>
      <c r="D757" t="s">
        <v>74</v>
      </c>
      <c r="E757" s="8">
        <v>10132.83</v>
      </c>
      <c r="F757" s="9">
        <v>45604.666684444448</v>
      </c>
      <c r="H757" t="s">
        <v>107</v>
      </c>
      <c r="I757" t="s">
        <v>112</v>
      </c>
      <c r="J757" t="str">
        <f t="shared" si="88"/>
        <v/>
      </c>
      <c r="K757" t="str">
        <f t="shared" si="89"/>
        <v/>
      </c>
      <c r="L757" t="str">
        <f t="shared" si="90"/>
        <v>Unusual</v>
      </c>
      <c r="M757" t="str">
        <f t="shared" si="91"/>
        <v>Invalid</v>
      </c>
      <c r="N757" t="str">
        <f t="shared" si="92"/>
        <v/>
      </c>
      <c r="O757" t="str">
        <f t="shared" ca="1" si="93"/>
        <v>Outdated</v>
      </c>
      <c r="P757" t="str">
        <f t="shared" si="94"/>
        <v>Wrong Item</v>
      </c>
      <c r="Q757" t="str">
        <f t="shared" si="95"/>
        <v/>
      </c>
    </row>
    <row r="758" spans="1:17" x14ac:dyDescent="0.45">
      <c r="A758" t="s">
        <v>1359</v>
      </c>
      <c r="B758" t="s">
        <v>95</v>
      </c>
      <c r="C758" t="s">
        <v>814</v>
      </c>
      <c r="D758" t="s">
        <v>101</v>
      </c>
      <c r="E758" s="8">
        <v>4982.57</v>
      </c>
      <c r="F758" s="9">
        <v>45844.666684444448</v>
      </c>
      <c r="G758" t="s">
        <v>97</v>
      </c>
      <c r="H758" t="s">
        <v>107</v>
      </c>
      <c r="I758" t="s">
        <v>119</v>
      </c>
      <c r="J758" t="str">
        <f t="shared" si="88"/>
        <v/>
      </c>
      <c r="K758" t="str">
        <f t="shared" si="89"/>
        <v/>
      </c>
      <c r="L758" t="str">
        <f t="shared" si="90"/>
        <v/>
      </c>
      <c r="M758" t="str">
        <f t="shared" si="91"/>
        <v/>
      </c>
      <c r="N758" t="str">
        <f t="shared" si="92"/>
        <v/>
      </c>
      <c r="O758" t="str">
        <f t="shared" ca="1" si="93"/>
        <v/>
      </c>
      <c r="P758" t="str">
        <f t="shared" si="94"/>
        <v>Damaged</v>
      </c>
      <c r="Q758" t="str">
        <f t="shared" si="95"/>
        <v/>
      </c>
    </row>
    <row r="759" spans="1:17" x14ac:dyDescent="0.45">
      <c r="A759" t="s">
        <v>1360</v>
      </c>
      <c r="B759" t="s">
        <v>172</v>
      </c>
      <c r="D759" t="s">
        <v>74</v>
      </c>
      <c r="E759" s="8">
        <v>5774.26</v>
      </c>
      <c r="F759" s="9">
        <v>45390.666684444448</v>
      </c>
      <c r="G759" t="s">
        <v>174</v>
      </c>
      <c r="H759" t="s">
        <v>133</v>
      </c>
      <c r="I759" t="s">
        <v>112</v>
      </c>
      <c r="J759" t="str">
        <f t="shared" si="88"/>
        <v>Missing</v>
      </c>
      <c r="K759" t="str">
        <f t="shared" si="89"/>
        <v/>
      </c>
      <c r="L759" t="str">
        <f t="shared" si="90"/>
        <v/>
      </c>
      <c r="M759" t="str">
        <f t="shared" si="91"/>
        <v/>
      </c>
      <c r="N759" t="str">
        <f t="shared" si="92"/>
        <v>Invalid</v>
      </c>
      <c r="O759" t="str">
        <f t="shared" ca="1" si="93"/>
        <v>Outdated</v>
      </c>
      <c r="P759" t="str">
        <f t="shared" si="94"/>
        <v>Wrong Item</v>
      </c>
      <c r="Q759" t="str">
        <f t="shared" si="95"/>
        <v/>
      </c>
    </row>
    <row r="760" spans="1:17" x14ac:dyDescent="0.45">
      <c r="A760" t="s">
        <v>1361</v>
      </c>
      <c r="B760" t="s">
        <v>95</v>
      </c>
      <c r="C760" t="s">
        <v>1362</v>
      </c>
      <c r="D760" t="s">
        <v>74</v>
      </c>
      <c r="E760" s="8">
        <v>4350.12</v>
      </c>
      <c r="F760" s="9">
        <v>45505.666684444448</v>
      </c>
      <c r="G760" t="s">
        <v>97</v>
      </c>
      <c r="H760" t="s">
        <v>81</v>
      </c>
      <c r="I760" t="s">
        <v>119</v>
      </c>
      <c r="J760" t="str">
        <f t="shared" si="88"/>
        <v/>
      </c>
      <c r="K760" t="str">
        <f t="shared" si="89"/>
        <v/>
      </c>
      <c r="L760" t="str">
        <f t="shared" si="90"/>
        <v/>
      </c>
      <c r="M760" t="str">
        <f t="shared" si="91"/>
        <v/>
      </c>
      <c r="N760" t="str">
        <f t="shared" si="92"/>
        <v/>
      </c>
      <c r="O760" t="str">
        <f t="shared" ca="1" si="93"/>
        <v>Outdated</v>
      </c>
      <c r="P760" t="str">
        <f t="shared" si="94"/>
        <v>Wrong Item</v>
      </c>
      <c r="Q760" t="str">
        <f t="shared" si="95"/>
        <v/>
      </c>
    </row>
    <row r="761" spans="1:17" x14ac:dyDescent="0.45">
      <c r="A761" t="s">
        <v>1363</v>
      </c>
      <c r="B761" t="s">
        <v>79</v>
      </c>
      <c r="C761" t="s">
        <v>678</v>
      </c>
      <c r="D761" t="s">
        <v>74</v>
      </c>
      <c r="E761" s="8">
        <v>7492.47</v>
      </c>
      <c r="F761" s="9">
        <v>45299.666684444448</v>
      </c>
      <c r="G761" t="s">
        <v>86</v>
      </c>
      <c r="H761" t="s">
        <v>76</v>
      </c>
      <c r="I761" t="s">
        <v>82</v>
      </c>
      <c r="J761" t="str">
        <f t="shared" si="88"/>
        <v/>
      </c>
      <c r="K761" t="str">
        <f t="shared" si="89"/>
        <v/>
      </c>
      <c r="L761" t="str">
        <f t="shared" si="90"/>
        <v/>
      </c>
      <c r="M761" t="str">
        <f t="shared" si="91"/>
        <v/>
      </c>
      <c r="N761" t="str">
        <f t="shared" si="92"/>
        <v/>
      </c>
      <c r="O761" t="str">
        <f t="shared" ca="1" si="93"/>
        <v>Outdated</v>
      </c>
      <c r="P761" t="str">
        <f t="shared" si="94"/>
        <v>Wrong Item</v>
      </c>
      <c r="Q761" t="str">
        <f t="shared" si="95"/>
        <v/>
      </c>
    </row>
    <row r="762" spans="1:17" x14ac:dyDescent="0.45">
      <c r="A762" t="s">
        <v>1364</v>
      </c>
      <c r="B762" t="s">
        <v>72</v>
      </c>
      <c r="C762" t="s">
        <v>894</v>
      </c>
      <c r="D762" t="s">
        <v>101</v>
      </c>
      <c r="E762" s="8">
        <v>844.42</v>
      </c>
      <c r="F762" s="9">
        <v>45748.666684444448</v>
      </c>
      <c r="G762" t="s">
        <v>75</v>
      </c>
      <c r="H762" t="s">
        <v>76</v>
      </c>
      <c r="I762" t="s">
        <v>82</v>
      </c>
      <c r="J762" t="str">
        <f t="shared" si="88"/>
        <v/>
      </c>
      <c r="K762" t="str">
        <f t="shared" si="89"/>
        <v/>
      </c>
      <c r="L762" t="str">
        <f t="shared" si="90"/>
        <v/>
      </c>
      <c r="M762" t="str">
        <f t="shared" si="91"/>
        <v/>
      </c>
      <c r="N762" t="str">
        <f t="shared" si="92"/>
        <v/>
      </c>
      <c r="O762" t="str">
        <f t="shared" ca="1" si="93"/>
        <v>Outdated</v>
      </c>
      <c r="P762" t="str">
        <f t="shared" si="94"/>
        <v>Damaged</v>
      </c>
      <c r="Q762" t="str">
        <f t="shared" si="95"/>
        <v/>
      </c>
    </row>
    <row r="763" spans="1:17" x14ac:dyDescent="0.45">
      <c r="A763" t="s">
        <v>1365</v>
      </c>
      <c r="B763" t="s">
        <v>90</v>
      </c>
      <c r="C763" t="s">
        <v>972</v>
      </c>
      <c r="D763" t="s">
        <v>74</v>
      </c>
      <c r="E763" s="8">
        <v>11438.85</v>
      </c>
      <c r="F763" s="9">
        <v>45749.666684444448</v>
      </c>
      <c r="G763" t="s">
        <v>93</v>
      </c>
      <c r="I763" t="s">
        <v>119</v>
      </c>
      <c r="J763" t="str">
        <f t="shared" si="88"/>
        <v/>
      </c>
      <c r="K763" t="str">
        <f t="shared" si="89"/>
        <v/>
      </c>
      <c r="L763" t="str">
        <f t="shared" si="90"/>
        <v>Unusual</v>
      </c>
      <c r="M763" t="str">
        <f t="shared" si="91"/>
        <v/>
      </c>
      <c r="N763" t="str">
        <f t="shared" si="92"/>
        <v>Invalid</v>
      </c>
      <c r="O763" t="str">
        <f t="shared" ca="1" si="93"/>
        <v>Outdated</v>
      </c>
      <c r="P763" t="str">
        <f t="shared" si="94"/>
        <v>Wrong Item</v>
      </c>
      <c r="Q763" t="str">
        <f t="shared" si="95"/>
        <v/>
      </c>
    </row>
    <row r="764" spans="1:17" x14ac:dyDescent="0.45">
      <c r="A764" t="s">
        <v>1366</v>
      </c>
      <c r="B764" t="s">
        <v>79</v>
      </c>
      <c r="C764" t="s">
        <v>1367</v>
      </c>
      <c r="D764" t="s">
        <v>92</v>
      </c>
      <c r="E764" s="8">
        <v>8583.2000000000007</v>
      </c>
      <c r="F764" s="9">
        <v>45245.666684444448</v>
      </c>
      <c r="H764" t="s">
        <v>87</v>
      </c>
      <c r="I764" t="s">
        <v>88</v>
      </c>
      <c r="J764" t="str">
        <f t="shared" si="88"/>
        <v/>
      </c>
      <c r="K764" t="str">
        <f t="shared" si="89"/>
        <v/>
      </c>
      <c r="L764" t="str">
        <f t="shared" si="90"/>
        <v/>
      </c>
      <c r="M764" t="str">
        <f t="shared" si="91"/>
        <v>Invalid</v>
      </c>
      <c r="N764" t="str">
        <f t="shared" si="92"/>
        <v>Invalid</v>
      </c>
      <c r="O764" t="str">
        <f t="shared" ca="1" si="93"/>
        <v>Outdated</v>
      </c>
      <c r="P764" t="str">
        <f t="shared" si="94"/>
        <v>Not As Described</v>
      </c>
      <c r="Q764" t="str">
        <f t="shared" si="95"/>
        <v/>
      </c>
    </row>
    <row r="765" spans="1:17" x14ac:dyDescent="0.45">
      <c r="A765" t="s">
        <v>1368</v>
      </c>
      <c r="B765" t="s">
        <v>79</v>
      </c>
      <c r="C765" t="s">
        <v>1183</v>
      </c>
      <c r="D765" t="s">
        <v>74</v>
      </c>
      <c r="E765" s="8">
        <v>10256.89</v>
      </c>
      <c r="F765" s="9">
        <v>45295.666684444448</v>
      </c>
      <c r="G765" t="s">
        <v>86</v>
      </c>
      <c r="H765" t="s">
        <v>81</v>
      </c>
      <c r="I765" t="s">
        <v>82</v>
      </c>
      <c r="J765" t="str">
        <f t="shared" si="88"/>
        <v/>
      </c>
      <c r="K765" t="str">
        <f t="shared" si="89"/>
        <v/>
      </c>
      <c r="L765" t="str">
        <f t="shared" si="90"/>
        <v>Unusual</v>
      </c>
      <c r="M765" t="str">
        <f t="shared" si="91"/>
        <v/>
      </c>
      <c r="N765" t="str">
        <f t="shared" si="92"/>
        <v/>
      </c>
      <c r="O765" t="str">
        <f t="shared" ca="1" si="93"/>
        <v>Outdated</v>
      </c>
      <c r="P765" t="str">
        <f t="shared" si="94"/>
        <v>Wrong Item</v>
      </c>
      <c r="Q765" t="str">
        <f t="shared" si="95"/>
        <v/>
      </c>
    </row>
    <row r="766" spans="1:17" x14ac:dyDescent="0.45">
      <c r="A766" t="s">
        <v>1024</v>
      </c>
      <c r="B766" t="s">
        <v>109</v>
      </c>
      <c r="C766" t="s">
        <v>1369</v>
      </c>
      <c r="D766" t="s">
        <v>155</v>
      </c>
      <c r="E766" s="8">
        <v>2210.64</v>
      </c>
      <c r="F766" s="9">
        <v>45446.666684444448</v>
      </c>
      <c r="G766" t="s">
        <v>111</v>
      </c>
      <c r="H766" t="s">
        <v>107</v>
      </c>
      <c r="I766" t="s">
        <v>119</v>
      </c>
      <c r="J766" t="str">
        <f t="shared" si="88"/>
        <v/>
      </c>
      <c r="K766" t="str">
        <f t="shared" si="89"/>
        <v>Duplicate</v>
      </c>
      <c r="L766" t="str">
        <f t="shared" si="90"/>
        <v/>
      </c>
      <c r="M766" t="str">
        <f t="shared" si="91"/>
        <v/>
      </c>
      <c r="N766" t="str">
        <f t="shared" si="92"/>
        <v/>
      </c>
      <c r="O766" t="str">
        <f t="shared" ca="1" si="93"/>
        <v>Outdated</v>
      </c>
      <c r="P766" t="str">
        <f t="shared" si="94"/>
        <v>Damaged</v>
      </c>
      <c r="Q766" t="str">
        <f t="shared" si="95"/>
        <v>Inconsistent</v>
      </c>
    </row>
    <row r="767" spans="1:17" x14ac:dyDescent="0.45">
      <c r="A767" t="s">
        <v>1370</v>
      </c>
      <c r="B767" t="s">
        <v>172</v>
      </c>
      <c r="C767" t="s">
        <v>1371</v>
      </c>
      <c r="D767" t="s">
        <v>148</v>
      </c>
      <c r="E767" s="8">
        <v>4708.59</v>
      </c>
      <c r="F767" s="9">
        <v>45238.666684444448</v>
      </c>
      <c r="G767" t="s">
        <v>174</v>
      </c>
      <c r="H767" t="s">
        <v>107</v>
      </c>
      <c r="I767" t="s">
        <v>82</v>
      </c>
      <c r="J767" t="str">
        <f t="shared" si="88"/>
        <v/>
      </c>
      <c r="K767" t="str">
        <f t="shared" si="89"/>
        <v/>
      </c>
      <c r="L767" t="str">
        <f t="shared" si="90"/>
        <v/>
      </c>
      <c r="M767" t="str">
        <f t="shared" si="91"/>
        <v/>
      </c>
      <c r="N767" t="str">
        <f t="shared" si="92"/>
        <v/>
      </c>
      <c r="O767" t="str">
        <f t="shared" ca="1" si="93"/>
        <v>Outdated</v>
      </c>
      <c r="P767" t="str">
        <f t="shared" si="94"/>
        <v>Wrong Item</v>
      </c>
      <c r="Q767" t="str">
        <f t="shared" si="95"/>
        <v>Inconsistent</v>
      </c>
    </row>
    <row r="768" spans="1:17" x14ac:dyDescent="0.45">
      <c r="A768" t="s">
        <v>1372</v>
      </c>
      <c r="B768" t="s">
        <v>109</v>
      </c>
      <c r="C768" t="s">
        <v>1373</v>
      </c>
      <c r="D768" t="s">
        <v>101</v>
      </c>
      <c r="E768" s="8">
        <v>1506.29</v>
      </c>
      <c r="F768" s="9">
        <v>45720.666684444448</v>
      </c>
      <c r="G768" t="s">
        <v>111</v>
      </c>
      <c r="H768" t="s">
        <v>145</v>
      </c>
      <c r="I768" t="s">
        <v>119</v>
      </c>
      <c r="J768" t="str">
        <f t="shared" si="88"/>
        <v/>
      </c>
      <c r="K768" t="str">
        <f t="shared" si="89"/>
        <v/>
      </c>
      <c r="L768" t="str">
        <f t="shared" si="90"/>
        <v/>
      </c>
      <c r="M768" t="str">
        <f t="shared" si="91"/>
        <v/>
      </c>
      <c r="N768" t="str">
        <f t="shared" si="92"/>
        <v/>
      </c>
      <c r="O768" t="str">
        <f t="shared" ca="1" si="93"/>
        <v>Outdated</v>
      </c>
      <c r="P768" t="str">
        <f t="shared" si="94"/>
        <v>Damaged</v>
      </c>
      <c r="Q768" t="str">
        <f t="shared" si="95"/>
        <v/>
      </c>
    </row>
    <row r="769" spans="1:17" x14ac:dyDescent="0.45">
      <c r="A769" t="s">
        <v>1374</v>
      </c>
      <c r="B769" t="s">
        <v>90</v>
      </c>
      <c r="C769" t="s">
        <v>1375</v>
      </c>
      <c r="D769" t="s">
        <v>92</v>
      </c>
      <c r="E769" s="8">
        <v>429.19</v>
      </c>
      <c r="F769" s="9">
        <v>45154.666684444448</v>
      </c>
      <c r="G769" t="s">
        <v>93</v>
      </c>
      <c r="H769" t="s">
        <v>76</v>
      </c>
      <c r="I769" t="s">
        <v>119</v>
      </c>
      <c r="J769" t="str">
        <f t="shared" si="88"/>
        <v/>
      </c>
      <c r="K769" t="str">
        <f t="shared" si="89"/>
        <v/>
      </c>
      <c r="L769" t="str">
        <f t="shared" si="90"/>
        <v/>
      </c>
      <c r="M769" t="str">
        <f t="shared" si="91"/>
        <v/>
      </c>
      <c r="N769" t="str">
        <f t="shared" si="92"/>
        <v/>
      </c>
      <c r="O769" t="str">
        <f t="shared" ca="1" si="93"/>
        <v>Outdated</v>
      </c>
      <c r="P769" t="str">
        <f t="shared" si="94"/>
        <v>Not As Described</v>
      </c>
      <c r="Q769" t="str">
        <f t="shared" si="95"/>
        <v/>
      </c>
    </row>
    <row r="770" spans="1:17" x14ac:dyDescent="0.45">
      <c r="A770" t="s">
        <v>1376</v>
      </c>
      <c r="B770" t="s">
        <v>138</v>
      </c>
      <c r="C770" t="s">
        <v>335</v>
      </c>
      <c r="E770" s="8">
        <v>7942.54</v>
      </c>
      <c r="F770" s="9">
        <v>45447.666684444448</v>
      </c>
      <c r="G770" t="s">
        <v>140</v>
      </c>
      <c r="H770" t="s">
        <v>133</v>
      </c>
      <c r="I770" t="s">
        <v>88</v>
      </c>
      <c r="J770" t="str">
        <f t="shared" ref="J770:J833" si="96">IF(OR(ISBLANK(C770),ISBLANK(D770)),"Missing","")</f>
        <v>Missing</v>
      </c>
      <c r="K770" t="str">
        <f t="shared" ref="K770:K833" si="97">IF(COUNTIF($A$2:$A$2501,A770)&gt;1,"Duplicate","")</f>
        <v/>
      </c>
      <c r="L770" t="str">
        <f t="shared" ref="L770:L833" si="98">IF(OR(E770=0,E770&gt;10000),"Unusual","")</f>
        <v/>
      </c>
      <c r="M770" t="str">
        <f t="shared" ref="M770:M833" si="99">IF(OR(ISBLANK(G770),ISERROR(FIND("@",G770)),ISERROR(FIND(".",G770,FIND("@",G770)+1))),"Invalid","")</f>
        <v/>
      </c>
      <c r="N770" t="str">
        <f t="shared" ref="N770:N833" si="100">IF(COUNTIF($S$2:$S$6,H770)=0,"Invalid","")</f>
        <v>Invalid</v>
      </c>
      <c r="O770" t="str">
        <f t="shared" ref="O770:O833" ca="1" si="101">IF(F770&lt;EDATE(TODAY(),-12),"Outdated","")</f>
        <v>Outdated</v>
      </c>
      <c r="P770" t="str">
        <f t="shared" ref="P770:P833" si="102">IF(ISBLANK(D770),"",PROPER(TRIM(D770)))</f>
        <v/>
      </c>
      <c r="Q770" t="str">
        <f t="shared" ref="Q770:Q833" si="103">IF(ISBLANK(D770),"",IF(EXACT(D770,P770),"","Inconsistent"))</f>
        <v/>
      </c>
    </row>
    <row r="771" spans="1:17" x14ac:dyDescent="0.45">
      <c r="A771" t="s">
        <v>1377</v>
      </c>
      <c r="B771" t="s">
        <v>95</v>
      </c>
      <c r="C771" t="s">
        <v>1269</v>
      </c>
      <c r="D771" t="s">
        <v>106</v>
      </c>
      <c r="E771" s="8">
        <v>10870.2</v>
      </c>
      <c r="F771" s="9">
        <v>45717.666684444448</v>
      </c>
      <c r="G771" t="s">
        <v>97</v>
      </c>
      <c r="H771" t="s">
        <v>81</v>
      </c>
      <c r="I771" t="s">
        <v>112</v>
      </c>
      <c r="J771" t="str">
        <f t="shared" si="96"/>
        <v/>
      </c>
      <c r="K771" t="str">
        <f t="shared" si="97"/>
        <v/>
      </c>
      <c r="L771" t="str">
        <f t="shared" si="98"/>
        <v>Unusual</v>
      </c>
      <c r="M771" t="str">
        <f t="shared" si="99"/>
        <v/>
      </c>
      <c r="N771" t="str">
        <f t="shared" si="100"/>
        <v/>
      </c>
      <c r="O771" t="str">
        <f t="shared" ca="1" si="101"/>
        <v>Outdated</v>
      </c>
      <c r="P771" t="str">
        <f t="shared" si="102"/>
        <v>Damaged</v>
      </c>
      <c r="Q771" t="str">
        <f t="shared" si="103"/>
        <v>Inconsistent</v>
      </c>
    </row>
    <row r="772" spans="1:17" x14ac:dyDescent="0.45">
      <c r="A772" t="s">
        <v>1378</v>
      </c>
      <c r="B772" t="s">
        <v>109</v>
      </c>
      <c r="C772" t="s">
        <v>408</v>
      </c>
      <c r="D772" t="s">
        <v>85</v>
      </c>
      <c r="E772" s="8">
        <v>5653</v>
      </c>
      <c r="F772" s="9">
        <v>45821.666684444448</v>
      </c>
      <c r="G772" t="s">
        <v>111</v>
      </c>
      <c r="H772" t="s">
        <v>116</v>
      </c>
      <c r="I772" t="s">
        <v>112</v>
      </c>
      <c r="J772" t="str">
        <f t="shared" si="96"/>
        <v/>
      </c>
      <c r="K772" t="str">
        <f t="shared" si="97"/>
        <v/>
      </c>
      <c r="L772" t="str">
        <f t="shared" si="98"/>
        <v/>
      </c>
      <c r="M772" t="str">
        <f t="shared" si="99"/>
        <v/>
      </c>
      <c r="N772" t="str">
        <f t="shared" si="100"/>
        <v/>
      </c>
      <c r="O772" t="str">
        <f t="shared" ca="1" si="101"/>
        <v>Outdated</v>
      </c>
      <c r="P772" t="str">
        <f t="shared" si="102"/>
        <v>Late Delivery</v>
      </c>
      <c r="Q772" t="str">
        <f t="shared" si="103"/>
        <v/>
      </c>
    </row>
    <row r="773" spans="1:17" x14ac:dyDescent="0.45">
      <c r="A773" t="s">
        <v>1379</v>
      </c>
      <c r="B773" t="s">
        <v>90</v>
      </c>
      <c r="C773" t="s">
        <v>764</v>
      </c>
      <c r="D773" t="s">
        <v>74</v>
      </c>
      <c r="E773" s="8">
        <v>2838.82</v>
      </c>
      <c r="F773" s="9">
        <v>45512.666684444448</v>
      </c>
      <c r="G773" t="s">
        <v>93</v>
      </c>
      <c r="H773" t="s">
        <v>128</v>
      </c>
      <c r="I773" t="s">
        <v>163</v>
      </c>
      <c r="J773" t="str">
        <f t="shared" si="96"/>
        <v/>
      </c>
      <c r="K773" t="str">
        <f t="shared" si="97"/>
        <v/>
      </c>
      <c r="L773" t="str">
        <f t="shared" si="98"/>
        <v/>
      </c>
      <c r="M773" t="str">
        <f t="shared" si="99"/>
        <v/>
      </c>
      <c r="N773" t="str">
        <f t="shared" si="100"/>
        <v>Invalid</v>
      </c>
      <c r="O773" t="str">
        <f t="shared" ca="1" si="101"/>
        <v>Outdated</v>
      </c>
      <c r="P773" t="str">
        <f t="shared" si="102"/>
        <v>Wrong Item</v>
      </c>
      <c r="Q773" t="str">
        <f t="shared" si="103"/>
        <v/>
      </c>
    </row>
    <row r="774" spans="1:17" x14ac:dyDescent="0.45">
      <c r="A774" t="s">
        <v>1380</v>
      </c>
      <c r="B774" t="s">
        <v>95</v>
      </c>
      <c r="C774" t="s">
        <v>1381</v>
      </c>
      <c r="D774" t="s">
        <v>85</v>
      </c>
      <c r="E774" s="8">
        <v>1580.93</v>
      </c>
      <c r="F774" s="9">
        <v>45534.666684444448</v>
      </c>
      <c r="G774" t="s">
        <v>97</v>
      </c>
      <c r="H774" t="s">
        <v>118</v>
      </c>
      <c r="I774" t="s">
        <v>88</v>
      </c>
      <c r="J774" t="str">
        <f t="shared" si="96"/>
        <v/>
      </c>
      <c r="K774" t="str">
        <f t="shared" si="97"/>
        <v/>
      </c>
      <c r="L774" t="str">
        <f t="shared" si="98"/>
        <v/>
      </c>
      <c r="M774" t="str">
        <f t="shared" si="99"/>
        <v/>
      </c>
      <c r="N774" t="str">
        <f t="shared" si="100"/>
        <v>Invalid</v>
      </c>
      <c r="O774" t="str">
        <f t="shared" ca="1" si="101"/>
        <v>Outdated</v>
      </c>
      <c r="P774" t="str">
        <f t="shared" si="102"/>
        <v>Late Delivery</v>
      </c>
      <c r="Q774" t="str">
        <f t="shared" si="103"/>
        <v/>
      </c>
    </row>
    <row r="775" spans="1:17" x14ac:dyDescent="0.45">
      <c r="A775" t="s">
        <v>1382</v>
      </c>
      <c r="B775" t="s">
        <v>90</v>
      </c>
      <c r="C775" t="s">
        <v>1312</v>
      </c>
      <c r="D775" t="s">
        <v>85</v>
      </c>
      <c r="E775" s="8">
        <v>10109.48</v>
      </c>
      <c r="F775" s="9">
        <v>45331.666684444448</v>
      </c>
      <c r="H775" t="s">
        <v>116</v>
      </c>
      <c r="I775" t="s">
        <v>82</v>
      </c>
      <c r="J775" t="str">
        <f t="shared" si="96"/>
        <v/>
      </c>
      <c r="K775" t="str">
        <f t="shared" si="97"/>
        <v/>
      </c>
      <c r="L775" t="str">
        <f t="shared" si="98"/>
        <v>Unusual</v>
      </c>
      <c r="M775" t="str">
        <f t="shared" si="99"/>
        <v>Invalid</v>
      </c>
      <c r="N775" t="str">
        <f t="shared" si="100"/>
        <v/>
      </c>
      <c r="O775" t="str">
        <f t="shared" ca="1" si="101"/>
        <v>Outdated</v>
      </c>
      <c r="P775" t="str">
        <f t="shared" si="102"/>
        <v>Late Delivery</v>
      </c>
      <c r="Q775" t="str">
        <f t="shared" si="103"/>
        <v/>
      </c>
    </row>
    <row r="776" spans="1:17" x14ac:dyDescent="0.45">
      <c r="A776" t="s">
        <v>1383</v>
      </c>
      <c r="B776" t="s">
        <v>138</v>
      </c>
      <c r="D776" t="s">
        <v>85</v>
      </c>
      <c r="E776" s="8">
        <v>10397.129999999999</v>
      </c>
      <c r="F776" s="9">
        <v>45205.666684444448</v>
      </c>
      <c r="G776" t="s">
        <v>140</v>
      </c>
      <c r="H776" t="s">
        <v>81</v>
      </c>
      <c r="I776" t="s">
        <v>88</v>
      </c>
      <c r="J776" t="str">
        <f t="shared" si="96"/>
        <v>Missing</v>
      </c>
      <c r="K776" t="str">
        <f t="shared" si="97"/>
        <v/>
      </c>
      <c r="L776" t="str">
        <f t="shared" si="98"/>
        <v>Unusual</v>
      </c>
      <c r="M776" t="str">
        <f t="shared" si="99"/>
        <v/>
      </c>
      <c r="N776" t="str">
        <f t="shared" si="100"/>
        <v/>
      </c>
      <c r="O776" t="str">
        <f t="shared" ca="1" si="101"/>
        <v>Outdated</v>
      </c>
      <c r="P776" t="str">
        <f t="shared" si="102"/>
        <v>Late Delivery</v>
      </c>
      <c r="Q776" t="str">
        <f t="shared" si="103"/>
        <v/>
      </c>
    </row>
    <row r="777" spans="1:17" x14ac:dyDescent="0.45">
      <c r="A777" t="s">
        <v>1384</v>
      </c>
      <c r="B777" t="s">
        <v>172</v>
      </c>
      <c r="C777" t="s">
        <v>505</v>
      </c>
      <c r="D777" t="s">
        <v>101</v>
      </c>
      <c r="E777" s="8">
        <v>0</v>
      </c>
      <c r="F777" s="9">
        <v>45734.666684444448</v>
      </c>
      <c r="H777" t="s">
        <v>87</v>
      </c>
      <c r="I777" t="s">
        <v>112</v>
      </c>
      <c r="J777" t="str">
        <f t="shared" si="96"/>
        <v/>
      </c>
      <c r="K777" t="str">
        <f t="shared" si="97"/>
        <v>Duplicate</v>
      </c>
      <c r="L777" t="str">
        <f t="shared" si="98"/>
        <v>Unusual</v>
      </c>
      <c r="M777" t="str">
        <f t="shared" si="99"/>
        <v>Invalid</v>
      </c>
      <c r="N777" t="str">
        <f t="shared" si="100"/>
        <v>Invalid</v>
      </c>
      <c r="O777" t="str">
        <f t="shared" ca="1" si="101"/>
        <v>Outdated</v>
      </c>
      <c r="P777" t="str">
        <f t="shared" si="102"/>
        <v>Damaged</v>
      </c>
      <c r="Q777" t="str">
        <f t="shared" si="103"/>
        <v/>
      </c>
    </row>
    <row r="778" spans="1:17" x14ac:dyDescent="0.45">
      <c r="A778" t="s">
        <v>1385</v>
      </c>
      <c r="B778" t="s">
        <v>172</v>
      </c>
      <c r="C778" t="s">
        <v>1386</v>
      </c>
      <c r="D778" t="s">
        <v>148</v>
      </c>
      <c r="E778" s="8">
        <v>1420.35</v>
      </c>
      <c r="F778" s="9">
        <v>45835.666684444448</v>
      </c>
      <c r="G778" t="s">
        <v>174</v>
      </c>
      <c r="H778" t="s">
        <v>133</v>
      </c>
      <c r="I778" t="s">
        <v>77</v>
      </c>
      <c r="J778" t="str">
        <f t="shared" si="96"/>
        <v/>
      </c>
      <c r="K778" t="str">
        <f t="shared" si="97"/>
        <v/>
      </c>
      <c r="L778" t="str">
        <f t="shared" si="98"/>
        <v/>
      </c>
      <c r="M778" t="str">
        <f t="shared" si="99"/>
        <v/>
      </c>
      <c r="N778" t="str">
        <f t="shared" si="100"/>
        <v>Invalid</v>
      </c>
      <c r="O778" t="str">
        <f t="shared" ca="1" si="101"/>
        <v>Outdated</v>
      </c>
      <c r="P778" t="str">
        <f t="shared" si="102"/>
        <v>Wrong Item</v>
      </c>
      <c r="Q778" t="str">
        <f t="shared" si="103"/>
        <v>Inconsistent</v>
      </c>
    </row>
    <row r="779" spans="1:17" x14ac:dyDescent="0.45">
      <c r="A779" t="s">
        <v>1387</v>
      </c>
      <c r="B779" t="s">
        <v>90</v>
      </c>
      <c r="C779" t="s">
        <v>674</v>
      </c>
      <c r="D779" t="s">
        <v>106</v>
      </c>
      <c r="E779" s="8">
        <v>3000.99</v>
      </c>
      <c r="F779" s="9">
        <v>45770.666684444448</v>
      </c>
      <c r="G779" t="s">
        <v>296</v>
      </c>
      <c r="I779" t="s">
        <v>163</v>
      </c>
      <c r="J779" t="str">
        <f t="shared" si="96"/>
        <v/>
      </c>
      <c r="K779" t="str">
        <f t="shared" si="97"/>
        <v/>
      </c>
      <c r="L779" t="str">
        <f t="shared" si="98"/>
        <v/>
      </c>
      <c r="M779" t="str">
        <f t="shared" si="99"/>
        <v>Invalid</v>
      </c>
      <c r="N779" t="str">
        <f t="shared" si="100"/>
        <v>Invalid</v>
      </c>
      <c r="O779" t="str">
        <f t="shared" ca="1" si="101"/>
        <v>Outdated</v>
      </c>
      <c r="P779" t="str">
        <f t="shared" si="102"/>
        <v>Damaged</v>
      </c>
      <c r="Q779" t="str">
        <f t="shared" si="103"/>
        <v>Inconsistent</v>
      </c>
    </row>
    <row r="780" spans="1:17" x14ac:dyDescent="0.45">
      <c r="A780" t="s">
        <v>1388</v>
      </c>
      <c r="B780" t="s">
        <v>109</v>
      </c>
      <c r="C780" t="s">
        <v>1389</v>
      </c>
      <c r="D780" t="s">
        <v>74</v>
      </c>
      <c r="E780" s="8">
        <v>6147.6</v>
      </c>
      <c r="F780" s="9">
        <v>45376.666684444448</v>
      </c>
      <c r="G780" t="s">
        <v>111</v>
      </c>
      <c r="H780" t="s">
        <v>107</v>
      </c>
      <c r="I780" t="s">
        <v>112</v>
      </c>
      <c r="J780" t="str">
        <f t="shared" si="96"/>
        <v/>
      </c>
      <c r="K780" t="str">
        <f t="shared" si="97"/>
        <v/>
      </c>
      <c r="L780" t="str">
        <f t="shared" si="98"/>
        <v/>
      </c>
      <c r="M780" t="str">
        <f t="shared" si="99"/>
        <v/>
      </c>
      <c r="N780" t="str">
        <f t="shared" si="100"/>
        <v/>
      </c>
      <c r="O780" t="str">
        <f t="shared" ca="1" si="101"/>
        <v>Outdated</v>
      </c>
      <c r="P780" t="str">
        <f t="shared" si="102"/>
        <v>Wrong Item</v>
      </c>
      <c r="Q780" t="str">
        <f t="shared" si="103"/>
        <v/>
      </c>
    </row>
    <row r="781" spans="1:17" x14ac:dyDescent="0.45">
      <c r="A781" t="s">
        <v>1390</v>
      </c>
      <c r="B781" t="s">
        <v>172</v>
      </c>
      <c r="D781" t="s">
        <v>74</v>
      </c>
      <c r="E781" s="8">
        <v>6851.9</v>
      </c>
      <c r="F781" s="9">
        <v>45232.666684444448</v>
      </c>
      <c r="G781" t="s">
        <v>174</v>
      </c>
      <c r="I781" t="s">
        <v>77</v>
      </c>
      <c r="J781" t="str">
        <f t="shared" si="96"/>
        <v>Missing</v>
      </c>
      <c r="K781" t="str">
        <f t="shared" si="97"/>
        <v/>
      </c>
      <c r="L781" t="str">
        <f t="shared" si="98"/>
        <v/>
      </c>
      <c r="M781" t="str">
        <f t="shared" si="99"/>
        <v/>
      </c>
      <c r="N781" t="str">
        <f t="shared" si="100"/>
        <v>Invalid</v>
      </c>
      <c r="O781" t="str">
        <f t="shared" ca="1" si="101"/>
        <v>Outdated</v>
      </c>
      <c r="P781" t="str">
        <f t="shared" si="102"/>
        <v>Wrong Item</v>
      </c>
      <c r="Q781" t="str">
        <f t="shared" si="103"/>
        <v/>
      </c>
    </row>
    <row r="782" spans="1:17" x14ac:dyDescent="0.45">
      <c r="A782" t="s">
        <v>1391</v>
      </c>
      <c r="B782" t="s">
        <v>72</v>
      </c>
      <c r="D782" t="s">
        <v>74</v>
      </c>
      <c r="E782" s="8">
        <v>7937.37</v>
      </c>
      <c r="F782" s="9">
        <v>45841.666684444448</v>
      </c>
      <c r="G782" t="s">
        <v>75</v>
      </c>
      <c r="H782" t="s">
        <v>133</v>
      </c>
      <c r="I782" t="s">
        <v>77</v>
      </c>
      <c r="J782" t="str">
        <f t="shared" si="96"/>
        <v>Missing</v>
      </c>
      <c r="K782" t="str">
        <f t="shared" si="97"/>
        <v/>
      </c>
      <c r="L782" t="str">
        <f t="shared" si="98"/>
        <v/>
      </c>
      <c r="M782" t="str">
        <f t="shared" si="99"/>
        <v/>
      </c>
      <c r="N782" t="str">
        <f t="shared" si="100"/>
        <v>Invalid</v>
      </c>
      <c r="O782" t="str">
        <f t="shared" ca="1" si="101"/>
        <v>Outdated</v>
      </c>
      <c r="P782" t="str">
        <f t="shared" si="102"/>
        <v>Wrong Item</v>
      </c>
      <c r="Q782" t="str">
        <f t="shared" si="103"/>
        <v/>
      </c>
    </row>
    <row r="783" spans="1:17" x14ac:dyDescent="0.45">
      <c r="A783" t="s">
        <v>1392</v>
      </c>
      <c r="B783" t="s">
        <v>109</v>
      </c>
      <c r="C783" t="s">
        <v>1393</v>
      </c>
      <c r="E783" s="8">
        <v>4912.67</v>
      </c>
      <c r="F783" s="9">
        <v>45436.666684444448</v>
      </c>
      <c r="G783" t="s">
        <v>111</v>
      </c>
      <c r="H783" t="s">
        <v>118</v>
      </c>
      <c r="I783" t="s">
        <v>82</v>
      </c>
      <c r="J783" t="str">
        <f t="shared" si="96"/>
        <v>Missing</v>
      </c>
      <c r="K783" t="str">
        <f t="shared" si="97"/>
        <v/>
      </c>
      <c r="L783" t="str">
        <f t="shared" si="98"/>
        <v/>
      </c>
      <c r="M783" t="str">
        <f t="shared" si="99"/>
        <v/>
      </c>
      <c r="N783" t="str">
        <f t="shared" si="100"/>
        <v>Invalid</v>
      </c>
      <c r="O783" t="str">
        <f t="shared" ca="1" si="101"/>
        <v>Outdated</v>
      </c>
      <c r="P783" t="str">
        <f t="shared" si="102"/>
        <v/>
      </c>
      <c r="Q783" t="str">
        <f t="shared" si="103"/>
        <v/>
      </c>
    </row>
    <row r="784" spans="1:17" x14ac:dyDescent="0.45">
      <c r="A784" t="s">
        <v>1394</v>
      </c>
      <c r="B784" t="s">
        <v>104</v>
      </c>
      <c r="C784" t="s">
        <v>1395</v>
      </c>
      <c r="D784" t="s">
        <v>92</v>
      </c>
      <c r="E784" s="8">
        <v>174.18</v>
      </c>
      <c r="F784" s="9">
        <v>45828.666684444448</v>
      </c>
      <c r="G784" t="s">
        <v>115</v>
      </c>
      <c r="H784" t="s">
        <v>87</v>
      </c>
      <c r="I784" t="s">
        <v>88</v>
      </c>
      <c r="J784" t="str">
        <f t="shared" si="96"/>
        <v/>
      </c>
      <c r="K784" t="str">
        <f t="shared" si="97"/>
        <v/>
      </c>
      <c r="L784" t="str">
        <f t="shared" si="98"/>
        <v/>
      </c>
      <c r="M784" t="str">
        <f t="shared" si="99"/>
        <v/>
      </c>
      <c r="N784" t="str">
        <f t="shared" si="100"/>
        <v>Invalid</v>
      </c>
      <c r="O784" t="str">
        <f t="shared" ca="1" si="101"/>
        <v>Outdated</v>
      </c>
      <c r="P784" t="str">
        <f t="shared" si="102"/>
        <v>Not As Described</v>
      </c>
      <c r="Q784" t="str">
        <f t="shared" si="103"/>
        <v/>
      </c>
    </row>
    <row r="785" spans="1:17" x14ac:dyDescent="0.45">
      <c r="A785" t="s">
        <v>1396</v>
      </c>
      <c r="B785" t="s">
        <v>99</v>
      </c>
      <c r="C785" t="s">
        <v>1397</v>
      </c>
      <c r="D785" t="s">
        <v>85</v>
      </c>
      <c r="E785" s="8">
        <v>4827.3</v>
      </c>
      <c r="F785" s="9">
        <v>45742.666684444448</v>
      </c>
      <c r="G785" t="s">
        <v>102</v>
      </c>
      <c r="H785" t="s">
        <v>133</v>
      </c>
      <c r="I785" t="s">
        <v>82</v>
      </c>
      <c r="J785" t="str">
        <f t="shared" si="96"/>
        <v/>
      </c>
      <c r="K785" t="str">
        <f t="shared" si="97"/>
        <v/>
      </c>
      <c r="L785" t="str">
        <f t="shared" si="98"/>
        <v/>
      </c>
      <c r="M785" t="str">
        <f t="shared" si="99"/>
        <v/>
      </c>
      <c r="N785" t="str">
        <f t="shared" si="100"/>
        <v>Invalid</v>
      </c>
      <c r="O785" t="str">
        <f t="shared" ca="1" si="101"/>
        <v>Outdated</v>
      </c>
      <c r="P785" t="str">
        <f t="shared" si="102"/>
        <v>Late Delivery</v>
      </c>
      <c r="Q785" t="str">
        <f t="shared" si="103"/>
        <v/>
      </c>
    </row>
    <row r="786" spans="1:17" x14ac:dyDescent="0.45">
      <c r="A786" t="s">
        <v>1398</v>
      </c>
      <c r="B786" t="s">
        <v>90</v>
      </c>
      <c r="C786" t="s">
        <v>1399</v>
      </c>
      <c r="D786" t="s">
        <v>101</v>
      </c>
      <c r="E786" s="8">
        <v>2195.2199999999998</v>
      </c>
      <c r="F786" s="9">
        <v>45251.666684444448</v>
      </c>
      <c r="G786" t="s">
        <v>93</v>
      </c>
      <c r="I786" t="s">
        <v>82</v>
      </c>
      <c r="J786" t="str">
        <f t="shared" si="96"/>
        <v/>
      </c>
      <c r="K786" t="str">
        <f t="shared" si="97"/>
        <v/>
      </c>
      <c r="L786" t="str">
        <f t="shared" si="98"/>
        <v/>
      </c>
      <c r="M786" t="str">
        <f t="shared" si="99"/>
        <v/>
      </c>
      <c r="N786" t="str">
        <f t="shared" si="100"/>
        <v>Invalid</v>
      </c>
      <c r="O786" t="str">
        <f t="shared" ca="1" si="101"/>
        <v>Outdated</v>
      </c>
      <c r="P786" t="str">
        <f t="shared" si="102"/>
        <v>Damaged</v>
      </c>
      <c r="Q786" t="str">
        <f t="shared" si="103"/>
        <v/>
      </c>
    </row>
    <row r="787" spans="1:17" x14ac:dyDescent="0.45">
      <c r="A787" t="s">
        <v>1400</v>
      </c>
      <c r="B787" t="s">
        <v>90</v>
      </c>
      <c r="C787" t="s">
        <v>373</v>
      </c>
      <c r="D787" t="s">
        <v>85</v>
      </c>
      <c r="E787" s="8">
        <v>11813.3</v>
      </c>
      <c r="F787" s="9">
        <v>45707.666684444448</v>
      </c>
      <c r="G787" t="s">
        <v>93</v>
      </c>
      <c r="H787" t="s">
        <v>76</v>
      </c>
      <c r="I787" t="s">
        <v>119</v>
      </c>
      <c r="J787" t="str">
        <f t="shared" si="96"/>
        <v/>
      </c>
      <c r="K787" t="str">
        <f t="shared" si="97"/>
        <v/>
      </c>
      <c r="L787" t="str">
        <f t="shared" si="98"/>
        <v>Unusual</v>
      </c>
      <c r="M787" t="str">
        <f t="shared" si="99"/>
        <v/>
      </c>
      <c r="N787" t="str">
        <f t="shared" si="100"/>
        <v/>
      </c>
      <c r="O787" t="str">
        <f t="shared" ca="1" si="101"/>
        <v>Outdated</v>
      </c>
      <c r="P787" t="str">
        <f t="shared" si="102"/>
        <v>Late Delivery</v>
      </c>
      <c r="Q787" t="str">
        <f t="shared" si="103"/>
        <v/>
      </c>
    </row>
    <row r="788" spans="1:17" x14ac:dyDescent="0.45">
      <c r="A788" t="s">
        <v>1401</v>
      </c>
      <c r="B788" t="s">
        <v>90</v>
      </c>
      <c r="C788" t="s">
        <v>440</v>
      </c>
      <c r="D788" t="s">
        <v>101</v>
      </c>
      <c r="E788" s="8">
        <v>7196.45</v>
      </c>
      <c r="F788" s="9">
        <v>45170.666684444448</v>
      </c>
      <c r="G788" t="s">
        <v>93</v>
      </c>
      <c r="H788" t="s">
        <v>76</v>
      </c>
      <c r="I788" t="s">
        <v>82</v>
      </c>
      <c r="J788" t="str">
        <f t="shared" si="96"/>
        <v/>
      </c>
      <c r="K788" t="str">
        <f t="shared" si="97"/>
        <v/>
      </c>
      <c r="L788" t="str">
        <f t="shared" si="98"/>
        <v/>
      </c>
      <c r="M788" t="str">
        <f t="shared" si="99"/>
        <v/>
      </c>
      <c r="N788" t="str">
        <f t="shared" si="100"/>
        <v/>
      </c>
      <c r="O788" t="str">
        <f t="shared" ca="1" si="101"/>
        <v>Outdated</v>
      </c>
      <c r="P788" t="str">
        <f t="shared" si="102"/>
        <v>Damaged</v>
      </c>
      <c r="Q788" t="str">
        <f t="shared" si="103"/>
        <v/>
      </c>
    </row>
    <row r="789" spans="1:17" x14ac:dyDescent="0.45">
      <c r="A789" t="s">
        <v>1402</v>
      </c>
      <c r="B789" t="s">
        <v>138</v>
      </c>
      <c r="C789" t="s">
        <v>784</v>
      </c>
      <c r="D789" t="s">
        <v>85</v>
      </c>
      <c r="E789" s="8">
        <v>8989.89</v>
      </c>
      <c r="F789" s="9">
        <v>45483.666684444448</v>
      </c>
      <c r="G789" t="s">
        <v>140</v>
      </c>
      <c r="H789" t="s">
        <v>128</v>
      </c>
      <c r="I789" t="s">
        <v>163</v>
      </c>
      <c r="J789" t="str">
        <f t="shared" si="96"/>
        <v/>
      </c>
      <c r="K789" t="str">
        <f t="shared" si="97"/>
        <v/>
      </c>
      <c r="L789" t="str">
        <f t="shared" si="98"/>
        <v/>
      </c>
      <c r="M789" t="str">
        <f t="shared" si="99"/>
        <v/>
      </c>
      <c r="N789" t="str">
        <f t="shared" si="100"/>
        <v>Invalid</v>
      </c>
      <c r="O789" t="str">
        <f t="shared" ca="1" si="101"/>
        <v>Outdated</v>
      </c>
      <c r="P789" t="str">
        <f t="shared" si="102"/>
        <v>Late Delivery</v>
      </c>
      <c r="Q789" t="str">
        <f t="shared" si="103"/>
        <v/>
      </c>
    </row>
    <row r="790" spans="1:17" x14ac:dyDescent="0.45">
      <c r="A790" t="s">
        <v>1403</v>
      </c>
      <c r="B790" t="s">
        <v>90</v>
      </c>
      <c r="C790" t="s">
        <v>321</v>
      </c>
      <c r="D790" t="s">
        <v>92</v>
      </c>
      <c r="E790" s="8">
        <v>7330.32</v>
      </c>
      <c r="F790" s="9">
        <v>45673.666684444448</v>
      </c>
      <c r="G790" t="s">
        <v>93</v>
      </c>
      <c r="H790" t="s">
        <v>136</v>
      </c>
      <c r="I790" t="s">
        <v>77</v>
      </c>
      <c r="J790" t="str">
        <f t="shared" si="96"/>
        <v/>
      </c>
      <c r="K790" t="str">
        <f t="shared" si="97"/>
        <v/>
      </c>
      <c r="L790" t="str">
        <f t="shared" si="98"/>
        <v/>
      </c>
      <c r="M790" t="str">
        <f t="shared" si="99"/>
        <v/>
      </c>
      <c r="N790" t="str">
        <f t="shared" si="100"/>
        <v>Invalid</v>
      </c>
      <c r="O790" t="str">
        <f t="shared" ca="1" si="101"/>
        <v>Outdated</v>
      </c>
      <c r="P790" t="str">
        <f t="shared" si="102"/>
        <v>Not As Described</v>
      </c>
      <c r="Q790" t="str">
        <f t="shared" si="103"/>
        <v/>
      </c>
    </row>
    <row r="791" spans="1:17" x14ac:dyDescent="0.45">
      <c r="A791" t="s">
        <v>1404</v>
      </c>
      <c r="B791" t="s">
        <v>172</v>
      </c>
      <c r="C791" t="s">
        <v>135</v>
      </c>
      <c r="D791" t="s">
        <v>106</v>
      </c>
      <c r="E791" s="8">
        <v>185.37</v>
      </c>
      <c r="F791" s="9">
        <v>45566.666684444448</v>
      </c>
      <c r="H791" t="s">
        <v>133</v>
      </c>
      <c r="I791" t="s">
        <v>82</v>
      </c>
      <c r="J791" t="str">
        <f t="shared" si="96"/>
        <v/>
      </c>
      <c r="K791" t="str">
        <f t="shared" si="97"/>
        <v/>
      </c>
      <c r="L791" t="str">
        <f t="shared" si="98"/>
        <v/>
      </c>
      <c r="M791" t="str">
        <f t="shared" si="99"/>
        <v>Invalid</v>
      </c>
      <c r="N791" t="str">
        <f t="shared" si="100"/>
        <v>Invalid</v>
      </c>
      <c r="O791" t="str">
        <f t="shared" ca="1" si="101"/>
        <v>Outdated</v>
      </c>
      <c r="P791" t="str">
        <f t="shared" si="102"/>
        <v>Damaged</v>
      </c>
      <c r="Q791" t="str">
        <f t="shared" si="103"/>
        <v>Inconsistent</v>
      </c>
    </row>
    <row r="792" spans="1:17" x14ac:dyDescent="0.45">
      <c r="A792" t="s">
        <v>1405</v>
      </c>
      <c r="B792" t="s">
        <v>172</v>
      </c>
      <c r="C792" t="s">
        <v>123</v>
      </c>
      <c r="D792" t="s">
        <v>155</v>
      </c>
      <c r="E792" s="8">
        <v>2691.28</v>
      </c>
      <c r="F792" s="9">
        <v>45805.666684444448</v>
      </c>
      <c r="G792" t="s">
        <v>174</v>
      </c>
      <c r="H792" t="s">
        <v>133</v>
      </c>
      <c r="I792" t="s">
        <v>82</v>
      </c>
      <c r="J792" t="str">
        <f t="shared" si="96"/>
        <v/>
      </c>
      <c r="K792" t="str">
        <f t="shared" si="97"/>
        <v/>
      </c>
      <c r="L792" t="str">
        <f t="shared" si="98"/>
        <v/>
      </c>
      <c r="M792" t="str">
        <f t="shared" si="99"/>
        <v/>
      </c>
      <c r="N792" t="str">
        <f t="shared" si="100"/>
        <v>Invalid</v>
      </c>
      <c r="O792" t="str">
        <f t="shared" ca="1" si="101"/>
        <v>Outdated</v>
      </c>
      <c r="P792" t="str">
        <f t="shared" si="102"/>
        <v>Damaged</v>
      </c>
      <c r="Q792" t="str">
        <f t="shared" si="103"/>
        <v>Inconsistent</v>
      </c>
    </row>
    <row r="793" spans="1:17" x14ac:dyDescent="0.45">
      <c r="A793" t="s">
        <v>1406</v>
      </c>
      <c r="B793" t="s">
        <v>99</v>
      </c>
      <c r="C793" t="s">
        <v>1407</v>
      </c>
      <c r="D793" t="s">
        <v>155</v>
      </c>
      <c r="E793" s="8">
        <v>4991.88</v>
      </c>
      <c r="F793" s="9">
        <v>45507.666684444448</v>
      </c>
      <c r="G793" t="s">
        <v>102</v>
      </c>
      <c r="H793" t="s">
        <v>136</v>
      </c>
      <c r="I793" t="s">
        <v>77</v>
      </c>
      <c r="J793" t="str">
        <f t="shared" si="96"/>
        <v/>
      </c>
      <c r="K793" t="str">
        <f t="shared" si="97"/>
        <v/>
      </c>
      <c r="L793" t="str">
        <f t="shared" si="98"/>
        <v/>
      </c>
      <c r="M793" t="str">
        <f t="shared" si="99"/>
        <v/>
      </c>
      <c r="N793" t="str">
        <f t="shared" si="100"/>
        <v>Invalid</v>
      </c>
      <c r="O793" t="str">
        <f t="shared" ca="1" si="101"/>
        <v>Outdated</v>
      </c>
      <c r="P793" t="str">
        <f t="shared" si="102"/>
        <v>Damaged</v>
      </c>
      <c r="Q793" t="str">
        <f t="shared" si="103"/>
        <v>Inconsistent</v>
      </c>
    </row>
    <row r="794" spans="1:17" x14ac:dyDescent="0.45">
      <c r="A794" t="s">
        <v>1408</v>
      </c>
      <c r="B794" t="s">
        <v>99</v>
      </c>
      <c r="C794" t="s">
        <v>1409</v>
      </c>
      <c r="D794" t="s">
        <v>101</v>
      </c>
      <c r="E794" s="8">
        <v>1125.8599999999999</v>
      </c>
      <c r="F794" s="9">
        <v>45198.666684444448</v>
      </c>
      <c r="G794" t="s">
        <v>102</v>
      </c>
      <c r="H794" t="s">
        <v>133</v>
      </c>
      <c r="I794" t="s">
        <v>119</v>
      </c>
      <c r="J794" t="str">
        <f t="shared" si="96"/>
        <v/>
      </c>
      <c r="K794" t="str">
        <f t="shared" si="97"/>
        <v/>
      </c>
      <c r="L794" t="str">
        <f t="shared" si="98"/>
        <v/>
      </c>
      <c r="M794" t="str">
        <f t="shared" si="99"/>
        <v/>
      </c>
      <c r="N794" t="str">
        <f t="shared" si="100"/>
        <v>Invalid</v>
      </c>
      <c r="O794" t="str">
        <f t="shared" ca="1" si="101"/>
        <v>Outdated</v>
      </c>
      <c r="P794" t="str">
        <f t="shared" si="102"/>
        <v>Damaged</v>
      </c>
      <c r="Q794" t="str">
        <f t="shared" si="103"/>
        <v/>
      </c>
    </row>
    <row r="795" spans="1:17" x14ac:dyDescent="0.45">
      <c r="A795" t="s">
        <v>1410</v>
      </c>
      <c r="B795" t="s">
        <v>109</v>
      </c>
      <c r="D795" t="s">
        <v>85</v>
      </c>
      <c r="E795" s="8">
        <v>6770.34</v>
      </c>
      <c r="F795" s="9">
        <v>45646.666684444448</v>
      </c>
      <c r="G795" t="s">
        <v>111</v>
      </c>
      <c r="H795" t="s">
        <v>76</v>
      </c>
      <c r="I795" t="s">
        <v>119</v>
      </c>
      <c r="J795" t="str">
        <f t="shared" si="96"/>
        <v>Missing</v>
      </c>
      <c r="K795" t="str">
        <f t="shared" si="97"/>
        <v/>
      </c>
      <c r="L795" t="str">
        <f t="shared" si="98"/>
        <v/>
      </c>
      <c r="M795" t="str">
        <f t="shared" si="99"/>
        <v/>
      </c>
      <c r="N795" t="str">
        <f t="shared" si="100"/>
        <v/>
      </c>
      <c r="O795" t="str">
        <f t="shared" ca="1" si="101"/>
        <v>Outdated</v>
      </c>
      <c r="P795" t="str">
        <f t="shared" si="102"/>
        <v>Late Delivery</v>
      </c>
      <c r="Q795" t="str">
        <f t="shared" si="103"/>
        <v/>
      </c>
    </row>
    <row r="796" spans="1:17" x14ac:dyDescent="0.45">
      <c r="A796" t="s">
        <v>1411</v>
      </c>
      <c r="B796" t="s">
        <v>172</v>
      </c>
      <c r="C796" t="s">
        <v>766</v>
      </c>
      <c r="D796" t="s">
        <v>92</v>
      </c>
      <c r="E796" s="8">
        <v>8782.48</v>
      </c>
      <c r="F796" s="9">
        <v>45791.666684444448</v>
      </c>
      <c r="G796" t="s">
        <v>174</v>
      </c>
      <c r="H796" t="s">
        <v>118</v>
      </c>
      <c r="I796" t="s">
        <v>112</v>
      </c>
      <c r="J796" t="str">
        <f t="shared" si="96"/>
        <v/>
      </c>
      <c r="K796" t="str">
        <f t="shared" si="97"/>
        <v/>
      </c>
      <c r="L796" t="str">
        <f t="shared" si="98"/>
        <v/>
      </c>
      <c r="M796" t="str">
        <f t="shared" si="99"/>
        <v/>
      </c>
      <c r="N796" t="str">
        <f t="shared" si="100"/>
        <v>Invalid</v>
      </c>
      <c r="O796" t="str">
        <f t="shared" ca="1" si="101"/>
        <v>Outdated</v>
      </c>
      <c r="P796" t="str">
        <f t="shared" si="102"/>
        <v>Not As Described</v>
      </c>
      <c r="Q796" t="str">
        <f t="shared" si="103"/>
        <v/>
      </c>
    </row>
    <row r="797" spans="1:17" x14ac:dyDescent="0.45">
      <c r="A797" t="s">
        <v>1412</v>
      </c>
      <c r="B797" t="s">
        <v>172</v>
      </c>
      <c r="C797" t="s">
        <v>1413</v>
      </c>
      <c r="D797" t="s">
        <v>155</v>
      </c>
      <c r="E797" s="8">
        <v>11339.6</v>
      </c>
      <c r="F797" s="9">
        <v>45477.666684444448</v>
      </c>
      <c r="G797" t="s">
        <v>174</v>
      </c>
      <c r="H797" t="s">
        <v>116</v>
      </c>
      <c r="I797" t="s">
        <v>77</v>
      </c>
      <c r="J797" t="str">
        <f t="shared" si="96"/>
        <v/>
      </c>
      <c r="K797" t="str">
        <f t="shared" si="97"/>
        <v/>
      </c>
      <c r="L797" t="str">
        <f t="shared" si="98"/>
        <v>Unusual</v>
      </c>
      <c r="M797" t="str">
        <f t="shared" si="99"/>
        <v/>
      </c>
      <c r="N797" t="str">
        <f t="shared" si="100"/>
        <v/>
      </c>
      <c r="O797" t="str">
        <f t="shared" ca="1" si="101"/>
        <v>Outdated</v>
      </c>
      <c r="P797" t="str">
        <f t="shared" si="102"/>
        <v>Damaged</v>
      </c>
      <c r="Q797" t="str">
        <f t="shared" si="103"/>
        <v>Inconsistent</v>
      </c>
    </row>
    <row r="798" spans="1:17" x14ac:dyDescent="0.45">
      <c r="A798" t="s">
        <v>1414</v>
      </c>
      <c r="B798" t="s">
        <v>138</v>
      </c>
      <c r="C798" t="s">
        <v>519</v>
      </c>
      <c r="D798" t="s">
        <v>74</v>
      </c>
      <c r="E798" s="8">
        <v>6854.57</v>
      </c>
      <c r="F798" s="9">
        <v>45140.666684444448</v>
      </c>
      <c r="G798" t="s">
        <v>140</v>
      </c>
      <c r="I798" t="s">
        <v>112</v>
      </c>
      <c r="J798" t="str">
        <f t="shared" si="96"/>
        <v/>
      </c>
      <c r="K798" t="str">
        <f t="shared" si="97"/>
        <v/>
      </c>
      <c r="L798" t="str">
        <f t="shared" si="98"/>
        <v/>
      </c>
      <c r="M798" t="str">
        <f t="shared" si="99"/>
        <v/>
      </c>
      <c r="N798" t="str">
        <f t="shared" si="100"/>
        <v>Invalid</v>
      </c>
      <c r="O798" t="str">
        <f t="shared" ca="1" si="101"/>
        <v>Outdated</v>
      </c>
      <c r="P798" t="str">
        <f t="shared" si="102"/>
        <v>Wrong Item</v>
      </c>
      <c r="Q798" t="str">
        <f t="shared" si="103"/>
        <v/>
      </c>
    </row>
    <row r="799" spans="1:17" x14ac:dyDescent="0.45">
      <c r="A799" t="s">
        <v>1415</v>
      </c>
      <c r="B799" t="s">
        <v>172</v>
      </c>
      <c r="C799" t="s">
        <v>1416</v>
      </c>
      <c r="D799" t="s">
        <v>101</v>
      </c>
      <c r="E799" s="8">
        <v>3302.83</v>
      </c>
      <c r="F799" s="9">
        <v>45558.666684444448</v>
      </c>
      <c r="G799" t="s">
        <v>174</v>
      </c>
      <c r="H799" t="s">
        <v>136</v>
      </c>
      <c r="I799" t="s">
        <v>82</v>
      </c>
      <c r="J799" t="str">
        <f t="shared" si="96"/>
        <v/>
      </c>
      <c r="K799" t="str">
        <f t="shared" si="97"/>
        <v/>
      </c>
      <c r="L799" t="str">
        <f t="shared" si="98"/>
        <v/>
      </c>
      <c r="M799" t="str">
        <f t="shared" si="99"/>
        <v/>
      </c>
      <c r="N799" t="str">
        <f t="shared" si="100"/>
        <v>Invalid</v>
      </c>
      <c r="O799" t="str">
        <f t="shared" ca="1" si="101"/>
        <v>Outdated</v>
      </c>
      <c r="P799" t="str">
        <f t="shared" si="102"/>
        <v>Damaged</v>
      </c>
      <c r="Q799" t="str">
        <f t="shared" si="103"/>
        <v/>
      </c>
    </row>
    <row r="800" spans="1:17" x14ac:dyDescent="0.45">
      <c r="A800" t="s">
        <v>1417</v>
      </c>
      <c r="B800" t="s">
        <v>172</v>
      </c>
      <c r="C800" t="s">
        <v>1418</v>
      </c>
      <c r="D800" t="s">
        <v>74</v>
      </c>
      <c r="E800" s="8">
        <v>0</v>
      </c>
      <c r="F800" s="9">
        <v>45629.666684444448</v>
      </c>
      <c r="G800" t="s">
        <v>174</v>
      </c>
      <c r="I800" t="s">
        <v>112</v>
      </c>
      <c r="J800" t="str">
        <f t="shared" si="96"/>
        <v/>
      </c>
      <c r="K800" t="str">
        <f t="shared" si="97"/>
        <v/>
      </c>
      <c r="L800" t="str">
        <f t="shared" si="98"/>
        <v>Unusual</v>
      </c>
      <c r="M800" t="str">
        <f t="shared" si="99"/>
        <v/>
      </c>
      <c r="N800" t="str">
        <f t="shared" si="100"/>
        <v>Invalid</v>
      </c>
      <c r="O800" t="str">
        <f t="shared" ca="1" si="101"/>
        <v>Outdated</v>
      </c>
      <c r="P800" t="str">
        <f t="shared" si="102"/>
        <v>Wrong Item</v>
      </c>
      <c r="Q800" t="str">
        <f t="shared" si="103"/>
        <v/>
      </c>
    </row>
    <row r="801" spans="1:17" x14ac:dyDescent="0.45">
      <c r="A801" t="s">
        <v>1419</v>
      </c>
      <c r="B801" t="s">
        <v>72</v>
      </c>
      <c r="C801" t="s">
        <v>1420</v>
      </c>
      <c r="D801" t="s">
        <v>85</v>
      </c>
      <c r="E801" s="8">
        <v>5796.14</v>
      </c>
      <c r="F801" s="9">
        <v>45236.666684444448</v>
      </c>
      <c r="G801" t="s">
        <v>75</v>
      </c>
      <c r="H801" t="s">
        <v>87</v>
      </c>
      <c r="I801" t="s">
        <v>163</v>
      </c>
      <c r="J801" t="str">
        <f t="shared" si="96"/>
        <v/>
      </c>
      <c r="K801" t="str">
        <f t="shared" si="97"/>
        <v/>
      </c>
      <c r="L801" t="str">
        <f t="shared" si="98"/>
        <v/>
      </c>
      <c r="M801" t="str">
        <f t="shared" si="99"/>
        <v/>
      </c>
      <c r="N801" t="str">
        <f t="shared" si="100"/>
        <v>Invalid</v>
      </c>
      <c r="O801" t="str">
        <f t="shared" ca="1" si="101"/>
        <v>Outdated</v>
      </c>
      <c r="P801" t="str">
        <f t="shared" si="102"/>
        <v>Late Delivery</v>
      </c>
      <c r="Q801" t="str">
        <f t="shared" si="103"/>
        <v/>
      </c>
    </row>
    <row r="802" spans="1:17" x14ac:dyDescent="0.45">
      <c r="A802" t="s">
        <v>1421</v>
      </c>
      <c r="B802" t="s">
        <v>72</v>
      </c>
      <c r="D802" t="s">
        <v>101</v>
      </c>
      <c r="E802" s="8">
        <v>11792.16</v>
      </c>
      <c r="F802" s="9">
        <v>45571.666684444448</v>
      </c>
      <c r="G802" t="s">
        <v>521</v>
      </c>
      <c r="H802" t="s">
        <v>87</v>
      </c>
      <c r="I802" t="s">
        <v>163</v>
      </c>
      <c r="J802" t="str">
        <f t="shared" si="96"/>
        <v>Missing</v>
      </c>
      <c r="K802" t="str">
        <f t="shared" si="97"/>
        <v/>
      </c>
      <c r="L802" t="str">
        <f t="shared" si="98"/>
        <v>Unusual</v>
      </c>
      <c r="M802" t="str">
        <f t="shared" si="99"/>
        <v>Invalid</v>
      </c>
      <c r="N802" t="str">
        <f t="shared" si="100"/>
        <v>Invalid</v>
      </c>
      <c r="O802" t="str">
        <f t="shared" ca="1" si="101"/>
        <v>Outdated</v>
      </c>
      <c r="P802" t="str">
        <f t="shared" si="102"/>
        <v>Damaged</v>
      </c>
      <c r="Q802" t="str">
        <f t="shared" si="103"/>
        <v/>
      </c>
    </row>
    <row r="803" spans="1:17" x14ac:dyDescent="0.45">
      <c r="A803" t="s">
        <v>1422</v>
      </c>
      <c r="B803" t="s">
        <v>172</v>
      </c>
      <c r="C803" t="s">
        <v>814</v>
      </c>
      <c r="D803" t="s">
        <v>101</v>
      </c>
      <c r="E803" s="8">
        <v>4985.2700000000004</v>
      </c>
      <c r="F803" s="9">
        <v>45498.666684444448</v>
      </c>
      <c r="G803" t="s">
        <v>174</v>
      </c>
      <c r="H803" t="s">
        <v>145</v>
      </c>
      <c r="I803" t="s">
        <v>77</v>
      </c>
      <c r="J803" t="str">
        <f t="shared" si="96"/>
        <v/>
      </c>
      <c r="K803" t="str">
        <f t="shared" si="97"/>
        <v/>
      </c>
      <c r="L803" t="str">
        <f t="shared" si="98"/>
        <v/>
      </c>
      <c r="M803" t="str">
        <f t="shared" si="99"/>
        <v/>
      </c>
      <c r="N803" t="str">
        <f t="shared" si="100"/>
        <v/>
      </c>
      <c r="O803" t="str">
        <f t="shared" ca="1" si="101"/>
        <v>Outdated</v>
      </c>
      <c r="P803" t="str">
        <f t="shared" si="102"/>
        <v>Damaged</v>
      </c>
      <c r="Q803" t="str">
        <f t="shared" si="103"/>
        <v/>
      </c>
    </row>
    <row r="804" spans="1:17" x14ac:dyDescent="0.45">
      <c r="A804" t="s">
        <v>1423</v>
      </c>
      <c r="B804" t="s">
        <v>172</v>
      </c>
      <c r="C804" t="s">
        <v>622</v>
      </c>
      <c r="D804" t="s">
        <v>74</v>
      </c>
      <c r="E804" s="8">
        <v>3894.65</v>
      </c>
      <c r="F804" s="9">
        <v>45778.666684444448</v>
      </c>
      <c r="G804" t="s">
        <v>174</v>
      </c>
      <c r="H804" t="s">
        <v>87</v>
      </c>
      <c r="I804" t="s">
        <v>163</v>
      </c>
      <c r="J804" t="str">
        <f t="shared" si="96"/>
        <v/>
      </c>
      <c r="K804" t="str">
        <f t="shared" si="97"/>
        <v/>
      </c>
      <c r="L804" t="str">
        <f t="shared" si="98"/>
        <v/>
      </c>
      <c r="M804" t="str">
        <f t="shared" si="99"/>
        <v/>
      </c>
      <c r="N804" t="str">
        <f t="shared" si="100"/>
        <v>Invalid</v>
      </c>
      <c r="O804" t="str">
        <f t="shared" ca="1" si="101"/>
        <v>Outdated</v>
      </c>
      <c r="P804" t="str">
        <f t="shared" si="102"/>
        <v>Wrong Item</v>
      </c>
      <c r="Q804" t="str">
        <f t="shared" si="103"/>
        <v/>
      </c>
    </row>
    <row r="805" spans="1:17" x14ac:dyDescent="0.45">
      <c r="A805" t="s">
        <v>1424</v>
      </c>
      <c r="B805" t="s">
        <v>172</v>
      </c>
      <c r="C805" t="s">
        <v>1425</v>
      </c>
      <c r="D805" t="s">
        <v>101</v>
      </c>
      <c r="E805" s="8">
        <v>9107.9500000000007</v>
      </c>
      <c r="F805" s="9">
        <v>45598.666684444448</v>
      </c>
      <c r="G805" t="s">
        <v>174</v>
      </c>
      <c r="H805" t="s">
        <v>118</v>
      </c>
      <c r="I805" t="s">
        <v>119</v>
      </c>
      <c r="J805" t="str">
        <f t="shared" si="96"/>
        <v/>
      </c>
      <c r="K805" t="str">
        <f t="shared" si="97"/>
        <v>Duplicate</v>
      </c>
      <c r="L805" t="str">
        <f t="shared" si="98"/>
        <v/>
      </c>
      <c r="M805" t="str">
        <f t="shared" si="99"/>
        <v/>
      </c>
      <c r="N805" t="str">
        <f t="shared" si="100"/>
        <v>Invalid</v>
      </c>
      <c r="O805" t="str">
        <f t="shared" ca="1" si="101"/>
        <v>Outdated</v>
      </c>
      <c r="P805" t="str">
        <f t="shared" si="102"/>
        <v>Damaged</v>
      </c>
      <c r="Q805" t="str">
        <f t="shared" si="103"/>
        <v/>
      </c>
    </row>
    <row r="806" spans="1:17" x14ac:dyDescent="0.45">
      <c r="A806" t="s">
        <v>1426</v>
      </c>
      <c r="B806" t="s">
        <v>99</v>
      </c>
      <c r="C806" t="s">
        <v>1427</v>
      </c>
      <c r="D806" t="s">
        <v>148</v>
      </c>
      <c r="E806" s="8">
        <v>535.92999999999995</v>
      </c>
      <c r="F806" s="9">
        <v>45852.666684444448</v>
      </c>
      <c r="G806" t="s">
        <v>102</v>
      </c>
      <c r="H806" t="s">
        <v>128</v>
      </c>
      <c r="I806" t="s">
        <v>119</v>
      </c>
      <c r="J806" t="str">
        <f t="shared" si="96"/>
        <v/>
      </c>
      <c r="K806" t="str">
        <f t="shared" si="97"/>
        <v/>
      </c>
      <c r="L806" t="str">
        <f t="shared" si="98"/>
        <v/>
      </c>
      <c r="M806" t="str">
        <f t="shared" si="99"/>
        <v/>
      </c>
      <c r="N806" t="str">
        <f t="shared" si="100"/>
        <v>Invalid</v>
      </c>
      <c r="O806" t="str">
        <f t="shared" ca="1" si="101"/>
        <v/>
      </c>
      <c r="P806" t="str">
        <f t="shared" si="102"/>
        <v>Wrong Item</v>
      </c>
      <c r="Q806" t="str">
        <f t="shared" si="103"/>
        <v>Inconsistent</v>
      </c>
    </row>
    <row r="807" spans="1:17" x14ac:dyDescent="0.45">
      <c r="A807" t="s">
        <v>1428</v>
      </c>
      <c r="B807" t="s">
        <v>79</v>
      </c>
      <c r="C807" t="s">
        <v>1429</v>
      </c>
      <c r="D807" t="s">
        <v>74</v>
      </c>
      <c r="E807" s="8">
        <v>3507.64</v>
      </c>
      <c r="F807" s="9">
        <v>45284.666684444448</v>
      </c>
      <c r="G807" t="s">
        <v>86</v>
      </c>
      <c r="H807" t="s">
        <v>81</v>
      </c>
      <c r="I807" t="s">
        <v>88</v>
      </c>
      <c r="J807" t="str">
        <f t="shared" si="96"/>
        <v/>
      </c>
      <c r="K807" t="str">
        <f t="shared" si="97"/>
        <v/>
      </c>
      <c r="L807" t="str">
        <f t="shared" si="98"/>
        <v/>
      </c>
      <c r="M807" t="str">
        <f t="shared" si="99"/>
        <v/>
      </c>
      <c r="N807" t="str">
        <f t="shared" si="100"/>
        <v/>
      </c>
      <c r="O807" t="str">
        <f t="shared" ca="1" si="101"/>
        <v>Outdated</v>
      </c>
      <c r="P807" t="str">
        <f t="shared" si="102"/>
        <v>Wrong Item</v>
      </c>
      <c r="Q807" t="str">
        <f t="shared" si="103"/>
        <v/>
      </c>
    </row>
    <row r="808" spans="1:17" x14ac:dyDescent="0.45">
      <c r="A808" t="s">
        <v>1430</v>
      </c>
      <c r="B808" t="s">
        <v>72</v>
      </c>
      <c r="C808" t="s">
        <v>1431</v>
      </c>
      <c r="D808" t="s">
        <v>92</v>
      </c>
      <c r="E808" s="8">
        <v>1050.9100000000001</v>
      </c>
      <c r="F808" s="9">
        <v>45573.666684444448</v>
      </c>
      <c r="G808" t="s">
        <v>75</v>
      </c>
      <c r="H808" t="s">
        <v>136</v>
      </c>
      <c r="I808" t="s">
        <v>163</v>
      </c>
      <c r="J808" t="str">
        <f t="shared" si="96"/>
        <v/>
      </c>
      <c r="K808" t="str">
        <f t="shared" si="97"/>
        <v/>
      </c>
      <c r="L808" t="str">
        <f t="shared" si="98"/>
        <v/>
      </c>
      <c r="M808" t="str">
        <f t="shared" si="99"/>
        <v/>
      </c>
      <c r="N808" t="str">
        <f t="shared" si="100"/>
        <v>Invalid</v>
      </c>
      <c r="O808" t="str">
        <f t="shared" ca="1" si="101"/>
        <v>Outdated</v>
      </c>
      <c r="P808" t="str">
        <f t="shared" si="102"/>
        <v>Not As Described</v>
      </c>
      <c r="Q808" t="str">
        <f t="shared" si="103"/>
        <v/>
      </c>
    </row>
    <row r="809" spans="1:17" x14ac:dyDescent="0.45">
      <c r="A809" t="s">
        <v>1432</v>
      </c>
      <c r="B809" t="s">
        <v>104</v>
      </c>
      <c r="C809" t="s">
        <v>1433</v>
      </c>
      <c r="D809" t="s">
        <v>85</v>
      </c>
      <c r="E809" s="8">
        <v>8030.2</v>
      </c>
      <c r="F809" s="9">
        <v>45308.666684444448</v>
      </c>
      <c r="G809" t="s">
        <v>115</v>
      </c>
      <c r="H809" t="s">
        <v>133</v>
      </c>
      <c r="I809" t="s">
        <v>77</v>
      </c>
      <c r="J809" t="str">
        <f t="shared" si="96"/>
        <v/>
      </c>
      <c r="K809" t="str">
        <f t="shared" si="97"/>
        <v/>
      </c>
      <c r="L809" t="str">
        <f t="shared" si="98"/>
        <v/>
      </c>
      <c r="M809" t="str">
        <f t="shared" si="99"/>
        <v/>
      </c>
      <c r="N809" t="str">
        <f t="shared" si="100"/>
        <v>Invalid</v>
      </c>
      <c r="O809" t="str">
        <f t="shared" ca="1" si="101"/>
        <v>Outdated</v>
      </c>
      <c r="P809" t="str">
        <f t="shared" si="102"/>
        <v>Late Delivery</v>
      </c>
      <c r="Q809" t="str">
        <f t="shared" si="103"/>
        <v/>
      </c>
    </row>
    <row r="810" spans="1:17" x14ac:dyDescent="0.45">
      <c r="A810" t="s">
        <v>1434</v>
      </c>
      <c r="B810" t="s">
        <v>109</v>
      </c>
      <c r="C810" t="s">
        <v>612</v>
      </c>
      <c r="D810" t="s">
        <v>148</v>
      </c>
      <c r="E810" s="8">
        <v>5186.5600000000004</v>
      </c>
      <c r="F810" s="9">
        <v>45662.666684444448</v>
      </c>
      <c r="H810" t="s">
        <v>107</v>
      </c>
      <c r="I810" t="s">
        <v>82</v>
      </c>
      <c r="J810" t="str">
        <f t="shared" si="96"/>
        <v/>
      </c>
      <c r="K810" t="str">
        <f t="shared" si="97"/>
        <v/>
      </c>
      <c r="L810" t="str">
        <f t="shared" si="98"/>
        <v/>
      </c>
      <c r="M810" t="str">
        <f t="shared" si="99"/>
        <v>Invalid</v>
      </c>
      <c r="N810" t="str">
        <f t="shared" si="100"/>
        <v/>
      </c>
      <c r="O810" t="str">
        <f t="shared" ca="1" si="101"/>
        <v>Outdated</v>
      </c>
      <c r="P810" t="str">
        <f t="shared" si="102"/>
        <v>Wrong Item</v>
      </c>
      <c r="Q810" t="str">
        <f t="shared" si="103"/>
        <v>Inconsistent</v>
      </c>
    </row>
    <row r="811" spans="1:17" x14ac:dyDescent="0.45">
      <c r="A811" t="s">
        <v>1435</v>
      </c>
      <c r="B811" t="s">
        <v>109</v>
      </c>
      <c r="C811" t="s">
        <v>1436</v>
      </c>
      <c r="D811" t="s">
        <v>74</v>
      </c>
      <c r="E811" s="8">
        <v>7308.35</v>
      </c>
      <c r="F811" s="9">
        <v>45794.666684444448</v>
      </c>
      <c r="G811" t="s">
        <v>111</v>
      </c>
      <c r="H811" t="s">
        <v>136</v>
      </c>
      <c r="I811" t="s">
        <v>112</v>
      </c>
      <c r="J811" t="str">
        <f t="shared" si="96"/>
        <v/>
      </c>
      <c r="K811" t="str">
        <f t="shared" si="97"/>
        <v/>
      </c>
      <c r="L811" t="str">
        <f t="shared" si="98"/>
        <v/>
      </c>
      <c r="M811" t="str">
        <f t="shared" si="99"/>
        <v/>
      </c>
      <c r="N811" t="str">
        <f t="shared" si="100"/>
        <v>Invalid</v>
      </c>
      <c r="O811" t="str">
        <f t="shared" ca="1" si="101"/>
        <v>Outdated</v>
      </c>
      <c r="P811" t="str">
        <f t="shared" si="102"/>
        <v>Wrong Item</v>
      </c>
      <c r="Q811" t="str">
        <f t="shared" si="103"/>
        <v/>
      </c>
    </row>
    <row r="812" spans="1:17" x14ac:dyDescent="0.45">
      <c r="A812" t="s">
        <v>1437</v>
      </c>
      <c r="B812" t="s">
        <v>79</v>
      </c>
      <c r="C812" t="s">
        <v>706</v>
      </c>
      <c r="D812" t="s">
        <v>106</v>
      </c>
      <c r="E812" s="8">
        <v>5361.24</v>
      </c>
      <c r="F812" s="9">
        <v>45404.666684444448</v>
      </c>
      <c r="G812" t="s">
        <v>86</v>
      </c>
      <c r="H812" t="s">
        <v>116</v>
      </c>
      <c r="I812" t="s">
        <v>119</v>
      </c>
      <c r="J812" t="str">
        <f t="shared" si="96"/>
        <v/>
      </c>
      <c r="K812" t="str">
        <f t="shared" si="97"/>
        <v/>
      </c>
      <c r="L812" t="str">
        <f t="shared" si="98"/>
        <v/>
      </c>
      <c r="M812" t="str">
        <f t="shared" si="99"/>
        <v/>
      </c>
      <c r="N812" t="str">
        <f t="shared" si="100"/>
        <v/>
      </c>
      <c r="O812" t="str">
        <f t="shared" ca="1" si="101"/>
        <v>Outdated</v>
      </c>
      <c r="P812" t="str">
        <f t="shared" si="102"/>
        <v>Damaged</v>
      </c>
      <c r="Q812" t="str">
        <f t="shared" si="103"/>
        <v>Inconsistent</v>
      </c>
    </row>
    <row r="813" spans="1:17" x14ac:dyDescent="0.45">
      <c r="A813" t="s">
        <v>1438</v>
      </c>
      <c r="B813" t="s">
        <v>138</v>
      </c>
      <c r="C813" t="s">
        <v>762</v>
      </c>
      <c r="D813" t="s">
        <v>85</v>
      </c>
      <c r="E813" s="8">
        <v>7722.91</v>
      </c>
      <c r="F813" s="9">
        <v>45758.666684444448</v>
      </c>
      <c r="G813" t="s">
        <v>140</v>
      </c>
      <c r="H813" t="s">
        <v>76</v>
      </c>
      <c r="I813" t="s">
        <v>82</v>
      </c>
      <c r="J813" t="str">
        <f t="shared" si="96"/>
        <v/>
      </c>
      <c r="K813" t="str">
        <f t="shared" si="97"/>
        <v/>
      </c>
      <c r="L813" t="str">
        <f t="shared" si="98"/>
        <v/>
      </c>
      <c r="M813" t="str">
        <f t="shared" si="99"/>
        <v/>
      </c>
      <c r="N813" t="str">
        <f t="shared" si="100"/>
        <v/>
      </c>
      <c r="O813" t="str">
        <f t="shared" ca="1" si="101"/>
        <v>Outdated</v>
      </c>
      <c r="P813" t="str">
        <f t="shared" si="102"/>
        <v>Late Delivery</v>
      </c>
      <c r="Q813" t="str">
        <f t="shared" si="103"/>
        <v/>
      </c>
    </row>
    <row r="814" spans="1:17" x14ac:dyDescent="0.45">
      <c r="A814" t="s">
        <v>370</v>
      </c>
      <c r="B814" t="s">
        <v>104</v>
      </c>
      <c r="C814" t="s">
        <v>586</v>
      </c>
      <c r="D814" t="s">
        <v>106</v>
      </c>
      <c r="E814" s="8">
        <v>5234.93</v>
      </c>
      <c r="F814" s="9">
        <v>45679.666684444448</v>
      </c>
      <c r="G814" t="s">
        <v>247</v>
      </c>
      <c r="H814" t="s">
        <v>81</v>
      </c>
      <c r="I814" t="s">
        <v>112</v>
      </c>
      <c r="J814" t="str">
        <f t="shared" si="96"/>
        <v/>
      </c>
      <c r="K814" t="str">
        <f t="shared" si="97"/>
        <v>Duplicate</v>
      </c>
      <c r="L814" t="str">
        <f t="shared" si="98"/>
        <v/>
      </c>
      <c r="M814" t="str">
        <f t="shared" si="99"/>
        <v>Invalid</v>
      </c>
      <c r="N814" t="str">
        <f t="shared" si="100"/>
        <v/>
      </c>
      <c r="O814" t="str">
        <f t="shared" ca="1" si="101"/>
        <v>Outdated</v>
      </c>
      <c r="P814" t="str">
        <f t="shared" si="102"/>
        <v>Damaged</v>
      </c>
      <c r="Q814" t="str">
        <f t="shared" si="103"/>
        <v>Inconsistent</v>
      </c>
    </row>
    <row r="815" spans="1:17" x14ac:dyDescent="0.45">
      <c r="A815" t="s">
        <v>1439</v>
      </c>
      <c r="B815" t="s">
        <v>109</v>
      </c>
      <c r="C815" t="s">
        <v>369</v>
      </c>
      <c r="D815" t="s">
        <v>155</v>
      </c>
      <c r="E815" s="8">
        <v>450.63</v>
      </c>
      <c r="F815" s="9">
        <v>45623.666684444448</v>
      </c>
      <c r="G815" t="s">
        <v>111</v>
      </c>
      <c r="I815" t="s">
        <v>112</v>
      </c>
      <c r="J815" t="str">
        <f t="shared" si="96"/>
        <v/>
      </c>
      <c r="K815" t="str">
        <f t="shared" si="97"/>
        <v/>
      </c>
      <c r="L815" t="str">
        <f t="shared" si="98"/>
        <v/>
      </c>
      <c r="M815" t="str">
        <f t="shared" si="99"/>
        <v/>
      </c>
      <c r="N815" t="str">
        <f t="shared" si="100"/>
        <v>Invalid</v>
      </c>
      <c r="O815" t="str">
        <f t="shared" ca="1" si="101"/>
        <v>Outdated</v>
      </c>
      <c r="P815" t="str">
        <f t="shared" si="102"/>
        <v>Damaged</v>
      </c>
      <c r="Q815" t="str">
        <f t="shared" si="103"/>
        <v>Inconsistent</v>
      </c>
    </row>
    <row r="816" spans="1:17" x14ac:dyDescent="0.45">
      <c r="A816" t="s">
        <v>1440</v>
      </c>
      <c r="B816" t="s">
        <v>95</v>
      </c>
      <c r="C816" t="s">
        <v>1080</v>
      </c>
      <c r="D816" t="s">
        <v>74</v>
      </c>
      <c r="E816" s="8">
        <v>3769.32</v>
      </c>
      <c r="F816" s="9">
        <v>45604.666684444448</v>
      </c>
      <c r="G816" t="s">
        <v>97</v>
      </c>
      <c r="H816" t="s">
        <v>136</v>
      </c>
      <c r="I816" t="s">
        <v>163</v>
      </c>
      <c r="J816" t="str">
        <f t="shared" si="96"/>
        <v/>
      </c>
      <c r="K816" t="str">
        <f t="shared" si="97"/>
        <v/>
      </c>
      <c r="L816" t="str">
        <f t="shared" si="98"/>
        <v/>
      </c>
      <c r="M816" t="str">
        <f t="shared" si="99"/>
        <v/>
      </c>
      <c r="N816" t="str">
        <f t="shared" si="100"/>
        <v>Invalid</v>
      </c>
      <c r="O816" t="str">
        <f t="shared" ca="1" si="101"/>
        <v>Outdated</v>
      </c>
      <c r="P816" t="str">
        <f t="shared" si="102"/>
        <v>Wrong Item</v>
      </c>
      <c r="Q816" t="str">
        <f t="shared" si="103"/>
        <v/>
      </c>
    </row>
    <row r="817" spans="1:17" x14ac:dyDescent="0.45">
      <c r="A817" t="s">
        <v>1441</v>
      </c>
      <c r="B817" t="s">
        <v>90</v>
      </c>
      <c r="C817" t="s">
        <v>1371</v>
      </c>
      <c r="D817" t="s">
        <v>74</v>
      </c>
      <c r="E817" s="8">
        <v>1269.5999999999999</v>
      </c>
      <c r="F817" s="9">
        <v>45574.666684444448</v>
      </c>
      <c r="G817" t="s">
        <v>93</v>
      </c>
      <c r="H817" t="s">
        <v>107</v>
      </c>
      <c r="I817" t="s">
        <v>82</v>
      </c>
      <c r="J817" t="str">
        <f t="shared" si="96"/>
        <v/>
      </c>
      <c r="K817" t="str">
        <f t="shared" si="97"/>
        <v/>
      </c>
      <c r="L817" t="str">
        <f t="shared" si="98"/>
        <v/>
      </c>
      <c r="M817" t="str">
        <f t="shared" si="99"/>
        <v/>
      </c>
      <c r="N817" t="str">
        <f t="shared" si="100"/>
        <v/>
      </c>
      <c r="O817" t="str">
        <f t="shared" ca="1" si="101"/>
        <v>Outdated</v>
      </c>
      <c r="P817" t="str">
        <f t="shared" si="102"/>
        <v>Wrong Item</v>
      </c>
      <c r="Q817" t="str">
        <f t="shared" si="103"/>
        <v/>
      </c>
    </row>
    <row r="818" spans="1:17" x14ac:dyDescent="0.45">
      <c r="A818" t="s">
        <v>1442</v>
      </c>
      <c r="B818" t="s">
        <v>95</v>
      </c>
      <c r="C818" t="s">
        <v>1443</v>
      </c>
      <c r="D818" t="s">
        <v>101</v>
      </c>
      <c r="E818" s="8">
        <v>1140.48</v>
      </c>
      <c r="F818" s="9">
        <v>45734.666684444448</v>
      </c>
      <c r="G818" t="s">
        <v>97</v>
      </c>
      <c r="H818" t="s">
        <v>128</v>
      </c>
      <c r="I818" t="s">
        <v>82</v>
      </c>
      <c r="J818" t="str">
        <f t="shared" si="96"/>
        <v/>
      </c>
      <c r="K818" t="str">
        <f t="shared" si="97"/>
        <v/>
      </c>
      <c r="L818" t="str">
        <f t="shared" si="98"/>
        <v/>
      </c>
      <c r="M818" t="str">
        <f t="shared" si="99"/>
        <v/>
      </c>
      <c r="N818" t="str">
        <f t="shared" si="100"/>
        <v>Invalid</v>
      </c>
      <c r="O818" t="str">
        <f t="shared" ca="1" si="101"/>
        <v>Outdated</v>
      </c>
      <c r="P818" t="str">
        <f t="shared" si="102"/>
        <v>Damaged</v>
      </c>
      <c r="Q818" t="str">
        <f t="shared" si="103"/>
        <v/>
      </c>
    </row>
    <row r="819" spans="1:17" x14ac:dyDescent="0.45">
      <c r="A819" t="s">
        <v>1444</v>
      </c>
      <c r="B819" t="s">
        <v>138</v>
      </c>
      <c r="C819" t="s">
        <v>110</v>
      </c>
      <c r="D819" t="s">
        <v>85</v>
      </c>
      <c r="E819" s="8">
        <v>0</v>
      </c>
      <c r="F819" s="9">
        <v>45402.666684444448</v>
      </c>
      <c r="G819" t="s">
        <v>140</v>
      </c>
      <c r="H819" t="s">
        <v>136</v>
      </c>
      <c r="I819" t="s">
        <v>163</v>
      </c>
      <c r="J819" t="str">
        <f t="shared" si="96"/>
        <v/>
      </c>
      <c r="K819" t="str">
        <f t="shared" si="97"/>
        <v/>
      </c>
      <c r="L819" t="str">
        <f t="shared" si="98"/>
        <v>Unusual</v>
      </c>
      <c r="M819" t="str">
        <f t="shared" si="99"/>
        <v/>
      </c>
      <c r="N819" t="str">
        <f t="shared" si="100"/>
        <v>Invalid</v>
      </c>
      <c r="O819" t="str">
        <f t="shared" ca="1" si="101"/>
        <v>Outdated</v>
      </c>
      <c r="P819" t="str">
        <f t="shared" si="102"/>
        <v>Late Delivery</v>
      </c>
      <c r="Q819" t="str">
        <f t="shared" si="103"/>
        <v/>
      </c>
    </row>
    <row r="820" spans="1:17" x14ac:dyDescent="0.45">
      <c r="A820" t="s">
        <v>1445</v>
      </c>
      <c r="B820" t="s">
        <v>104</v>
      </c>
      <c r="C820" t="s">
        <v>1446</v>
      </c>
      <c r="D820" t="s">
        <v>74</v>
      </c>
      <c r="E820" s="8">
        <v>3889.62</v>
      </c>
      <c r="F820" s="9">
        <v>45458.666684444448</v>
      </c>
      <c r="G820" t="s">
        <v>115</v>
      </c>
      <c r="H820" t="s">
        <v>116</v>
      </c>
      <c r="I820" t="s">
        <v>163</v>
      </c>
      <c r="J820" t="str">
        <f t="shared" si="96"/>
        <v/>
      </c>
      <c r="K820" t="str">
        <f t="shared" si="97"/>
        <v/>
      </c>
      <c r="L820" t="str">
        <f t="shared" si="98"/>
        <v/>
      </c>
      <c r="M820" t="str">
        <f t="shared" si="99"/>
        <v/>
      </c>
      <c r="N820" t="str">
        <f t="shared" si="100"/>
        <v/>
      </c>
      <c r="O820" t="str">
        <f t="shared" ca="1" si="101"/>
        <v>Outdated</v>
      </c>
      <c r="P820" t="str">
        <f t="shared" si="102"/>
        <v>Wrong Item</v>
      </c>
      <c r="Q820" t="str">
        <f t="shared" si="103"/>
        <v/>
      </c>
    </row>
    <row r="821" spans="1:17" x14ac:dyDescent="0.45">
      <c r="A821" t="s">
        <v>1447</v>
      </c>
      <c r="B821" t="s">
        <v>109</v>
      </c>
      <c r="C821" t="s">
        <v>80</v>
      </c>
      <c r="D821" t="s">
        <v>74</v>
      </c>
      <c r="E821" s="8">
        <v>448.24</v>
      </c>
      <c r="F821" s="9">
        <v>45379.666684444448</v>
      </c>
      <c r="H821" t="s">
        <v>136</v>
      </c>
      <c r="I821" t="s">
        <v>163</v>
      </c>
      <c r="J821" t="str">
        <f t="shared" si="96"/>
        <v/>
      </c>
      <c r="K821" t="str">
        <f t="shared" si="97"/>
        <v/>
      </c>
      <c r="L821" t="str">
        <f t="shared" si="98"/>
        <v/>
      </c>
      <c r="M821" t="str">
        <f t="shared" si="99"/>
        <v>Invalid</v>
      </c>
      <c r="N821" t="str">
        <f t="shared" si="100"/>
        <v>Invalid</v>
      </c>
      <c r="O821" t="str">
        <f t="shared" ca="1" si="101"/>
        <v>Outdated</v>
      </c>
      <c r="P821" t="str">
        <f t="shared" si="102"/>
        <v>Wrong Item</v>
      </c>
      <c r="Q821" t="str">
        <f t="shared" si="103"/>
        <v/>
      </c>
    </row>
    <row r="822" spans="1:17" x14ac:dyDescent="0.45">
      <c r="A822" t="s">
        <v>1448</v>
      </c>
      <c r="B822" t="s">
        <v>90</v>
      </c>
      <c r="C822" t="s">
        <v>875</v>
      </c>
      <c r="D822" t="s">
        <v>85</v>
      </c>
      <c r="E822" s="8">
        <v>1357.63</v>
      </c>
      <c r="F822" s="9">
        <v>45216.666684444448</v>
      </c>
      <c r="G822" t="s">
        <v>93</v>
      </c>
      <c r="H822" t="s">
        <v>128</v>
      </c>
      <c r="I822" t="s">
        <v>77</v>
      </c>
      <c r="J822" t="str">
        <f t="shared" si="96"/>
        <v/>
      </c>
      <c r="K822" t="str">
        <f t="shared" si="97"/>
        <v>Duplicate</v>
      </c>
      <c r="L822" t="str">
        <f t="shared" si="98"/>
        <v/>
      </c>
      <c r="M822" t="str">
        <f t="shared" si="99"/>
        <v/>
      </c>
      <c r="N822" t="str">
        <f t="shared" si="100"/>
        <v>Invalid</v>
      </c>
      <c r="O822" t="str">
        <f t="shared" ca="1" si="101"/>
        <v>Outdated</v>
      </c>
      <c r="P822" t="str">
        <f t="shared" si="102"/>
        <v>Late Delivery</v>
      </c>
      <c r="Q822" t="str">
        <f t="shared" si="103"/>
        <v/>
      </c>
    </row>
    <row r="823" spans="1:17" x14ac:dyDescent="0.45">
      <c r="A823" t="s">
        <v>1449</v>
      </c>
      <c r="B823" t="s">
        <v>72</v>
      </c>
      <c r="C823" t="s">
        <v>1450</v>
      </c>
      <c r="D823" t="s">
        <v>74</v>
      </c>
      <c r="E823" s="8">
        <v>11978.67</v>
      </c>
      <c r="F823" s="9">
        <v>45413.666684444448</v>
      </c>
      <c r="G823" t="s">
        <v>75</v>
      </c>
      <c r="H823" t="s">
        <v>116</v>
      </c>
      <c r="I823" t="s">
        <v>163</v>
      </c>
      <c r="J823" t="str">
        <f t="shared" si="96"/>
        <v/>
      </c>
      <c r="K823" t="str">
        <f t="shared" si="97"/>
        <v/>
      </c>
      <c r="L823" t="str">
        <f t="shared" si="98"/>
        <v>Unusual</v>
      </c>
      <c r="M823" t="str">
        <f t="shared" si="99"/>
        <v/>
      </c>
      <c r="N823" t="str">
        <f t="shared" si="100"/>
        <v/>
      </c>
      <c r="O823" t="str">
        <f t="shared" ca="1" si="101"/>
        <v>Outdated</v>
      </c>
      <c r="P823" t="str">
        <f t="shared" si="102"/>
        <v>Wrong Item</v>
      </c>
      <c r="Q823" t="str">
        <f t="shared" si="103"/>
        <v/>
      </c>
    </row>
    <row r="824" spans="1:17" x14ac:dyDescent="0.45">
      <c r="A824" t="s">
        <v>1451</v>
      </c>
      <c r="B824" t="s">
        <v>109</v>
      </c>
      <c r="C824" t="s">
        <v>1452</v>
      </c>
      <c r="D824" t="s">
        <v>74</v>
      </c>
      <c r="E824" s="8">
        <v>579.89</v>
      </c>
      <c r="F824" s="9">
        <v>45589.666684444448</v>
      </c>
      <c r="G824" t="s">
        <v>307</v>
      </c>
      <c r="H824" t="s">
        <v>145</v>
      </c>
      <c r="I824" t="s">
        <v>88</v>
      </c>
      <c r="J824" t="str">
        <f t="shared" si="96"/>
        <v/>
      </c>
      <c r="K824" t="str">
        <f t="shared" si="97"/>
        <v/>
      </c>
      <c r="L824" t="str">
        <f t="shared" si="98"/>
        <v/>
      </c>
      <c r="M824" t="str">
        <f t="shared" si="99"/>
        <v>Invalid</v>
      </c>
      <c r="N824" t="str">
        <f t="shared" si="100"/>
        <v/>
      </c>
      <c r="O824" t="str">
        <f t="shared" ca="1" si="101"/>
        <v>Outdated</v>
      </c>
      <c r="P824" t="str">
        <f t="shared" si="102"/>
        <v>Wrong Item</v>
      </c>
      <c r="Q824" t="str">
        <f t="shared" si="103"/>
        <v/>
      </c>
    </row>
    <row r="825" spans="1:17" x14ac:dyDescent="0.45">
      <c r="A825" t="s">
        <v>1453</v>
      </c>
      <c r="B825" t="s">
        <v>109</v>
      </c>
      <c r="C825" t="s">
        <v>1454</v>
      </c>
      <c r="D825" t="s">
        <v>101</v>
      </c>
      <c r="E825" s="8">
        <v>7773.87</v>
      </c>
      <c r="F825" s="9">
        <v>45377.666684444448</v>
      </c>
      <c r="G825" t="s">
        <v>111</v>
      </c>
      <c r="I825" t="s">
        <v>77</v>
      </c>
      <c r="J825" t="str">
        <f t="shared" si="96"/>
        <v/>
      </c>
      <c r="K825" t="str">
        <f t="shared" si="97"/>
        <v/>
      </c>
      <c r="L825" t="str">
        <f t="shared" si="98"/>
        <v/>
      </c>
      <c r="M825" t="str">
        <f t="shared" si="99"/>
        <v/>
      </c>
      <c r="N825" t="str">
        <f t="shared" si="100"/>
        <v>Invalid</v>
      </c>
      <c r="O825" t="str">
        <f t="shared" ca="1" si="101"/>
        <v>Outdated</v>
      </c>
      <c r="P825" t="str">
        <f t="shared" si="102"/>
        <v>Damaged</v>
      </c>
      <c r="Q825" t="str">
        <f t="shared" si="103"/>
        <v/>
      </c>
    </row>
    <row r="826" spans="1:17" x14ac:dyDescent="0.45">
      <c r="A826" t="s">
        <v>1455</v>
      </c>
      <c r="B826" t="s">
        <v>138</v>
      </c>
      <c r="C826" t="s">
        <v>1198</v>
      </c>
      <c r="D826" t="s">
        <v>74</v>
      </c>
      <c r="E826" s="8">
        <v>1741.27</v>
      </c>
      <c r="F826" s="9">
        <v>45603.666684444448</v>
      </c>
      <c r="G826" t="s">
        <v>140</v>
      </c>
      <c r="H826" t="s">
        <v>128</v>
      </c>
      <c r="I826" t="s">
        <v>82</v>
      </c>
      <c r="J826" t="str">
        <f t="shared" si="96"/>
        <v/>
      </c>
      <c r="K826" t="str">
        <f t="shared" si="97"/>
        <v/>
      </c>
      <c r="L826" t="str">
        <f t="shared" si="98"/>
        <v/>
      </c>
      <c r="M826" t="str">
        <f t="shared" si="99"/>
        <v/>
      </c>
      <c r="N826" t="str">
        <f t="shared" si="100"/>
        <v>Invalid</v>
      </c>
      <c r="O826" t="str">
        <f t="shared" ca="1" si="101"/>
        <v>Outdated</v>
      </c>
      <c r="P826" t="str">
        <f t="shared" si="102"/>
        <v>Wrong Item</v>
      </c>
      <c r="Q826" t="str">
        <f t="shared" si="103"/>
        <v/>
      </c>
    </row>
    <row r="827" spans="1:17" x14ac:dyDescent="0.45">
      <c r="A827" t="s">
        <v>1456</v>
      </c>
      <c r="B827" t="s">
        <v>109</v>
      </c>
      <c r="C827" t="s">
        <v>944</v>
      </c>
      <c r="D827" t="s">
        <v>101</v>
      </c>
      <c r="E827" s="8">
        <v>11625.8</v>
      </c>
      <c r="F827" s="9">
        <v>45711.666684444448</v>
      </c>
      <c r="G827" t="s">
        <v>111</v>
      </c>
      <c r="I827" t="s">
        <v>112</v>
      </c>
      <c r="J827" t="str">
        <f t="shared" si="96"/>
        <v/>
      </c>
      <c r="K827" t="str">
        <f t="shared" si="97"/>
        <v/>
      </c>
      <c r="L827" t="str">
        <f t="shared" si="98"/>
        <v>Unusual</v>
      </c>
      <c r="M827" t="str">
        <f t="shared" si="99"/>
        <v/>
      </c>
      <c r="N827" t="str">
        <f t="shared" si="100"/>
        <v>Invalid</v>
      </c>
      <c r="O827" t="str">
        <f t="shared" ca="1" si="101"/>
        <v>Outdated</v>
      </c>
      <c r="P827" t="str">
        <f t="shared" si="102"/>
        <v>Damaged</v>
      </c>
      <c r="Q827" t="str">
        <f t="shared" si="103"/>
        <v/>
      </c>
    </row>
    <row r="828" spans="1:17" x14ac:dyDescent="0.45">
      <c r="A828" t="s">
        <v>1457</v>
      </c>
      <c r="B828" t="s">
        <v>104</v>
      </c>
      <c r="C828" t="s">
        <v>96</v>
      </c>
      <c r="D828" t="s">
        <v>85</v>
      </c>
      <c r="E828" s="8">
        <v>9477.14</v>
      </c>
      <c r="F828" s="9">
        <v>45752.666684444448</v>
      </c>
      <c r="G828" t="s">
        <v>115</v>
      </c>
      <c r="H828" t="s">
        <v>81</v>
      </c>
      <c r="I828" t="s">
        <v>77</v>
      </c>
      <c r="J828" t="str">
        <f t="shared" si="96"/>
        <v/>
      </c>
      <c r="K828" t="str">
        <f t="shared" si="97"/>
        <v/>
      </c>
      <c r="L828" t="str">
        <f t="shared" si="98"/>
        <v/>
      </c>
      <c r="M828" t="str">
        <f t="shared" si="99"/>
        <v/>
      </c>
      <c r="N828" t="str">
        <f t="shared" si="100"/>
        <v/>
      </c>
      <c r="O828" t="str">
        <f t="shared" ca="1" si="101"/>
        <v>Outdated</v>
      </c>
      <c r="P828" t="str">
        <f t="shared" si="102"/>
        <v>Late Delivery</v>
      </c>
      <c r="Q828" t="str">
        <f t="shared" si="103"/>
        <v/>
      </c>
    </row>
    <row r="829" spans="1:17" x14ac:dyDescent="0.45">
      <c r="A829" t="s">
        <v>1458</v>
      </c>
      <c r="B829" t="s">
        <v>79</v>
      </c>
      <c r="C829" t="s">
        <v>1157</v>
      </c>
      <c r="D829" t="s">
        <v>85</v>
      </c>
      <c r="E829" s="8">
        <v>4148.76</v>
      </c>
      <c r="F829" s="9">
        <v>45812.666684444448</v>
      </c>
      <c r="G829" t="s">
        <v>86</v>
      </c>
      <c r="I829" t="s">
        <v>112</v>
      </c>
      <c r="J829" t="str">
        <f t="shared" si="96"/>
        <v/>
      </c>
      <c r="K829" t="str">
        <f t="shared" si="97"/>
        <v/>
      </c>
      <c r="L829" t="str">
        <f t="shared" si="98"/>
        <v/>
      </c>
      <c r="M829" t="str">
        <f t="shared" si="99"/>
        <v/>
      </c>
      <c r="N829" t="str">
        <f t="shared" si="100"/>
        <v>Invalid</v>
      </c>
      <c r="O829" t="str">
        <f t="shared" ca="1" si="101"/>
        <v>Outdated</v>
      </c>
      <c r="P829" t="str">
        <f t="shared" si="102"/>
        <v>Late Delivery</v>
      </c>
      <c r="Q829" t="str">
        <f t="shared" si="103"/>
        <v/>
      </c>
    </row>
    <row r="830" spans="1:17" x14ac:dyDescent="0.45">
      <c r="A830" t="s">
        <v>1459</v>
      </c>
      <c r="B830" t="s">
        <v>104</v>
      </c>
      <c r="C830" t="s">
        <v>804</v>
      </c>
      <c r="D830" t="s">
        <v>148</v>
      </c>
      <c r="E830" s="8">
        <v>947.77</v>
      </c>
      <c r="F830" s="9">
        <v>45516.666684444448</v>
      </c>
      <c r="G830" t="s">
        <v>115</v>
      </c>
      <c r="H830" t="s">
        <v>128</v>
      </c>
      <c r="I830" t="s">
        <v>163</v>
      </c>
      <c r="J830" t="str">
        <f t="shared" si="96"/>
        <v/>
      </c>
      <c r="K830" t="str">
        <f t="shared" si="97"/>
        <v/>
      </c>
      <c r="L830" t="str">
        <f t="shared" si="98"/>
        <v/>
      </c>
      <c r="M830" t="str">
        <f t="shared" si="99"/>
        <v/>
      </c>
      <c r="N830" t="str">
        <f t="shared" si="100"/>
        <v>Invalid</v>
      </c>
      <c r="O830" t="str">
        <f t="shared" ca="1" si="101"/>
        <v>Outdated</v>
      </c>
      <c r="P830" t="str">
        <f t="shared" si="102"/>
        <v>Wrong Item</v>
      </c>
      <c r="Q830" t="str">
        <f t="shared" si="103"/>
        <v>Inconsistent</v>
      </c>
    </row>
    <row r="831" spans="1:17" x14ac:dyDescent="0.45">
      <c r="A831" t="s">
        <v>1460</v>
      </c>
      <c r="B831" t="s">
        <v>72</v>
      </c>
      <c r="D831" t="s">
        <v>85</v>
      </c>
      <c r="E831" s="8">
        <v>9416.68</v>
      </c>
      <c r="F831" s="9">
        <v>45472.666684444448</v>
      </c>
      <c r="G831" t="s">
        <v>75</v>
      </c>
      <c r="H831" t="s">
        <v>145</v>
      </c>
      <c r="I831" t="s">
        <v>163</v>
      </c>
      <c r="J831" t="str">
        <f t="shared" si="96"/>
        <v>Missing</v>
      </c>
      <c r="K831" t="str">
        <f t="shared" si="97"/>
        <v/>
      </c>
      <c r="L831" t="str">
        <f t="shared" si="98"/>
        <v/>
      </c>
      <c r="M831" t="str">
        <f t="shared" si="99"/>
        <v/>
      </c>
      <c r="N831" t="str">
        <f t="shared" si="100"/>
        <v/>
      </c>
      <c r="O831" t="str">
        <f t="shared" ca="1" si="101"/>
        <v>Outdated</v>
      </c>
      <c r="P831" t="str">
        <f t="shared" si="102"/>
        <v>Late Delivery</v>
      </c>
      <c r="Q831" t="str">
        <f t="shared" si="103"/>
        <v/>
      </c>
    </row>
    <row r="832" spans="1:17" x14ac:dyDescent="0.45">
      <c r="A832" t="s">
        <v>1461</v>
      </c>
      <c r="B832" t="s">
        <v>79</v>
      </c>
      <c r="C832" t="s">
        <v>158</v>
      </c>
      <c r="D832" t="s">
        <v>85</v>
      </c>
      <c r="E832" s="8">
        <v>10965.18</v>
      </c>
      <c r="F832" s="9">
        <v>45157.666684444448</v>
      </c>
      <c r="H832" t="s">
        <v>133</v>
      </c>
      <c r="I832" t="s">
        <v>88</v>
      </c>
      <c r="J832" t="str">
        <f t="shared" si="96"/>
        <v/>
      </c>
      <c r="K832" t="str">
        <f t="shared" si="97"/>
        <v/>
      </c>
      <c r="L832" t="str">
        <f t="shared" si="98"/>
        <v>Unusual</v>
      </c>
      <c r="M832" t="str">
        <f t="shared" si="99"/>
        <v>Invalid</v>
      </c>
      <c r="N832" t="str">
        <f t="shared" si="100"/>
        <v>Invalid</v>
      </c>
      <c r="O832" t="str">
        <f t="shared" ca="1" si="101"/>
        <v>Outdated</v>
      </c>
      <c r="P832" t="str">
        <f t="shared" si="102"/>
        <v>Late Delivery</v>
      </c>
      <c r="Q832" t="str">
        <f t="shared" si="103"/>
        <v/>
      </c>
    </row>
    <row r="833" spans="1:17" x14ac:dyDescent="0.45">
      <c r="A833" t="s">
        <v>1462</v>
      </c>
      <c r="B833" t="s">
        <v>109</v>
      </c>
      <c r="C833" t="s">
        <v>853</v>
      </c>
      <c r="D833" t="s">
        <v>101</v>
      </c>
      <c r="E833" s="8">
        <v>11996.9</v>
      </c>
      <c r="F833" s="9">
        <v>45634.666684444448</v>
      </c>
      <c r="G833" t="s">
        <v>111</v>
      </c>
      <c r="H833" t="s">
        <v>128</v>
      </c>
      <c r="I833" t="s">
        <v>163</v>
      </c>
      <c r="J833" t="str">
        <f t="shared" si="96"/>
        <v/>
      </c>
      <c r="K833" t="str">
        <f t="shared" si="97"/>
        <v/>
      </c>
      <c r="L833" t="str">
        <f t="shared" si="98"/>
        <v>Unusual</v>
      </c>
      <c r="M833" t="str">
        <f t="shared" si="99"/>
        <v/>
      </c>
      <c r="N833" t="str">
        <f t="shared" si="100"/>
        <v>Invalid</v>
      </c>
      <c r="O833" t="str">
        <f t="shared" ca="1" si="101"/>
        <v>Outdated</v>
      </c>
      <c r="P833" t="str">
        <f t="shared" si="102"/>
        <v>Damaged</v>
      </c>
      <c r="Q833" t="str">
        <f t="shared" si="103"/>
        <v/>
      </c>
    </row>
    <row r="834" spans="1:17" x14ac:dyDescent="0.45">
      <c r="A834" t="s">
        <v>1463</v>
      </c>
      <c r="B834" t="s">
        <v>109</v>
      </c>
      <c r="C834" t="s">
        <v>1464</v>
      </c>
      <c r="E834" s="8">
        <v>9159.69</v>
      </c>
      <c r="F834" s="9">
        <v>45460.666684444448</v>
      </c>
      <c r="G834" t="s">
        <v>111</v>
      </c>
      <c r="H834" t="s">
        <v>81</v>
      </c>
      <c r="I834" t="s">
        <v>88</v>
      </c>
      <c r="J834" t="str">
        <f t="shared" ref="J834:J897" si="104">IF(OR(ISBLANK(C834),ISBLANK(D834)),"Missing","")</f>
        <v>Missing</v>
      </c>
      <c r="K834" t="str">
        <f t="shared" ref="K834:K897" si="105">IF(COUNTIF($A$2:$A$2501,A834)&gt;1,"Duplicate","")</f>
        <v/>
      </c>
      <c r="L834" t="str">
        <f t="shared" ref="L834:L897" si="106">IF(OR(E834=0,E834&gt;10000),"Unusual","")</f>
        <v/>
      </c>
      <c r="M834" t="str">
        <f t="shared" ref="M834:M897" si="107">IF(OR(ISBLANK(G834),ISERROR(FIND("@",G834)),ISERROR(FIND(".",G834,FIND("@",G834)+1))),"Invalid","")</f>
        <v/>
      </c>
      <c r="N834" t="str">
        <f t="shared" ref="N834:N897" si="108">IF(COUNTIF($S$2:$S$6,H834)=0,"Invalid","")</f>
        <v/>
      </c>
      <c r="O834" t="str">
        <f t="shared" ref="O834:O897" ca="1" si="109">IF(F834&lt;EDATE(TODAY(),-12),"Outdated","")</f>
        <v>Outdated</v>
      </c>
      <c r="P834" t="str">
        <f t="shared" ref="P834:P897" si="110">IF(ISBLANK(D834),"",PROPER(TRIM(D834)))</f>
        <v/>
      </c>
      <c r="Q834" t="str">
        <f t="shared" ref="Q834:Q897" si="111">IF(ISBLANK(D834),"",IF(EXACT(D834,P834),"","Inconsistent"))</f>
        <v/>
      </c>
    </row>
    <row r="835" spans="1:17" x14ac:dyDescent="0.45">
      <c r="A835" t="s">
        <v>1465</v>
      </c>
      <c r="B835" t="s">
        <v>90</v>
      </c>
      <c r="C835" t="s">
        <v>168</v>
      </c>
      <c r="D835" t="s">
        <v>148</v>
      </c>
      <c r="E835" s="8">
        <v>3134.94</v>
      </c>
      <c r="F835" s="9">
        <v>45314.666684444448</v>
      </c>
      <c r="G835" t="s">
        <v>93</v>
      </c>
      <c r="H835" t="s">
        <v>116</v>
      </c>
      <c r="I835" t="s">
        <v>88</v>
      </c>
      <c r="J835" t="str">
        <f t="shared" si="104"/>
        <v/>
      </c>
      <c r="K835" t="str">
        <f t="shared" si="105"/>
        <v/>
      </c>
      <c r="L835" t="str">
        <f t="shared" si="106"/>
        <v/>
      </c>
      <c r="M835" t="str">
        <f t="shared" si="107"/>
        <v/>
      </c>
      <c r="N835" t="str">
        <f t="shared" si="108"/>
        <v/>
      </c>
      <c r="O835" t="str">
        <f t="shared" ca="1" si="109"/>
        <v>Outdated</v>
      </c>
      <c r="P835" t="str">
        <f t="shared" si="110"/>
        <v>Wrong Item</v>
      </c>
      <c r="Q835" t="str">
        <f t="shared" si="111"/>
        <v>Inconsistent</v>
      </c>
    </row>
    <row r="836" spans="1:17" x14ac:dyDescent="0.45">
      <c r="A836" t="s">
        <v>1466</v>
      </c>
      <c r="B836" t="s">
        <v>109</v>
      </c>
      <c r="C836" t="s">
        <v>275</v>
      </c>
      <c r="D836" t="s">
        <v>148</v>
      </c>
      <c r="E836" s="8">
        <v>10774.78</v>
      </c>
      <c r="F836" s="9">
        <v>45627.666684444448</v>
      </c>
      <c r="H836" t="s">
        <v>136</v>
      </c>
      <c r="I836" t="s">
        <v>163</v>
      </c>
      <c r="J836" t="str">
        <f t="shared" si="104"/>
        <v/>
      </c>
      <c r="K836" t="str">
        <f t="shared" si="105"/>
        <v/>
      </c>
      <c r="L836" t="str">
        <f t="shared" si="106"/>
        <v>Unusual</v>
      </c>
      <c r="M836" t="str">
        <f t="shared" si="107"/>
        <v>Invalid</v>
      </c>
      <c r="N836" t="str">
        <f t="shared" si="108"/>
        <v>Invalid</v>
      </c>
      <c r="O836" t="str">
        <f t="shared" ca="1" si="109"/>
        <v>Outdated</v>
      </c>
      <c r="P836" t="str">
        <f t="shared" si="110"/>
        <v>Wrong Item</v>
      </c>
      <c r="Q836" t="str">
        <f t="shared" si="111"/>
        <v>Inconsistent</v>
      </c>
    </row>
    <row r="837" spans="1:17" x14ac:dyDescent="0.45">
      <c r="A837" t="s">
        <v>1467</v>
      </c>
      <c r="B837" t="s">
        <v>172</v>
      </c>
      <c r="C837" t="s">
        <v>1468</v>
      </c>
      <c r="D837" t="s">
        <v>92</v>
      </c>
      <c r="E837" s="8">
        <v>313.89999999999998</v>
      </c>
      <c r="F837" s="9">
        <v>45345.666684444448</v>
      </c>
      <c r="G837" t="s">
        <v>174</v>
      </c>
      <c r="H837" t="s">
        <v>128</v>
      </c>
      <c r="I837" t="s">
        <v>88</v>
      </c>
      <c r="J837" t="str">
        <f t="shared" si="104"/>
        <v/>
      </c>
      <c r="K837" t="str">
        <f t="shared" si="105"/>
        <v/>
      </c>
      <c r="L837" t="str">
        <f t="shared" si="106"/>
        <v/>
      </c>
      <c r="M837" t="str">
        <f t="shared" si="107"/>
        <v/>
      </c>
      <c r="N837" t="str">
        <f t="shared" si="108"/>
        <v>Invalid</v>
      </c>
      <c r="O837" t="str">
        <f t="shared" ca="1" si="109"/>
        <v>Outdated</v>
      </c>
      <c r="P837" t="str">
        <f t="shared" si="110"/>
        <v>Not As Described</v>
      </c>
      <c r="Q837" t="str">
        <f t="shared" si="111"/>
        <v/>
      </c>
    </row>
    <row r="838" spans="1:17" x14ac:dyDescent="0.45">
      <c r="A838" t="s">
        <v>1469</v>
      </c>
      <c r="B838" t="s">
        <v>72</v>
      </c>
      <c r="C838" t="s">
        <v>771</v>
      </c>
      <c r="D838" t="s">
        <v>74</v>
      </c>
      <c r="E838" s="8">
        <v>7249.57</v>
      </c>
      <c r="F838" s="9">
        <v>45491.666684444448</v>
      </c>
      <c r="G838" t="s">
        <v>75</v>
      </c>
      <c r="H838" t="s">
        <v>76</v>
      </c>
      <c r="I838" t="s">
        <v>88</v>
      </c>
      <c r="J838" t="str">
        <f t="shared" si="104"/>
        <v/>
      </c>
      <c r="K838" t="str">
        <f t="shared" si="105"/>
        <v/>
      </c>
      <c r="L838" t="str">
        <f t="shared" si="106"/>
        <v/>
      </c>
      <c r="M838" t="str">
        <f t="shared" si="107"/>
        <v/>
      </c>
      <c r="N838" t="str">
        <f t="shared" si="108"/>
        <v/>
      </c>
      <c r="O838" t="str">
        <f t="shared" ca="1" si="109"/>
        <v>Outdated</v>
      </c>
      <c r="P838" t="str">
        <f t="shared" si="110"/>
        <v>Wrong Item</v>
      </c>
      <c r="Q838" t="str">
        <f t="shared" si="111"/>
        <v/>
      </c>
    </row>
    <row r="839" spans="1:17" x14ac:dyDescent="0.45">
      <c r="A839" t="s">
        <v>1470</v>
      </c>
      <c r="B839" t="s">
        <v>99</v>
      </c>
      <c r="C839" t="s">
        <v>1471</v>
      </c>
      <c r="D839" t="s">
        <v>101</v>
      </c>
      <c r="E839" s="8">
        <v>2808.06</v>
      </c>
      <c r="F839" s="9">
        <v>45392.666684444448</v>
      </c>
      <c r="G839" t="s">
        <v>285</v>
      </c>
      <c r="H839" t="s">
        <v>81</v>
      </c>
      <c r="I839" t="s">
        <v>112</v>
      </c>
      <c r="J839" t="str">
        <f t="shared" si="104"/>
        <v/>
      </c>
      <c r="K839" t="str">
        <f t="shared" si="105"/>
        <v/>
      </c>
      <c r="L839" t="str">
        <f t="shared" si="106"/>
        <v/>
      </c>
      <c r="M839" t="str">
        <f t="shared" si="107"/>
        <v>Invalid</v>
      </c>
      <c r="N839" t="str">
        <f t="shared" si="108"/>
        <v/>
      </c>
      <c r="O839" t="str">
        <f t="shared" ca="1" si="109"/>
        <v>Outdated</v>
      </c>
      <c r="P839" t="str">
        <f t="shared" si="110"/>
        <v>Damaged</v>
      </c>
      <c r="Q839" t="str">
        <f t="shared" si="111"/>
        <v/>
      </c>
    </row>
    <row r="840" spans="1:17" x14ac:dyDescent="0.45">
      <c r="A840" t="s">
        <v>1472</v>
      </c>
      <c r="B840" t="s">
        <v>90</v>
      </c>
      <c r="C840" t="s">
        <v>1473</v>
      </c>
      <c r="D840" t="s">
        <v>74</v>
      </c>
      <c r="E840" s="8">
        <v>0</v>
      </c>
      <c r="F840" s="9">
        <v>45476.666684444448</v>
      </c>
      <c r="G840" t="s">
        <v>93</v>
      </c>
      <c r="H840" t="s">
        <v>107</v>
      </c>
      <c r="I840" t="s">
        <v>163</v>
      </c>
      <c r="J840" t="str">
        <f t="shared" si="104"/>
        <v/>
      </c>
      <c r="K840" t="str">
        <f t="shared" si="105"/>
        <v/>
      </c>
      <c r="L840" t="str">
        <f t="shared" si="106"/>
        <v>Unusual</v>
      </c>
      <c r="M840" t="str">
        <f t="shared" si="107"/>
        <v/>
      </c>
      <c r="N840" t="str">
        <f t="shared" si="108"/>
        <v/>
      </c>
      <c r="O840" t="str">
        <f t="shared" ca="1" si="109"/>
        <v>Outdated</v>
      </c>
      <c r="P840" t="str">
        <f t="shared" si="110"/>
        <v>Wrong Item</v>
      </c>
      <c r="Q840" t="str">
        <f t="shared" si="111"/>
        <v/>
      </c>
    </row>
    <row r="841" spans="1:17" x14ac:dyDescent="0.45">
      <c r="A841" t="s">
        <v>1474</v>
      </c>
      <c r="B841" t="s">
        <v>95</v>
      </c>
      <c r="C841" t="s">
        <v>1475</v>
      </c>
      <c r="D841" t="s">
        <v>155</v>
      </c>
      <c r="E841" s="8">
        <v>227.13</v>
      </c>
      <c r="F841" s="9">
        <v>45414.666684444448</v>
      </c>
      <c r="H841" t="s">
        <v>145</v>
      </c>
      <c r="I841" t="s">
        <v>119</v>
      </c>
      <c r="J841" t="str">
        <f t="shared" si="104"/>
        <v/>
      </c>
      <c r="K841" t="str">
        <f t="shared" si="105"/>
        <v/>
      </c>
      <c r="L841" t="str">
        <f t="shared" si="106"/>
        <v/>
      </c>
      <c r="M841" t="str">
        <f t="shared" si="107"/>
        <v>Invalid</v>
      </c>
      <c r="N841" t="str">
        <f t="shared" si="108"/>
        <v/>
      </c>
      <c r="O841" t="str">
        <f t="shared" ca="1" si="109"/>
        <v>Outdated</v>
      </c>
      <c r="P841" t="str">
        <f t="shared" si="110"/>
        <v>Damaged</v>
      </c>
      <c r="Q841" t="str">
        <f t="shared" si="111"/>
        <v>Inconsistent</v>
      </c>
    </row>
    <row r="842" spans="1:17" x14ac:dyDescent="0.45">
      <c r="A842" t="s">
        <v>1476</v>
      </c>
      <c r="B842" t="s">
        <v>79</v>
      </c>
      <c r="C842" t="s">
        <v>1477</v>
      </c>
      <c r="D842" t="s">
        <v>92</v>
      </c>
      <c r="E842" s="8">
        <v>0</v>
      </c>
      <c r="F842" s="9">
        <v>45738.666684444448</v>
      </c>
      <c r="G842" t="s">
        <v>86</v>
      </c>
      <c r="H842" t="s">
        <v>145</v>
      </c>
      <c r="I842" t="s">
        <v>88</v>
      </c>
      <c r="J842" t="str">
        <f t="shared" si="104"/>
        <v/>
      </c>
      <c r="K842" t="str">
        <f t="shared" si="105"/>
        <v>Duplicate</v>
      </c>
      <c r="L842" t="str">
        <f t="shared" si="106"/>
        <v>Unusual</v>
      </c>
      <c r="M842" t="str">
        <f t="shared" si="107"/>
        <v/>
      </c>
      <c r="N842" t="str">
        <f t="shared" si="108"/>
        <v/>
      </c>
      <c r="O842" t="str">
        <f t="shared" ca="1" si="109"/>
        <v>Outdated</v>
      </c>
      <c r="P842" t="str">
        <f t="shared" si="110"/>
        <v>Not As Described</v>
      </c>
      <c r="Q842" t="str">
        <f t="shared" si="111"/>
        <v/>
      </c>
    </row>
    <row r="843" spans="1:17" x14ac:dyDescent="0.45">
      <c r="A843" t="s">
        <v>1478</v>
      </c>
      <c r="B843" t="s">
        <v>99</v>
      </c>
      <c r="C843" t="s">
        <v>1479</v>
      </c>
      <c r="D843" t="s">
        <v>92</v>
      </c>
      <c r="E843" s="8">
        <v>4224.2</v>
      </c>
      <c r="F843" s="9">
        <v>45846.666684444448</v>
      </c>
      <c r="G843" t="s">
        <v>102</v>
      </c>
      <c r="I843" t="s">
        <v>77</v>
      </c>
      <c r="J843" t="str">
        <f t="shared" si="104"/>
        <v/>
      </c>
      <c r="K843" t="str">
        <f t="shared" si="105"/>
        <v/>
      </c>
      <c r="L843" t="str">
        <f t="shared" si="106"/>
        <v/>
      </c>
      <c r="M843" t="str">
        <f t="shared" si="107"/>
        <v/>
      </c>
      <c r="N843" t="str">
        <f t="shared" si="108"/>
        <v>Invalid</v>
      </c>
      <c r="O843" t="str">
        <f t="shared" ca="1" si="109"/>
        <v/>
      </c>
      <c r="P843" t="str">
        <f t="shared" si="110"/>
        <v>Not As Described</v>
      </c>
      <c r="Q843" t="str">
        <f t="shared" si="111"/>
        <v/>
      </c>
    </row>
    <row r="844" spans="1:17" x14ac:dyDescent="0.45">
      <c r="A844" t="s">
        <v>1480</v>
      </c>
      <c r="B844" t="s">
        <v>109</v>
      </c>
      <c r="C844" t="s">
        <v>357</v>
      </c>
      <c r="D844" t="s">
        <v>101</v>
      </c>
      <c r="E844" s="8">
        <v>220.46</v>
      </c>
      <c r="F844" s="9">
        <v>45410.666684444448</v>
      </c>
      <c r="G844" t="s">
        <v>111</v>
      </c>
      <c r="H844" t="s">
        <v>133</v>
      </c>
      <c r="I844" t="s">
        <v>163</v>
      </c>
      <c r="J844" t="str">
        <f t="shared" si="104"/>
        <v/>
      </c>
      <c r="K844" t="str">
        <f t="shared" si="105"/>
        <v/>
      </c>
      <c r="L844" t="str">
        <f t="shared" si="106"/>
        <v/>
      </c>
      <c r="M844" t="str">
        <f t="shared" si="107"/>
        <v/>
      </c>
      <c r="N844" t="str">
        <f t="shared" si="108"/>
        <v>Invalid</v>
      </c>
      <c r="O844" t="str">
        <f t="shared" ca="1" si="109"/>
        <v>Outdated</v>
      </c>
      <c r="P844" t="str">
        <f t="shared" si="110"/>
        <v>Damaged</v>
      </c>
      <c r="Q844" t="str">
        <f t="shared" si="111"/>
        <v/>
      </c>
    </row>
    <row r="845" spans="1:17" x14ac:dyDescent="0.45">
      <c r="A845" t="s">
        <v>1481</v>
      </c>
      <c r="B845" t="s">
        <v>104</v>
      </c>
      <c r="C845" t="s">
        <v>1261</v>
      </c>
      <c r="E845" s="8">
        <v>9656.7099999999991</v>
      </c>
      <c r="F845" s="9">
        <v>45697.666684444448</v>
      </c>
      <c r="G845" t="s">
        <v>115</v>
      </c>
      <c r="H845" t="s">
        <v>116</v>
      </c>
      <c r="I845" t="s">
        <v>88</v>
      </c>
      <c r="J845" t="str">
        <f t="shared" si="104"/>
        <v>Missing</v>
      </c>
      <c r="K845" t="str">
        <f t="shared" si="105"/>
        <v/>
      </c>
      <c r="L845" t="str">
        <f t="shared" si="106"/>
        <v/>
      </c>
      <c r="M845" t="str">
        <f t="shared" si="107"/>
        <v/>
      </c>
      <c r="N845" t="str">
        <f t="shared" si="108"/>
        <v/>
      </c>
      <c r="O845" t="str">
        <f t="shared" ca="1" si="109"/>
        <v>Outdated</v>
      </c>
      <c r="P845" t="str">
        <f t="shared" si="110"/>
        <v/>
      </c>
      <c r="Q845" t="str">
        <f t="shared" si="111"/>
        <v/>
      </c>
    </row>
    <row r="846" spans="1:17" x14ac:dyDescent="0.45">
      <c r="A846" t="s">
        <v>1482</v>
      </c>
      <c r="B846" t="s">
        <v>172</v>
      </c>
      <c r="C846" t="s">
        <v>1483</v>
      </c>
      <c r="D846" t="s">
        <v>101</v>
      </c>
      <c r="E846" s="8">
        <v>9045.3700000000008</v>
      </c>
      <c r="F846" s="9">
        <v>45138.666684444448</v>
      </c>
      <c r="G846" t="s">
        <v>174</v>
      </c>
      <c r="H846" t="s">
        <v>128</v>
      </c>
      <c r="I846" t="s">
        <v>88</v>
      </c>
      <c r="J846" t="str">
        <f t="shared" si="104"/>
        <v/>
      </c>
      <c r="K846" t="str">
        <f t="shared" si="105"/>
        <v/>
      </c>
      <c r="L846" t="str">
        <f t="shared" si="106"/>
        <v/>
      </c>
      <c r="M846" t="str">
        <f t="shared" si="107"/>
        <v/>
      </c>
      <c r="N846" t="str">
        <f t="shared" si="108"/>
        <v>Invalid</v>
      </c>
      <c r="O846" t="str">
        <f t="shared" ca="1" si="109"/>
        <v>Outdated</v>
      </c>
      <c r="P846" t="str">
        <f t="shared" si="110"/>
        <v>Damaged</v>
      </c>
      <c r="Q846" t="str">
        <f t="shared" si="111"/>
        <v/>
      </c>
    </row>
    <row r="847" spans="1:17" x14ac:dyDescent="0.45">
      <c r="A847" t="s">
        <v>1484</v>
      </c>
      <c r="B847" t="s">
        <v>79</v>
      </c>
      <c r="C847" t="s">
        <v>1100</v>
      </c>
      <c r="D847" t="s">
        <v>74</v>
      </c>
      <c r="E847" s="8">
        <v>3716.75</v>
      </c>
      <c r="F847" s="9">
        <v>45657.666684444448</v>
      </c>
      <c r="G847" t="s">
        <v>86</v>
      </c>
      <c r="I847" t="s">
        <v>77</v>
      </c>
      <c r="J847" t="str">
        <f t="shared" si="104"/>
        <v/>
      </c>
      <c r="K847" t="str">
        <f t="shared" si="105"/>
        <v>Duplicate</v>
      </c>
      <c r="L847" t="str">
        <f t="shared" si="106"/>
        <v/>
      </c>
      <c r="M847" t="str">
        <f t="shared" si="107"/>
        <v/>
      </c>
      <c r="N847" t="str">
        <f t="shared" si="108"/>
        <v>Invalid</v>
      </c>
      <c r="O847" t="str">
        <f t="shared" ca="1" si="109"/>
        <v>Outdated</v>
      </c>
      <c r="P847" t="str">
        <f t="shared" si="110"/>
        <v>Wrong Item</v>
      </c>
      <c r="Q847" t="str">
        <f t="shared" si="111"/>
        <v/>
      </c>
    </row>
    <row r="848" spans="1:17" x14ac:dyDescent="0.45">
      <c r="A848" t="s">
        <v>1485</v>
      </c>
      <c r="B848" t="s">
        <v>79</v>
      </c>
      <c r="C848" t="s">
        <v>1486</v>
      </c>
      <c r="D848" t="s">
        <v>101</v>
      </c>
      <c r="E848" s="8">
        <v>3876.85</v>
      </c>
      <c r="F848" s="9">
        <v>45323.666684444448</v>
      </c>
      <c r="G848" t="s">
        <v>86</v>
      </c>
      <c r="H848" t="s">
        <v>118</v>
      </c>
      <c r="I848" t="s">
        <v>77</v>
      </c>
      <c r="J848" t="str">
        <f t="shared" si="104"/>
        <v/>
      </c>
      <c r="K848" t="str">
        <f t="shared" si="105"/>
        <v>Duplicate</v>
      </c>
      <c r="L848" t="str">
        <f t="shared" si="106"/>
        <v/>
      </c>
      <c r="M848" t="str">
        <f t="shared" si="107"/>
        <v/>
      </c>
      <c r="N848" t="str">
        <f t="shared" si="108"/>
        <v>Invalid</v>
      </c>
      <c r="O848" t="str">
        <f t="shared" ca="1" si="109"/>
        <v>Outdated</v>
      </c>
      <c r="P848" t="str">
        <f t="shared" si="110"/>
        <v>Damaged</v>
      </c>
      <c r="Q848" t="str">
        <f t="shared" si="111"/>
        <v/>
      </c>
    </row>
    <row r="849" spans="1:17" x14ac:dyDescent="0.45">
      <c r="A849" t="s">
        <v>1487</v>
      </c>
      <c r="B849" t="s">
        <v>79</v>
      </c>
      <c r="C849" t="s">
        <v>1207</v>
      </c>
      <c r="D849" t="s">
        <v>85</v>
      </c>
      <c r="E849" s="8">
        <v>3572.08</v>
      </c>
      <c r="F849" s="9">
        <v>45215.666684444448</v>
      </c>
      <c r="G849" t="s">
        <v>86</v>
      </c>
      <c r="H849" t="s">
        <v>87</v>
      </c>
      <c r="I849" t="s">
        <v>112</v>
      </c>
      <c r="J849" t="str">
        <f t="shared" si="104"/>
        <v/>
      </c>
      <c r="K849" t="str">
        <f t="shared" si="105"/>
        <v/>
      </c>
      <c r="L849" t="str">
        <f t="shared" si="106"/>
        <v/>
      </c>
      <c r="M849" t="str">
        <f t="shared" si="107"/>
        <v/>
      </c>
      <c r="N849" t="str">
        <f t="shared" si="108"/>
        <v>Invalid</v>
      </c>
      <c r="O849" t="str">
        <f t="shared" ca="1" si="109"/>
        <v>Outdated</v>
      </c>
      <c r="P849" t="str">
        <f t="shared" si="110"/>
        <v>Late Delivery</v>
      </c>
      <c r="Q849" t="str">
        <f t="shared" si="111"/>
        <v/>
      </c>
    </row>
    <row r="850" spans="1:17" x14ac:dyDescent="0.45">
      <c r="A850" t="s">
        <v>1488</v>
      </c>
      <c r="B850" t="s">
        <v>72</v>
      </c>
      <c r="C850" t="s">
        <v>1489</v>
      </c>
      <c r="D850" t="s">
        <v>85</v>
      </c>
      <c r="E850" s="8">
        <v>1643.79</v>
      </c>
      <c r="F850" s="9">
        <v>45375.666684444448</v>
      </c>
      <c r="G850" t="s">
        <v>75</v>
      </c>
      <c r="I850" t="s">
        <v>77</v>
      </c>
      <c r="J850" t="str">
        <f t="shared" si="104"/>
        <v/>
      </c>
      <c r="K850" t="str">
        <f t="shared" si="105"/>
        <v/>
      </c>
      <c r="L850" t="str">
        <f t="shared" si="106"/>
        <v/>
      </c>
      <c r="M850" t="str">
        <f t="shared" si="107"/>
        <v/>
      </c>
      <c r="N850" t="str">
        <f t="shared" si="108"/>
        <v>Invalid</v>
      </c>
      <c r="O850" t="str">
        <f t="shared" ca="1" si="109"/>
        <v>Outdated</v>
      </c>
      <c r="P850" t="str">
        <f t="shared" si="110"/>
        <v>Late Delivery</v>
      </c>
      <c r="Q850" t="str">
        <f t="shared" si="111"/>
        <v/>
      </c>
    </row>
    <row r="851" spans="1:17" x14ac:dyDescent="0.45">
      <c r="A851" t="s">
        <v>1124</v>
      </c>
      <c r="B851" t="s">
        <v>79</v>
      </c>
      <c r="C851" t="s">
        <v>1413</v>
      </c>
      <c r="D851" t="s">
        <v>148</v>
      </c>
      <c r="E851" s="8">
        <v>10959.6</v>
      </c>
      <c r="F851" s="9">
        <v>45544.666684444448</v>
      </c>
      <c r="G851" t="s">
        <v>86</v>
      </c>
      <c r="H851" t="s">
        <v>81</v>
      </c>
      <c r="I851" t="s">
        <v>119</v>
      </c>
      <c r="J851" t="str">
        <f t="shared" si="104"/>
        <v/>
      </c>
      <c r="K851" t="str">
        <f t="shared" si="105"/>
        <v>Duplicate</v>
      </c>
      <c r="L851" t="str">
        <f t="shared" si="106"/>
        <v>Unusual</v>
      </c>
      <c r="M851" t="str">
        <f t="shared" si="107"/>
        <v/>
      </c>
      <c r="N851" t="str">
        <f t="shared" si="108"/>
        <v/>
      </c>
      <c r="O851" t="str">
        <f t="shared" ca="1" si="109"/>
        <v>Outdated</v>
      </c>
      <c r="P851" t="str">
        <f t="shared" si="110"/>
        <v>Wrong Item</v>
      </c>
      <c r="Q851" t="str">
        <f t="shared" si="111"/>
        <v>Inconsistent</v>
      </c>
    </row>
    <row r="852" spans="1:17" x14ac:dyDescent="0.45">
      <c r="A852" t="s">
        <v>1490</v>
      </c>
      <c r="B852" t="s">
        <v>90</v>
      </c>
      <c r="C852" t="s">
        <v>708</v>
      </c>
      <c r="D852" t="s">
        <v>74</v>
      </c>
      <c r="E852" s="8">
        <v>6718.26</v>
      </c>
      <c r="F852" s="9">
        <v>45628.666684444448</v>
      </c>
      <c r="G852" t="s">
        <v>93</v>
      </c>
      <c r="H852" t="s">
        <v>133</v>
      </c>
      <c r="I852" t="s">
        <v>112</v>
      </c>
      <c r="J852" t="str">
        <f t="shared" si="104"/>
        <v/>
      </c>
      <c r="K852" t="str">
        <f t="shared" si="105"/>
        <v/>
      </c>
      <c r="L852" t="str">
        <f t="shared" si="106"/>
        <v/>
      </c>
      <c r="M852" t="str">
        <f t="shared" si="107"/>
        <v/>
      </c>
      <c r="N852" t="str">
        <f t="shared" si="108"/>
        <v>Invalid</v>
      </c>
      <c r="O852" t="str">
        <f t="shared" ca="1" si="109"/>
        <v>Outdated</v>
      </c>
      <c r="P852" t="str">
        <f t="shared" si="110"/>
        <v>Wrong Item</v>
      </c>
      <c r="Q852" t="str">
        <f t="shared" si="111"/>
        <v/>
      </c>
    </row>
    <row r="853" spans="1:17" x14ac:dyDescent="0.45">
      <c r="A853" t="s">
        <v>1491</v>
      </c>
      <c r="B853" t="s">
        <v>104</v>
      </c>
      <c r="C853" t="s">
        <v>910</v>
      </c>
      <c r="D853" t="s">
        <v>85</v>
      </c>
      <c r="E853" s="8">
        <v>7528.76</v>
      </c>
      <c r="F853" s="9">
        <v>45696.666684444448</v>
      </c>
      <c r="G853" t="s">
        <v>115</v>
      </c>
      <c r="H853" t="s">
        <v>81</v>
      </c>
      <c r="I853" t="s">
        <v>82</v>
      </c>
      <c r="J853" t="str">
        <f t="shared" si="104"/>
        <v/>
      </c>
      <c r="K853" t="str">
        <f t="shared" si="105"/>
        <v/>
      </c>
      <c r="L853" t="str">
        <f t="shared" si="106"/>
        <v/>
      </c>
      <c r="M853" t="str">
        <f t="shared" si="107"/>
        <v/>
      </c>
      <c r="N853" t="str">
        <f t="shared" si="108"/>
        <v/>
      </c>
      <c r="O853" t="str">
        <f t="shared" ca="1" si="109"/>
        <v>Outdated</v>
      </c>
      <c r="P853" t="str">
        <f t="shared" si="110"/>
        <v>Late Delivery</v>
      </c>
      <c r="Q853" t="str">
        <f t="shared" si="111"/>
        <v/>
      </c>
    </row>
    <row r="854" spans="1:17" x14ac:dyDescent="0.45">
      <c r="A854" t="s">
        <v>1492</v>
      </c>
      <c r="B854" t="s">
        <v>90</v>
      </c>
      <c r="C854" t="s">
        <v>1493</v>
      </c>
      <c r="D854" t="s">
        <v>85</v>
      </c>
      <c r="E854" s="8">
        <v>3508.69</v>
      </c>
      <c r="F854" s="9">
        <v>45374.666684444448</v>
      </c>
      <c r="G854" t="s">
        <v>93</v>
      </c>
      <c r="H854" t="s">
        <v>118</v>
      </c>
      <c r="I854" t="s">
        <v>119</v>
      </c>
      <c r="J854" t="str">
        <f t="shared" si="104"/>
        <v/>
      </c>
      <c r="K854" t="str">
        <f t="shared" si="105"/>
        <v>Duplicate</v>
      </c>
      <c r="L854" t="str">
        <f t="shared" si="106"/>
        <v/>
      </c>
      <c r="M854" t="str">
        <f t="shared" si="107"/>
        <v/>
      </c>
      <c r="N854" t="str">
        <f t="shared" si="108"/>
        <v>Invalid</v>
      </c>
      <c r="O854" t="str">
        <f t="shared" ca="1" si="109"/>
        <v>Outdated</v>
      </c>
      <c r="P854" t="str">
        <f t="shared" si="110"/>
        <v>Late Delivery</v>
      </c>
      <c r="Q854" t="str">
        <f t="shared" si="111"/>
        <v/>
      </c>
    </row>
    <row r="855" spans="1:17" x14ac:dyDescent="0.45">
      <c r="A855" t="s">
        <v>1046</v>
      </c>
      <c r="B855" t="s">
        <v>90</v>
      </c>
      <c r="C855" t="s">
        <v>1159</v>
      </c>
      <c r="D855" t="s">
        <v>101</v>
      </c>
      <c r="E855" s="8">
        <v>8825.24</v>
      </c>
      <c r="F855" s="9">
        <v>45835.666684444448</v>
      </c>
      <c r="G855" t="s">
        <v>93</v>
      </c>
      <c r="H855" t="s">
        <v>87</v>
      </c>
      <c r="I855" t="s">
        <v>112</v>
      </c>
      <c r="J855" t="str">
        <f t="shared" si="104"/>
        <v/>
      </c>
      <c r="K855" t="str">
        <f t="shared" si="105"/>
        <v>Duplicate</v>
      </c>
      <c r="L855" t="str">
        <f t="shared" si="106"/>
        <v/>
      </c>
      <c r="M855" t="str">
        <f t="shared" si="107"/>
        <v/>
      </c>
      <c r="N855" t="str">
        <f t="shared" si="108"/>
        <v>Invalid</v>
      </c>
      <c r="O855" t="str">
        <f t="shared" ca="1" si="109"/>
        <v>Outdated</v>
      </c>
      <c r="P855" t="str">
        <f t="shared" si="110"/>
        <v>Damaged</v>
      </c>
      <c r="Q855" t="str">
        <f t="shared" si="111"/>
        <v/>
      </c>
    </row>
    <row r="856" spans="1:17" x14ac:dyDescent="0.45">
      <c r="A856" t="s">
        <v>1494</v>
      </c>
      <c r="B856" t="s">
        <v>172</v>
      </c>
      <c r="C856" t="s">
        <v>685</v>
      </c>
      <c r="E856" s="8">
        <v>4144.13</v>
      </c>
      <c r="F856" s="9">
        <v>45615.666684444448</v>
      </c>
      <c r="G856" t="s">
        <v>174</v>
      </c>
      <c r="H856" t="s">
        <v>76</v>
      </c>
      <c r="I856" t="s">
        <v>119</v>
      </c>
      <c r="J856" t="str">
        <f t="shared" si="104"/>
        <v>Missing</v>
      </c>
      <c r="K856" t="str">
        <f t="shared" si="105"/>
        <v/>
      </c>
      <c r="L856" t="str">
        <f t="shared" si="106"/>
        <v/>
      </c>
      <c r="M856" t="str">
        <f t="shared" si="107"/>
        <v/>
      </c>
      <c r="N856" t="str">
        <f t="shared" si="108"/>
        <v/>
      </c>
      <c r="O856" t="str">
        <f t="shared" ca="1" si="109"/>
        <v>Outdated</v>
      </c>
      <c r="P856" t="str">
        <f t="shared" si="110"/>
        <v/>
      </c>
      <c r="Q856" t="str">
        <f t="shared" si="111"/>
        <v/>
      </c>
    </row>
    <row r="857" spans="1:17" x14ac:dyDescent="0.45">
      <c r="A857" t="s">
        <v>1495</v>
      </c>
      <c r="B857" t="s">
        <v>104</v>
      </c>
      <c r="C857" t="s">
        <v>858</v>
      </c>
      <c r="D857" t="s">
        <v>92</v>
      </c>
      <c r="E857" s="8">
        <v>1223.43</v>
      </c>
      <c r="F857" s="9">
        <v>45789.666684444448</v>
      </c>
      <c r="G857" t="s">
        <v>115</v>
      </c>
      <c r="H857" t="s">
        <v>87</v>
      </c>
      <c r="I857" t="s">
        <v>82</v>
      </c>
      <c r="J857" t="str">
        <f t="shared" si="104"/>
        <v/>
      </c>
      <c r="K857" t="str">
        <f t="shared" si="105"/>
        <v/>
      </c>
      <c r="L857" t="str">
        <f t="shared" si="106"/>
        <v/>
      </c>
      <c r="M857" t="str">
        <f t="shared" si="107"/>
        <v/>
      </c>
      <c r="N857" t="str">
        <f t="shared" si="108"/>
        <v>Invalid</v>
      </c>
      <c r="O857" t="str">
        <f t="shared" ca="1" si="109"/>
        <v>Outdated</v>
      </c>
      <c r="P857" t="str">
        <f t="shared" si="110"/>
        <v>Not As Described</v>
      </c>
      <c r="Q857" t="str">
        <f t="shared" si="111"/>
        <v/>
      </c>
    </row>
    <row r="858" spans="1:17" x14ac:dyDescent="0.45">
      <c r="A858" t="s">
        <v>1496</v>
      </c>
      <c r="B858" t="s">
        <v>172</v>
      </c>
      <c r="C858" t="s">
        <v>1473</v>
      </c>
      <c r="D858" t="s">
        <v>92</v>
      </c>
      <c r="E858" s="8">
        <v>749.37</v>
      </c>
      <c r="F858" s="9">
        <v>45856.666684444448</v>
      </c>
      <c r="G858" t="s">
        <v>174</v>
      </c>
      <c r="H858" t="s">
        <v>81</v>
      </c>
      <c r="I858" t="s">
        <v>88</v>
      </c>
      <c r="J858" t="str">
        <f t="shared" si="104"/>
        <v/>
      </c>
      <c r="K858" t="str">
        <f t="shared" si="105"/>
        <v>Duplicate</v>
      </c>
      <c r="L858" t="str">
        <f t="shared" si="106"/>
        <v/>
      </c>
      <c r="M858" t="str">
        <f t="shared" si="107"/>
        <v/>
      </c>
      <c r="N858" t="str">
        <f t="shared" si="108"/>
        <v/>
      </c>
      <c r="O858" t="str">
        <f t="shared" ca="1" si="109"/>
        <v/>
      </c>
      <c r="P858" t="str">
        <f t="shared" si="110"/>
        <v>Not As Described</v>
      </c>
      <c r="Q858" t="str">
        <f t="shared" si="111"/>
        <v/>
      </c>
    </row>
    <row r="859" spans="1:17" x14ac:dyDescent="0.45">
      <c r="A859" t="s">
        <v>1497</v>
      </c>
      <c r="B859" t="s">
        <v>79</v>
      </c>
      <c r="C859" t="s">
        <v>845</v>
      </c>
      <c r="D859" t="s">
        <v>148</v>
      </c>
      <c r="E859" s="8">
        <v>1108.1500000000001</v>
      </c>
      <c r="F859" s="9">
        <v>45630.666684444448</v>
      </c>
      <c r="G859" t="s">
        <v>278</v>
      </c>
      <c r="H859" t="s">
        <v>128</v>
      </c>
      <c r="I859" t="s">
        <v>163</v>
      </c>
      <c r="J859" t="str">
        <f t="shared" si="104"/>
        <v/>
      </c>
      <c r="K859" t="str">
        <f t="shared" si="105"/>
        <v>Duplicate</v>
      </c>
      <c r="L859" t="str">
        <f t="shared" si="106"/>
        <v/>
      </c>
      <c r="M859" t="str">
        <f t="shared" si="107"/>
        <v>Invalid</v>
      </c>
      <c r="N859" t="str">
        <f t="shared" si="108"/>
        <v>Invalid</v>
      </c>
      <c r="O859" t="str">
        <f t="shared" ca="1" si="109"/>
        <v>Outdated</v>
      </c>
      <c r="P859" t="str">
        <f t="shared" si="110"/>
        <v>Wrong Item</v>
      </c>
      <c r="Q859" t="str">
        <f t="shared" si="111"/>
        <v>Inconsistent</v>
      </c>
    </row>
    <row r="860" spans="1:17" x14ac:dyDescent="0.45">
      <c r="A860" t="s">
        <v>1498</v>
      </c>
      <c r="B860" t="s">
        <v>79</v>
      </c>
      <c r="C860" t="s">
        <v>617</v>
      </c>
      <c r="D860" t="s">
        <v>92</v>
      </c>
      <c r="E860" s="8">
        <v>677.8</v>
      </c>
      <c r="F860" s="9">
        <v>45586.666684444448</v>
      </c>
      <c r="G860" t="s">
        <v>86</v>
      </c>
      <c r="H860" t="s">
        <v>118</v>
      </c>
      <c r="I860" t="s">
        <v>112</v>
      </c>
      <c r="J860" t="str">
        <f t="shared" si="104"/>
        <v/>
      </c>
      <c r="K860" t="str">
        <f t="shared" si="105"/>
        <v/>
      </c>
      <c r="L860" t="str">
        <f t="shared" si="106"/>
        <v/>
      </c>
      <c r="M860" t="str">
        <f t="shared" si="107"/>
        <v/>
      </c>
      <c r="N860" t="str">
        <f t="shared" si="108"/>
        <v>Invalid</v>
      </c>
      <c r="O860" t="str">
        <f t="shared" ca="1" si="109"/>
        <v>Outdated</v>
      </c>
      <c r="P860" t="str">
        <f t="shared" si="110"/>
        <v>Not As Described</v>
      </c>
      <c r="Q860" t="str">
        <f t="shared" si="111"/>
        <v/>
      </c>
    </row>
    <row r="861" spans="1:17" x14ac:dyDescent="0.45">
      <c r="A861" t="s">
        <v>1499</v>
      </c>
      <c r="B861" t="s">
        <v>90</v>
      </c>
      <c r="C861" t="s">
        <v>1500</v>
      </c>
      <c r="D861" t="s">
        <v>74</v>
      </c>
      <c r="E861" s="8">
        <v>10116.44</v>
      </c>
      <c r="F861" s="9">
        <v>45145.666684444448</v>
      </c>
      <c r="G861" t="s">
        <v>296</v>
      </c>
      <c r="H861" t="s">
        <v>87</v>
      </c>
      <c r="I861" t="s">
        <v>119</v>
      </c>
      <c r="J861" t="str">
        <f t="shared" si="104"/>
        <v/>
      </c>
      <c r="K861" t="str">
        <f t="shared" si="105"/>
        <v/>
      </c>
      <c r="L861" t="str">
        <f t="shared" si="106"/>
        <v>Unusual</v>
      </c>
      <c r="M861" t="str">
        <f t="shared" si="107"/>
        <v>Invalid</v>
      </c>
      <c r="N861" t="str">
        <f t="shared" si="108"/>
        <v>Invalid</v>
      </c>
      <c r="O861" t="str">
        <f t="shared" ca="1" si="109"/>
        <v>Outdated</v>
      </c>
      <c r="P861" t="str">
        <f t="shared" si="110"/>
        <v>Wrong Item</v>
      </c>
      <c r="Q861" t="str">
        <f t="shared" si="111"/>
        <v/>
      </c>
    </row>
    <row r="862" spans="1:17" x14ac:dyDescent="0.45">
      <c r="A862" t="s">
        <v>1501</v>
      </c>
      <c r="B862" t="s">
        <v>90</v>
      </c>
      <c r="D862" t="s">
        <v>92</v>
      </c>
      <c r="E862" s="8">
        <v>6265.52</v>
      </c>
      <c r="F862" s="9">
        <v>45223.666684444448</v>
      </c>
      <c r="G862" t="s">
        <v>93</v>
      </c>
      <c r="H862" t="s">
        <v>107</v>
      </c>
      <c r="I862" t="s">
        <v>119</v>
      </c>
      <c r="J862" t="str">
        <f t="shared" si="104"/>
        <v>Missing</v>
      </c>
      <c r="K862" t="str">
        <f t="shared" si="105"/>
        <v/>
      </c>
      <c r="L862" t="str">
        <f t="shared" si="106"/>
        <v/>
      </c>
      <c r="M862" t="str">
        <f t="shared" si="107"/>
        <v/>
      </c>
      <c r="N862" t="str">
        <f t="shared" si="108"/>
        <v/>
      </c>
      <c r="O862" t="str">
        <f t="shared" ca="1" si="109"/>
        <v>Outdated</v>
      </c>
      <c r="P862" t="str">
        <f t="shared" si="110"/>
        <v>Not As Described</v>
      </c>
      <c r="Q862" t="str">
        <f t="shared" si="111"/>
        <v/>
      </c>
    </row>
    <row r="863" spans="1:17" x14ac:dyDescent="0.45">
      <c r="A863" t="s">
        <v>1502</v>
      </c>
      <c r="B863" t="s">
        <v>79</v>
      </c>
      <c r="C863" t="s">
        <v>1067</v>
      </c>
      <c r="D863" t="s">
        <v>101</v>
      </c>
      <c r="E863" s="8">
        <v>3605.87</v>
      </c>
      <c r="F863" s="9">
        <v>45429.666684444448</v>
      </c>
      <c r="G863" t="s">
        <v>278</v>
      </c>
      <c r="H863" t="s">
        <v>116</v>
      </c>
      <c r="I863" t="s">
        <v>82</v>
      </c>
      <c r="J863" t="str">
        <f t="shared" si="104"/>
        <v/>
      </c>
      <c r="K863" t="str">
        <f t="shared" si="105"/>
        <v/>
      </c>
      <c r="L863" t="str">
        <f t="shared" si="106"/>
        <v/>
      </c>
      <c r="M863" t="str">
        <f t="shared" si="107"/>
        <v>Invalid</v>
      </c>
      <c r="N863" t="str">
        <f t="shared" si="108"/>
        <v/>
      </c>
      <c r="O863" t="str">
        <f t="shared" ca="1" si="109"/>
        <v>Outdated</v>
      </c>
      <c r="P863" t="str">
        <f t="shared" si="110"/>
        <v>Damaged</v>
      </c>
      <c r="Q863" t="str">
        <f t="shared" si="111"/>
        <v/>
      </c>
    </row>
    <row r="864" spans="1:17" x14ac:dyDescent="0.45">
      <c r="A864" t="s">
        <v>1503</v>
      </c>
      <c r="B864" t="s">
        <v>138</v>
      </c>
      <c r="C864" t="s">
        <v>1504</v>
      </c>
      <c r="D864" t="s">
        <v>74</v>
      </c>
      <c r="E864" s="8">
        <v>3264.03</v>
      </c>
      <c r="F864" s="9">
        <v>45354.666684444448</v>
      </c>
      <c r="G864" t="s">
        <v>140</v>
      </c>
      <c r="H864" t="s">
        <v>116</v>
      </c>
      <c r="I864" t="s">
        <v>82</v>
      </c>
      <c r="J864" t="str">
        <f t="shared" si="104"/>
        <v/>
      </c>
      <c r="K864" t="str">
        <f t="shared" si="105"/>
        <v/>
      </c>
      <c r="L864" t="str">
        <f t="shared" si="106"/>
        <v/>
      </c>
      <c r="M864" t="str">
        <f t="shared" si="107"/>
        <v/>
      </c>
      <c r="N864" t="str">
        <f t="shared" si="108"/>
        <v/>
      </c>
      <c r="O864" t="str">
        <f t="shared" ca="1" si="109"/>
        <v>Outdated</v>
      </c>
      <c r="P864" t="str">
        <f t="shared" si="110"/>
        <v>Wrong Item</v>
      </c>
      <c r="Q864" t="str">
        <f t="shared" si="111"/>
        <v/>
      </c>
    </row>
    <row r="865" spans="1:17" x14ac:dyDescent="0.45">
      <c r="A865" t="s">
        <v>1505</v>
      </c>
      <c r="B865" t="s">
        <v>72</v>
      </c>
      <c r="C865" t="s">
        <v>1506</v>
      </c>
      <c r="D865" t="s">
        <v>74</v>
      </c>
      <c r="E865" s="8">
        <v>2474.36</v>
      </c>
      <c r="F865" s="9">
        <v>45542.666684444448</v>
      </c>
      <c r="G865" t="s">
        <v>75</v>
      </c>
      <c r="H865" t="s">
        <v>116</v>
      </c>
      <c r="I865" t="s">
        <v>112</v>
      </c>
      <c r="J865" t="str">
        <f t="shared" si="104"/>
        <v/>
      </c>
      <c r="K865" t="str">
        <f t="shared" si="105"/>
        <v/>
      </c>
      <c r="L865" t="str">
        <f t="shared" si="106"/>
        <v/>
      </c>
      <c r="M865" t="str">
        <f t="shared" si="107"/>
        <v/>
      </c>
      <c r="N865" t="str">
        <f t="shared" si="108"/>
        <v/>
      </c>
      <c r="O865" t="str">
        <f t="shared" ca="1" si="109"/>
        <v>Outdated</v>
      </c>
      <c r="P865" t="str">
        <f t="shared" si="110"/>
        <v>Wrong Item</v>
      </c>
      <c r="Q865" t="str">
        <f t="shared" si="111"/>
        <v/>
      </c>
    </row>
    <row r="866" spans="1:17" x14ac:dyDescent="0.45">
      <c r="A866" t="s">
        <v>1507</v>
      </c>
      <c r="B866" t="s">
        <v>99</v>
      </c>
      <c r="C866" t="s">
        <v>853</v>
      </c>
      <c r="D866" t="s">
        <v>92</v>
      </c>
      <c r="E866" s="8">
        <v>4037.53</v>
      </c>
      <c r="F866" s="9">
        <v>45836.666684444448</v>
      </c>
      <c r="G866" t="s">
        <v>102</v>
      </c>
      <c r="H866" t="s">
        <v>128</v>
      </c>
      <c r="I866" t="s">
        <v>82</v>
      </c>
      <c r="J866" t="str">
        <f t="shared" si="104"/>
        <v/>
      </c>
      <c r="K866" t="str">
        <f t="shared" si="105"/>
        <v/>
      </c>
      <c r="L866" t="str">
        <f t="shared" si="106"/>
        <v/>
      </c>
      <c r="M866" t="str">
        <f t="shared" si="107"/>
        <v/>
      </c>
      <c r="N866" t="str">
        <f t="shared" si="108"/>
        <v>Invalid</v>
      </c>
      <c r="O866" t="str">
        <f t="shared" ca="1" si="109"/>
        <v>Outdated</v>
      </c>
      <c r="P866" t="str">
        <f t="shared" si="110"/>
        <v>Not As Described</v>
      </c>
      <c r="Q866" t="str">
        <f t="shared" si="111"/>
        <v/>
      </c>
    </row>
    <row r="867" spans="1:17" x14ac:dyDescent="0.45">
      <c r="A867" t="s">
        <v>1508</v>
      </c>
      <c r="B867" t="s">
        <v>109</v>
      </c>
      <c r="C867" t="s">
        <v>645</v>
      </c>
      <c r="D867" t="s">
        <v>92</v>
      </c>
      <c r="E867" s="8">
        <v>5453.07</v>
      </c>
      <c r="F867" s="9">
        <v>45377.666684444448</v>
      </c>
      <c r="G867" t="s">
        <v>111</v>
      </c>
      <c r="H867" t="s">
        <v>76</v>
      </c>
      <c r="I867" t="s">
        <v>163</v>
      </c>
      <c r="J867" t="str">
        <f t="shared" si="104"/>
        <v/>
      </c>
      <c r="K867" t="str">
        <f t="shared" si="105"/>
        <v/>
      </c>
      <c r="L867" t="str">
        <f t="shared" si="106"/>
        <v/>
      </c>
      <c r="M867" t="str">
        <f t="shared" si="107"/>
        <v/>
      </c>
      <c r="N867" t="str">
        <f t="shared" si="108"/>
        <v/>
      </c>
      <c r="O867" t="str">
        <f t="shared" ca="1" si="109"/>
        <v>Outdated</v>
      </c>
      <c r="P867" t="str">
        <f t="shared" si="110"/>
        <v>Not As Described</v>
      </c>
      <c r="Q867" t="str">
        <f t="shared" si="111"/>
        <v/>
      </c>
    </row>
    <row r="868" spans="1:17" x14ac:dyDescent="0.45">
      <c r="A868" t="s">
        <v>1509</v>
      </c>
      <c r="B868" t="s">
        <v>95</v>
      </c>
      <c r="C868" t="s">
        <v>1510</v>
      </c>
      <c r="D868" t="s">
        <v>74</v>
      </c>
      <c r="E868" s="8">
        <v>2562.81</v>
      </c>
      <c r="F868" s="9">
        <v>45441.666684444448</v>
      </c>
      <c r="G868" t="s">
        <v>97</v>
      </c>
      <c r="H868" t="s">
        <v>107</v>
      </c>
      <c r="I868" t="s">
        <v>112</v>
      </c>
      <c r="J868" t="str">
        <f t="shared" si="104"/>
        <v/>
      </c>
      <c r="K868" t="str">
        <f t="shared" si="105"/>
        <v/>
      </c>
      <c r="L868" t="str">
        <f t="shared" si="106"/>
        <v/>
      </c>
      <c r="M868" t="str">
        <f t="shared" si="107"/>
        <v/>
      </c>
      <c r="N868" t="str">
        <f t="shared" si="108"/>
        <v/>
      </c>
      <c r="O868" t="str">
        <f t="shared" ca="1" si="109"/>
        <v>Outdated</v>
      </c>
      <c r="P868" t="str">
        <f t="shared" si="110"/>
        <v>Wrong Item</v>
      </c>
      <c r="Q868" t="str">
        <f t="shared" si="111"/>
        <v/>
      </c>
    </row>
    <row r="869" spans="1:17" x14ac:dyDescent="0.45">
      <c r="A869" t="s">
        <v>1511</v>
      </c>
      <c r="B869" t="s">
        <v>104</v>
      </c>
      <c r="C869" t="s">
        <v>1512</v>
      </c>
      <c r="D869" t="s">
        <v>92</v>
      </c>
      <c r="E869" s="8">
        <v>0</v>
      </c>
      <c r="F869" s="9">
        <v>45807.666684444448</v>
      </c>
      <c r="G869" t="s">
        <v>115</v>
      </c>
      <c r="H869" t="s">
        <v>76</v>
      </c>
      <c r="I869" t="s">
        <v>88</v>
      </c>
      <c r="J869" t="str">
        <f t="shared" si="104"/>
        <v/>
      </c>
      <c r="K869" t="str">
        <f t="shared" si="105"/>
        <v>Duplicate</v>
      </c>
      <c r="L869" t="str">
        <f t="shared" si="106"/>
        <v>Unusual</v>
      </c>
      <c r="M869" t="str">
        <f t="shared" si="107"/>
        <v/>
      </c>
      <c r="N869" t="str">
        <f t="shared" si="108"/>
        <v/>
      </c>
      <c r="O869" t="str">
        <f t="shared" ca="1" si="109"/>
        <v>Outdated</v>
      </c>
      <c r="P869" t="str">
        <f t="shared" si="110"/>
        <v>Not As Described</v>
      </c>
      <c r="Q869" t="str">
        <f t="shared" si="111"/>
        <v/>
      </c>
    </row>
    <row r="870" spans="1:17" x14ac:dyDescent="0.45">
      <c r="A870" t="s">
        <v>1513</v>
      </c>
      <c r="B870" t="s">
        <v>172</v>
      </c>
      <c r="C870" t="s">
        <v>1514</v>
      </c>
      <c r="D870" t="s">
        <v>155</v>
      </c>
      <c r="E870" s="8">
        <v>9859.7900000000009</v>
      </c>
      <c r="F870" s="9">
        <v>45723.666684444448</v>
      </c>
      <c r="G870" t="s">
        <v>174</v>
      </c>
      <c r="H870" t="s">
        <v>76</v>
      </c>
      <c r="I870" t="s">
        <v>163</v>
      </c>
      <c r="J870" t="str">
        <f t="shared" si="104"/>
        <v/>
      </c>
      <c r="K870" t="str">
        <f t="shared" si="105"/>
        <v/>
      </c>
      <c r="L870" t="str">
        <f t="shared" si="106"/>
        <v/>
      </c>
      <c r="M870" t="str">
        <f t="shared" si="107"/>
        <v/>
      </c>
      <c r="N870" t="str">
        <f t="shared" si="108"/>
        <v/>
      </c>
      <c r="O870" t="str">
        <f t="shared" ca="1" si="109"/>
        <v>Outdated</v>
      </c>
      <c r="P870" t="str">
        <f t="shared" si="110"/>
        <v>Damaged</v>
      </c>
      <c r="Q870" t="str">
        <f t="shared" si="111"/>
        <v>Inconsistent</v>
      </c>
    </row>
    <row r="871" spans="1:17" x14ac:dyDescent="0.45">
      <c r="A871" t="s">
        <v>1515</v>
      </c>
      <c r="B871" t="s">
        <v>104</v>
      </c>
      <c r="C871" t="s">
        <v>1516</v>
      </c>
      <c r="D871" t="s">
        <v>74</v>
      </c>
      <c r="E871" s="8">
        <v>0</v>
      </c>
      <c r="F871" s="9">
        <v>45505.666684444448</v>
      </c>
      <c r="G871" t="s">
        <v>115</v>
      </c>
      <c r="H871" t="s">
        <v>107</v>
      </c>
      <c r="I871" t="s">
        <v>112</v>
      </c>
      <c r="J871" t="str">
        <f t="shared" si="104"/>
        <v/>
      </c>
      <c r="K871" t="str">
        <f t="shared" si="105"/>
        <v/>
      </c>
      <c r="L871" t="str">
        <f t="shared" si="106"/>
        <v>Unusual</v>
      </c>
      <c r="M871" t="str">
        <f t="shared" si="107"/>
        <v/>
      </c>
      <c r="N871" t="str">
        <f t="shared" si="108"/>
        <v/>
      </c>
      <c r="O871" t="str">
        <f t="shared" ca="1" si="109"/>
        <v>Outdated</v>
      </c>
      <c r="P871" t="str">
        <f t="shared" si="110"/>
        <v>Wrong Item</v>
      </c>
      <c r="Q871" t="str">
        <f t="shared" si="111"/>
        <v/>
      </c>
    </row>
    <row r="872" spans="1:17" x14ac:dyDescent="0.45">
      <c r="A872" t="s">
        <v>1517</v>
      </c>
      <c r="B872" t="s">
        <v>79</v>
      </c>
      <c r="C872" t="s">
        <v>405</v>
      </c>
      <c r="D872" t="s">
        <v>74</v>
      </c>
      <c r="E872" s="8">
        <v>4538.4799999999996</v>
      </c>
      <c r="F872" s="9">
        <v>45612.666684444448</v>
      </c>
      <c r="G872" t="s">
        <v>86</v>
      </c>
      <c r="H872" t="s">
        <v>116</v>
      </c>
      <c r="I872" t="s">
        <v>112</v>
      </c>
      <c r="J872" t="str">
        <f t="shared" si="104"/>
        <v/>
      </c>
      <c r="K872" t="str">
        <f t="shared" si="105"/>
        <v/>
      </c>
      <c r="L872" t="str">
        <f t="shared" si="106"/>
        <v/>
      </c>
      <c r="M872" t="str">
        <f t="shared" si="107"/>
        <v/>
      </c>
      <c r="N872" t="str">
        <f t="shared" si="108"/>
        <v/>
      </c>
      <c r="O872" t="str">
        <f t="shared" ca="1" si="109"/>
        <v>Outdated</v>
      </c>
      <c r="P872" t="str">
        <f t="shared" si="110"/>
        <v>Wrong Item</v>
      </c>
      <c r="Q872" t="str">
        <f t="shared" si="111"/>
        <v/>
      </c>
    </row>
    <row r="873" spans="1:17" x14ac:dyDescent="0.45">
      <c r="A873" t="s">
        <v>1518</v>
      </c>
      <c r="B873" t="s">
        <v>99</v>
      </c>
      <c r="C873" t="s">
        <v>1519</v>
      </c>
      <c r="D873" t="s">
        <v>92</v>
      </c>
      <c r="E873" s="8">
        <v>10492.97</v>
      </c>
      <c r="F873" s="9">
        <v>45694.666684444448</v>
      </c>
      <c r="G873" t="s">
        <v>102</v>
      </c>
      <c r="H873" t="s">
        <v>76</v>
      </c>
      <c r="I873" t="s">
        <v>112</v>
      </c>
      <c r="J873" t="str">
        <f t="shared" si="104"/>
        <v/>
      </c>
      <c r="K873" t="str">
        <f t="shared" si="105"/>
        <v/>
      </c>
      <c r="L873" t="str">
        <f t="shared" si="106"/>
        <v>Unusual</v>
      </c>
      <c r="M873" t="str">
        <f t="shared" si="107"/>
        <v/>
      </c>
      <c r="N873" t="str">
        <f t="shared" si="108"/>
        <v/>
      </c>
      <c r="O873" t="str">
        <f t="shared" ca="1" si="109"/>
        <v>Outdated</v>
      </c>
      <c r="P873" t="str">
        <f t="shared" si="110"/>
        <v>Not As Described</v>
      </c>
      <c r="Q873" t="str">
        <f t="shared" si="111"/>
        <v/>
      </c>
    </row>
    <row r="874" spans="1:17" x14ac:dyDescent="0.45">
      <c r="A874" t="s">
        <v>1520</v>
      </c>
      <c r="B874" t="s">
        <v>95</v>
      </c>
      <c r="C874" t="s">
        <v>1521</v>
      </c>
      <c r="D874" t="s">
        <v>101</v>
      </c>
      <c r="E874" s="8">
        <v>9326.4500000000007</v>
      </c>
      <c r="F874" s="9">
        <v>45671.666684444448</v>
      </c>
      <c r="G874" t="s">
        <v>97</v>
      </c>
      <c r="H874" t="s">
        <v>107</v>
      </c>
      <c r="I874" t="s">
        <v>119</v>
      </c>
      <c r="J874" t="str">
        <f t="shared" si="104"/>
        <v/>
      </c>
      <c r="K874" t="str">
        <f t="shared" si="105"/>
        <v/>
      </c>
      <c r="L874" t="str">
        <f t="shared" si="106"/>
        <v/>
      </c>
      <c r="M874" t="str">
        <f t="shared" si="107"/>
        <v/>
      </c>
      <c r="N874" t="str">
        <f t="shared" si="108"/>
        <v/>
      </c>
      <c r="O874" t="str">
        <f t="shared" ca="1" si="109"/>
        <v>Outdated</v>
      </c>
      <c r="P874" t="str">
        <f t="shared" si="110"/>
        <v>Damaged</v>
      </c>
      <c r="Q874" t="str">
        <f t="shared" si="111"/>
        <v/>
      </c>
    </row>
    <row r="875" spans="1:17" x14ac:dyDescent="0.45">
      <c r="A875" t="s">
        <v>1522</v>
      </c>
      <c r="B875" t="s">
        <v>90</v>
      </c>
      <c r="C875" t="s">
        <v>289</v>
      </c>
      <c r="D875" t="s">
        <v>85</v>
      </c>
      <c r="E875" s="8">
        <v>9742.68</v>
      </c>
      <c r="F875" s="9">
        <v>45480.666684444448</v>
      </c>
      <c r="G875" t="s">
        <v>93</v>
      </c>
      <c r="H875" t="s">
        <v>87</v>
      </c>
      <c r="I875" t="s">
        <v>77</v>
      </c>
      <c r="J875" t="str">
        <f t="shared" si="104"/>
        <v/>
      </c>
      <c r="K875" t="str">
        <f t="shared" si="105"/>
        <v/>
      </c>
      <c r="L875" t="str">
        <f t="shared" si="106"/>
        <v/>
      </c>
      <c r="M875" t="str">
        <f t="shared" si="107"/>
        <v/>
      </c>
      <c r="N875" t="str">
        <f t="shared" si="108"/>
        <v>Invalid</v>
      </c>
      <c r="O875" t="str">
        <f t="shared" ca="1" si="109"/>
        <v>Outdated</v>
      </c>
      <c r="P875" t="str">
        <f t="shared" si="110"/>
        <v>Late Delivery</v>
      </c>
      <c r="Q875" t="str">
        <f t="shared" si="111"/>
        <v/>
      </c>
    </row>
    <row r="876" spans="1:17" x14ac:dyDescent="0.45">
      <c r="A876" t="s">
        <v>1523</v>
      </c>
      <c r="B876" t="s">
        <v>90</v>
      </c>
      <c r="C876" t="s">
        <v>1524</v>
      </c>
      <c r="D876" t="s">
        <v>74</v>
      </c>
      <c r="E876" s="8">
        <v>633.08000000000004</v>
      </c>
      <c r="F876" s="9">
        <v>45563.666684444448</v>
      </c>
      <c r="G876" t="s">
        <v>93</v>
      </c>
      <c r="H876" t="s">
        <v>136</v>
      </c>
      <c r="I876" t="s">
        <v>112</v>
      </c>
      <c r="J876" t="str">
        <f t="shared" si="104"/>
        <v/>
      </c>
      <c r="K876" t="str">
        <f t="shared" si="105"/>
        <v/>
      </c>
      <c r="L876" t="str">
        <f t="shared" si="106"/>
        <v/>
      </c>
      <c r="M876" t="str">
        <f t="shared" si="107"/>
        <v/>
      </c>
      <c r="N876" t="str">
        <f t="shared" si="108"/>
        <v>Invalid</v>
      </c>
      <c r="O876" t="str">
        <f t="shared" ca="1" si="109"/>
        <v>Outdated</v>
      </c>
      <c r="P876" t="str">
        <f t="shared" si="110"/>
        <v>Wrong Item</v>
      </c>
      <c r="Q876" t="str">
        <f t="shared" si="111"/>
        <v/>
      </c>
    </row>
    <row r="877" spans="1:17" x14ac:dyDescent="0.45">
      <c r="A877" t="s">
        <v>1525</v>
      </c>
      <c r="B877" t="s">
        <v>172</v>
      </c>
      <c r="C877" t="s">
        <v>452</v>
      </c>
      <c r="D877" t="s">
        <v>85</v>
      </c>
      <c r="E877" s="8">
        <v>11305.9</v>
      </c>
      <c r="F877" s="9">
        <v>45691.666684444448</v>
      </c>
      <c r="G877" t="s">
        <v>236</v>
      </c>
      <c r="H877" t="s">
        <v>76</v>
      </c>
      <c r="I877" t="s">
        <v>119</v>
      </c>
      <c r="J877" t="str">
        <f t="shared" si="104"/>
        <v/>
      </c>
      <c r="K877" t="str">
        <f t="shared" si="105"/>
        <v/>
      </c>
      <c r="L877" t="str">
        <f t="shared" si="106"/>
        <v>Unusual</v>
      </c>
      <c r="M877" t="str">
        <f t="shared" si="107"/>
        <v>Invalid</v>
      </c>
      <c r="N877" t="str">
        <f t="shared" si="108"/>
        <v/>
      </c>
      <c r="O877" t="str">
        <f t="shared" ca="1" si="109"/>
        <v>Outdated</v>
      </c>
      <c r="P877" t="str">
        <f t="shared" si="110"/>
        <v>Late Delivery</v>
      </c>
      <c r="Q877" t="str">
        <f t="shared" si="111"/>
        <v/>
      </c>
    </row>
    <row r="878" spans="1:17" x14ac:dyDescent="0.45">
      <c r="A878" t="s">
        <v>1526</v>
      </c>
      <c r="B878" t="s">
        <v>109</v>
      </c>
      <c r="C878" t="s">
        <v>1373</v>
      </c>
      <c r="D878" t="s">
        <v>92</v>
      </c>
      <c r="E878" s="8">
        <v>1227.17</v>
      </c>
      <c r="F878" s="9">
        <v>45466.666684444448</v>
      </c>
      <c r="G878" t="s">
        <v>111</v>
      </c>
      <c r="H878" t="s">
        <v>81</v>
      </c>
      <c r="I878" t="s">
        <v>77</v>
      </c>
      <c r="J878" t="str">
        <f t="shared" si="104"/>
        <v/>
      </c>
      <c r="K878" t="str">
        <f t="shared" si="105"/>
        <v/>
      </c>
      <c r="L878" t="str">
        <f t="shared" si="106"/>
        <v/>
      </c>
      <c r="M878" t="str">
        <f t="shared" si="107"/>
        <v/>
      </c>
      <c r="N878" t="str">
        <f t="shared" si="108"/>
        <v/>
      </c>
      <c r="O878" t="str">
        <f t="shared" ca="1" si="109"/>
        <v>Outdated</v>
      </c>
      <c r="P878" t="str">
        <f t="shared" si="110"/>
        <v>Not As Described</v>
      </c>
      <c r="Q878" t="str">
        <f t="shared" si="111"/>
        <v/>
      </c>
    </row>
    <row r="879" spans="1:17" x14ac:dyDescent="0.45">
      <c r="A879" t="s">
        <v>1527</v>
      </c>
      <c r="B879" t="s">
        <v>99</v>
      </c>
      <c r="C879" t="s">
        <v>1528</v>
      </c>
      <c r="D879" t="s">
        <v>92</v>
      </c>
      <c r="E879" s="8">
        <v>9669.51</v>
      </c>
      <c r="F879" s="9">
        <v>45488.666684444448</v>
      </c>
      <c r="G879" t="s">
        <v>102</v>
      </c>
      <c r="I879" t="s">
        <v>77</v>
      </c>
      <c r="J879" t="str">
        <f t="shared" si="104"/>
        <v/>
      </c>
      <c r="K879" t="str">
        <f t="shared" si="105"/>
        <v/>
      </c>
      <c r="L879" t="str">
        <f t="shared" si="106"/>
        <v/>
      </c>
      <c r="M879" t="str">
        <f t="shared" si="107"/>
        <v/>
      </c>
      <c r="N879" t="str">
        <f t="shared" si="108"/>
        <v>Invalid</v>
      </c>
      <c r="O879" t="str">
        <f t="shared" ca="1" si="109"/>
        <v>Outdated</v>
      </c>
      <c r="P879" t="str">
        <f t="shared" si="110"/>
        <v>Not As Described</v>
      </c>
      <c r="Q879" t="str">
        <f t="shared" si="111"/>
        <v/>
      </c>
    </row>
    <row r="880" spans="1:17" x14ac:dyDescent="0.45">
      <c r="A880" t="s">
        <v>1529</v>
      </c>
      <c r="B880" t="s">
        <v>172</v>
      </c>
      <c r="C880" t="s">
        <v>1530</v>
      </c>
      <c r="E880" s="8">
        <v>5659.3</v>
      </c>
      <c r="F880" s="9">
        <v>45847.666684444448</v>
      </c>
      <c r="H880" t="s">
        <v>118</v>
      </c>
      <c r="I880" t="s">
        <v>112</v>
      </c>
      <c r="J880" t="str">
        <f t="shared" si="104"/>
        <v>Missing</v>
      </c>
      <c r="K880" t="str">
        <f t="shared" si="105"/>
        <v/>
      </c>
      <c r="L880" t="str">
        <f t="shared" si="106"/>
        <v/>
      </c>
      <c r="M880" t="str">
        <f t="shared" si="107"/>
        <v>Invalid</v>
      </c>
      <c r="N880" t="str">
        <f t="shared" si="108"/>
        <v>Invalid</v>
      </c>
      <c r="O880" t="str">
        <f t="shared" ca="1" si="109"/>
        <v/>
      </c>
      <c r="P880" t="str">
        <f t="shared" si="110"/>
        <v/>
      </c>
      <c r="Q880" t="str">
        <f t="shared" si="111"/>
        <v/>
      </c>
    </row>
    <row r="881" spans="1:17" x14ac:dyDescent="0.45">
      <c r="A881" t="s">
        <v>1531</v>
      </c>
      <c r="B881" t="s">
        <v>95</v>
      </c>
      <c r="C881" t="s">
        <v>1532</v>
      </c>
      <c r="D881" t="s">
        <v>148</v>
      </c>
      <c r="E881" s="8">
        <v>5268.5</v>
      </c>
      <c r="F881" s="9">
        <v>45592.666684444448</v>
      </c>
      <c r="G881" t="s">
        <v>97</v>
      </c>
      <c r="H881" t="s">
        <v>76</v>
      </c>
      <c r="I881" t="s">
        <v>163</v>
      </c>
      <c r="J881" t="str">
        <f t="shared" si="104"/>
        <v/>
      </c>
      <c r="K881" t="str">
        <f t="shared" si="105"/>
        <v/>
      </c>
      <c r="L881" t="str">
        <f t="shared" si="106"/>
        <v/>
      </c>
      <c r="M881" t="str">
        <f t="shared" si="107"/>
        <v/>
      </c>
      <c r="N881" t="str">
        <f t="shared" si="108"/>
        <v/>
      </c>
      <c r="O881" t="str">
        <f t="shared" ca="1" si="109"/>
        <v>Outdated</v>
      </c>
      <c r="P881" t="str">
        <f t="shared" si="110"/>
        <v>Wrong Item</v>
      </c>
      <c r="Q881" t="str">
        <f t="shared" si="111"/>
        <v>Inconsistent</v>
      </c>
    </row>
    <row r="882" spans="1:17" x14ac:dyDescent="0.45">
      <c r="A882" t="s">
        <v>1533</v>
      </c>
      <c r="B882" t="s">
        <v>95</v>
      </c>
      <c r="C882" t="s">
        <v>227</v>
      </c>
      <c r="D882" t="s">
        <v>92</v>
      </c>
      <c r="E882" s="8">
        <v>8470.59</v>
      </c>
      <c r="F882" s="9">
        <v>45405.666684444448</v>
      </c>
      <c r="G882" t="s">
        <v>97</v>
      </c>
      <c r="H882" t="s">
        <v>81</v>
      </c>
      <c r="I882" t="s">
        <v>77</v>
      </c>
      <c r="J882" t="str">
        <f t="shared" si="104"/>
        <v/>
      </c>
      <c r="K882" t="str">
        <f t="shared" si="105"/>
        <v/>
      </c>
      <c r="L882" t="str">
        <f t="shared" si="106"/>
        <v/>
      </c>
      <c r="M882" t="str">
        <f t="shared" si="107"/>
        <v/>
      </c>
      <c r="N882" t="str">
        <f t="shared" si="108"/>
        <v/>
      </c>
      <c r="O882" t="str">
        <f t="shared" ca="1" si="109"/>
        <v>Outdated</v>
      </c>
      <c r="P882" t="str">
        <f t="shared" si="110"/>
        <v>Not As Described</v>
      </c>
      <c r="Q882" t="str">
        <f t="shared" si="111"/>
        <v/>
      </c>
    </row>
    <row r="883" spans="1:17" x14ac:dyDescent="0.45">
      <c r="A883" t="s">
        <v>1534</v>
      </c>
      <c r="B883" t="s">
        <v>95</v>
      </c>
      <c r="C883" t="s">
        <v>1141</v>
      </c>
      <c r="D883" t="s">
        <v>92</v>
      </c>
      <c r="E883" s="8">
        <v>7829.82</v>
      </c>
      <c r="F883" s="9">
        <v>45441.666684444448</v>
      </c>
      <c r="G883" t="s">
        <v>336</v>
      </c>
      <c r="H883" t="s">
        <v>81</v>
      </c>
      <c r="I883" t="s">
        <v>119</v>
      </c>
      <c r="J883" t="str">
        <f t="shared" si="104"/>
        <v/>
      </c>
      <c r="K883" t="str">
        <f t="shared" si="105"/>
        <v/>
      </c>
      <c r="L883" t="str">
        <f t="shared" si="106"/>
        <v/>
      </c>
      <c r="M883" t="str">
        <f t="shared" si="107"/>
        <v>Invalid</v>
      </c>
      <c r="N883" t="str">
        <f t="shared" si="108"/>
        <v/>
      </c>
      <c r="O883" t="str">
        <f t="shared" ca="1" si="109"/>
        <v>Outdated</v>
      </c>
      <c r="P883" t="str">
        <f t="shared" si="110"/>
        <v>Not As Described</v>
      </c>
      <c r="Q883" t="str">
        <f t="shared" si="111"/>
        <v/>
      </c>
    </row>
    <row r="884" spans="1:17" x14ac:dyDescent="0.45">
      <c r="A884" t="s">
        <v>1535</v>
      </c>
      <c r="B884" t="s">
        <v>90</v>
      </c>
      <c r="C884" t="s">
        <v>1536</v>
      </c>
      <c r="D884" t="s">
        <v>74</v>
      </c>
      <c r="E884" s="8">
        <v>4300.3500000000004</v>
      </c>
      <c r="F884" s="9">
        <v>45385.666684444448</v>
      </c>
      <c r="G884" t="s">
        <v>93</v>
      </c>
      <c r="H884" t="s">
        <v>107</v>
      </c>
      <c r="I884" t="s">
        <v>77</v>
      </c>
      <c r="J884" t="str">
        <f t="shared" si="104"/>
        <v/>
      </c>
      <c r="K884" t="str">
        <f t="shared" si="105"/>
        <v/>
      </c>
      <c r="L884" t="str">
        <f t="shared" si="106"/>
        <v/>
      </c>
      <c r="M884" t="str">
        <f t="shared" si="107"/>
        <v/>
      </c>
      <c r="N884" t="str">
        <f t="shared" si="108"/>
        <v/>
      </c>
      <c r="O884" t="str">
        <f t="shared" ca="1" si="109"/>
        <v>Outdated</v>
      </c>
      <c r="P884" t="str">
        <f t="shared" si="110"/>
        <v>Wrong Item</v>
      </c>
      <c r="Q884" t="str">
        <f t="shared" si="111"/>
        <v/>
      </c>
    </row>
    <row r="885" spans="1:17" x14ac:dyDescent="0.45">
      <c r="A885" t="s">
        <v>1537</v>
      </c>
      <c r="B885" t="s">
        <v>138</v>
      </c>
      <c r="C885" t="s">
        <v>1429</v>
      </c>
      <c r="D885" t="s">
        <v>85</v>
      </c>
      <c r="E885" s="8">
        <v>7713.28</v>
      </c>
      <c r="F885" s="9">
        <v>45364.666684444448</v>
      </c>
      <c r="G885" t="s">
        <v>140</v>
      </c>
      <c r="H885" t="s">
        <v>87</v>
      </c>
      <c r="I885" t="s">
        <v>163</v>
      </c>
      <c r="J885" t="str">
        <f t="shared" si="104"/>
        <v/>
      </c>
      <c r="K885" t="str">
        <f t="shared" si="105"/>
        <v/>
      </c>
      <c r="L885" t="str">
        <f t="shared" si="106"/>
        <v/>
      </c>
      <c r="M885" t="str">
        <f t="shared" si="107"/>
        <v/>
      </c>
      <c r="N885" t="str">
        <f t="shared" si="108"/>
        <v>Invalid</v>
      </c>
      <c r="O885" t="str">
        <f t="shared" ca="1" si="109"/>
        <v>Outdated</v>
      </c>
      <c r="P885" t="str">
        <f t="shared" si="110"/>
        <v>Late Delivery</v>
      </c>
      <c r="Q885" t="str">
        <f t="shared" si="111"/>
        <v/>
      </c>
    </row>
    <row r="886" spans="1:17" x14ac:dyDescent="0.45">
      <c r="A886" t="s">
        <v>1538</v>
      </c>
      <c r="B886" t="s">
        <v>99</v>
      </c>
      <c r="C886" t="s">
        <v>976</v>
      </c>
      <c r="D886" t="s">
        <v>74</v>
      </c>
      <c r="E886" s="8">
        <v>10320.879999999999</v>
      </c>
      <c r="F886" s="9">
        <v>45251.666684444448</v>
      </c>
      <c r="G886" t="s">
        <v>102</v>
      </c>
      <c r="H886" t="s">
        <v>116</v>
      </c>
      <c r="I886" t="s">
        <v>82</v>
      </c>
      <c r="J886" t="str">
        <f t="shared" si="104"/>
        <v/>
      </c>
      <c r="K886" t="str">
        <f t="shared" si="105"/>
        <v/>
      </c>
      <c r="L886" t="str">
        <f t="shared" si="106"/>
        <v>Unusual</v>
      </c>
      <c r="M886" t="str">
        <f t="shared" si="107"/>
        <v/>
      </c>
      <c r="N886" t="str">
        <f t="shared" si="108"/>
        <v/>
      </c>
      <c r="O886" t="str">
        <f t="shared" ca="1" si="109"/>
        <v>Outdated</v>
      </c>
      <c r="P886" t="str">
        <f t="shared" si="110"/>
        <v>Wrong Item</v>
      </c>
      <c r="Q886" t="str">
        <f t="shared" si="111"/>
        <v/>
      </c>
    </row>
    <row r="887" spans="1:17" x14ac:dyDescent="0.45">
      <c r="A887" t="s">
        <v>1539</v>
      </c>
      <c r="B887" t="s">
        <v>109</v>
      </c>
      <c r="C887" t="s">
        <v>1540</v>
      </c>
      <c r="E887" s="8">
        <v>5201.5600000000004</v>
      </c>
      <c r="F887" s="9">
        <v>45325.666684444448</v>
      </c>
      <c r="G887" t="s">
        <v>111</v>
      </c>
      <c r="H887" t="s">
        <v>118</v>
      </c>
      <c r="I887" t="s">
        <v>119</v>
      </c>
      <c r="J887" t="str">
        <f t="shared" si="104"/>
        <v>Missing</v>
      </c>
      <c r="K887" t="str">
        <f t="shared" si="105"/>
        <v/>
      </c>
      <c r="L887" t="str">
        <f t="shared" si="106"/>
        <v/>
      </c>
      <c r="M887" t="str">
        <f t="shared" si="107"/>
        <v/>
      </c>
      <c r="N887" t="str">
        <f t="shared" si="108"/>
        <v>Invalid</v>
      </c>
      <c r="O887" t="str">
        <f t="shared" ca="1" si="109"/>
        <v>Outdated</v>
      </c>
      <c r="P887" t="str">
        <f t="shared" si="110"/>
        <v/>
      </c>
      <c r="Q887" t="str">
        <f t="shared" si="111"/>
        <v/>
      </c>
    </row>
    <row r="888" spans="1:17" x14ac:dyDescent="0.45">
      <c r="A888" t="s">
        <v>1541</v>
      </c>
      <c r="B888" t="s">
        <v>99</v>
      </c>
      <c r="C888" t="s">
        <v>1542</v>
      </c>
      <c r="D888" t="s">
        <v>101</v>
      </c>
      <c r="E888" s="8">
        <v>11256.65</v>
      </c>
      <c r="F888" s="9">
        <v>45451.666684444448</v>
      </c>
      <c r="H888" t="s">
        <v>76</v>
      </c>
      <c r="I888" t="s">
        <v>77</v>
      </c>
      <c r="J888" t="str">
        <f t="shared" si="104"/>
        <v/>
      </c>
      <c r="K888" t="str">
        <f t="shared" si="105"/>
        <v>Duplicate</v>
      </c>
      <c r="L888" t="str">
        <f t="shared" si="106"/>
        <v>Unusual</v>
      </c>
      <c r="M888" t="str">
        <f t="shared" si="107"/>
        <v>Invalid</v>
      </c>
      <c r="N888" t="str">
        <f t="shared" si="108"/>
        <v/>
      </c>
      <c r="O888" t="str">
        <f t="shared" ca="1" si="109"/>
        <v>Outdated</v>
      </c>
      <c r="P888" t="str">
        <f t="shared" si="110"/>
        <v>Damaged</v>
      </c>
      <c r="Q888" t="str">
        <f t="shared" si="111"/>
        <v/>
      </c>
    </row>
    <row r="889" spans="1:17" x14ac:dyDescent="0.45">
      <c r="A889" t="s">
        <v>1543</v>
      </c>
      <c r="B889" t="s">
        <v>99</v>
      </c>
      <c r="C889" t="s">
        <v>1483</v>
      </c>
      <c r="D889" t="s">
        <v>85</v>
      </c>
      <c r="E889" s="8">
        <v>118.16</v>
      </c>
      <c r="F889" s="9">
        <v>45250.666684444448</v>
      </c>
      <c r="G889" t="s">
        <v>285</v>
      </c>
      <c r="H889" t="s">
        <v>87</v>
      </c>
      <c r="I889" t="s">
        <v>119</v>
      </c>
      <c r="J889" t="str">
        <f t="shared" si="104"/>
        <v/>
      </c>
      <c r="K889" t="str">
        <f t="shared" si="105"/>
        <v/>
      </c>
      <c r="L889" t="str">
        <f t="shared" si="106"/>
        <v/>
      </c>
      <c r="M889" t="str">
        <f t="shared" si="107"/>
        <v>Invalid</v>
      </c>
      <c r="N889" t="str">
        <f t="shared" si="108"/>
        <v>Invalid</v>
      </c>
      <c r="O889" t="str">
        <f t="shared" ca="1" si="109"/>
        <v>Outdated</v>
      </c>
      <c r="P889" t="str">
        <f t="shared" si="110"/>
        <v>Late Delivery</v>
      </c>
      <c r="Q889" t="str">
        <f t="shared" si="111"/>
        <v/>
      </c>
    </row>
    <row r="890" spans="1:17" x14ac:dyDescent="0.45">
      <c r="A890" t="s">
        <v>1544</v>
      </c>
      <c r="B890" t="s">
        <v>72</v>
      </c>
      <c r="C890" t="s">
        <v>1545</v>
      </c>
      <c r="D890" t="s">
        <v>101</v>
      </c>
      <c r="E890" s="8">
        <v>9843.32</v>
      </c>
      <c r="F890" s="9">
        <v>45676.666684444448</v>
      </c>
      <c r="G890" t="s">
        <v>75</v>
      </c>
      <c r="H890" t="s">
        <v>118</v>
      </c>
      <c r="I890" t="s">
        <v>77</v>
      </c>
      <c r="J890" t="str">
        <f t="shared" si="104"/>
        <v/>
      </c>
      <c r="K890" t="str">
        <f t="shared" si="105"/>
        <v/>
      </c>
      <c r="L890" t="str">
        <f t="shared" si="106"/>
        <v/>
      </c>
      <c r="M890" t="str">
        <f t="shared" si="107"/>
        <v/>
      </c>
      <c r="N890" t="str">
        <f t="shared" si="108"/>
        <v>Invalid</v>
      </c>
      <c r="O890" t="str">
        <f t="shared" ca="1" si="109"/>
        <v>Outdated</v>
      </c>
      <c r="P890" t="str">
        <f t="shared" si="110"/>
        <v>Damaged</v>
      </c>
      <c r="Q890" t="str">
        <f t="shared" si="111"/>
        <v/>
      </c>
    </row>
    <row r="891" spans="1:17" x14ac:dyDescent="0.45">
      <c r="A891" t="s">
        <v>1546</v>
      </c>
      <c r="B891" t="s">
        <v>99</v>
      </c>
      <c r="C891" t="s">
        <v>1547</v>
      </c>
      <c r="D891" t="s">
        <v>92</v>
      </c>
      <c r="E891" s="8">
        <v>2890.54</v>
      </c>
      <c r="F891" s="9">
        <v>45834.666684444448</v>
      </c>
      <c r="G891" t="s">
        <v>102</v>
      </c>
      <c r="H891" t="s">
        <v>107</v>
      </c>
      <c r="I891" t="s">
        <v>88</v>
      </c>
      <c r="J891" t="str">
        <f t="shared" si="104"/>
        <v/>
      </c>
      <c r="K891" t="str">
        <f t="shared" si="105"/>
        <v/>
      </c>
      <c r="L891" t="str">
        <f t="shared" si="106"/>
        <v/>
      </c>
      <c r="M891" t="str">
        <f t="shared" si="107"/>
        <v/>
      </c>
      <c r="N891" t="str">
        <f t="shared" si="108"/>
        <v/>
      </c>
      <c r="O891" t="str">
        <f t="shared" ca="1" si="109"/>
        <v>Outdated</v>
      </c>
      <c r="P891" t="str">
        <f t="shared" si="110"/>
        <v>Not As Described</v>
      </c>
      <c r="Q891" t="str">
        <f t="shared" si="111"/>
        <v/>
      </c>
    </row>
    <row r="892" spans="1:17" x14ac:dyDescent="0.45">
      <c r="A892" t="s">
        <v>1548</v>
      </c>
      <c r="B892" t="s">
        <v>172</v>
      </c>
      <c r="C892" t="s">
        <v>1413</v>
      </c>
      <c r="D892" t="s">
        <v>148</v>
      </c>
      <c r="E892" s="8">
        <v>8585.23</v>
      </c>
      <c r="F892" s="9">
        <v>45317.666684444448</v>
      </c>
      <c r="H892" t="s">
        <v>87</v>
      </c>
      <c r="I892" t="s">
        <v>119</v>
      </c>
      <c r="J892" t="str">
        <f t="shared" si="104"/>
        <v/>
      </c>
      <c r="K892" t="str">
        <f t="shared" si="105"/>
        <v/>
      </c>
      <c r="L892" t="str">
        <f t="shared" si="106"/>
        <v/>
      </c>
      <c r="M892" t="str">
        <f t="shared" si="107"/>
        <v>Invalid</v>
      </c>
      <c r="N892" t="str">
        <f t="shared" si="108"/>
        <v>Invalid</v>
      </c>
      <c r="O892" t="str">
        <f t="shared" ca="1" si="109"/>
        <v>Outdated</v>
      </c>
      <c r="P892" t="str">
        <f t="shared" si="110"/>
        <v>Wrong Item</v>
      </c>
      <c r="Q892" t="str">
        <f t="shared" si="111"/>
        <v>Inconsistent</v>
      </c>
    </row>
    <row r="893" spans="1:17" x14ac:dyDescent="0.45">
      <c r="A893" t="s">
        <v>1549</v>
      </c>
      <c r="B893" t="s">
        <v>72</v>
      </c>
      <c r="C893" t="s">
        <v>1550</v>
      </c>
      <c r="D893" t="s">
        <v>101</v>
      </c>
      <c r="E893" s="8">
        <v>0</v>
      </c>
      <c r="F893" s="9">
        <v>45324.666684444448</v>
      </c>
      <c r="G893" t="s">
        <v>521</v>
      </c>
      <c r="H893" t="s">
        <v>116</v>
      </c>
      <c r="I893" t="s">
        <v>163</v>
      </c>
      <c r="J893" t="str">
        <f t="shared" si="104"/>
        <v/>
      </c>
      <c r="K893" t="str">
        <f t="shared" si="105"/>
        <v/>
      </c>
      <c r="L893" t="str">
        <f t="shared" si="106"/>
        <v>Unusual</v>
      </c>
      <c r="M893" t="str">
        <f t="shared" si="107"/>
        <v>Invalid</v>
      </c>
      <c r="N893" t="str">
        <f t="shared" si="108"/>
        <v/>
      </c>
      <c r="O893" t="str">
        <f t="shared" ca="1" si="109"/>
        <v>Outdated</v>
      </c>
      <c r="P893" t="str">
        <f t="shared" si="110"/>
        <v>Damaged</v>
      </c>
      <c r="Q893" t="str">
        <f t="shared" si="111"/>
        <v/>
      </c>
    </row>
    <row r="894" spans="1:17" x14ac:dyDescent="0.45">
      <c r="A894" t="s">
        <v>1551</v>
      </c>
      <c r="B894" t="s">
        <v>138</v>
      </c>
      <c r="C894" t="s">
        <v>1552</v>
      </c>
      <c r="D894" t="s">
        <v>148</v>
      </c>
      <c r="E894" s="8">
        <v>3389.98</v>
      </c>
      <c r="F894" s="9">
        <v>45349.666684444448</v>
      </c>
      <c r="G894" t="s">
        <v>140</v>
      </c>
      <c r="H894" t="s">
        <v>81</v>
      </c>
      <c r="I894" t="s">
        <v>88</v>
      </c>
      <c r="J894" t="str">
        <f t="shared" si="104"/>
        <v/>
      </c>
      <c r="K894" t="str">
        <f t="shared" si="105"/>
        <v/>
      </c>
      <c r="L894" t="str">
        <f t="shared" si="106"/>
        <v/>
      </c>
      <c r="M894" t="str">
        <f t="shared" si="107"/>
        <v/>
      </c>
      <c r="N894" t="str">
        <f t="shared" si="108"/>
        <v/>
      </c>
      <c r="O894" t="str">
        <f t="shared" ca="1" si="109"/>
        <v>Outdated</v>
      </c>
      <c r="P894" t="str">
        <f t="shared" si="110"/>
        <v>Wrong Item</v>
      </c>
      <c r="Q894" t="str">
        <f t="shared" si="111"/>
        <v>Inconsistent</v>
      </c>
    </row>
    <row r="895" spans="1:17" x14ac:dyDescent="0.45">
      <c r="A895" t="s">
        <v>1553</v>
      </c>
      <c r="B895" t="s">
        <v>172</v>
      </c>
      <c r="C895" t="s">
        <v>1554</v>
      </c>
      <c r="D895" t="s">
        <v>101</v>
      </c>
      <c r="E895" s="8">
        <v>8765</v>
      </c>
      <c r="F895" s="9">
        <v>45623.666684444448</v>
      </c>
      <c r="G895" t="s">
        <v>174</v>
      </c>
      <c r="H895" t="s">
        <v>145</v>
      </c>
      <c r="I895" t="s">
        <v>112</v>
      </c>
      <c r="J895" t="str">
        <f t="shared" si="104"/>
        <v/>
      </c>
      <c r="K895" t="str">
        <f t="shared" si="105"/>
        <v/>
      </c>
      <c r="L895" t="str">
        <f t="shared" si="106"/>
        <v/>
      </c>
      <c r="M895" t="str">
        <f t="shared" si="107"/>
        <v/>
      </c>
      <c r="N895" t="str">
        <f t="shared" si="108"/>
        <v/>
      </c>
      <c r="O895" t="str">
        <f t="shared" ca="1" si="109"/>
        <v>Outdated</v>
      </c>
      <c r="P895" t="str">
        <f t="shared" si="110"/>
        <v>Damaged</v>
      </c>
      <c r="Q895" t="str">
        <f t="shared" si="111"/>
        <v/>
      </c>
    </row>
    <row r="896" spans="1:17" x14ac:dyDescent="0.45">
      <c r="A896" t="s">
        <v>1555</v>
      </c>
      <c r="B896" t="s">
        <v>99</v>
      </c>
      <c r="C896" t="s">
        <v>922</v>
      </c>
      <c r="D896" t="s">
        <v>85</v>
      </c>
      <c r="E896" s="8">
        <v>11172.31</v>
      </c>
      <c r="F896" s="9">
        <v>45411.666684444448</v>
      </c>
      <c r="G896" t="s">
        <v>102</v>
      </c>
      <c r="H896" t="s">
        <v>145</v>
      </c>
      <c r="I896" t="s">
        <v>119</v>
      </c>
      <c r="J896" t="str">
        <f t="shared" si="104"/>
        <v/>
      </c>
      <c r="K896" t="str">
        <f t="shared" si="105"/>
        <v/>
      </c>
      <c r="L896" t="str">
        <f t="shared" si="106"/>
        <v>Unusual</v>
      </c>
      <c r="M896" t="str">
        <f t="shared" si="107"/>
        <v/>
      </c>
      <c r="N896" t="str">
        <f t="shared" si="108"/>
        <v/>
      </c>
      <c r="O896" t="str">
        <f t="shared" ca="1" si="109"/>
        <v>Outdated</v>
      </c>
      <c r="P896" t="str">
        <f t="shared" si="110"/>
        <v>Late Delivery</v>
      </c>
      <c r="Q896" t="str">
        <f t="shared" si="111"/>
        <v/>
      </c>
    </row>
    <row r="897" spans="1:17" x14ac:dyDescent="0.45">
      <c r="A897" t="s">
        <v>1556</v>
      </c>
      <c r="B897" t="s">
        <v>104</v>
      </c>
      <c r="C897" t="s">
        <v>1557</v>
      </c>
      <c r="D897" t="s">
        <v>148</v>
      </c>
      <c r="E897" s="8">
        <v>4337.58</v>
      </c>
      <c r="F897" s="9">
        <v>45731.666684444448</v>
      </c>
      <c r="G897" t="s">
        <v>247</v>
      </c>
      <c r="I897" t="s">
        <v>112</v>
      </c>
      <c r="J897" t="str">
        <f t="shared" si="104"/>
        <v/>
      </c>
      <c r="K897" t="str">
        <f t="shared" si="105"/>
        <v/>
      </c>
      <c r="L897" t="str">
        <f t="shared" si="106"/>
        <v/>
      </c>
      <c r="M897" t="str">
        <f t="shared" si="107"/>
        <v>Invalid</v>
      </c>
      <c r="N897" t="str">
        <f t="shared" si="108"/>
        <v>Invalid</v>
      </c>
      <c r="O897" t="str">
        <f t="shared" ca="1" si="109"/>
        <v>Outdated</v>
      </c>
      <c r="P897" t="str">
        <f t="shared" si="110"/>
        <v>Wrong Item</v>
      </c>
      <c r="Q897" t="str">
        <f t="shared" si="111"/>
        <v>Inconsistent</v>
      </c>
    </row>
    <row r="898" spans="1:17" x14ac:dyDescent="0.45">
      <c r="A898" t="s">
        <v>1558</v>
      </c>
      <c r="B898" t="s">
        <v>90</v>
      </c>
      <c r="C898" t="s">
        <v>693</v>
      </c>
      <c r="D898" t="s">
        <v>101</v>
      </c>
      <c r="E898" s="8">
        <v>8865.6200000000008</v>
      </c>
      <c r="F898" s="9">
        <v>45665.666684444448</v>
      </c>
      <c r="G898" t="s">
        <v>93</v>
      </c>
      <c r="I898" t="s">
        <v>82</v>
      </c>
      <c r="J898" t="str">
        <f t="shared" ref="J898:J961" si="112">IF(OR(ISBLANK(C898),ISBLANK(D898)),"Missing","")</f>
        <v/>
      </c>
      <c r="K898" t="str">
        <f t="shared" ref="K898:K961" si="113">IF(COUNTIF($A$2:$A$2501,A898)&gt;1,"Duplicate","")</f>
        <v/>
      </c>
      <c r="L898" t="str">
        <f t="shared" ref="L898:L961" si="114">IF(OR(E898=0,E898&gt;10000),"Unusual","")</f>
        <v/>
      </c>
      <c r="M898" t="str">
        <f t="shared" ref="M898:M961" si="115">IF(OR(ISBLANK(G898),ISERROR(FIND("@",G898)),ISERROR(FIND(".",G898,FIND("@",G898)+1))),"Invalid","")</f>
        <v/>
      </c>
      <c r="N898" t="str">
        <f t="shared" ref="N898:N961" si="116">IF(COUNTIF($S$2:$S$6,H898)=0,"Invalid","")</f>
        <v>Invalid</v>
      </c>
      <c r="O898" t="str">
        <f t="shared" ref="O898:O961" ca="1" si="117">IF(F898&lt;EDATE(TODAY(),-12),"Outdated","")</f>
        <v>Outdated</v>
      </c>
      <c r="P898" t="str">
        <f t="shared" ref="P898:P961" si="118">IF(ISBLANK(D898),"",PROPER(TRIM(D898)))</f>
        <v>Damaged</v>
      </c>
      <c r="Q898" t="str">
        <f t="shared" ref="Q898:Q961" si="119">IF(ISBLANK(D898),"",IF(EXACT(D898,P898),"","Inconsistent"))</f>
        <v/>
      </c>
    </row>
    <row r="899" spans="1:17" x14ac:dyDescent="0.45">
      <c r="A899" t="s">
        <v>1559</v>
      </c>
      <c r="B899" t="s">
        <v>79</v>
      </c>
      <c r="C899" t="s">
        <v>766</v>
      </c>
      <c r="D899" t="s">
        <v>106</v>
      </c>
      <c r="E899" s="8">
        <v>5375.32</v>
      </c>
      <c r="F899" s="9">
        <v>45739.666684444448</v>
      </c>
      <c r="G899" t="s">
        <v>86</v>
      </c>
      <c r="H899" t="s">
        <v>145</v>
      </c>
      <c r="I899" t="s">
        <v>112</v>
      </c>
      <c r="J899" t="str">
        <f t="shared" si="112"/>
        <v/>
      </c>
      <c r="K899" t="str">
        <f t="shared" si="113"/>
        <v/>
      </c>
      <c r="L899" t="str">
        <f t="shared" si="114"/>
        <v/>
      </c>
      <c r="M899" t="str">
        <f t="shared" si="115"/>
        <v/>
      </c>
      <c r="N899" t="str">
        <f t="shared" si="116"/>
        <v/>
      </c>
      <c r="O899" t="str">
        <f t="shared" ca="1" si="117"/>
        <v>Outdated</v>
      </c>
      <c r="P899" t="str">
        <f t="shared" si="118"/>
        <v>Damaged</v>
      </c>
      <c r="Q899" t="str">
        <f t="shared" si="119"/>
        <v>Inconsistent</v>
      </c>
    </row>
    <row r="900" spans="1:17" x14ac:dyDescent="0.45">
      <c r="A900" t="s">
        <v>1560</v>
      </c>
      <c r="B900" t="s">
        <v>109</v>
      </c>
      <c r="C900" t="s">
        <v>1561</v>
      </c>
      <c r="D900" t="s">
        <v>74</v>
      </c>
      <c r="E900" s="8">
        <v>4989.29</v>
      </c>
      <c r="F900" s="9">
        <v>45417.666684444448</v>
      </c>
      <c r="G900" t="s">
        <v>111</v>
      </c>
      <c r="H900" t="s">
        <v>133</v>
      </c>
      <c r="I900" t="s">
        <v>119</v>
      </c>
      <c r="J900" t="str">
        <f t="shared" si="112"/>
        <v/>
      </c>
      <c r="K900" t="str">
        <f t="shared" si="113"/>
        <v/>
      </c>
      <c r="L900" t="str">
        <f t="shared" si="114"/>
        <v/>
      </c>
      <c r="M900" t="str">
        <f t="shared" si="115"/>
        <v/>
      </c>
      <c r="N900" t="str">
        <f t="shared" si="116"/>
        <v>Invalid</v>
      </c>
      <c r="O900" t="str">
        <f t="shared" ca="1" si="117"/>
        <v>Outdated</v>
      </c>
      <c r="P900" t="str">
        <f t="shared" si="118"/>
        <v>Wrong Item</v>
      </c>
      <c r="Q900" t="str">
        <f t="shared" si="119"/>
        <v/>
      </c>
    </row>
    <row r="901" spans="1:17" x14ac:dyDescent="0.45">
      <c r="A901" t="s">
        <v>1562</v>
      </c>
      <c r="B901" t="s">
        <v>109</v>
      </c>
      <c r="C901" t="s">
        <v>179</v>
      </c>
      <c r="D901" t="s">
        <v>74</v>
      </c>
      <c r="E901" s="8">
        <v>2756.43</v>
      </c>
      <c r="F901" s="9">
        <v>45230.666684444448</v>
      </c>
      <c r="G901" t="s">
        <v>111</v>
      </c>
      <c r="H901" t="s">
        <v>128</v>
      </c>
      <c r="I901" t="s">
        <v>112</v>
      </c>
      <c r="J901" t="str">
        <f t="shared" si="112"/>
        <v/>
      </c>
      <c r="K901" t="str">
        <f t="shared" si="113"/>
        <v/>
      </c>
      <c r="L901" t="str">
        <f t="shared" si="114"/>
        <v/>
      </c>
      <c r="M901" t="str">
        <f t="shared" si="115"/>
        <v/>
      </c>
      <c r="N901" t="str">
        <f t="shared" si="116"/>
        <v>Invalid</v>
      </c>
      <c r="O901" t="str">
        <f t="shared" ca="1" si="117"/>
        <v>Outdated</v>
      </c>
      <c r="P901" t="str">
        <f t="shared" si="118"/>
        <v>Wrong Item</v>
      </c>
      <c r="Q901" t="str">
        <f t="shared" si="119"/>
        <v/>
      </c>
    </row>
    <row r="902" spans="1:17" x14ac:dyDescent="0.45">
      <c r="A902" t="s">
        <v>389</v>
      </c>
      <c r="B902" t="s">
        <v>172</v>
      </c>
      <c r="C902" t="s">
        <v>1563</v>
      </c>
      <c r="D902" t="s">
        <v>155</v>
      </c>
      <c r="E902" s="8">
        <v>4471.26</v>
      </c>
      <c r="F902" s="9">
        <v>45326.666684444448</v>
      </c>
      <c r="G902" t="s">
        <v>174</v>
      </c>
      <c r="H902" t="s">
        <v>128</v>
      </c>
      <c r="I902" t="s">
        <v>119</v>
      </c>
      <c r="J902" t="str">
        <f t="shared" si="112"/>
        <v/>
      </c>
      <c r="K902" t="str">
        <f t="shared" si="113"/>
        <v>Duplicate</v>
      </c>
      <c r="L902" t="str">
        <f t="shared" si="114"/>
        <v/>
      </c>
      <c r="M902" t="str">
        <f t="shared" si="115"/>
        <v/>
      </c>
      <c r="N902" t="str">
        <f t="shared" si="116"/>
        <v>Invalid</v>
      </c>
      <c r="O902" t="str">
        <f t="shared" ca="1" si="117"/>
        <v>Outdated</v>
      </c>
      <c r="P902" t="str">
        <f t="shared" si="118"/>
        <v>Damaged</v>
      </c>
      <c r="Q902" t="str">
        <f t="shared" si="119"/>
        <v>Inconsistent</v>
      </c>
    </row>
    <row r="903" spans="1:17" x14ac:dyDescent="0.45">
      <c r="A903" t="s">
        <v>1564</v>
      </c>
      <c r="B903" t="s">
        <v>109</v>
      </c>
      <c r="C903" t="s">
        <v>1565</v>
      </c>
      <c r="D903" t="s">
        <v>74</v>
      </c>
      <c r="E903" s="8">
        <v>6732.08</v>
      </c>
      <c r="F903" s="9">
        <v>45431.666684444448</v>
      </c>
      <c r="G903" t="s">
        <v>111</v>
      </c>
      <c r="H903" t="s">
        <v>87</v>
      </c>
      <c r="I903" t="s">
        <v>119</v>
      </c>
      <c r="J903" t="str">
        <f t="shared" si="112"/>
        <v/>
      </c>
      <c r="K903" t="str">
        <f t="shared" si="113"/>
        <v/>
      </c>
      <c r="L903" t="str">
        <f t="shared" si="114"/>
        <v/>
      </c>
      <c r="M903" t="str">
        <f t="shared" si="115"/>
        <v/>
      </c>
      <c r="N903" t="str">
        <f t="shared" si="116"/>
        <v>Invalid</v>
      </c>
      <c r="O903" t="str">
        <f t="shared" ca="1" si="117"/>
        <v>Outdated</v>
      </c>
      <c r="P903" t="str">
        <f t="shared" si="118"/>
        <v>Wrong Item</v>
      </c>
      <c r="Q903" t="str">
        <f t="shared" si="119"/>
        <v/>
      </c>
    </row>
    <row r="904" spans="1:17" x14ac:dyDescent="0.45">
      <c r="A904" t="s">
        <v>1566</v>
      </c>
      <c r="B904" t="s">
        <v>72</v>
      </c>
      <c r="C904" t="s">
        <v>615</v>
      </c>
      <c r="D904" t="s">
        <v>106</v>
      </c>
      <c r="E904" s="8">
        <v>3842.23</v>
      </c>
      <c r="F904" s="9">
        <v>45360.666684444448</v>
      </c>
      <c r="H904" t="s">
        <v>116</v>
      </c>
      <c r="I904" t="s">
        <v>88</v>
      </c>
      <c r="J904" t="str">
        <f t="shared" si="112"/>
        <v/>
      </c>
      <c r="K904" t="str">
        <f t="shared" si="113"/>
        <v/>
      </c>
      <c r="L904" t="str">
        <f t="shared" si="114"/>
        <v/>
      </c>
      <c r="M904" t="str">
        <f t="shared" si="115"/>
        <v>Invalid</v>
      </c>
      <c r="N904" t="str">
        <f t="shared" si="116"/>
        <v/>
      </c>
      <c r="O904" t="str">
        <f t="shared" ca="1" si="117"/>
        <v>Outdated</v>
      </c>
      <c r="P904" t="str">
        <f t="shared" si="118"/>
        <v>Damaged</v>
      </c>
      <c r="Q904" t="str">
        <f t="shared" si="119"/>
        <v>Inconsistent</v>
      </c>
    </row>
    <row r="905" spans="1:17" x14ac:dyDescent="0.45">
      <c r="A905" t="s">
        <v>1567</v>
      </c>
      <c r="B905" t="s">
        <v>95</v>
      </c>
      <c r="C905" t="s">
        <v>1013</v>
      </c>
      <c r="D905" t="s">
        <v>106</v>
      </c>
      <c r="E905" s="8">
        <v>4910.71</v>
      </c>
      <c r="F905" s="9">
        <v>45497.666684444448</v>
      </c>
      <c r="G905" t="s">
        <v>97</v>
      </c>
      <c r="H905" t="s">
        <v>107</v>
      </c>
      <c r="I905" t="s">
        <v>163</v>
      </c>
      <c r="J905" t="str">
        <f t="shared" si="112"/>
        <v/>
      </c>
      <c r="K905" t="str">
        <f t="shared" si="113"/>
        <v/>
      </c>
      <c r="L905" t="str">
        <f t="shared" si="114"/>
        <v/>
      </c>
      <c r="M905" t="str">
        <f t="shared" si="115"/>
        <v/>
      </c>
      <c r="N905" t="str">
        <f t="shared" si="116"/>
        <v/>
      </c>
      <c r="O905" t="str">
        <f t="shared" ca="1" si="117"/>
        <v>Outdated</v>
      </c>
      <c r="P905" t="str">
        <f t="shared" si="118"/>
        <v>Damaged</v>
      </c>
      <c r="Q905" t="str">
        <f t="shared" si="119"/>
        <v>Inconsistent</v>
      </c>
    </row>
    <row r="906" spans="1:17" x14ac:dyDescent="0.45">
      <c r="A906" t="s">
        <v>1568</v>
      </c>
      <c r="B906" t="s">
        <v>104</v>
      </c>
      <c r="C906" t="s">
        <v>1092</v>
      </c>
      <c r="D906" t="s">
        <v>74</v>
      </c>
      <c r="E906" s="8">
        <v>1361.55</v>
      </c>
      <c r="F906" s="9">
        <v>45311.666684444448</v>
      </c>
      <c r="G906" t="s">
        <v>115</v>
      </c>
      <c r="H906" t="s">
        <v>81</v>
      </c>
      <c r="I906" t="s">
        <v>112</v>
      </c>
      <c r="J906" t="str">
        <f t="shared" si="112"/>
        <v/>
      </c>
      <c r="K906" t="str">
        <f t="shared" si="113"/>
        <v/>
      </c>
      <c r="L906" t="str">
        <f t="shared" si="114"/>
        <v/>
      </c>
      <c r="M906" t="str">
        <f t="shared" si="115"/>
        <v/>
      </c>
      <c r="N906" t="str">
        <f t="shared" si="116"/>
        <v/>
      </c>
      <c r="O906" t="str">
        <f t="shared" ca="1" si="117"/>
        <v>Outdated</v>
      </c>
      <c r="P906" t="str">
        <f t="shared" si="118"/>
        <v>Wrong Item</v>
      </c>
      <c r="Q906" t="str">
        <f t="shared" si="119"/>
        <v/>
      </c>
    </row>
    <row r="907" spans="1:17" x14ac:dyDescent="0.45">
      <c r="A907" t="s">
        <v>1569</v>
      </c>
      <c r="B907" t="s">
        <v>79</v>
      </c>
      <c r="C907" t="s">
        <v>399</v>
      </c>
      <c r="D907" t="s">
        <v>85</v>
      </c>
      <c r="E907" s="8">
        <v>9688.15</v>
      </c>
      <c r="F907" s="9">
        <v>45437.666684444448</v>
      </c>
      <c r="G907" t="s">
        <v>86</v>
      </c>
      <c r="H907" t="s">
        <v>118</v>
      </c>
      <c r="I907" t="s">
        <v>112</v>
      </c>
      <c r="J907" t="str">
        <f t="shared" si="112"/>
        <v/>
      </c>
      <c r="K907" t="str">
        <f t="shared" si="113"/>
        <v/>
      </c>
      <c r="L907" t="str">
        <f t="shared" si="114"/>
        <v/>
      </c>
      <c r="M907" t="str">
        <f t="shared" si="115"/>
        <v/>
      </c>
      <c r="N907" t="str">
        <f t="shared" si="116"/>
        <v>Invalid</v>
      </c>
      <c r="O907" t="str">
        <f t="shared" ca="1" si="117"/>
        <v>Outdated</v>
      </c>
      <c r="P907" t="str">
        <f t="shared" si="118"/>
        <v>Late Delivery</v>
      </c>
      <c r="Q907" t="str">
        <f t="shared" si="119"/>
        <v/>
      </c>
    </row>
    <row r="908" spans="1:17" x14ac:dyDescent="0.45">
      <c r="A908" t="s">
        <v>1570</v>
      </c>
      <c r="B908" t="s">
        <v>109</v>
      </c>
      <c r="D908" t="s">
        <v>74</v>
      </c>
      <c r="E908" s="8">
        <v>4633.87</v>
      </c>
      <c r="F908" s="9">
        <v>45142.666684444448</v>
      </c>
      <c r="G908" t="s">
        <v>111</v>
      </c>
      <c r="H908" t="s">
        <v>133</v>
      </c>
      <c r="I908" t="s">
        <v>163</v>
      </c>
      <c r="J908" t="str">
        <f t="shared" si="112"/>
        <v>Missing</v>
      </c>
      <c r="K908" t="str">
        <f t="shared" si="113"/>
        <v/>
      </c>
      <c r="L908" t="str">
        <f t="shared" si="114"/>
        <v/>
      </c>
      <c r="M908" t="str">
        <f t="shared" si="115"/>
        <v/>
      </c>
      <c r="N908" t="str">
        <f t="shared" si="116"/>
        <v>Invalid</v>
      </c>
      <c r="O908" t="str">
        <f t="shared" ca="1" si="117"/>
        <v>Outdated</v>
      </c>
      <c r="P908" t="str">
        <f t="shared" si="118"/>
        <v>Wrong Item</v>
      </c>
      <c r="Q908" t="str">
        <f t="shared" si="119"/>
        <v/>
      </c>
    </row>
    <row r="909" spans="1:17" x14ac:dyDescent="0.45">
      <c r="A909" t="s">
        <v>1571</v>
      </c>
      <c r="B909" t="s">
        <v>109</v>
      </c>
      <c r="C909" t="s">
        <v>1572</v>
      </c>
      <c r="D909" t="s">
        <v>101</v>
      </c>
      <c r="E909" s="8">
        <v>10927.72</v>
      </c>
      <c r="F909" s="9">
        <v>45853.666684444448</v>
      </c>
      <c r="G909" t="s">
        <v>307</v>
      </c>
      <c r="H909" t="s">
        <v>128</v>
      </c>
      <c r="I909" t="s">
        <v>77</v>
      </c>
      <c r="J909" t="str">
        <f t="shared" si="112"/>
        <v/>
      </c>
      <c r="K909" t="str">
        <f t="shared" si="113"/>
        <v/>
      </c>
      <c r="L909" t="str">
        <f t="shared" si="114"/>
        <v>Unusual</v>
      </c>
      <c r="M909" t="str">
        <f t="shared" si="115"/>
        <v>Invalid</v>
      </c>
      <c r="N909" t="str">
        <f t="shared" si="116"/>
        <v>Invalid</v>
      </c>
      <c r="O909" t="str">
        <f t="shared" ca="1" si="117"/>
        <v/>
      </c>
      <c r="P909" t="str">
        <f t="shared" si="118"/>
        <v>Damaged</v>
      </c>
      <c r="Q909" t="str">
        <f t="shared" si="119"/>
        <v/>
      </c>
    </row>
    <row r="910" spans="1:17" x14ac:dyDescent="0.45">
      <c r="A910" t="s">
        <v>1573</v>
      </c>
      <c r="B910" t="s">
        <v>172</v>
      </c>
      <c r="C910" t="s">
        <v>293</v>
      </c>
      <c r="D910" t="s">
        <v>74</v>
      </c>
      <c r="E910" s="8">
        <v>5134.9799999999996</v>
      </c>
      <c r="F910" s="9">
        <v>45674.666684444448</v>
      </c>
      <c r="G910" t="s">
        <v>174</v>
      </c>
      <c r="H910" t="s">
        <v>87</v>
      </c>
      <c r="I910" t="s">
        <v>112</v>
      </c>
      <c r="J910" t="str">
        <f t="shared" si="112"/>
        <v/>
      </c>
      <c r="K910" t="str">
        <f t="shared" si="113"/>
        <v/>
      </c>
      <c r="L910" t="str">
        <f t="shared" si="114"/>
        <v/>
      </c>
      <c r="M910" t="str">
        <f t="shared" si="115"/>
        <v/>
      </c>
      <c r="N910" t="str">
        <f t="shared" si="116"/>
        <v>Invalid</v>
      </c>
      <c r="O910" t="str">
        <f t="shared" ca="1" si="117"/>
        <v>Outdated</v>
      </c>
      <c r="P910" t="str">
        <f t="shared" si="118"/>
        <v>Wrong Item</v>
      </c>
      <c r="Q910" t="str">
        <f t="shared" si="119"/>
        <v/>
      </c>
    </row>
    <row r="911" spans="1:17" x14ac:dyDescent="0.45">
      <c r="A911" t="s">
        <v>1574</v>
      </c>
      <c r="B911" t="s">
        <v>99</v>
      </c>
      <c r="C911" t="s">
        <v>1575</v>
      </c>
      <c r="D911" t="s">
        <v>74</v>
      </c>
      <c r="E911" s="8">
        <v>7519.9</v>
      </c>
      <c r="F911" s="9">
        <v>45257.666684444448</v>
      </c>
      <c r="G911" t="s">
        <v>102</v>
      </c>
      <c r="H911" t="s">
        <v>116</v>
      </c>
      <c r="I911" t="s">
        <v>77</v>
      </c>
      <c r="J911" t="str">
        <f t="shared" si="112"/>
        <v/>
      </c>
      <c r="K911" t="str">
        <f t="shared" si="113"/>
        <v/>
      </c>
      <c r="L911" t="str">
        <f t="shared" si="114"/>
        <v/>
      </c>
      <c r="M911" t="str">
        <f t="shared" si="115"/>
        <v/>
      </c>
      <c r="N911" t="str">
        <f t="shared" si="116"/>
        <v/>
      </c>
      <c r="O911" t="str">
        <f t="shared" ca="1" si="117"/>
        <v>Outdated</v>
      </c>
      <c r="P911" t="str">
        <f t="shared" si="118"/>
        <v>Wrong Item</v>
      </c>
      <c r="Q911" t="str">
        <f t="shared" si="119"/>
        <v/>
      </c>
    </row>
    <row r="912" spans="1:17" x14ac:dyDescent="0.45">
      <c r="A912" t="s">
        <v>1576</v>
      </c>
      <c r="B912" t="s">
        <v>90</v>
      </c>
      <c r="C912" t="s">
        <v>1577</v>
      </c>
      <c r="D912" t="s">
        <v>101</v>
      </c>
      <c r="E912" s="8">
        <v>1505.3</v>
      </c>
      <c r="F912" s="9">
        <v>45408.666684444448</v>
      </c>
      <c r="G912" t="s">
        <v>93</v>
      </c>
      <c r="H912" t="s">
        <v>133</v>
      </c>
      <c r="I912" t="s">
        <v>88</v>
      </c>
      <c r="J912" t="str">
        <f t="shared" si="112"/>
        <v/>
      </c>
      <c r="K912" t="str">
        <f t="shared" si="113"/>
        <v/>
      </c>
      <c r="L912" t="str">
        <f t="shared" si="114"/>
        <v/>
      </c>
      <c r="M912" t="str">
        <f t="shared" si="115"/>
        <v/>
      </c>
      <c r="N912" t="str">
        <f t="shared" si="116"/>
        <v>Invalid</v>
      </c>
      <c r="O912" t="str">
        <f t="shared" ca="1" si="117"/>
        <v>Outdated</v>
      </c>
      <c r="P912" t="str">
        <f t="shared" si="118"/>
        <v>Damaged</v>
      </c>
      <c r="Q912" t="str">
        <f t="shared" si="119"/>
        <v/>
      </c>
    </row>
    <row r="913" spans="1:17" x14ac:dyDescent="0.45">
      <c r="A913" t="s">
        <v>1578</v>
      </c>
      <c r="B913" t="s">
        <v>138</v>
      </c>
      <c r="C913" t="s">
        <v>1579</v>
      </c>
      <c r="D913" t="s">
        <v>101</v>
      </c>
      <c r="E913" s="8">
        <v>216.72</v>
      </c>
      <c r="F913" s="9">
        <v>45174.666684444448</v>
      </c>
      <c r="G913" t="s">
        <v>194</v>
      </c>
      <c r="H913" t="s">
        <v>81</v>
      </c>
      <c r="I913" t="s">
        <v>77</v>
      </c>
      <c r="J913" t="str">
        <f t="shared" si="112"/>
        <v/>
      </c>
      <c r="K913" t="str">
        <f t="shared" si="113"/>
        <v/>
      </c>
      <c r="L913" t="str">
        <f t="shared" si="114"/>
        <v/>
      </c>
      <c r="M913" t="str">
        <f t="shared" si="115"/>
        <v>Invalid</v>
      </c>
      <c r="N913" t="str">
        <f t="shared" si="116"/>
        <v/>
      </c>
      <c r="O913" t="str">
        <f t="shared" ca="1" si="117"/>
        <v>Outdated</v>
      </c>
      <c r="P913" t="str">
        <f t="shared" si="118"/>
        <v>Damaged</v>
      </c>
      <c r="Q913" t="str">
        <f t="shared" si="119"/>
        <v/>
      </c>
    </row>
    <row r="914" spans="1:17" x14ac:dyDescent="0.45">
      <c r="A914" t="s">
        <v>1580</v>
      </c>
      <c r="B914" t="s">
        <v>79</v>
      </c>
      <c r="C914" t="s">
        <v>1055</v>
      </c>
      <c r="D914" t="s">
        <v>106</v>
      </c>
      <c r="E914" s="8">
        <v>3972.2</v>
      </c>
      <c r="F914" s="9">
        <v>45183.666684444448</v>
      </c>
      <c r="G914" t="s">
        <v>86</v>
      </c>
      <c r="H914" t="s">
        <v>87</v>
      </c>
      <c r="I914" t="s">
        <v>82</v>
      </c>
      <c r="J914" t="str">
        <f t="shared" si="112"/>
        <v/>
      </c>
      <c r="K914" t="str">
        <f t="shared" si="113"/>
        <v/>
      </c>
      <c r="L914" t="str">
        <f t="shared" si="114"/>
        <v/>
      </c>
      <c r="M914" t="str">
        <f t="shared" si="115"/>
        <v/>
      </c>
      <c r="N914" t="str">
        <f t="shared" si="116"/>
        <v>Invalid</v>
      </c>
      <c r="O914" t="str">
        <f t="shared" ca="1" si="117"/>
        <v>Outdated</v>
      </c>
      <c r="P914" t="str">
        <f t="shared" si="118"/>
        <v>Damaged</v>
      </c>
      <c r="Q914" t="str">
        <f t="shared" si="119"/>
        <v>Inconsistent</v>
      </c>
    </row>
    <row r="915" spans="1:17" x14ac:dyDescent="0.45">
      <c r="A915" t="s">
        <v>1581</v>
      </c>
      <c r="B915" t="s">
        <v>99</v>
      </c>
      <c r="C915" t="s">
        <v>127</v>
      </c>
      <c r="E915" s="8">
        <v>3753.13</v>
      </c>
      <c r="F915" s="9">
        <v>45694.666684444448</v>
      </c>
      <c r="G915" t="s">
        <v>102</v>
      </c>
      <c r="H915" t="s">
        <v>136</v>
      </c>
      <c r="I915" t="s">
        <v>163</v>
      </c>
      <c r="J915" t="str">
        <f t="shared" si="112"/>
        <v>Missing</v>
      </c>
      <c r="K915" t="str">
        <f t="shared" si="113"/>
        <v/>
      </c>
      <c r="L915" t="str">
        <f t="shared" si="114"/>
        <v/>
      </c>
      <c r="M915" t="str">
        <f t="shared" si="115"/>
        <v/>
      </c>
      <c r="N915" t="str">
        <f t="shared" si="116"/>
        <v>Invalid</v>
      </c>
      <c r="O915" t="str">
        <f t="shared" ca="1" si="117"/>
        <v>Outdated</v>
      </c>
      <c r="P915" t="str">
        <f t="shared" si="118"/>
        <v/>
      </c>
      <c r="Q915" t="str">
        <f t="shared" si="119"/>
        <v/>
      </c>
    </row>
    <row r="916" spans="1:17" x14ac:dyDescent="0.45">
      <c r="A916" t="s">
        <v>1582</v>
      </c>
      <c r="B916" t="s">
        <v>90</v>
      </c>
      <c r="C916" t="s">
        <v>723</v>
      </c>
      <c r="D916" t="s">
        <v>92</v>
      </c>
      <c r="E916" s="8">
        <v>7139.44</v>
      </c>
      <c r="F916" s="9">
        <v>45427.666684444448</v>
      </c>
      <c r="G916" t="s">
        <v>93</v>
      </c>
      <c r="H916" t="s">
        <v>145</v>
      </c>
      <c r="I916" t="s">
        <v>163</v>
      </c>
      <c r="J916" t="str">
        <f t="shared" si="112"/>
        <v/>
      </c>
      <c r="K916" t="str">
        <f t="shared" si="113"/>
        <v/>
      </c>
      <c r="L916" t="str">
        <f t="shared" si="114"/>
        <v/>
      </c>
      <c r="M916" t="str">
        <f t="shared" si="115"/>
        <v/>
      </c>
      <c r="N916" t="str">
        <f t="shared" si="116"/>
        <v/>
      </c>
      <c r="O916" t="str">
        <f t="shared" ca="1" si="117"/>
        <v>Outdated</v>
      </c>
      <c r="P916" t="str">
        <f t="shared" si="118"/>
        <v>Not As Described</v>
      </c>
      <c r="Q916" t="str">
        <f t="shared" si="119"/>
        <v/>
      </c>
    </row>
    <row r="917" spans="1:17" x14ac:dyDescent="0.45">
      <c r="A917" t="s">
        <v>1583</v>
      </c>
      <c r="B917" t="s">
        <v>90</v>
      </c>
      <c r="D917" t="s">
        <v>85</v>
      </c>
      <c r="E917" s="8">
        <v>11872.09</v>
      </c>
      <c r="F917" s="9">
        <v>45842.666684444448</v>
      </c>
      <c r="G917" t="s">
        <v>93</v>
      </c>
      <c r="H917" t="s">
        <v>81</v>
      </c>
      <c r="I917" t="s">
        <v>77</v>
      </c>
      <c r="J917" t="str">
        <f t="shared" si="112"/>
        <v>Missing</v>
      </c>
      <c r="K917" t="str">
        <f t="shared" si="113"/>
        <v/>
      </c>
      <c r="L917" t="str">
        <f t="shared" si="114"/>
        <v>Unusual</v>
      </c>
      <c r="M917" t="str">
        <f t="shared" si="115"/>
        <v/>
      </c>
      <c r="N917" t="str">
        <f t="shared" si="116"/>
        <v/>
      </c>
      <c r="O917" t="str">
        <f t="shared" ca="1" si="117"/>
        <v>Outdated</v>
      </c>
      <c r="P917" t="str">
        <f t="shared" si="118"/>
        <v>Late Delivery</v>
      </c>
      <c r="Q917" t="str">
        <f t="shared" si="119"/>
        <v/>
      </c>
    </row>
    <row r="918" spans="1:17" x14ac:dyDescent="0.45">
      <c r="A918" t="s">
        <v>1584</v>
      </c>
      <c r="B918" t="s">
        <v>172</v>
      </c>
      <c r="C918" t="s">
        <v>1585</v>
      </c>
      <c r="E918" s="8">
        <v>11819.4</v>
      </c>
      <c r="F918" s="9">
        <v>45257.666684444448</v>
      </c>
      <c r="G918" t="s">
        <v>174</v>
      </c>
      <c r="H918" t="s">
        <v>107</v>
      </c>
      <c r="I918" t="s">
        <v>82</v>
      </c>
      <c r="J918" t="str">
        <f t="shared" si="112"/>
        <v>Missing</v>
      </c>
      <c r="K918" t="str">
        <f t="shared" si="113"/>
        <v/>
      </c>
      <c r="L918" t="str">
        <f t="shared" si="114"/>
        <v>Unusual</v>
      </c>
      <c r="M918" t="str">
        <f t="shared" si="115"/>
        <v/>
      </c>
      <c r="N918" t="str">
        <f t="shared" si="116"/>
        <v/>
      </c>
      <c r="O918" t="str">
        <f t="shared" ca="1" si="117"/>
        <v>Outdated</v>
      </c>
      <c r="P918" t="str">
        <f t="shared" si="118"/>
        <v/>
      </c>
      <c r="Q918" t="str">
        <f t="shared" si="119"/>
        <v/>
      </c>
    </row>
    <row r="919" spans="1:17" x14ac:dyDescent="0.45">
      <c r="A919" t="s">
        <v>1586</v>
      </c>
      <c r="B919" t="s">
        <v>104</v>
      </c>
      <c r="C919" t="s">
        <v>1506</v>
      </c>
      <c r="D919" t="s">
        <v>101</v>
      </c>
      <c r="E919" s="8">
        <v>0</v>
      </c>
      <c r="F919" s="9">
        <v>45781.666684444448</v>
      </c>
      <c r="G919" t="s">
        <v>115</v>
      </c>
      <c r="H919" t="s">
        <v>128</v>
      </c>
      <c r="I919" t="s">
        <v>163</v>
      </c>
      <c r="J919" t="str">
        <f t="shared" si="112"/>
        <v/>
      </c>
      <c r="K919" t="str">
        <f t="shared" si="113"/>
        <v/>
      </c>
      <c r="L919" t="str">
        <f t="shared" si="114"/>
        <v>Unusual</v>
      </c>
      <c r="M919" t="str">
        <f t="shared" si="115"/>
        <v/>
      </c>
      <c r="N919" t="str">
        <f t="shared" si="116"/>
        <v>Invalid</v>
      </c>
      <c r="O919" t="str">
        <f t="shared" ca="1" si="117"/>
        <v>Outdated</v>
      </c>
      <c r="P919" t="str">
        <f t="shared" si="118"/>
        <v>Damaged</v>
      </c>
      <c r="Q919" t="str">
        <f t="shared" si="119"/>
        <v/>
      </c>
    </row>
    <row r="920" spans="1:17" x14ac:dyDescent="0.45">
      <c r="A920" t="s">
        <v>1587</v>
      </c>
      <c r="B920" t="s">
        <v>109</v>
      </c>
      <c r="C920" t="s">
        <v>547</v>
      </c>
      <c r="D920" t="s">
        <v>92</v>
      </c>
      <c r="E920" s="8">
        <v>1294.24</v>
      </c>
      <c r="F920" s="9">
        <v>45630.666684444448</v>
      </c>
      <c r="I920" t="s">
        <v>77</v>
      </c>
      <c r="J920" t="str">
        <f t="shared" si="112"/>
        <v/>
      </c>
      <c r="K920" t="str">
        <f t="shared" si="113"/>
        <v/>
      </c>
      <c r="L920" t="str">
        <f t="shared" si="114"/>
        <v/>
      </c>
      <c r="M920" t="str">
        <f t="shared" si="115"/>
        <v>Invalid</v>
      </c>
      <c r="N920" t="str">
        <f t="shared" si="116"/>
        <v>Invalid</v>
      </c>
      <c r="O920" t="str">
        <f t="shared" ca="1" si="117"/>
        <v>Outdated</v>
      </c>
      <c r="P920" t="str">
        <f t="shared" si="118"/>
        <v>Not As Described</v>
      </c>
      <c r="Q920" t="str">
        <f t="shared" si="119"/>
        <v/>
      </c>
    </row>
    <row r="921" spans="1:17" x14ac:dyDescent="0.45">
      <c r="A921" t="s">
        <v>1588</v>
      </c>
      <c r="B921" t="s">
        <v>109</v>
      </c>
      <c r="D921" t="s">
        <v>106</v>
      </c>
      <c r="E921" s="8">
        <v>10066.65</v>
      </c>
      <c r="F921" s="9">
        <v>45233.666684444448</v>
      </c>
      <c r="G921" t="s">
        <v>111</v>
      </c>
      <c r="H921" t="s">
        <v>136</v>
      </c>
      <c r="I921" t="s">
        <v>77</v>
      </c>
      <c r="J921" t="str">
        <f t="shared" si="112"/>
        <v>Missing</v>
      </c>
      <c r="K921" t="str">
        <f t="shared" si="113"/>
        <v/>
      </c>
      <c r="L921" t="str">
        <f t="shared" si="114"/>
        <v>Unusual</v>
      </c>
      <c r="M921" t="str">
        <f t="shared" si="115"/>
        <v/>
      </c>
      <c r="N921" t="str">
        <f t="shared" si="116"/>
        <v>Invalid</v>
      </c>
      <c r="O921" t="str">
        <f t="shared" ca="1" si="117"/>
        <v>Outdated</v>
      </c>
      <c r="P921" t="str">
        <f t="shared" si="118"/>
        <v>Damaged</v>
      </c>
      <c r="Q921" t="str">
        <f t="shared" si="119"/>
        <v>Inconsistent</v>
      </c>
    </row>
    <row r="922" spans="1:17" x14ac:dyDescent="0.45">
      <c r="A922" t="s">
        <v>1589</v>
      </c>
      <c r="B922" t="s">
        <v>99</v>
      </c>
      <c r="C922" t="s">
        <v>612</v>
      </c>
      <c r="D922" t="s">
        <v>101</v>
      </c>
      <c r="E922" s="8">
        <v>0</v>
      </c>
      <c r="F922" s="9">
        <v>45140.666684444448</v>
      </c>
      <c r="G922" t="s">
        <v>102</v>
      </c>
      <c r="H922" t="s">
        <v>116</v>
      </c>
      <c r="I922" t="s">
        <v>119</v>
      </c>
      <c r="J922" t="str">
        <f t="shared" si="112"/>
        <v/>
      </c>
      <c r="K922" t="str">
        <f t="shared" si="113"/>
        <v/>
      </c>
      <c r="L922" t="str">
        <f t="shared" si="114"/>
        <v>Unusual</v>
      </c>
      <c r="M922" t="str">
        <f t="shared" si="115"/>
        <v/>
      </c>
      <c r="N922" t="str">
        <f t="shared" si="116"/>
        <v/>
      </c>
      <c r="O922" t="str">
        <f t="shared" ca="1" si="117"/>
        <v>Outdated</v>
      </c>
      <c r="P922" t="str">
        <f t="shared" si="118"/>
        <v>Damaged</v>
      </c>
      <c r="Q922" t="str">
        <f t="shared" si="119"/>
        <v/>
      </c>
    </row>
    <row r="923" spans="1:17" x14ac:dyDescent="0.45">
      <c r="A923" t="s">
        <v>1590</v>
      </c>
      <c r="B923" t="s">
        <v>138</v>
      </c>
      <c r="C923" t="s">
        <v>1579</v>
      </c>
      <c r="D923" t="s">
        <v>92</v>
      </c>
      <c r="E923" s="8">
        <v>6805.54</v>
      </c>
      <c r="F923" s="9">
        <v>45715.666684444448</v>
      </c>
      <c r="G923" t="s">
        <v>140</v>
      </c>
      <c r="H923" t="s">
        <v>145</v>
      </c>
      <c r="I923" t="s">
        <v>82</v>
      </c>
      <c r="J923" t="str">
        <f t="shared" si="112"/>
        <v/>
      </c>
      <c r="K923" t="str">
        <f t="shared" si="113"/>
        <v/>
      </c>
      <c r="L923" t="str">
        <f t="shared" si="114"/>
        <v/>
      </c>
      <c r="M923" t="str">
        <f t="shared" si="115"/>
        <v/>
      </c>
      <c r="N923" t="str">
        <f t="shared" si="116"/>
        <v/>
      </c>
      <c r="O923" t="str">
        <f t="shared" ca="1" si="117"/>
        <v>Outdated</v>
      </c>
      <c r="P923" t="str">
        <f t="shared" si="118"/>
        <v>Not As Described</v>
      </c>
      <c r="Q923" t="str">
        <f t="shared" si="119"/>
        <v/>
      </c>
    </row>
    <row r="924" spans="1:17" x14ac:dyDescent="0.45">
      <c r="A924" t="s">
        <v>1591</v>
      </c>
      <c r="B924" t="s">
        <v>72</v>
      </c>
      <c r="E924" s="8">
        <v>5703.56</v>
      </c>
      <c r="F924" s="9">
        <v>45419.666684444448</v>
      </c>
      <c r="G924" t="s">
        <v>75</v>
      </c>
      <c r="H924" t="s">
        <v>128</v>
      </c>
      <c r="I924" t="s">
        <v>119</v>
      </c>
      <c r="J924" t="str">
        <f t="shared" si="112"/>
        <v>Missing</v>
      </c>
      <c r="K924" t="str">
        <f t="shared" si="113"/>
        <v/>
      </c>
      <c r="L924" t="str">
        <f t="shared" si="114"/>
        <v/>
      </c>
      <c r="M924" t="str">
        <f t="shared" si="115"/>
        <v/>
      </c>
      <c r="N924" t="str">
        <f t="shared" si="116"/>
        <v>Invalid</v>
      </c>
      <c r="O924" t="str">
        <f t="shared" ca="1" si="117"/>
        <v>Outdated</v>
      </c>
      <c r="P924" t="str">
        <f t="shared" si="118"/>
        <v/>
      </c>
      <c r="Q924" t="str">
        <f t="shared" si="119"/>
        <v/>
      </c>
    </row>
    <row r="925" spans="1:17" x14ac:dyDescent="0.45">
      <c r="A925" t="s">
        <v>835</v>
      </c>
      <c r="B925" t="s">
        <v>95</v>
      </c>
      <c r="C925" t="s">
        <v>774</v>
      </c>
      <c r="D925" t="s">
        <v>155</v>
      </c>
      <c r="E925" s="8">
        <v>1602.52</v>
      </c>
      <c r="F925" s="9">
        <v>45608.666684444448</v>
      </c>
      <c r="H925" t="s">
        <v>136</v>
      </c>
      <c r="I925" t="s">
        <v>112</v>
      </c>
      <c r="J925" t="str">
        <f t="shared" si="112"/>
        <v/>
      </c>
      <c r="K925" t="str">
        <f t="shared" si="113"/>
        <v>Duplicate</v>
      </c>
      <c r="L925" t="str">
        <f t="shared" si="114"/>
        <v/>
      </c>
      <c r="M925" t="str">
        <f t="shared" si="115"/>
        <v>Invalid</v>
      </c>
      <c r="N925" t="str">
        <f t="shared" si="116"/>
        <v>Invalid</v>
      </c>
      <c r="O925" t="str">
        <f t="shared" ca="1" si="117"/>
        <v>Outdated</v>
      </c>
      <c r="P925" t="str">
        <f t="shared" si="118"/>
        <v>Damaged</v>
      </c>
      <c r="Q925" t="str">
        <f t="shared" si="119"/>
        <v>Inconsistent</v>
      </c>
    </row>
    <row r="926" spans="1:17" x14ac:dyDescent="0.45">
      <c r="A926" t="s">
        <v>1592</v>
      </c>
      <c r="B926" t="s">
        <v>99</v>
      </c>
      <c r="C926" t="s">
        <v>440</v>
      </c>
      <c r="D926" t="s">
        <v>92</v>
      </c>
      <c r="E926" s="8">
        <v>7388.71</v>
      </c>
      <c r="F926" s="9">
        <v>45618.666684444448</v>
      </c>
      <c r="G926" t="s">
        <v>102</v>
      </c>
      <c r="H926" t="s">
        <v>76</v>
      </c>
      <c r="I926" t="s">
        <v>119</v>
      </c>
      <c r="J926" t="str">
        <f t="shared" si="112"/>
        <v/>
      </c>
      <c r="K926" t="str">
        <f t="shared" si="113"/>
        <v/>
      </c>
      <c r="L926" t="str">
        <f t="shared" si="114"/>
        <v/>
      </c>
      <c r="M926" t="str">
        <f t="shared" si="115"/>
        <v/>
      </c>
      <c r="N926" t="str">
        <f t="shared" si="116"/>
        <v/>
      </c>
      <c r="O926" t="str">
        <f t="shared" ca="1" si="117"/>
        <v>Outdated</v>
      </c>
      <c r="P926" t="str">
        <f t="shared" si="118"/>
        <v>Not As Described</v>
      </c>
      <c r="Q926" t="str">
        <f t="shared" si="119"/>
        <v/>
      </c>
    </row>
    <row r="927" spans="1:17" x14ac:dyDescent="0.45">
      <c r="A927" t="s">
        <v>1593</v>
      </c>
      <c r="B927" t="s">
        <v>72</v>
      </c>
      <c r="C927" t="s">
        <v>1450</v>
      </c>
      <c r="D927" t="s">
        <v>101</v>
      </c>
      <c r="E927" s="8">
        <v>4849.78</v>
      </c>
      <c r="F927" s="9">
        <v>45579.666684444448</v>
      </c>
      <c r="G927" t="s">
        <v>75</v>
      </c>
      <c r="H927" t="s">
        <v>107</v>
      </c>
      <c r="I927" t="s">
        <v>77</v>
      </c>
      <c r="J927" t="str">
        <f t="shared" si="112"/>
        <v/>
      </c>
      <c r="K927" t="str">
        <f t="shared" si="113"/>
        <v/>
      </c>
      <c r="L927" t="str">
        <f t="shared" si="114"/>
        <v/>
      </c>
      <c r="M927" t="str">
        <f t="shared" si="115"/>
        <v/>
      </c>
      <c r="N927" t="str">
        <f t="shared" si="116"/>
        <v/>
      </c>
      <c r="O927" t="str">
        <f t="shared" ca="1" si="117"/>
        <v>Outdated</v>
      </c>
      <c r="P927" t="str">
        <f t="shared" si="118"/>
        <v>Damaged</v>
      </c>
      <c r="Q927" t="str">
        <f t="shared" si="119"/>
        <v/>
      </c>
    </row>
    <row r="928" spans="1:17" x14ac:dyDescent="0.45">
      <c r="A928" t="s">
        <v>1497</v>
      </c>
      <c r="B928" t="s">
        <v>95</v>
      </c>
      <c r="C928" t="s">
        <v>1594</v>
      </c>
      <c r="D928" t="s">
        <v>101</v>
      </c>
      <c r="E928" s="8">
        <v>4985.92</v>
      </c>
      <c r="F928" s="9">
        <v>45476.666684444448</v>
      </c>
      <c r="G928" t="s">
        <v>336</v>
      </c>
      <c r="I928" t="s">
        <v>119</v>
      </c>
      <c r="J928" t="str">
        <f t="shared" si="112"/>
        <v/>
      </c>
      <c r="K928" t="str">
        <f t="shared" si="113"/>
        <v>Duplicate</v>
      </c>
      <c r="L928" t="str">
        <f t="shared" si="114"/>
        <v/>
      </c>
      <c r="M928" t="str">
        <f t="shared" si="115"/>
        <v>Invalid</v>
      </c>
      <c r="N928" t="str">
        <f t="shared" si="116"/>
        <v>Invalid</v>
      </c>
      <c r="O928" t="str">
        <f t="shared" ca="1" si="117"/>
        <v>Outdated</v>
      </c>
      <c r="P928" t="str">
        <f t="shared" si="118"/>
        <v>Damaged</v>
      </c>
      <c r="Q928" t="str">
        <f t="shared" si="119"/>
        <v/>
      </c>
    </row>
    <row r="929" spans="1:17" x14ac:dyDescent="0.45">
      <c r="A929" t="s">
        <v>1595</v>
      </c>
      <c r="B929" t="s">
        <v>90</v>
      </c>
      <c r="C929" t="s">
        <v>1596</v>
      </c>
      <c r="D929" t="s">
        <v>74</v>
      </c>
      <c r="E929" s="8">
        <v>434.49</v>
      </c>
      <c r="F929" s="9">
        <v>45316.666684444448</v>
      </c>
      <c r="G929" t="s">
        <v>93</v>
      </c>
      <c r="H929" t="s">
        <v>87</v>
      </c>
      <c r="I929" t="s">
        <v>88</v>
      </c>
      <c r="J929" t="str">
        <f t="shared" si="112"/>
        <v/>
      </c>
      <c r="K929" t="str">
        <f t="shared" si="113"/>
        <v/>
      </c>
      <c r="L929" t="str">
        <f t="shared" si="114"/>
        <v/>
      </c>
      <c r="M929" t="str">
        <f t="shared" si="115"/>
        <v/>
      </c>
      <c r="N929" t="str">
        <f t="shared" si="116"/>
        <v>Invalid</v>
      </c>
      <c r="O929" t="str">
        <f t="shared" ca="1" si="117"/>
        <v>Outdated</v>
      </c>
      <c r="P929" t="str">
        <f t="shared" si="118"/>
        <v>Wrong Item</v>
      </c>
      <c r="Q929" t="str">
        <f t="shared" si="119"/>
        <v/>
      </c>
    </row>
    <row r="930" spans="1:17" x14ac:dyDescent="0.45">
      <c r="A930" t="s">
        <v>1597</v>
      </c>
      <c r="B930" t="s">
        <v>138</v>
      </c>
      <c r="D930" t="s">
        <v>92</v>
      </c>
      <c r="E930" s="8">
        <v>8504.17</v>
      </c>
      <c r="F930" s="9">
        <v>45180.666684444448</v>
      </c>
      <c r="G930" t="s">
        <v>194</v>
      </c>
      <c r="H930" t="s">
        <v>133</v>
      </c>
      <c r="I930" t="s">
        <v>112</v>
      </c>
      <c r="J930" t="str">
        <f t="shared" si="112"/>
        <v>Missing</v>
      </c>
      <c r="K930" t="str">
        <f t="shared" si="113"/>
        <v/>
      </c>
      <c r="L930" t="str">
        <f t="shared" si="114"/>
        <v/>
      </c>
      <c r="M930" t="str">
        <f t="shared" si="115"/>
        <v>Invalid</v>
      </c>
      <c r="N930" t="str">
        <f t="shared" si="116"/>
        <v>Invalid</v>
      </c>
      <c r="O930" t="str">
        <f t="shared" ca="1" si="117"/>
        <v>Outdated</v>
      </c>
      <c r="P930" t="str">
        <f t="shared" si="118"/>
        <v>Not As Described</v>
      </c>
      <c r="Q930" t="str">
        <f t="shared" si="119"/>
        <v/>
      </c>
    </row>
    <row r="931" spans="1:17" x14ac:dyDescent="0.45">
      <c r="A931" t="s">
        <v>1598</v>
      </c>
      <c r="B931" t="s">
        <v>99</v>
      </c>
      <c r="C931" t="s">
        <v>1599</v>
      </c>
      <c r="D931" t="s">
        <v>74</v>
      </c>
      <c r="E931" s="8">
        <v>3665.19</v>
      </c>
      <c r="F931" s="9">
        <v>45386.666684444448</v>
      </c>
      <c r="G931" t="s">
        <v>102</v>
      </c>
      <c r="H931" t="s">
        <v>116</v>
      </c>
      <c r="I931" t="s">
        <v>88</v>
      </c>
      <c r="J931" t="str">
        <f t="shared" si="112"/>
        <v/>
      </c>
      <c r="K931" t="str">
        <f t="shared" si="113"/>
        <v/>
      </c>
      <c r="L931" t="str">
        <f t="shared" si="114"/>
        <v/>
      </c>
      <c r="M931" t="str">
        <f t="shared" si="115"/>
        <v/>
      </c>
      <c r="N931" t="str">
        <f t="shared" si="116"/>
        <v/>
      </c>
      <c r="O931" t="str">
        <f t="shared" ca="1" si="117"/>
        <v>Outdated</v>
      </c>
      <c r="P931" t="str">
        <f t="shared" si="118"/>
        <v>Wrong Item</v>
      </c>
      <c r="Q931" t="str">
        <f t="shared" si="119"/>
        <v/>
      </c>
    </row>
    <row r="932" spans="1:17" x14ac:dyDescent="0.45">
      <c r="A932" t="s">
        <v>1600</v>
      </c>
      <c r="B932" t="s">
        <v>90</v>
      </c>
      <c r="C932" t="s">
        <v>414</v>
      </c>
      <c r="D932" t="s">
        <v>148</v>
      </c>
      <c r="E932" s="8">
        <v>4391.03</v>
      </c>
      <c r="F932" s="9">
        <v>45617.666684444448</v>
      </c>
      <c r="G932" t="s">
        <v>93</v>
      </c>
      <c r="H932" t="s">
        <v>136</v>
      </c>
      <c r="I932" t="s">
        <v>112</v>
      </c>
      <c r="J932" t="str">
        <f t="shared" si="112"/>
        <v/>
      </c>
      <c r="K932" t="str">
        <f t="shared" si="113"/>
        <v/>
      </c>
      <c r="L932" t="str">
        <f t="shared" si="114"/>
        <v/>
      </c>
      <c r="M932" t="str">
        <f t="shared" si="115"/>
        <v/>
      </c>
      <c r="N932" t="str">
        <f t="shared" si="116"/>
        <v>Invalid</v>
      </c>
      <c r="O932" t="str">
        <f t="shared" ca="1" si="117"/>
        <v>Outdated</v>
      </c>
      <c r="P932" t="str">
        <f t="shared" si="118"/>
        <v>Wrong Item</v>
      </c>
      <c r="Q932" t="str">
        <f t="shared" si="119"/>
        <v>Inconsistent</v>
      </c>
    </row>
    <row r="933" spans="1:17" x14ac:dyDescent="0.45">
      <c r="A933" t="s">
        <v>1601</v>
      </c>
      <c r="B933" t="s">
        <v>72</v>
      </c>
      <c r="C933" t="s">
        <v>523</v>
      </c>
      <c r="D933" t="s">
        <v>74</v>
      </c>
      <c r="E933" s="8">
        <v>8066.41</v>
      </c>
      <c r="F933" s="9">
        <v>45244.666684444448</v>
      </c>
      <c r="G933" t="s">
        <v>75</v>
      </c>
      <c r="H933" t="s">
        <v>128</v>
      </c>
      <c r="I933" t="s">
        <v>119</v>
      </c>
      <c r="J933" t="str">
        <f t="shared" si="112"/>
        <v/>
      </c>
      <c r="K933" t="str">
        <f t="shared" si="113"/>
        <v/>
      </c>
      <c r="L933" t="str">
        <f t="shared" si="114"/>
        <v/>
      </c>
      <c r="M933" t="str">
        <f t="shared" si="115"/>
        <v/>
      </c>
      <c r="N933" t="str">
        <f t="shared" si="116"/>
        <v>Invalid</v>
      </c>
      <c r="O933" t="str">
        <f t="shared" ca="1" si="117"/>
        <v>Outdated</v>
      </c>
      <c r="P933" t="str">
        <f t="shared" si="118"/>
        <v>Wrong Item</v>
      </c>
      <c r="Q933" t="str">
        <f t="shared" si="119"/>
        <v/>
      </c>
    </row>
    <row r="934" spans="1:17" x14ac:dyDescent="0.45">
      <c r="A934" t="s">
        <v>1602</v>
      </c>
      <c r="B934" t="s">
        <v>99</v>
      </c>
      <c r="C934" t="s">
        <v>162</v>
      </c>
      <c r="D934" t="s">
        <v>74</v>
      </c>
      <c r="E934" s="8">
        <v>10747.84</v>
      </c>
      <c r="F934" s="9">
        <v>45194.666684444448</v>
      </c>
      <c r="G934" t="s">
        <v>102</v>
      </c>
      <c r="H934" t="s">
        <v>145</v>
      </c>
      <c r="I934" t="s">
        <v>163</v>
      </c>
      <c r="J934" t="str">
        <f t="shared" si="112"/>
        <v/>
      </c>
      <c r="K934" t="str">
        <f t="shared" si="113"/>
        <v/>
      </c>
      <c r="L934" t="str">
        <f t="shared" si="114"/>
        <v>Unusual</v>
      </c>
      <c r="M934" t="str">
        <f t="shared" si="115"/>
        <v/>
      </c>
      <c r="N934" t="str">
        <f t="shared" si="116"/>
        <v/>
      </c>
      <c r="O934" t="str">
        <f t="shared" ca="1" si="117"/>
        <v>Outdated</v>
      </c>
      <c r="P934" t="str">
        <f t="shared" si="118"/>
        <v>Wrong Item</v>
      </c>
      <c r="Q934" t="str">
        <f t="shared" si="119"/>
        <v/>
      </c>
    </row>
    <row r="935" spans="1:17" x14ac:dyDescent="0.45">
      <c r="A935" t="s">
        <v>1476</v>
      </c>
      <c r="B935" t="s">
        <v>99</v>
      </c>
      <c r="C935" t="s">
        <v>1603</v>
      </c>
      <c r="D935" t="s">
        <v>85</v>
      </c>
      <c r="E935" s="8">
        <v>8478.6</v>
      </c>
      <c r="F935" s="9">
        <v>45538.666684444448</v>
      </c>
      <c r="G935" t="s">
        <v>102</v>
      </c>
      <c r="H935" t="s">
        <v>76</v>
      </c>
      <c r="I935" t="s">
        <v>163</v>
      </c>
      <c r="J935" t="str">
        <f t="shared" si="112"/>
        <v/>
      </c>
      <c r="K935" t="str">
        <f t="shared" si="113"/>
        <v>Duplicate</v>
      </c>
      <c r="L935" t="str">
        <f t="shared" si="114"/>
        <v/>
      </c>
      <c r="M935" t="str">
        <f t="shared" si="115"/>
        <v/>
      </c>
      <c r="N935" t="str">
        <f t="shared" si="116"/>
        <v/>
      </c>
      <c r="O935" t="str">
        <f t="shared" ca="1" si="117"/>
        <v>Outdated</v>
      </c>
      <c r="P935" t="str">
        <f t="shared" si="118"/>
        <v>Late Delivery</v>
      </c>
      <c r="Q935" t="str">
        <f t="shared" si="119"/>
        <v/>
      </c>
    </row>
    <row r="936" spans="1:17" x14ac:dyDescent="0.45">
      <c r="A936" t="s">
        <v>1604</v>
      </c>
      <c r="B936" t="s">
        <v>172</v>
      </c>
      <c r="C936" t="s">
        <v>1221</v>
      </c>
      <c r="D936" t="s">
        <v>92</v>
      </c>
      <c r="E936" s="8">
        <v>10439.15</v>
      </c>
      <c r="F936" s="9">
        <v>45631.666684444448</v>
      </c>
      <c r="G936" t="s">
        <v>174</v>
      </c>
      <c r="H936" t="s">
        <v>118</v>
      </c>
      <c r="I936" t="s">
        <v>77</v>
      </c>
      <c r="J936" t="str">
        <f t="shared" si="112"/>
        <v/>
      </c>
      <c r="K936" t="str">
        <f t="shared" si="113"/>
        <v/>
      </c>
      <c r="L936" t="str">
        <f t="shared" si="114"/>
        <v>Unusual</v>
      </c>
      <c r="M936" t="str">
        <f t="shared" si="115"/>
        <v/>
      </c>
      <c r="N936" t="str">
        <f t="shared" si="116"/>
        <v>Invalid</v>
      </c>
      <c r="O936" t="str">
        <f t="shared" ca="1" si="117"/>
        <v>Outdated</v>
      </c>
      <c r="P936" t="str">
        <f t="shared" si="118"/>
        <v>Not As Described</v>
      </c>
      <c r="Q936" t="str">
        <f t="shared" si="119"/>
        <v/>
      </c>
    </row>
    <row r="937" spans="1:17" x14ac:dyDescent="0.45">
      <c r="A937" t="s">
        <v>1605</v>
      </c>
      <c r="B937" t="s">
        <v>79</v>
      </c>
      <c r="C937" t="s">
        <v>1606</v>
      </c>
      <c r="D937" t="s">
        <v>74</v>
      </c>
      <c r="E937" s="8">
        <v>8134.74</v>
      </c>
      <c r="F937" s="9">
        <v>45203.666684444448</v>
      </c>
      <c r="G937" t="s">
        <v>86</v>
      </c>
      <c r="H937" t="s">
        <v>128</v>
      </c>
      <c r="I937" t="s">
        <v>163</v>
      </c>
      <c r="J937" t="str">
        <f t="shared" si="112"/>
        <v/>
      </c>
      <c r="K937" t="str">
        <f t="shared" si="113"/>
        <v/>
      </c>
      <c r="L937" t="str">
        <f t="shared" si="114"/>
        <v/>
      </c>
      <c r="M937" t="str">
        <f t="shared" si="115"/>
        <v/>
      </c>
      <c r="N937" t="str">
        <f t="shared" si="116"/>
        <v>Invalid</v>
      </c>
      <c r="O937" t="str">
        <f t="shared" ca="1" si="117"/>
        <v>Outdated</v>
      </c>
      <c r="P937" t="str">
        <f t="shared" si="118"/>
        <v>Wrong Item</v>
      </c>
      <c r="Q937" t="str">
        <f t="shared" si="119"/>
        <v/>
      </c>
    </row>
    <row r="938" spans="1:17" x14ac:dyDescent="0.45">
      <c r="A938" t="s">
        <v>1607</v>
      </c>
      <c r="B938" t="s">
        <v>90</v>
      </c>
      <c r="C938" t="s">
        <v>229</v>
      </c>
      <c r="D938" t="s">
        <v>101</v>
      </c>
      <c r="E938" s="8">
        <v>5761.08</v>
      </c>
      <c r="F938" s="9">
        <v>45718.666684444448</v>
      </c>
      <c r="G938" t="s">
        <v>296</v>
      </c>
      <c r="H938" t="s">
        <v>76</v>
      </c>
      <c r="I938" t="s">
        <v>88</v>
      </c>
      <c r="J938" t="str">
        <f t="shared" si="112"/>
        <v/>
      </c>
      <c r="K938" t="str">
        <f t="shared" si="113"/>
        <v/>
      </c>
      <c r="L938" t="str">
        <f t="shared" si="114"/>
        <v/>
      </c>
      <c r="M938" t="str">
        <f t="shared" si="115"/>
        <v>Invalid</v>
      </c>
      <c r="N938" t="str">
        <f t="shared" si="116"/>
        <v/>
      </c>
      <c r="O938" t="str">
        <f t="shared" ca="1" si="117"/>
        <v>Outdated</v>
      </c>
      <c r="P938" t="str">
        <f t="shared" si="118"/>
        <v>Damaged</v>
      </c>
      <c r="Q938" t="str">
        <f t="shared" si="119"/>
        <v/>
      </c>
    </row>
    <row r="939" spans="1:17" x14ac:dyDescent="0.45">
      <c r="A939" t="s">
        <v>1608</v>
      </c>
      <c r="B939" t="s">
        <v>99</v>
      </c>
      <c r="C939" t="s">
        <v>1609</v>
      </c>
      <c r="D939" t="s">
        <v>85</v>
      </c>
      <c r="E939" s="8">
        <v>8663.7199999999993</v>
      </c>
      <c r="F939" s="9">
        <v>45772.666684444448</v>
      </c>
      <c r="H939" t="s">
        <v>145</v>
      </c>
      <c r="I939" t="s">
        <v>77</v>
      </c>
      <c r="J939" t="str">
        <f t="shared" si="112"/>
        <v/>
      </c>
      <c r="K939" t="str">
        <f t="shared" si="113"/>
        <v/>
      </c>
      <c r="L939" t="str">
        <f t="shared" si="114"/>
        <v/>
      </c>
      <c r="M939" t="str">
        <f t="shared" si="115"/>
        <v>Invalid</v>
      </c>
      <c r="N939" t="str">
        <f t="shared" si="116"/>
        <v/>
      </c>
      <c r="O939" t="str">
        <f t="shared" ca="1" si="117"/>
        <v>Outdated</v>
      </c>
      <c r="P939" t="str">
        <f t="shared" si="118"/>
        <v>Late Delivery</v>
      </c>
      <c r="Q939" t="str">
        <f t="shared" si="119"/>
        <v/>
      </c>
    </row>
    <row r="940" spans="1:17" x14ac:dyDescent="0.45">
      <c r="A940" t="s">
        <v>1610</v>
      </c>
      <c r="B940" t="s">
        <v>109</v>
      </c>
      <c r="C940" t="s">
        <v>962</v>
      </c>
      <c r="D940" t="s">
        <v>74</v>
      </c>
      <c r="E940" s="8">
        <v>1095.02</v>
      </c>
      <c r="F940" s="9">
        <v>45830.666684444448</v>
      </c>
      <c r="G940" t="s">
        <v>111</v>
      </c>
      <c r="H940" t="s">
        <v>128</v>
      </c>
      <c r="I940" t="s">
        <v>82</v>
      </c>
      <c r="J940" t="str">
        <f t="shared" si="112"/>
        <v/>
      </c>
      <c r="K940" t="str">
        <f t="shared" si="113"/>
        <v/>
      </c>
      <c r="L940" t="str">
        <f t="shared" si="114"/>
        <v/>
      </c>
      <c r="M940" t="str">
        <f t="shared" si="115"/>
        <v/>
      </c>
      <c r="N940" t="str">
        <f t="shared" si="116"/>
        <v>Invalid</v>
      </c>
      <c r="O940" t="str">
        <f t="shared" ca="1" si="117"/>
        <v>Outdated</v>
      </c>
      <c r="P940" t="str">
        <f t="shared" si="118"/>
        <v>Wrong Item</v>
      </c>
      <c r="Q940" t="str">
        <f t="shared" si="119"/>
        <v/>
      </c>
    </row>
    <row r="941" spans="1:17" x14ac:dyDescent="0.45">
      <c r="A941" t="s">
        <v>1611</v>
      </c>
      <c r="B941" t="s">
        <v>109</v>
      </c>
      <c r="C941" t="s">
        <v>766</v>
      </c>
      <c r="D941" t="s">
        <v>74</v>
      </c>
      <c r="E941" s="8">
        <v>0</v>
      </c>
      <c r="F941" s="9">
        <v>45182.666684444448</v>
      </c>
      <c r="G941" t="s">
        <v>111</v>
      </c>
      <c r="H941" t="s">
        <v>87</v>
      </c>
      <c r="I941" t="s">
        <v>88</v>
      </c>
      <c r="J941" t="str">
        <f t="shared" si="112"/>
        <v/>
      </c>
      <c r="K941" t="str">
        <f t="shared" si="113"/>
        <v/>
      </c>
      <c r="L941" t="str">
        <f t="shared" si="114"/>
        <v>Unusual</v>
      </c>
      <c r="M941" t="str">
        <f t="shared" si="115"/>
        <v/>
      </c>
      <c r="N941" t="str">
        <f t="shared" si="116"/>
        <v>Invalid</v>
      </c>
      <c r="O941" t="str">
        <f t="shared" ca="1" si="117"/>
        <v>Outdated</v>
      </c>
      <c r="P941" t="str">
        <f t="shared" si="118"/>
        <v>Wrong Item</v>
      </c>
      <c r="Q941" t="str">
        <f t="shared" si="119"/>
        <v/>
      </c>
    </row>
    <row r="942" spans="1:17" x14ac:dyDescent="0.45">
      <c r="A942" t="s">
        <v>1612</v>
      </c>
      <c r="B942" t="s">
        <v>79</v>
      </c>
      <c r="C942" t="s">
        <v>1157</v>
      </c>
      <c r="E942" s="8">
        <v>1298.03</v>
      </c>
      <c r="F942" s="9">
        <v>45283.666684444448</v>
      </c>
      <c r="G942" t="s">
        <v>86</v>
      </c>
      <c r="H942" t="s">
        <v>128</v>
      </c>
      <c r="I942" t="s">
        <v>88</v>
      </c>
      <c r="J942" t="str">
        <f t="shared" si="112"/>
        <v>Missing</v>
      </c>
      <c r="K942" t="str">
        <f t="shared" si="113"/>
        <v/>
      </c>
      <c r="L942" t="str">
        <f t="shared" si="114"/>
        <v/>
      </c>
      <c r="M942" t="str">
        <f t="shared" si="115"/>
        <v/>
      </c>
      <c r="N942" t="str">
        <f t="shared" si="116"/>
        <v>Invalid</v>
      </c>
      <c r="O942" t="str">
        <f t="shared" ca="1" si="117"/>
        <v>Outdated</v>
      </c>
      <c r="P942" t="str">
        <f t="shared" si="118"/>
        <v/>
      </c>
      <c r="Q942" t="str">
        <f t="shared" si="119"/>
        <v/>
      </c>
    </row>
    <row r="943" spans="1:17" x14ac:dyDescent="0.45">
      <c r="A943" t="s">
        <v>1613</v>
      </c>
      <c r="B943" t="s">
        <v>99</v>
      </c>
      <c r="C943" t="s">
        <v>1614</v>
      </c>
      <c r="D943" t="s">
        <v>85</v>
      </c>
      <c r="E943" s="8">
        <v>7432.18</v>
      </c>
      <c r="F943" s="9">
        <v>45280.666684444448</v>
      </c>
      <c r="G943" t="s">
        <v>102</v>
      </c>
      <c r="H943" t="s">
        <v>133</v>
      </c>
      <c r="I943" t="s">
        <v>82</v>
      </c>
      <c r="J943" t="str">
        <f t="shared" si="112"/>
        <v/>
      </c>
      <c r="K943" t="str">
        <f t="shared" si="113"/>
        <v/>
      </c>
      <c r="L943" t="str">
        <f t="shared" si="114"/>
        <v/>
      </c>
      <c r="M943" t="str">
        <f t="shared" si="115"/>
        <v/>
      </c>
      <c r="N943" t="str">
        <f t="shared" si="116"/>
        <v>Invalid</v>
      </c>
      <c r="O943" t="str">
        <f t="shared" ca="1" si="117"/>
        <v>Outdated</v>
      </c>
      <c r="P943" t="str">
        <f t="shared" si="118"/>
        <v>Late Delivery</v>
      </c>
      <c r="Q943" t="str">
        <f t="shared" si="119"/>
        <v/>
      </c>
    </row>
    <row r="944" spans="1:17" x14ac:dyDescent="0.45">
      <c r="A944" t="s">
        <v>1615</v>
      </c>
      <c r="B944" t="s">
        <v>79</v>
      </c>
      <c r="C944" t="s">
        <v>717</v>
      </c>
      <c r="D944" t="s">
        <v>74</v>
      </c>
      <c r="E944" s="8">
        <v>2386.6999999999998</v>
      </c>
      <c r="F944" s="9">
        <v>45704.666684444448</v>
      </c>
      <c r="H944" t="s">
        <v>81</v>
      </c>
      <c r="I944" t="s">
        <v>77</v>
      </c>
      <c r="J944" t="str">
        <f t="shared" si="112"/>
        <v/>
      </c>
      <c r="K944" t="str">
        <f t="shared" si="113"/>
        <v/>
      </c>
      <c r="L944" t="str">
        <f t="shared" si="114"/>
        <v/>
      </c>
      <c r="M944" t="str">
        <f t="shared" si="115"/>
        <v>Invalid</v>
      </c>
      <c r="N944" t="str">
        <f t="shared" si="116"/>
        <v/>
      </c>
      <c r="O944" t="str">
        <f t="shared" ca="1" si="117"/>
        <v>Outdated</v>
      </c>
      <c r="P944" t="str">
        <f t="shared" si="118"/>
        <v>Wrong Item</v>
      </c>
      <c r="Q944" t="str">
        <f t="shared" si="119"/>
        <v/>
      </c>
    </row>
    <row r="945" spans="1:17" x14ac:dyDescent="0.45">
      <c r="A945" t="s">
        <v>1616</v>
      </c>
      <c r="B945" t="s">
        <v>79</v>
      </c>
      <c r="C945" t="s">
        <v>1617</v>
      </c>
      <c r="E945" s="8">
        <v>7912.2</v>
      </c>
      <c r="F945" s="9">
        <v>45439.666684444448</v>
      </c>
      <c r="G945" t="s">
        <v>86</v>
      </c>
      <c r="H945" t="s">
        <v>81</v>
      </c>
      <c r="I945" t="s">
        <v>112</v>
      </c>
      <c r="J945" t="str">
        <f t="shared" si="112"/>
        <v>Missing</v>
      </c>
      <c r="K945" t="str">
        <f t="shared" si="113"/>
        <v/>
      </c>
      <c r="L945" t="str">
        <f t="shared" si="114"/>
        <v/>
      </c>
      <c r="M945" t="str">
        <f t="shared" si="115"/>
        <v/>
      </c>
      <c r="N945" t="str">
        <f t="shared" si="116"/>
        <v/>
      </c>
      <c r="O945" t="str">
        <f t="shared" ca="1" si="117"/>
        <v>Outdated</v>
      </c>
      <c r="P945" t="str">
        <f t="shared" si="118"/>
        <v/>
      </c>
      <c r="Q945" t="str">
        <f t="shared" si="119"/>
        <v/>
      </c>
    </row>
    <row r="946" spans="1:17" x14ac:dyDescent="0.45">
      <c r="A946" t="s">
        <v>1618</v>
      </c>
      <c r="B946" t="s">
        <v>72</v>
      </c>
      <c r="C946" t="s">
        <v>472</v>
      </c>
      <c r="D946" t="s">
        <v>106</v>
      </c>
      <c r="E946" s="8">
        <v>11788.69</v>
      </c>
      <c r="F946" s="9">
        <v>45215.666684444448</v>
      </c>
      <c r="G946" t="s">
        <v>75</v>
      </c>
      <c r="H946" t="s">
        <v>133</v>
      </c>
      <c r="I946" t="s">
        <v>163</v>
      </c>
      <c r="J946" t="str">
        <f t="shared" si="112"/>
        <v/>
      </c>
      <c r="K946" t="str">
        <f t="shared" si="113"/>
        <v/>
      </c>
      <c r="L946" t="str">
        <f t="shared" si="114"/>
        <v>Unusual</v>
      </c>
      <c r="M946" t="str">
        <f t="shared" si="115"/>
        <v/>
      </c>
      <c r="N946" t="str">
        <f t="shared" si="116"/>
        <v>Invalid</v>
      </c>
      <c r="O946" t="str">
        <f t="shared" ca="1" si="117"/>
        <v>Outdated</v>
      </c>
      <c r="P946" t="str">
        <f t="shared" si="118"/>
        <v>Damaged</v>
      </c>
      <c r="Q946" t="str">
        <f t="shared" si="119"/>
        <v>Inconsistent</v>
      </c>
    </row>
    <row r="947" spans="1:17" x14ac:dyDescent="0.45">
      <c r="A947" t="s">
        <v>1619</v>
      </c>
      <c r="B947" t="s">
        <v>72</v>
      </c>
      <c r="C947" t="s">
        <v>1620</v>
      </c>
      <c r="D947" t="s">
        <v>85</v>
      </c>
      <c r="E947" s="8">
        <v>1609.44</v>
      </c>
      <c r="F947" s="9">
        <v>45382.666684444448</v>
      </c>
      <c r="G947" t="s">
        <v>75</v>
      </c>
      <c r="I947" t="s">
        <v>112</v>
      </c>
      <c r="J947" t="str">
        <f t="shared" si="112"/>
        <v/>
      </c>
      <c r="K947" t="str">
        <f t="shared" si="113"/>
        <v/>
      </c>
      <c r="L947" t="str">
        <f t="shared" si="114"/>
        <v/>
      </c>
      <c r="M947" t="str">
        <f t="shared" si="115"/>
        <v/>
      </c>
      <c r="N947" t="str">
        <f t="shared" si="116"/>
        <v>Invalid</v>
      </c>
      <c r="O947" t="str">
        <f t="shared" ca="1" si="117"/>
        <v>Outdated</v>
      </c>
      <c r="P947" t="str">
        <f t="shared" si="118"/>
        <v>Late Delivery</v>
      </c>
      <c r="Q947" t="str">
        <f t="shared" si="119"/>
        <v/>
      </c>
    </row>
    <row r="948" spans="1:17" x14ac:dyDescent="0.45">
      <c r="A948" t="s">
        <v>1621</v>
      </c>
      <c r="B948" t="s">
        <v>104</v>
      </c>
      <c r="C948" t="s">
        <v>515</v>
      </c>
      <c r="D948" t="s">
        <v>85</v>
      </c>
      <c r="E948" s="8">
        <v>0</v>
      </c>
      <c r="F948" s="9">
        <v>45249.666684444448</v>
      </c>
      <c r="G948" t="s">
        <v>115</v>
      </c>
      <c r="H948" t="s">
        <v>107</v>
      </c>
      <c r="I948" t="s">
        <v>82</v>
      </c>
      <c r="J948" t="str">
        <f t="shared" si="112"/>
        <v/>
      </c>
      <c r="K948" t="str">
        <f t="shared" si="113"/>
        <v/>
      </c>
      <c r="L948" t="str">
        <f t="shared" si="114"/>
        <v>Unusual</v>
      </c>
      <c r="M948" t="str">
        <f t="shared" si="115"/>
        <v/>
      </c>
      <c r="N948" t="str">
        <f t="shared" si="116"/>
        <v/>
      </c>
      <c r="O948" t="str">
        <f t="shared" ca="1" si="117"/>
        <v>Outdated</v>
      </c>
      <c r="P948" t="str">
        <f t="shared" si="118"/>
        <v>Late Delivery</v>
      </c>
      <c r="Q948" t="str">
        <f t="shared" si="119"/>
        <v/>
      </c>
    </row>
    <row r="949" spans="1:17" x14ac:dyDescent="0.45">
      <c r="A949" t="s">
        <v>1622</v>
      </c>
      <c r="B949" t="s">
        <v>90</v>
      </c>
      <c r="C949" t="s">
        <v>505</v>
      </c>
      <c r="D949" t="s">
        <v>148</v>
      </c>
      <c r="E949" s="8">
        <v>3536.58</v>
      </c>
      <c r="F949" s="9">
        <v>45699.666684444448</v>
      </c>
      <c r="G949" t="s">
        <v>93</v>
      </c>
      <c r="H949" t="s">
        <v>136</v>
      </c>
      <c r="I949" t="s">
        <v>119</v>
      </c>
      <c r="J949" t="str">
        <f t="shared" si="112"/>
        <v/>
      </c>
      <c r="K949" t="str">
        <f t="shared" si="113"/>
        <v/>
      </c>
      <c r="L949" t="str">
        <f t="shared" si="114"/>
        <v/>
      </c>
      <c r="M949" t="str">
        <f t="shared" si="115"/>
        <v/>
      </c>
      <c r="N949" t="str">
        <f t="shared" si="116"/>
        <v>Invalid</v>
      </c>
      <c r="O949" t="str">
        <f t="shared" ca="1" si="117"/>
        <v>Outdated</v>
      </c>
      <c r="P949" t="str">
        <f t="shared" si="118"/>
        <v>Wrong Item</v>
      </c>
      <c r="Q949" t="str">
        <f t="shared" si="119"/>
        <v>Inconsistent</v>
      </c>
    </row>
    <row r="950" spans="1:17" x14ac:dyDescent="0.45">
      <c r="A950" t="s">
        <v>1623</v>
      </c>
      <c r="B950" t="s">
        <v>95</v>
      </c>
      <c r="D950" t="s">
        <v>106</v>
      </c>
      <c r="E950" s="8">
        <v>0</v>
      </c>
      <c r="F950" s="9">
        <v>45554.666684444448</v>
      </c>
      <c r="G950" t="s">
        <v>97</v>
      </c>
      <c r="H950" t="s">
        <v>76</v>
      </c>
      <c r="I950" t="s">
        <v>88</v>
      </c>
      <c r="J950" t="str">
        <f t="shared" si="112"/>
        <v>Missing</v>
      </c>
      <c r="K950" t="str">
        <f t="shared" si="113"/>
        <v/>
      </c>
      <c r="L950" t="str">
        <f t="shared" si="114"/>
        <v>Unusual</v>
      </c>
      <c r="M950" t="str">
        <f t="shared" si="115"/>
        <v/>
      </c>
      <c r="N950" t="str">
        <f t="shared" si="116"/>
        <v/>
      </c>
      <c r="O950" t="str">
        <f t="shared" ca="1" si="117"/>
        <v>Outdated</v>
      </c>
      <c r="P950" t="str">
        <f t="shared" si="118"/>
        <v>Damaged</v>
      </c>
      <c r="Q950" t="str">
        <f t="shared" si="119"/>
        <v>Inconsistent</v>
      </c>
    </row>
    <row r="951" spans="1:17" x14ac:dyDescent="0.45">
      <c r="A951" t="s">
        <v>1624</v>
      </c>
      <c r="B951" t="s">
        <v>79</v>
      </c>
      <c r="C951" t="s">
        <v>1344</v>
      </c>
      <c r="D951" t="s">
        <v>92</v>
      </c>
      <c r="E951" s="8">
        <v>4085.29</v>
      </c>
      <c r="F951" s="9">
        <v>45748.666684444448</v>
      </c>
      <c r="G951" t="s">
        <v>86</v>
      </c>
      <c r="H951" t="s">
        <v>81</v>
      </c>
      <c r="I951" t="s">
        <v>163</v>
      </c>
      <c r="J951" t="str">
        <f t="shared" si="112"/>
        <v/>
      </c>
      <c r="K951" t="str">
        <f t="shared" si="113"/>
        <v/>
      </c>
      <c r="L951" t="str">
        <f t="shared" si="114"/>
        <v/>
      </c>
      <c r="M951" t="str">
        <f t="shared" si="115"/>
        <v/>
      </c>
      <c r="N951" t="str">
        <f t="shared" si="116"/>
        <v/>
      </c>
      <c r="O951" t="str">
        <f t="shared" ca="1" si="117"/>
        <v>Outdated</v>
      </c>
      <c r="P951" t="str">
        <f t="shared" si="118"/>
        <v>Not As Described</v>
      </c>
      <c r="Q951" t="str">
        <f t="shared" si="119"/>
        <v/>
      </c>
    </row>
    <row r="952" spans="1:17" x14ac:dyDescent="0.45">
      <c r="A952" t="s">
        <v>1625</v>
      </c>
      <c r="B952" t="s">
        <v>72</v>
      </c>
      <c r="C952" t="s">
        <v>1626</v>
      </c>
      <c r="D952" t="s">
        <v>101</v>
      </c>
      <c r="E952" s="8">
        <v>6282.5</v>
      </c>
      <c r="F952" s="9">
        <v>45738.666684444448</v>
      </c>
      <c r="G952" t="s">
        <v>75</v>
      </c>
      <c r="H952" t="s">
        <v>81</v>
      </c>
      <c r="I952" t="s">
        <v>112</v>
      </c>
      <c r="J952" t="str">
        <f t="shared" si="112"/>
        <v/>
      </c>
      <c r="K952" t="str">
        <f t="shared" si="113"/>
        <v/>
      </c>
      <c r="L952" t="str">
        <f t="shared" si="114"/>
        <v/>
      </c>
      <c r="M952" t="str">
        <f t="shared" si="115"/>
        <v/>
      </c>
      <c r="N952" t="str">
        <f t="shared" si="116"/>
        <v/>
      </c>
      <c r="O952" t="str">
        <f t="shared" ca="1" si="117"/>
        <v>Outdated</v>
      </c>
      <c r="P952" t="str">
        <f t="shared" si="118"/>
        <v>Damaged</v>
      </c>
      <c r="Q952" t="str">
        <f t="shared" si="119"/>
        <v/>
      </c>
    </row>
    <row r="953" spans="1:17" x14ac:dyDescent="0.45">
      <c r="A953" t="s">
        <v>1627</v>
      </c>
      <c r="B953" t="s">
        <v>138</v>
      </c>
      <c r="C953" t="s">
        <v>1468</v>
      </c>
      <c r="D953" t="s">
        <v>85</v>
      </c>
      <c r="E953" s="8">
        <v>4017.82</v>
      </c>
      <c r="F953" s="9">
        <v>45761.666684444448</v>
      </c>
      <c r="H953" t="s">
        <v>133</v>
      </c>
      <c r="I953" t="s">
        <v>77</v>
      </c>
      <c r="J953" t="str">
        <f t="shared" si="112"/>
        <v/>
      </c>
      <c r="K953" t="str">
        <f t="shared" si="113"/>
        <v>Duplicate</v>
      </c>
      <c r="L953" t="str">
        <f t="shared" si="114"/>
        <v/>
      </c>
      <c r="M953" t="str">
        <f t="shared" si="115"/>
        <v>Invalid</v>
      </c>
      <c r="N953" t="str">
        <f t="shared" si="116"/>
        <v>Invalid</v>
      </c>
      <c r="O953" t="str">
        <f t="shared" ca="1" si="117"/>
        <v>Outdated</v>
      </c>
      <c r="P953" t="str">
        <f t="shared" si="118"/>
        <v>Late Delivery</v>
      </c>
      <c r="Q953" t="str">
        <f t="shared" si="119"/>
        <v/>
      </c>
    </row>
    <row r="954" spans="1:17" x14ac:dyDescent="0.45">
      <c r="A954" t="s">
        <v>1628</v>
      </c>
      <c r="B954" t="s">
        <v>104</v>
      </c>
      <c r="C954" t="s">
        <v>1269</v>
      </c>
      <c r="D954" t="s">
        <v>92</v>
      </c>
      <c r="E954" s="8">
        <v>236.71</v>
      </c>
      <c r="F954" s="9">
        <v>45359.666684444448</v>
      </c>
      <c r="G954" t="s">
        <v>115</v>
      </c>
      <c r="H954" t="s">
        <v>107</v>
      </c>
      <c r="I954" t="s">
        <v>112</v>
      </c>
      <c r="J954" t="str">
        <f t="shared" si="112"/>
        <v/>
      </c>
      <c r="K954" t="str">
        <f t="shared" si="113"/>
        <v/>
      </c>
      <c r="L954" t="str">
        <f t="shared" si="114"/>
        <v/>
      </c>
      <c r="M954" t="str">
        <f t="shared" si="115"/>
        <v/>
      </c>
      <c r="N954" t="str">
        <f t="shared" si="116"/>
        <v/>
      </c>
      <c r="O954" t="str">
        <f t="shared" ca="1" si="117"/>
        <v>Outdated</v>
      </c>
      <c r="P954" t="str">
        <f t="shared" si="118"/>
        <v>Not As Described</v>
      </c>
      <c r="Q954" t="str">
        <f t="shared" si="119"/>
        <v/>
      </c>
    </row>
    <row r="955" spans="1:17" x14ac:dyDescent="0.45">
      <c r="A955" t="s">
        <v>1629</v>
      </c>
      <c r="B955" t="s">
        <v>99</v>
      </c>
      <c r="C955" t="s">
        <v>1198</v>
      </c>
      <c r="D955" t="s">
        <v>74</v>
      </c>
      <c r="E955" s="8">
        <v>8342.36</v>
      </c>
      <c r="F955" s="9">
        <v>45663.666684444448</v>
      </c>
      <c r="G955" t="s">
        <v>102</v>
      </c>
      <c r="I955" t="s">
        <v>163</v>
      </c>
      <c r="J955" t="str">
        <f t="shared" si="112"/>
        <v/>
      </c>
      <c r="K955" t="str">
        <f t="shared" si="113"/>
        <v/>
      </c>
      <c r="L955" t="str">
        <f t="shared" si="114"/>
        <v/>
      </c>
      <c r="M955" t="str">
        <f t="shared" si="115"/>
        <v/>
      </c>
      <c r="N955" t="str">
        <f t="shared" si="116"/>
        <v>Invalid</v>
      </c>
      <c r="O955" t="str">
        <f t="shared" ca="1" si="117"/>
        <v>Outdated</v>
      </c>
      <c r="P955" t="str">
        <f t="shared" si="118"/>
        <v>Wrong Item</v>
      </c>
      <c r="Q955" t="str">
        <f t="shared" si="119"/>
        <v/>
      </c>
    </row>
    <row r="956" spans="1:17" x14ac:dyDescent="0.45">
      <c r="A956" t="s">
        <v>1630</v>
      </c>
      <c r="B956" t="s">
        <v>90</v>
      </c>
      <c r="C956" t="s">
        <v>1631</v>
      </c>
      <c r="D956" t="s">
        <v>101</v>
      </c>
      <c r="E956" s="8">
        <v>2768.81</v>
      </c>
      <c r="F956" s="9">
        <v>45517.666684444448</v>
      </c>
      <c r="G956" t="s">
        <v>93</v>
      </c>
      <c r="H956" t="s">
        <v>107</v>
      </c>
      <c r="I956" t="s">
        <v>88</v>
      </c>
      <c r="J956" t="str">
        <f t="shared" si="112"/>
        <v/>
      </c>
      <c r="K956" t="str">
        <f t="shared" si="113"/>
        <v>Duplicate</v>
      </c>
      <c r="L956" t="str">
        <f t="shared" si="114"/>
        <v/>
      </c>
      <c r="M956" t="str">
        <f t="shared" si="115"/>
        <v/>
      </c>
      <c r="N956" t="str">
        <f t="shared" si="116"/>
        <v/>
      </c>
      <c r="O956" t="str">
        <f t="shared" ca="1" si="117"/>
        <v>Outdated</v>
      </c>
      <c r="P956" t="str">
        <f t="shared" si="118"/>
        <v>Damaged</v>
      </c>
      <c r="Q956" t="str">
        <f t="shared" si="119"/>
        <v/>
      </c>
    </row>
    <row r="957" spans="1:17" x14ac:dyDescent="0.45">
      <c r="A957" t="s">
        <v>1632</v>
      </c>
      <c r="B957" t="s">
        <v>99</v>
      </c>
      <c r="C957" t="s">
        <v>1188</v>
      </c>
      <c r="E957" s="8">
        <v>9092.82</v>
      </c>
      <c r="F957" s="9">
        <v>45589.666684444448</v>
      </c>
      <c r="G957" t="s">
        <v>102</v>
      </c>
      <c r="H957" t="s">
        <v>136</v>
      </c>
      <c r="I957" t="s">
        <v>119</v>
      </c>
      <c r="J957" t="str">
        <f t="shared" si="112"/>
        <v>Missing</v>
      </c>
      <c r="K957" t="str">
        <f t="shared" si="113"/>
        <v/>
      </c>
      <c r="L957" t="str">
        <f t="shared" si="114"/>
        <v/>
      </c>
      <c r="M957" t="str">
        <f t="shared" si="115"/>
        <v/>
      </c>
      <c r="N957" t="str">
        <f t="shared" si="116"/>
        <v>Invalid</v>
      </c>
      <c r="O957" t="str">
        <f t="shared" ca="1" si="117"/>
        <v>Outdated</v>
      </c>
      <c r="P957" t="str">
        <f t="shared" si="118"/>
        <v/>
      </c>
      <c r="Q957" t="str">
        <f t="shared" si="119"/>
        <v/>
      </c>
    </row>
    <row r="958" spans="1:17" x14ac:dyDescent="0.45">
      <c r="A958" t="s">
        <v>1633</v>
      </c>
      <c r="B958" t="s">
        <v>104</v>
      </c>
      <c r="C958" t="s">
        <v>1634</v>
      </c>
      <c r="D958" t="s">
        <v>92</v>
      </c>
      <c r="E958" s="8">
        <v>8268</v>
      </c>
      <c r="F958" s="9">
        <v>45581.666684444448</v>
      </c>
      <c r="G958" t="s">
        <v>115</v>
      </c>
      <c r="H958" t="s">
        <v>87</v>
      </c>
      <c r="I958" t="s">
        <v>112</v>
      </c>
      <c r="J958" t="str">
        <f t="shared" si="112"/>
        <v/>
      </c>
      <c r="K958" t="str">
        <f t="shared" si="113"/>
        <v/>
      </c>
      <c r="L958" t="str">
        <f t="shared" si="114"/>
        <v/>
      </c>
      <c r="M958" t="str">
        <f t="shared" si="115"/>
        <v/>
      </c>
      <c r="N958" t="str">
        <f t="shared" si="116"/>
        <v>Invalid</v>
      </c>
      <c r="O958" t="str">
        <f t="shared" ca="1" si="117"/>
        <v>Outdated</v>
      </c>
      <c r="P958" t="str">
        <f t="shared" si="118"/>
        <v>Not As Described</v>
      </c>
      <c r="Q958" t="str">
        <f t="shared" si="119"/>
        <v/>
      </c>
    </row>
    <row r="959" spans="1:17" x14ac:dyDescent="0.45">
      <c r="A959" t="s">
        <v>1635</v>
      </c>
      <c r="B959" t="s">
        <v>172</v>
      </c>
      <c r="C959" t="s">
        <v>1636</v>
      </c>
      <c r="D959" t="s">
        <v>101</v>
      </c>
      <c r="E959" s="8">
        <v>8203.11</v>
      </c>
      <c r="F959" s="9">
        <v>45432.666684444448</v>
      </c>
      <c r="G959" t="s">
        <v>174</v>
      </c>
      <c r="H959" t="s">
        <v>118</v>
      </c>
      <c r="I959" t="s">
        <v>163</v>
      </c>
      <c r="J959" t="str">
        <f t="shared" si="112"/>
        <v/>
      </c>
      <c r="K959" t="str">
        <f t="shared" si="113"/>
        <v/>
      </c>
      <c r="L959" t="str">
        <f t="shared" si="114"/>
        <v/>
      </c>
      <c r="M959" t="str">
        <f t="shared" si="115"/>
        <v/>
      </c>
      <c r="N959" t="str">
        <f t="shared" si="116"/>
        <v>Invalid</v>
      </c>
      <c r="O959" t="str">
        <f t="shared" ca="1" si="117"/>
        <v>Outdated</v>
      </c>
      <c r="P959" t="str">
        <f t="shared" si="118"/>
        <v>Damaged</v>
      </c>
      <c r="Q959" t="str">
        <f t="shared" si="119"/>
        <v/>
      </c>
    </row>
    <row r="960" spans="1:17" x14ac:dyDescent="0.45">
      <c r="A960" t="s">
        <v>1637</v>
      </c>
      <c r="B960" t="s">
        <v>109</v>
      </c>
      <c r="C960" t="s">
        <v>173</v>
      </c>
      <c r="D960" t="s">
        <v>92</v>
      </c>
      <c r="E960" s="8">
        <v>0</v>
      </c>
      <c r="F960" s="9">
        <v>45730.666684444448</v>
      </c>
      <c r="G960" t="s">
        <v>111</v>
      </c>
      <c r="H960" t="s">
        <v>136</v>
      </c>
      <c r="I960" t="s">
        <v>112</v>
      </c>
      <c r="J960" t="str">
        <f t="shared" si="112"/>
        <v/>
      </c>
      <c r="K960" t="str">
        <f t="shared" si="113"/>
        <v/>
      </c>
      <c r="L960" t="str">
        <f t="shared" si="114"/>
        <v>Unusual</v>
      </c>
      <c r="M960" t="str">
        <f t="shared" si="115"/>
        <v/>
      </c>
      <c r="N960" t="str">
        <f t="shared" si="116"/>
        <v>Invalid</v>
      </c>
      <c r="O960" t="str">
        <f t="shared" ca="1" si="117"/>
        <v>Outdated</v>
      </c>
      <c r="P960" t="str">
        <f t="shared" si="118"/>
        <v>Not As Described</v>
      </c>
      <c r="Q960" t="str">
        <f t="shared" si="119"/>
        <v/>
      </c>
    </row>
    <row r="961" spans="1:17" x14ac:dyDescent="0.45">
      <c r="A961" t="s">
        <v>1638</v>
      </c>
      <c r="B961" t="s">
        <v>90</v>
      </c>
      <c r="C961" t="s">
        <v>1514</v>
      </c>
      <c r="D961" t="s">
        <v>74</v>
      </c>
      <c r="E961" s="8">
        <v>1331.04</v>
      </c>
      <c r="F961" s="9">
        <v>45567.666684444448</v>
      </c>
      <c r="G961" t="s">
        <v>93</v>
      </c>
      <c r="H961" t="s">
        <v>145</v>
      </c>
      <c r="I961" t="s">
        <v>77</v>
      </c>
      <c r="J961" t="str">
        <f t="shared" si="112"/>
        <v/>
      </c>
      <c r="K961" t="str">
        <f t="shared" si="113"/>
        <v/>
      </c>
      <c r="L961" t="str">
        <f t="shared" si="114"/>
        <v/>
      </c>
      <c r="M961" t="str">
        <f t="shared" si="115"/>
        <v/>
      </c>
      <c r="N961" t="str">
        <f t="shared" si="116"/>
        <v/>
      </c>
      <c r="O961" t="str">
        <f t="shared" ca="1" si="117"/>
        <v>Outdated</v>
      </c>
      <c r="P961" t="str">
        <f t="shared" si="118"/>
        <v>Wrong Item</v>
      </c>
      <c r="Q961" t="str">
        <f t="shared" si="119"/>
        <v/>
      </c>
    </row>
    <row r="962" spans="1:17" x14ac:dyDescent="0.45">
      <c r="A962" t="s">
        <v>754</v>
      </c>
      <c r="B962" t="s">
        <v>109</v>
      </c>
      <c r="C962" t="s">
        <v>509</v>
      </c>
      <c r="D962" t="s">
        <v>101</v>
      </c>
      <c r="E962" s="8">
        <v>9252.4599999999991</v>
      </c>
      <c r="F962" s="9">
        <v>45440.666684444448</v>
      </c>
      <c r="G962" t="s">
        <v>111</v>
      </c>
      <c r="I962" t="s">
        <v>88</v>
      </c>
      <c r="J962" t="str">
        <f t="shared" ref="J962:J1025" si="120">IF(OR(ISBLANK(C962),ISBLANK(D962)),"Missing","")</f>
        <v/>
      </c>
      <c r="K962" t="str">
        <f t="shared" ref="K962:K1025" si="121">IF(COUNTIF($A$2:$A$2501,A962)&gt;1,"Duplicate","")</f>
        <v>Duplicate</v>
      </c>
      <c r="L962" t="str">
        <f t="shared" ref="L962:L1025" si="122">IF(OR(E962=0,E962&gt;10000),"Unusual","")</f>
        <v/>
      </c>
      <c r="M962" t="str">
        <f t="shared" ref="M962:M1025" si="123">IF(OR(ISBLANK(G962),ISERROR(FIND("@",G962)),ISERROR(FIND(".",G962,FIND("@",G962)+1))),"Invalid","")</f>
        <v/>
      </c>
      <c r="N962" t="str">
        <f t="shared" ref="N962:N1025" si="124">IF(COUNTIF($S$2:$S$6,H962)=0,"Invalid","")</f>
        <v>Invalid</v>
      </c>
      <c r="O962" t="str">
        <f t="shared" ref="O962:O1025" ca="1" si="125">IF(F962&lt;EDATE(TODAY(),-12),"Outdated","")</f>
        <v>Outdated</v>
      </c>
      <c r="P962" t="str">
        <f t="shared" ref="P962:P1025" si="126">IF(ISBLANK(D962),"",PROPER(TRIM(D962)))</f>
        <v>Damaged</v>
      </c>
      <c r="Q962" t="str">
        <f t="shared" ref="Q962:Q1025" si="127">IF(ISBLANK(D962),"",IF(EXACT(D962,P962),"","Inconsistent"))</f>
        <v/>
      </c>
    </row>
    <row r="963" spans="1:17" x14ac:dyDescent="0.45">
      <c r="A963" t="s">
        <v>1639</v>
      </c>
      <c r="B963" t="s">
        <v>138</v>
      </c>
      <c r="C963" t="s">
        <v>680</v>
      </c>
      <c r="D963" t="s">
        <v>92</v>
      </c>
      <c r="E963" s="8">
        <v>11362.11</v>
      </c>
      <c r="F963" s="9">
        <v>45710.666684444448</v>
      </c>
      <c r="G963" t="s">
        <v>140</v>
      </c>
      <c r="H963" t="s">
        <v>128</v>
      </c>
      <c r="I963" t="s">
        <v>88</v>
      </c>
      <c r="J963" t="str">
        <f t="shared" si="120"/>
        <v/>
      </c>
      <c r="K963" t="str">
        <f t="shared" si="121"/>
        <v/>
      </c>
      <c r="L963" t="str">
        <f t="shared" si="122"/>
        <v>Unusual</v>
      </c>
      <c r="M963" t="str">
        <f t="shared" si="123"/>
        <v/>
      </c>
      <c r="N963" t="str">
        <f t="shared" si="124"/>
        <v>Invalid</v>
      </c>
      <c r="O963" t="str">
        <f t="shared" ca="1" si="125"/>
        <v>Outdated</v>
      </c>
      <c r="P963" t="str">
        <f t="shared" si="126"/>
        <v>Not As Described</v>
      </c>
      <c r="Q963" t="str">
        <f t="shared" si="127"/>
        <v/>
      </c>
    </row>
    <row r="964" spans="1:17" x14ac:dyDescent="0.45">
      <c r="A964" t="s">
        <v>1640</v>
      </c>
      <c r="B964" t="s">
        <v>99</v>
      </c>
      <c r="C964" t="s">
        <v>1545</v>
      </c>
      <c r="D964" t="s">
        <v>74</v>
      </c>
      <c r="E964" s="8">
        <v>10499.27</v>
      </c>
      <c r="F964" s="9">
        <v>45763.666684444448</v>
      </c>
      <c r="G964" t="s">
        <v>102</v>
      </c>
      <c r="H964" t="s">
        <v>107</v>
      </c>
      <c r="I964" t="s">
        <v>119</v>
      </c>
      <c r="J964" t="str">
        <f t="shared" si="120"/>
        <v/>
      </c>
      <c r="K964" t="str">
        <f t="shared" si="121"/>
        <v/>
      </c>
      <c r="L964" t="str">
        <f t="shared" si="122"/>
        <v>Unusual</v>
      </c>
      <c r="M964" t="str">
        <f t="shared" si="123"/>
        <v/>
      </c>
      <c r="N964" t="str">
        <f t="shared" si="124"/>
        <v/>
      </c>
      <c r="O964" t="str">
        <f t="shared" ca="1" si="125"/>
        <v>Outdated</v>
      </c>
      <c r="P964" t="str">
        <f t="shared" si="126"/>
        <v>Wrong Item</v>
      </c>
      <c r="Q964" t="str">
        <f t="shared" si="127"/>
        <v/>
      </c>
    </row>
    <row r="965" spans="1:17" x14ac:dyDescent="0.45">
      <c r="A965" t="s">
        <v>1641</v>
      </c>
      <c r="B965" t="s">
        <v>172</v>
      </c>
      <c r="C965" t="s">
        <v>550</v>
      </c>
      <c r="D965" t="s">
        <v>74</v>
      </c>
      <c r="E965" s="8">
        <v>11771.84</v>
      </c>
      <c r="F965" s="9">
        <v>45189.666684444448</v>
      </c>
      <c r="G965" t="s">
        <v>174</v>
      </c>
      <c r="H965" t="s">
        <v>81</v>
      </c>
      <c r="I965" t="s">
        <v>77</v>
      </c>
      <c r="J965" t="str">
        <f t="shared" si="120"/>
        <v/>
      </c>
      <c r="K965" t="str">
        <f t="shared" si="121"/>
        <v/>
      </c>
      <c r="L965" t="str">
        <f t="shared" si="122"/>
        <v>Unusual</v>
      </c>
      <c r="M965" t="str">
        <f t="shared" si="123"/>
        <v/>
      </c>
      <c r="N965" t="str">
        <f t="shared" si="124"/>
        <v/>
      </c>
      <c r="O965" t="str">
        <f t="shared" ca="1" si="125"/>
        <v>Outdated</v>
      </c>
      <c r="P965" t="str">
        <f t="shared" si="126"/>
        <v>Wrong Item</v>
      </c>
      <c r="Q965" t="str">
        <f t="shared" si="127"/>
        <v/>
      </c>
    </row>
    <row r="966" spans="1:17" x14ac:dyDescent="0.45">
      <c r="A966" t="s">
        <v>1642</v>
      </c>
      <c r="B966" t="s">
        <v>138</v>
      </c>
      <c r="C966" t="s">
        <v>293</v>
      </c>
      <c r="D966" t="s">
        <v>106</v>
      </c>
      <c r="E966" s="8">
        <v>10777.49</v>
      </c>
      <c r="F966" s="9">
        <v>45752.666684444448</v>
      </c>
      <c r="H966" t="s">
        <v>76</v>
      </c>
      <c r="I966" t="s">
        <v>163</v>
      </c>
      <c r="J966" t="str">
        <f t="shared" si="120"/>
        <v/>
      </c>
      <c r="K966" t="str">
        <f t="shared" si="121"/>
        <v/>
      </c>
      <c r="L966" t="str">
        <f t="shared" si="122"/>
        <v>Unusual</v>
      </c>
      <c r="M966" t="str">
        <f t="shared" si="123"/>
        <v>Invalid</v>
      </c>
      <c r="N966" t="str">
        <f t="shared" si="124"/>
        <v/>
      </c>
      <c r="O966" t="str">
        <f t="shared" ca="1" si="125"/>
        <v>Outdated</v>
      </c>
      <c r="P966" t="str">
        <f t="shared" si="126"/>
        <v>Damaged</v>
      </c>
      <c r="Q966" t="str">
        <f t="shared" si="127"/>
        <v>Inconsistent</v>
      </c>
    </row>
    <row r="967" spans="1:17" x14ac:dyDescent="0.45">
      <c r="A967" t="s">
        <v>1643</v>
      </c>
      <c r="B967" t="s">
        <v>95</v>
      </c>
      <c r="C967" t="s">
        <v>1198</v>
      </c>
      <c r="D967" t="s">
        <v>74</v>
      </c>
      <c r="E967" s="8">
        <v>4403.9799999999996</v>
      </c>
      <c r="F967" s="9">
        <v>45229.666684444448</v>
      </c>
      <c r="G967" t="s">
        <v>97</v>
      </c>
      <c r="H967" t="s">
        <v>128</v>
      </c>
      <c r="I967" t="s">
        <v>163</v>
      </c>
      <c r="J967" t="str">
        <f t="shared" si="120"/>
        <v/>
      </c>
      <c r="K967" t="str">
        <f t="shared" si="121"/>
        <v/>
      </c>
      <c r="L967" t="str">
        <f t="shared" si="122"/>
        <v/>
      </c>
      <c r="M967" t="str">
        <f t="shared" si="123"/>
        <v/>
      </c>
      <c r="N967" t="str">
        <f t="shared" si="124"/>
        <v>Invalid</v>
      </c>
      <c r="O967" t="str">
        <f t="shared" ca="1" si="125"/>
        <v>Outdated</v>
      </c>
      <c r="P967" t="str">
        <f t="shared" si="126"/>
        <v>Wrong Item</v>
      </c>
      <c r="Q967" t="str">
        <f t="shared" si="127"/>
        <v/>
      </c>
    </row>
    <row r="968" spans="1:17" x14ac:dyDescent="0.45">
      <c r="A968" t="s">
        <v>1644</v>
      </c>
      <c r="B968" t="s">
        <v>99</v>
      </c>
      <c r="C968" t="s">
        <v>478</v>
      </c>
      <c r="D968" t="s">
        <v>101</v>
      </c>
      <c r="E968" s="8">
        <v>8263.74</v>
      </c>
      <c r="F968" s="9">
        <v>45340.666684444448</v>
      </c>
      <c r="G968" t="s">
        <v>102</v>
      </c>
      <c r="I968" t="s">
        <v>82</v>
      </c>
      <c r="J968" t="str">
        <f t="shared" si="120"/>
        <v/>
      </c>
      <c r="K968" t="str">
        <f t="shared" si="121"/>
        <v/>
      </c>
      <c r="L968" t="str">
        <f t="shared" si="122"/>
        <v/>
      </c>
      <c r="M968" t="str">
        <f t="shared" si="123"/>
        <v/>
      </c>
      <c r="N968" t="str">
        <f t="shared" si="124"/>
        <v>Invalid</v>
      </c>
      <c r="O968" t="str">
        <f t="shared" ca="1" si="125"/>
        <v>Outdated</v>
      </c>
      <c r="P968" t="str">
        <f t="shared" si="126"/>
        <v>Damaged</v>
      </c>
      <c r="Q968" t="str">
        <f t="shared" si="127"/>
        <v/>
      </c>
    </row>
    <row r="969" spans="1:17" x14ac:dyDescent="0.45">
      <c r="A969" t="s">
        <v>1645</v>
      </c>
      <c r="B969" t="s">
        <v>104</v>
      </c>
      <c r="C969" t="s">
        <v>1646</v>
      </c>
      <c r="D969" t="s">
        <v>106</v>
      </c>
      <c r="E969" s="8">
        <v>8719.25</v>
      </c>
      <c r="F969" s="9">
        <v>45768.666684444448</v>
      </c>
      <c r="G969" t="s">
        <v>115</v>
      </c>
      <c r="H969" t="s">
        <v>116</v>
      </c>
      <c r="I969" t="s">
        <v>77</v>
      </c>
      <c r="J969" t="str">
        <f t="shared" si="120"/>
        <v/>
      </c>
      <c r="K969" t="str">
        <f t="shared" si="121"/>
        <v/>
      </c>
      <c r="L969" t="str">
        <f t="shared" si="122"/>
        <v/>
      </c>
      <c r="M969" t="str">
        <f t="shared" si="123"/>
        <v/>
      </c>
      <c r="N969" t="str">
        <f t="shared" si="124"/>
        <v/>
      </c>
      <c r="O969" t="str">
        <f t="shared" ca="1" si="125"/>
        <v>Outdated</v>
      </c>
      <c r="P969" t="str">
        <f t="shared" si="126"/>
        <v>Damaged</v>
      </c>
      <c r="Q969" t="str">
        <f t="shared" si="127"/>
        <v>Inconsistent</v>
      </c>
    </row>
    <row r="970" spans="1:17" x14ac:dyDescent="0.45">
      <c r="A970" t="s">
        <v>1647</v>
      </c>
      <c r="B970" t="s">
        <v>172</v>
      </c>
      <c r="C970" t="s">
        <v>154</v>
      </c>
      <c r="D970" t="s">
        <v>92</v>
      </c>
      <c r="E970" s="8">
        <v>9651.66</v>
      </c>
      <c r="F970" s="9">
        <v>45344.666684444448</v>
      </c>
      <c r="G970" t="s">
        <v>174</v>
      </c>
      <c r="H970" t="s">
        <v>107</v>
      </c>
      <c r="I970" t="s">
        <v>77</v>
      </c>
      <c r="J970" t="str">
        <f t="shared" si="120"/>
        <v/>
      </c>
      <c r="K970" t="str">
        <f t="shared" si="121"/>
        <v/>
      </c>
      <c r="L970" t="str">
        <f t="shared" si="122"/>
        <v/>
      </c>
      <c r="M970" t="str">
        <f t="shared" si="123"/>
        <v/>
      </c>
      <c r="N970" t="str">
        <f t="shared" si="124"/>
        <v/>
      </c>
      <c r="O970" t="str">
        <f t="shared" ca="1" si="125"/>
        <v>Outdated</v>
      </c>
      <c r="P970" t="str">
        <f t="shared" si="126"/>
        <v>Not As Described</v>
      </c>
      <c r="Q970" t="str">
        <f t="shared" si="127"/>
        <v/>
      </c>
    </row>
    <row r="971" spans="1:17" x14ac:dyDescent="0.45">
      <c r="A971" t="s">
        <v>337</v>
      </c>
      <c r="B971" t="s">
        <v>90</v>
      </c>
      <c r="C971" t="s">
        <v>1172</v>
      </c>
      <c r="D971" t="s">
        <v>92</v>
      </c>
      <c r="E971" s="8">
        <v>2990.45</v>
      </c>
      <c r="F971" s="9">
        <v>45398.666684444448</v>
      </c>
      <c r="G971" t="s">
        <v>93</v>
      </c>
      <c r="H971" t="s">
        <v>116</v>
      </c>
      <c r="I971" t="s">
        <v>163</v>
      </c>
      <c r="J971" t="str">
        <f t="shared" si="120"/>
        <v/>
      </c>
      <c r="K971" t="str">
        <f t="shared" si="121"/>
        <v>Duplicate</v>
      </c>
      <c r="L971" t="str">
        <f t="shared" si="122"/>
        <v/>
      </c>
      <c r="M971" t="str">
        <f t="shared" si="123"/>
        <v/>
      </c>
      <c r="N971" t="str">
        <f t="shared" si="124"/>
        <v/>
      </c>
      <c r="O971" t="str">
        <f t="shared" ca="1" si="125"/>
        <v>Outdated</v>
      </c>
      <c r="P971" t="str">
        <f t="shared" si="126"/>
        <v>Not As Described</v>
      </c>
      <c r="Q971" t="str">
        <f t="shared" si="127"/>
        <v/>
      </c>
    </row>
    <row r="972" spans="1:17" x14ac:dyDescent="0.45">
      <c r="A972" t="s">
        <v>1648</v>
      </c>
      <c r="B972" t="s">
        <v>172</v>
      </c>
      <c r="C972" t="s">
        <v>712</v>
      </c>
      <c r="D972" t="s">
        <v>148</v>
      </c>
      <c r="E972" s="8">
        <v>2019.13</v>
      </c>
      <c r="F972" s="9">
        <v>45804.666684444448</v>
      </c>
      <c r="G972" t="s">
        <v>174</v>
      </c>
      <c r="H972" t="s">
        <v>87</v>
      </c>
      <c r="I972" t="s">
        <v>163</v>
      </c>
      <c r="J972" t="str">
        <f t="shared" si="120"/>
        <v/>
      </c>
      <c r="K972" t="str">
        <f t="shared" si="121"/>
        <v/>
      </c>
      <c r="L972" t="str">
        <f t="shared" si="122"/>
        <v/>
      </c>
      <c r="M972" t="str">
        <f t="shared" si="123"/>
        <v/>
      </c>
      <c r="N972" t="str">
        <f t="shared" si="124"/>
        <v>Invalid</v>
      </c>
      <c r="O972" t="str">
        <f t="shared" ca="1" si="125"/>
        <v>Outdated</v>
      </c>
      <c r="P972" t="str">
        <f t="shared" si="126"/>
        <v>Wrong Item</v>
      </c>
      <c r="Q972" t="str">
        <f t="shared" si="127"/>
        <v>Inconsistent</v>
      </c>
    </row>
    <row r="973" spans="1:17" x14ac:dyDescent="0.45">
      <c r="A973" t="s">
        <v>806</v>
      </c>
      <c r="B973" t="s">
        <v>99</v>
      </c>
      <c r="C973" t="s">
        <v>1649</v>
      </c>
      <c r="D973" t="s">
        <v>74</v>
      </c>
      <c r="E973" s="8">
        <v>11705.41</v>
      </c>
      <c r="F973" s="9">
        <v>45211.666684444448</v>
      </c>
      <c r="G973" t="s">
        <v>102</v>
      </c>
      <c r="H973" t="s">
        <v>116</v>
      </c>
      <c r="I973" t="s">
        <v>112</v>
      </c>
      <c r="J973" t="str">
        <f t="shared" si="120"/>
        <v/>
      </c>
      <c r="K973" t="str">
        <f t="shared" si="121"/>
        <v>Duplicate</v>
      </c>
      <c r="L973" t="str">
        <f t="shared" si="122"/>
        <v>Unusual</v>
      </c>
      <c r="M973" t="str">
        <f t="shared" si="123"/>
        <v/>
      </c>
      <c r="N973" t="str">
        <f t="shared" si="124"/>
        <v/>
      </c>
      <c r="O973" t="str">
        <f t="shared" ca="1" si="125"/>
        <v>Outdated</v>
      </c>
      <c r="P973" t="str">
        <f t="shared" si="126"/>
        <v>Wrong Item</v>
      </c>
      <c r="Q973" t="str">
        <f t="shared" si="127"/>
        <v/>
      </c>
    </row>
    <row r="974" spans="1:17" x14ac:dyDescent="0.45">
      <c r="A974" t="s">
        <v>470</v>
      </c>
      <c r="B974" t="s">
        <v>72</v>
      </c>
      <c r="C974" t="s">
        <v>1650</v>
      </c>
      <c r="D974" t="s">
        <v>92</v>
      </c>
      <c r="E974" s="8">
        <v>5080.6400000000003</v>
      </c>
      <c r="F974" s="9">
        <v>45288.666684444448</v>
      </c>
      <c r="G974" t="s">
        <v>75</v>
      </c>
      <c r="H974" t="s">
        <v>76</v>
      </c>
      <c r="I974" t="s">
        <v>119</v>
      </c>
      <c r="J974" t="str">
        <f t="shared" si="120"/>
        <v/>
      </c>
      <c r="K974" t="str">
        <f t="shared" si="121"/>
        <v>Duplicate</v>
      </c>
      <c r="L974" t="str">
        <f t="shared" si="122"/>
        <v/>
      </c>
      <c r="M974" t="str">
        <f t="shared" si="123"/>
        <v/>
      </c>
      <c r="N974" t="str">
        <f t="shared" si="124"/>
        <v/>
      </c>
      <c r="O974" t="str">
        <f t="shared" ca="1" si="125"/>
        <v>Outdated</v>
      </c>
      <c r="P974" t="str">
        <f t="shared" si="126"/>
        <v>Not As Described</v>
      </c>
      <c r="Q974" t="str">
        <f t="shared" si="127"/>
        <v/>
      </c>
    </row>
    <row r="975" spans="1:17" x14ac:dyDescent="0.45">
      <c r="A975" t="s">
        <v>1651</v>
      </c>
      <c r="B975" t="s">
        <v>138</v>
      </c>
      <c r="C975" t="s">
        <v>1652</v>
      </c>
      <c r="D975" t="s">
        <v>85</v>
      </c>
      <c r="E975" s="8">
        <v>0</v>
      </c>
      <c r="F975" s="9">
        <v>45373.666684444448</v>
      </c>
      <c r="G975" t="s">
        <v>140</v>
      </c>
      <c r="H975" t="s">
        <v>128</v>
      </c>
      <c r="I975" t="s">
        <v>82</v>
      </c>
      <c r="J975" t="str">
        <f t="shared" si="120"/>
        <v/>
      </c>
      <c r="K975" t="str">
        <f t="shared" si="121"/>
        <v/>
      </c>
      <c r="L975" t="str">
        <f t="shared" si="122"/>
        <v>Unusual</v>
      </c>
      <c r="M975" t="str">
        <f t="shared" si="123"/>
        <v/>
      </c>
      <c r="N975" t="str">
        <f t="shared" si="124"/>
        <v>Invalid</v>
      </c>
      <c r="O975" t="str">
        <f t="shared" ca="1" si="125"/>
        <v>Outdated</v>
      </c>
      <c r="P975" t="str">
        <f t="shared" si="126"/>
        <v>Late Delivery</v>
      </c>
      <c r="Q975" t="str">
        <f t="shared" si="127"/>
        <v/>
      </c>
    </row>
    <row r="976" spans="1:17" x14ac:dyDescent="0.45">
      <c r="A976" t="s">
        <v>1653</v>
      </c>
      <c r="B976" t="s">
        <v>172</v>
      </c>
      <c r="C976" t="s">
        <v>908</v>
      </c>
      <c r="E976" s="8">
        <v>6321.11</v>
      </c>
      <c r="F976" s="9">
        <v>45305.666684444448</v>
      </c>
      <c r="G976" t="s">
        <v>174</v>
      </c>
      <c r="H976" t="s">
        <v>107</v>
      </c>
      <c r="I976" t="s">
        <v>77</v>
      </c>
      <c r="J976" t="str">
        <f t="shared" si="120"/>
        <v>Missing</v>
      </c>
      <c r="K976" t="str">
        <f t="shared" si="121"/>
        <v/>
      </c>
      <c r="L976" t="str">
        <f t="shared" si="122"/>
        <v/>
      </c>
      <c r="M976" t="str">
        <f t="shared" si="123"/>
        <v/>
      </c>
      <c r="N976" t="str">
        <f t="shared" si="124"/>
        <v/>
      </c>
      <c r="O976" t="str">
        <f t="shared" ca="1" si="125"/>
        <v>Outdated</v>
      </c>
      <c r="P976" t="str">
        <f t="shared" si="126"/>
        <v/>
      </c>
      <c r="Q976" t="str">
        <f t="shared" si="127"/>
        <v/>
      </c>
    </row>
    <row r="977" spans="1:17" x14ac:dyDescent="0.45">
      <c r="A977" t="s">
        <v>1654</v>
      </c>
      <c r="B977" t="s">
        <v>109</v>
      </c>
      <c r="C977" t="s">
        <v>552</v>
      </c>
      <c r="D977" t="s">
        <v>85</v>
      </c>
      <c r="E977" s="8">
        <v>1332.42</v>
      </c>
      <c r="F977" s="9">
        <v>45693.666684444448</v>
      </c>
      <c r="G977" t="s">
        <v>111</v>
      </c>
      <c r="H977" t="s">
        <v>87</v>
      </c>
      <c r="I977" t="s">
        <v>163</v>
      </c>
      <c r="J977" t="str">
        <f t="shared" si="120"/>
        <v/>
      </c>
      <c r="K977" t="str">
        <f t="shared" si="121"/>
        <v>Duplicate</v>
      </c>
      <c r="L977" t="str">
        <f t="shared" si="122"/>
        <v/>
      </c>
      <c r="M977" t="str">
        <f t="shared" si="123"/>
        <v/>
      </c>
      <c r="N977" t="str">
        <f t="shared" si="124"/>
        <v>Invalid</v>
      </c>
      <c r="O977" t="str">
        <f t="shared" ca="1" si="125"/>
        <v>Outdated</v>
      </c>
      <c r="P977" t="str">
        <f t="shared" si="126"/>
        <v>Late Delivery</v>
      </c>
      <c r="Q977" t="str">
        <f t="shared" si="127"/>
        <v/>
      </c>
    </row>
    <row r="978" spans="1:17" x14ac:dyDescent="0.45">
      <c r="A978" t="s">
        <v>1655</v>
      </c>
      <c r="B978" t="s">
        <v>138</v>
      </c>
      <c r="C978" t="s">
        <v>1656</v>
      </c>
      <c r="D978" t="s">
        <v>85</v>
      </c>
      <c r="E978" s="8">
        <v>3039.03</v>
      </c>
      <c r="F978" s="9">
        <v>45204.666684444448</v>
      </c>
      <c r="G978" t="s">
        <v>140</v>
      </c>
      <c r="H978" t="s">
        <v>145</v>
      </c>
      <c r="I978" t="s">
        <v>112</v>
      </c>
      <c r="J978" t="str">
        <f t="shared" si="120"/>
        <v/>
      </c>
      <c r="K978" t="str">
        <f t="shared" si="121"/>
        <v/>
      </c>
      <c r="L978" t="str">
        <f t="shared" si="122"/>
        <v/>
      </c>
      <c r="M978" t="str">
        <f t="shared" si="123"/>
        <v/>
      </c>
      <c r="N978" t="str">
        <f t="shared" si="124"/>
        <v/>
      </c>
      <c r="O978" t="str">
        <f t="shared" ca="1" si="125"/>
        <v>Outdated</v>
      </c>
      <c r="P978" t="str">
        <f t="shared" si="126"/>
        <v>Late Delivery</v>
      </c>
      <c r="Q978" t="str">
        <f t="shared" si="127"/>
        <v/>
      </c>
    </row>
    <row r="979" spans="1:17" x14ac:dyDescent="0.45">
      <c r="A979" t="s">
        <v>1657</v>
      </c>
      <c r="B979" t="s">
        <v>109</v>
      </c>
      <c r="C979" t="s">
        <v>1658</v>
      </c>
      <c r="D979" t="s">
        <v>85</v>
      </c>
      <c r="E979" s="8">
        <v>1221.05</v>
      </c>
      <c r="F979" s="9">
        <v>45288.666684444448</v>
      </c>
      <c r="G979" t="s">
        <v>111</v>
      </c>
      <c r="I979" t="s">
        <v>82</v>
      </c>
      <c r="J979" t="str">
        <f t="shared" si="120"/>
        <v/>
      </c>
      <c r="K979" t="str">
        <f t="shared" si="121"/>
        <v/>
      </c>
      <c r="L979" t="str">
        <f t="shared" si="122"/>
        <v/>
      </c>
      <c r="M979" t="str">
        <f t="shared" si="123"/>
        <v/>
      </c>
      <c r="N979" t="str">
        <f t="shared" si="124"/>
        <v>Invalid</v>
      </c>
      <c r="O979" t="str">
        <f t="shared" ca="1" si="125"/>
        <v>Outdated</v>
      </c>
      <c r="P979" t="str">
        <f t="shared" si="126"/>
        <v>Late Delivery</v>
      </c>
      <c r="Q979" t="str">
        <f t="shared" si="127"/>
        <v/>
      </c>
    </row>
    <row r="980" spans="1:17" x14ac:dyDescent="0.45">
      <c r="A980" t="s">
        <v>1659</v>
      </c>
      <c r="B980" t="s">
        <v>172</v>
      </c>
      <c r="C980" t="s">
        <v>147</v>
      </c>
      <c r="D980" t="s">
        <v>85</v>
      </c>
      <c r="E980" s="8">
        <v>0</v>
      </c>
      <c r="F980" s="9">
        <v>45130.666684444448</v>
      </c>
      <c r="G980" t="s">
        <v>174</v>
      </c>
      <c r="H980" t="s">
        <v>128</v>
      </c>
      <c r="I980" t="s">
        <v>119</v>
      </c>
      <c r="J980" t="str">
        <f t="shared" si="120"/>
        <v/>
      </c>
      <c r="K980" t="str">
        <f t="shared" si="121"/>
        <v/>
      </c>
      <c r="L980" t="str">
        <f t="shared" si="122"/>
        <v>Unusual</v>
      </c>
      <c r="M980" t="str">
        <f t="shared" si="123"/>
        <v/>
      </c>
      <c r="N980" t="str">
        <f t="shared" si="124"/>
        <v>Invalid</v>
      </c>
      <c r="O980" t="str">
        <f t="shared" ca="1" si="125"/>
        <v>Outdated</v>
      </c>
      <c r="P980" t="str">
        <f t="shared" si="126"/>
        <v>Late Delivery</v>
      </c>
      <c r="Q980" t="str">
        <f t="shared" si="127"/>
        <v/>
      </c>
    </row>
    <row r="981" spans="1:17" x14ac:dyDescent="0.45">
      <c r="A981" t="s">
        <v>1660</v>
      </c>
      <c r="B981" t="s">
        <v>72</v>
      </c>
      <c r="C981" t="s">
        <v>1599</v>
      </c>
      <c r="D981" t="s">
        <v>92</v>
      </c>
      <c r="E981" s="8">
        <v>0</v>
      </c>
      <c r="F981" s="9">
        <v>45546.666684444448</v>
      </c>
      <c r="G981" t="s">
        <v>75</v>
      </c>
      <c r="H981" t="s">
        <v>118</v>
      </c>
      <c r="I981" t="s">
        <v>119</v>
      </c>
      <c r="J981" t="str">
        <f t="shared" si="120"/>
        <v/>
      </c>
      <c r="K981" t="str">
        <f t="shared" si="121"/>
        <v/>
      </c>
      <c r="L981" t="str">
        <f t="shared" si="122"/>
        <v>Unusual</v>
      </c>
      <c r="M981" t="str">
        <f t="shared" si="123"/>
        <v/>
      </c>
      <c r="N981" t="str">
        <f t="shared" si="124"/>
        <v>Invalid</v>
      </c>
      <c r="O981" t="str">
        <f t="shared" ca="1" si="125"/>
        <v>Outdated</v>
      </c>
      <c r="P981" t="str">
        <f t="shared" si="126"/>
        <v>Not As Described</v>
      </c>
      <c r="Q981" t="str">
        <f t="shared" si="127"/>
        <v/>
      </c>
    </row>
    <row r="982" spans="1:17" x14ac:dyDescent="0.45">
      <c r="A982" t="s">
        <v>1661</v>
      </c>
      <c r="B982" t="s">
        <v>138</v>
      </c>
      <c r="C982" t="s">
        <v>1325</v>
      </c>
      <c r="D982" t="s">
        <v>85</v>
      </c>
      <c r="E982" s="8">
        <v>7924.64</v>
      </c>
      <c r="F982" s="9">
        <v>45589.666684444448</v>
      </c>
      <c r="G982" t="s">
        <v>140</v>
      </c>
      <c r="H982" t="s">
        <v>136</v>
      </c>
      <c r="I982" t="s">
        <v>119</v>
      </c>
      <c r="J982" t="str">
        <f t="shared" si="120"/>
        <v/>
      </c>
      <c r="K982" t="str">
        <f t="shared" si="121"/>
        <v/>
      </c>
      <c r="L982" t="str">
        <f t="shared" si="122"/>
        <v/>
      </c>
      <c r="M982" t="str">
        <f t="shared" si="123"/>
        <v/>
      </c>
      <c r="N982" t="str">
        <f t="shared" si="124"/>
        <v>Invalid</v>
      </c>
      <c r="O982" t="str">
        <f t="shared" ca="1" si="125"/>
        <v>Outdated</v>
      </c>
      <c r="P982" t="str">
        <f t="shared" si="126"/>
        <v>Late Delivery</v>
      </c>
      <c r="Q982" t="str">
        <f t="shared" si="127"/>
        <v/>
      </c>
    </row>
    <row r="983" spans="1:17" x14ac:dyDescent="0.45">
      <c r="A983" t="s">
        <v>1662</v>
      </c>
      <c r="B983" t="s">
        <v>104</v>
      </c>
      <c r="C983" t="s">
        <v>1663</v>
      </c>
      <c r="D983" t="s">
        <v>85</v>
      </c>
      <c r="E983" s="8">
        <v>5439.14</v>
      </c>
      <c r="F983" s="9">
        <v>45833.666684444448</v>
      </c>
      <c r="G983" t="s">
        <v>115</v>
      </c>
      <c r="H983" t="s">
        <v>118</v>
      </c>
      <c r="I983" t="s">
        <v>82</v>
      </c>
      <c r="J983" t="str">
        <f t="shared" si="120"/>
        <v/>
      </c>
      <c r="K983" t="str">
        <f t="shared" si="121"/>
        <v/>
      </c>
      <c r="L983" t="str">
        <f t="shared" si="122"/>
        <v/>
      </c>
      <c r="M983" t="str">
        <f t="shared" si="123"/>
        <v/>
      </c>
      <c r="N983" t="str">
        <f t="shared" si="124"/>
        <v>Invalid</v>
      </c>
      <c r="O983" t="str">
        <f t="shared" ca="1" si="125"/>
        <v>Outdated</v>
      </c>
      <c r="P983" t="str">
        <f t="shared" si="126"/>
        <v>Late Delivery</v>
      </c>
      <c r="Q983" t="str">
        <f t="shared" si="127"/>
        <v/>
      </c>
    </row>
    <row r="984" spans="1:17" x14ac:dyDescent="0.45">
      <c r="A984" t="s">
        <v>1664</v>
      </c>
      <c r="B984" t="s">
        <v>138</v>
      </c>
      <c r="C984" t="s">
        <v>132</v>
      </c>
      <c r="D984" t="s">
        <v>85</v>
      </c>
      <c r="E984" s="8">
        <v>4318.97</v>
      </c>
      <c r="F984" s="9">
        <v>45736.666684444448</v>
      </c>
      <c r="G984" t="s">
        <v>140</v>
      </c>
      <c r="H984" t="s">
        <v>136</v>
      </c>
      <c r="I984" t="s">
        <v>88</v>
      </c>
      <c r="J984" t="str">
        <f t="shared" si="120"/>
        <v/>
      </c>
      <c r="K984" t="str">
        <f t="shared" si="121"/>
        <v/>
      </c>
      <c r="L984" t="str">
        <f t="shared" si="122"/>
        <v/>
      </c>
      <c r="M984" t="str">
        <f t="shared" si="123"/>
        <v/>
      </c>
      <c r="N984" t="str">
        <f t="shared" si="124"/>
        <v>Invalid</v>
      </c>
      <c r="O984" t="str">
        <f t="shared" ca="1" si="125"/>
        <v>Outdated</v>
      </c>
      <c r="P984" t="str">
        <f t="shared" si="126"/>
        <v>Late Delivery</v>
      </c>
      <c r="Q984" t="str">
        <f t="shared" si="127"/>
        <v/>
      </c>
    </row>
    <row r="985" spans="1:17" x14ac:dyDescent="0.45">
      <c r="A985" t="s">
        <v>1665</v>
      </c>
      <c r="B985" t="s">
        <v>90</v>
      </c>
      <c r="C985" t="s">
        <v>1064</v>
      </c>
      <c r="D985" t="s">
        <v>85</v>
      </c>
      <c r="E985" s="8">
        <v>487.15</v>
      </c>
      <c r="F985" s="9">
        <v>45609.666684444448</v>
      </c>
      <c r="G985" t="s">
        <v>93</v>
      </c>
      <c r="H985" t="s">
        <v>107</v>
      </c>
      <c r="I985" t="s">
        <v>82</v>
      </c>
      <c r="J985" t="str">
        <f t="shared" si="120"/>
        <v/>
      </c>
      <c r="K985" t="str">
        <f t="shared" si="121"/>
        <v/>
      </c>
      <c r="L985" t="str">
        <f t="shared" si="122"/>
        <v/>
      </c>
      <c r="M985" t="str">
        <f t="shared" si="123"/>
        <v/>
      </c>
      <c r="N985" t="str">
        <f t="shared" si="124"/>
        <v/>
      </c>
      <c r="O985" t="str">
        <f t="shared" ca="1" si="125"/>
        <v>Outdated</v>
      </c>
      <c r="P985" t="str">
        <f t="shared" si="126"/>
        <v>Late Delivery</v>
      </c>
      <c r="Q985" t="str">
        <f t="shared" si="127"/>
        <v/>
      </c>
    </row>
    <row r="986" spans="1:17" x14ac:dyDescent="0.45">
      <c r="A986" t="s">
        <v>1666</v>
      </c>
      <c r="B986" t="s">
        <v>172</v>
      </c>
      <c r="C986" t="s">
        <v>1667</v>
      </c>
      <c r="D986" t="s">
        <v>92</v>
      </c>
      <c r="E986" s="8">
        <v>9490.2000000000007</v>
      </c>
      <c r="F986" s="9">
        <v>45426.666684444448</v>
      </c>
      <c r="G986" t="s">
        <v>174</v>
      </c>
      <c r="H986" t="s">
        <v>133</v>
      </c>
      <c r="I986" t="s">
        <v>119</v>
      </c>
      <c r="J986" t="str">
        <f t="shared" si="120"/>
        <v/>
      </c>
      <c r="K986" t="str">
        <f t="shared" si="121"/>
        <v/>
      </c>
      <c r="L986" t="str">
        <f t="shared" si="122"/>
        <v/>
      </c>
      <c r="M986" t="str">
        <f t="shared" si="123"/>
        <v/>
      </c>
      <c r="N986" t="str">
        <f t="shared" si="124"/>
        <v>Invalid</v>
      </c>
      <c r="O986" t="str">
        <f t="shared" ca="1" si="125"/>
        <v>Outdated</v>
      </c>
      <c r="P986" t="str">
        <f t="shared" si="126"/>
        <v>Not As Described</v>
      </c>
      <c r="Q986" t="str">
        <f t="shared" si="127"/>
        <v/>
      </c>
    </row>
    <row r="987" spans="1:17" x14ac:dyDescent="0.45">
      <c r="A987" t="s">
        <v>1668</v>
      </c>
      <c r="B987" t="s">
        <v>95</v>
      </c>
      <c r="C987" t="s">
        <v>412</v>
      </c>
      <c r="E987" s="8">
        <v>8593.7900000000009</v>
      </c>
      <c r="F987" s="9">
        <v>45161.666684444448</v>
      </c>
      <c r="G987" t="s">
        <v>97</v>
      </c>
      <c r="H987" t="s">
        <v>107</v>
      </c>
      <c r="I987" t="s">
        <v>112</v>
      </c>
      <c r="J987" t="str">
        <f t="shared" si="120"/>
        <v>Missing</v>
      </c>
      <c r="K987" t="str">
        <f t="shared" si="121"/>
        <v/>
      </c>
      <c r="L987" t="str">
        <f t="shared" si="122"/>
        <v/>
      </c>
      <c r="M987" t="str">
        <f t="shared" si="123"/>
        <v/>
      </c>
      <c r="N987" t="str">
        <f t="shared" si="124"/>
        <v/>
      </c>
      <c r="O987" t="str">
        <f t="shared" ca="1" si="125"/>
        <v>Outdated</v>
      </c>
      <c r="P987" t="str">
        <f t="shared" si="126"/>
        <v/>
      </c>
      <c r="Q987" t="str">
        <f t="shared" si="127"/>
        <v/>
      </c>
    </row>
    <row r="988" spans="1:17" x14ac:dyDescent="0.45">
      <c r="A988" t="s">
        <v>1669</v>
      </c>
      <c r="B988" t="s">
        <v>99</v>
      </c>
      <c r="C988" t="s">
        <v>1670</v>
      </c>
      <c r="D988" t="s">
        <v>92</v>
      </c>
      <c r="E988" s="8">
        <v>2966.46</v>
      </c>
      <c r="F988" s="9">
        <v>45365.666684444448</v>
      </c>
      <c r="G988" t="s">
        <v>102</v>
      </c>
      <c r="H988" t="s">
        <v>145</v>
      </c>
      <c r="I988" t="s">
        <v>82</v>
      </c>
      <c r="J988" t="str">
        <f t="shared" si="120"/>
        <v/>
      </c>
      <c r="K988" t="str">
        <f t="shared" si="121"/>
        <v/>
      </c>
      <c r="L988" t="str">
        <f t="shared" si="122"/>
        <v/>
      </c>
      <c r="M988" t="str">
        <f t="shared" si="123"/>
        <v/>
      </c>
      <c r="N988" t="str">
        <f t="shared" si="124"/>
        <v/>
      </c>
      <c r="O988" t="str">
        <f t="shared" ca="1" si="125"/>
        <v>Outdated</v>
      </c>
      <c r="P988" t="str">
        <f t="shared" si="126"/>
        <v>Not As Described</v>
      </c>
      <c r="Q988" t="str">
        <f t="shared" si="127"/>
        <v/>
      </c>
    </row>
    <row r="989" spans="1:17" x14ac:dyDescent="0.45">
      <c r="A989" t="s">
        <v>1671</v>
      </c>
      <c r="B989" t="s">
        <v>79</v>
      </c>
      <c r="C989" t="s">
        <v>1672</v>
      </c>
      <c r="D989" t="s">
        <v>155</v>
      </c>
      <c r="E989" s="8">
        <v>1240.54</v>
      </c>
      <c r="F989" s="9">
        <v>45423.666684444448</v>
      </c>
      <c r="G989" t="s">
        <v>86</v>
      </c>
      <c r="H989" t="s">
        <v>136</v>
      </c>
      <c r="I989" t="s">
        <v>112</v>
      </c>
      <c r="J989" t="str">
        <f t="shared" si="120"/>
        <v/>
      </c>
      <c r="K989" t="str">
        <f t="shared" si="121"/>
        <v/>
      </c>
      <c r="L989" t="str">
        <f t="shared" si="122"/>
        <v/>
      </c>
      <c r="M989" t="str">
        <f t="shared" si="123"/>
        <v/>
      </c>
      <c r="N989" t="str">
        <f t="shared" si="124"/>
        <v>Invalid</v>
      </c>
      <c r="O989" t="str">
        <f t="shared" ca="1" si="125"/>
        <v>Outdated</v>
      </c>
      <c r="P989" t="str">
        <f t="shared" si="126"/>
        <v>Damaged</v>
      </c>
      <c r="Q989" t="str">
        <f t="shared" si="127"/>
        <v>Inconsistent</v>
      </c>
    </row>
    <row r="990" spans="1:17" x14ac:dyDescent="0.45">
      <c r="A990" t="s">
        <v>1673</v>
      </c>
      <c r="B990" t="s">
        <v>95</v>
      </c>
      <c r="C990" t="s">
        <v>348</v>
      </c>
      <c r="E990" s="8">
        <v>1560.32</v>
      </c>
      <c r="F990" s="9">
        <v>45851.666684444448</v>
      </c>
      <c r="G990" t="s">
        <v>97</v>
      </c>
      <c r="H990" t="s">
        <v>118</v>
      </c>
      <c r="I990" t="s">
        <v>88</v>
      </c>
      <c r="J990" t="str">
        <f t="shared" si="120"/>
        <v>Missing</v>
      </c>
      <c r="K990" t="str">
        <f t="shared" si="121"/>
        <v/>
      </c>
      <c r="L990" t="str">
        <f t="shared" si="122"/>
        <v/>
      </c>
      <c r="M990" t="str">
        <f t="shared" si="123"/>
        <v/>
      </c>
      <c r="N990" t="str">
        <f t="shared" si="124"/>
        <v>Invalid</v>
      </c>
      <c r="O990" t="str">
        <f t="shared" ca="1" si="125"/>
        <v/>
      </c>
      <c r="P990" t="str">
        <f t="shared" si="126"/>
        <v/>
      </c>
      <c r="Q990" t="str">
        <f t="shared" si="127"/>
        <v/>
      </c>
    </row>
    <row r="991" spans="1:17" x14ac:dyDescent="0.45">
      <c r="A991" t="s">
        <v>1674</v>
      </c>
      <c r="B991" t="s">
        <v>109</v>
      </c>
      <c r="C991" t="s">
        <v>484</v>
      </c>
      <c r="D991" t="s">
        <v>85</v>
      </c>
      <c r="E991" s="8">
        <v>2522.11</v>
      </c>
      <c r="F991" s="9">
        <v>45417.666684444448</v>
      </c>
      <c r="G991" t="s">
        <v>111</v>
      </c>
      <c r="H991" t="s">
        <v>118</v>
      </c>
      <c r="I991" t="s">
        <v>119</v>
      </c>
      <c r="J991" t="str">
        <f t="shared" si="120"/>
        <v/>
      </c>
      <c r="K991" t="str">
        <f t="shared" si="121"/>
        <v/>
      </c>
      <c r="L991" t="str">
        <f t="shared" si="122"/>
        <v/>
      </c>
      <c r="M991" t="str">
        <f t="shared" si="123"/>
        <v/>
      </c>
      <c r="N991" t="str">
        <f t="shared" si="124"/>
        <v>Invalid</v>
      </c>
      <c r="O991" t="str">
        <f t="shared" ca="1" si="125"/>
        <v>Outdated</v>
      </c>
      <c r="P991" t="str">
        <f t="shared" si="126"/>
        <v>Late Delivery</v>
      </c>
      <c r="Q991" t="str">
        <f t="shared" si="127"/>
        <v/>
      </c>
    </row>
    <row r="992" spans="1:17" x14ac:dyDescent="0.45">
      <c r="A992" t="s">
        <v>1675</v>
      </c>
      <c r="B992" t="s">
        <v>104</v>
      </c>
      <c r="C992" t="s">
        <v>1468</v>
      </c>
      <c r="D992" t="s">
        <v>92</v>
      </c>
      <c r="E992" s="8">
        <v>5712.25</v>
      </c>
      <c r="F992" s="9">
        <v>45847.666684444448</v>
      </c>
      <c r="G992" t="s">
        <v>115</v>
      </c>
      <c r="H992" t="s">
        <v>145</v>
      </c>
      <c r="I992" t="s">
        <v>119</v>
      </c>
      <c r="J992" t="str">
        <f t="shared" si="120"/>
        <v/>
      </c>
      <c r="K992" t="str">
        <f t="shared" si="121"/>
        <v/>
      </c>
      <c r="L992" t="str">
        <f t="shared" si="122"/>
        <v/>
      </c>
      <c r="M992" t="str">
        <f t="shared" si="123"/>
        <v/>
      </c>
      <c r="N992" t="str">
        <f t="shared" si="124"/>
        <v/>
      </c>
      <c r="O992" t="str">
        <f t="shared" ca="1" si="125"/>
        <v/>
      </c>
      <c r="P992" t="str">
        <f t="shared" si="126"/>
        <v>Not As Described</v>
      </c>
      <c r="Q992" t="str">
        <f t="shared" si="127"/>
        <v/>
      </c>
    </row>
    <row r="993" spans="1:17" x14ac:dyDescent="0.45">
      <c r="A993" t="s">
        <v>1676</v>
      </c>
      <c r="B993" t="s">
        <v>104</v>
      </c>
      <c r="C993" t="s">
        <v>1614</v>
      </c>
      <c r="D993" t="s">
        <v>155</v>
      </c>
      <c r="E993" s="8">
        <v>416.88</v>
      </c>
      <c r="F993" s="9">
        <v>45592.666684444448</v>
      </c>
      <c r="G993" t="s">
        <v>115</v>
      </c>
      <c r="H993" t="s">
        <v>133</v>
      </c>
      <c r="I993" t="s">
        <v>112</v>
      </c>
      <c r="J993" t="str">
        <f t="shared" si="120"/>
        <v/>
      </c>
      <c r="K993" t="str">
        <f t="shared" si="121"/>
        <v/>
      </c>
      <c r="L993" t="str">
        <f t="shared" si="122"/>
        <v/>
      </c>
      <c r="M993" t="str">
        <f t="shared" si="123"/>
        <v/>
      </c>
      <c r="N993" t="str">
        <f t="shared" si="124"/>
        <v>Invalid</v>
      </c>
      <c r="O993" t="str">
        <f t="shared" ca="1" si="125"/>
        <v>Outdated</v>
      </c>
      <c r="P993" t="str">
        <f t="shared" si="126"/>
        <v>Damaged</v>
      </c>
      <c r="Q993" t="str">
        <f t="shared" si="127"/>
        <v>Inconsistent</v>
      </c>
    </row>
    <row r="994" spans="1:17" x14ac:dyDescent="0.45">
      <c r="A994" t="s">
        <v>1677</v>
      </c>
      <c r="B994" t="s">
        <v>72</v>
      </c>
      <c r="C994" t="s">
        <v>1678</v>
      </c>
      <c r="D994" t="s">
        <v>85</v>
      </c>
      <c r="E994" s="8">
        <v>7159.89</v>
      </c>
      <c r="F994" s="9">
        <v>45200.666684444448</v>
      </c>
      <c r="I994" t="s">
        <v>88</v>
      </c>
      <c r="J994" t="str">
        <f t="shared" si="120"/>
        <v/>
      </c>
      <c r="K994" t="str">
        <f t="shared" si="121"/>
        <v/>
      </c>
      <c r="L994" t="str">
        <f t="shared" si="122"/>
        <v/>
      </c>
      <c r="M994" t="str">
        <f t="shared" si="123"/>
        <v>Invalid</v>
      </c>
      <c r="N994" t="str">
        <f t="shared" si="124"/>
        <v>Invalid</v>
      </c>
      <c r="O994" t="str">
        <f t="shared" ca="1" si="125"/>
        <v>Outdated</v>
      </c>
      <c r="P994" t="str">
        <f t="shared" si="126"/>
        <v>Late Delivery</v>
      </c>
      <c r="Q994" t="str">
        <f t="shared" si="127"/>
        <v/>
      </c>
    </row>
    <row r="995" spans="1:17" x14ac:dyDescent="0.45">
      <c r="A995" t="s">
        <v>1679</v>
      </c>
      <c r="B995" t="s">
        <v>90</v>
      </c>
      <c r="C995" t="s">
        <v>1369</v>
      </c>
      <c r="E995" s="8">
        <v>5761.51</v>
      </c>
      <c r="F995" s="9">
        <v>45831.666684444448</v>
      </c>
      <c r="G995" t="s">
        <v>93</v>
      </c>
      <c r="H995" t="s">
        <v>118</v>
      </c>
      <c r="I995" t="s">
        <v>119</v>
      </c>
      <c r="J995" t="str">
        <f t="shared" si="120"/>
        <v>Missing</v>
      </c>
      <c r="K995" t="str">
        <f t="shared" si="121"/>
        <v>Duplicate</v>
      </c>
      <c r="L995" t="str">
        <f t="shared" si="122"/>
        <v/>
      </c>
      <c r="M995" t="str">
        <f t="shared" si="123"/>
        <v/>
      </c>
      <c r="N995" t="str">
        <f t="shared" si="124"/>
        <v>Invalid</v>
      </c>
      <c r="O995" t="str">
        <f t="shared" ca="1" si="125"/>
        <v>Outdated</v>
      </c>
      <c r="P995" t="str">
        <f t="shared" si="126"/>
        <v/>
      </c>
      <c r="Q995" t="str">
        <f t="shared" si="127"/>
        <v/>
      </c>
    </row>
    <row r="996" spans="1:17" x14ac:dyDescent="0.45">
      <c r="A996" t="s">
        <v>1680</v>
      </c>
      <c r="B996" t="s">
        <v>99</v>
      </c>
      <c r="C996" t="s">
        <v>989</v>
      </c>
      <c r="D996" t="s">
        <v>92</v>
      </c>
      <c r="E996" s="8">
        <v>752.67</v>
      </c>
      <c r="F996" s="9">
        <v>45367.666684444448</v>
      </c>
      <c r="G996" t="s">
        <v>102</v>
      </c>
      <c r="H996" t="s">
        <v>81</v>
      </c>
      <c r="I996" t="s">
        <v>82</v>
      </c>
      <c r="J996" t="str">
        <f t="shared" si="120"/>
        <v/>
      </c>
      <c r="K996" t="str">
        <f t="shared" si="121"/>
        <v/>
      </c>
      <c r="L996" t="str">
        <f t="shared" si="122"/>
        <v/>
      </c>
      <c r="M996" t="str">
        <f t="shared" si="123"/>
        <v/>
      </c>
      <c r="N996" t="str">
        <f t="shared" si="124"/>
        <v/>
      </c>
      <c r="O996" t="str">
        <f t="shared" ca="1" si="125"/>
        <v>Outdated</v>
      </c>
      <c r="P996" t="str">
        <f t="shared" si="126"/>
        <v>Not As Described</v>
      </c>
      <c r="Q996" t="str">
        <f t="shared" si="127"/>
        <v/>
      </c>
    </row>
    <row r="997" spans="1:17" x14ac:dyDescent="0.45">
      <c r="A997" t="s">
        <v>1681</v>
      </c>
      <c r="B997" t="s">
        <v>95</v>
      </c>
      <c r="C997" t="s">
        <v>1180</v>
      </c>
      <c r="D997" t="s">
        <v>85</v>
      </c>
      <c r="E997" s="8">
        <v>5937.05</v>
      </c>
      <c r="F997" s="9">
        <v>45398.666684444448</v>
      </c>
      <c r="G997" t="s">
        <v>97</v>
      </c>
      <c r="H997" t="s">
        <v>76</v>
      </c>
      <c r="I997" t="s">
        <v>112</v>
      </c>
      <c r="J997" t="str">
        <f t="shared" si="120"/>
        <v/>
      </c>
      <c r="K997" t="str">
        <f t="shared" si="121"/>
        <v/>
      </c>
      <c r="L997" t="str">
        <f t="shared" si="122"/>
        <v/>
      </c>
      <c r="M997" t="str">
        <f t="shared" si="123"/>
        <v/>
      </c>
      <c r="N997" t="str">
        <f t="shared" si="124"/>
        <v/>
      </c>
      <c r="O997" t="str">
        <f t="shared" ca="1" si="125"/>
        <v>Outdated</v>
      </c>
      <c r="P997" t="str">
        <f t="shared" si="126"/>
        <v>Late Delivery</v>
      </c>
      <c r="Q997" t="str">
        <f t="shared" si="127"/>
        <v/>
      </c>
    </row>
    <row r="998" spans="1:17" x14ac:dyDescent="0.45">
      <c r="A998" t="s">
        <v>1682</v>
      </c>
      <c r="B998" t="s">
        <v>79</v>
      </c>
      <c r="C998" t="s">
        <v>645</v>
      </c>
      <c r="D998" t="s">
        <v>74</v>
      </c>
      <c r="E998" s="8">
        <v>10628.42</v>
      </c>
      <c r="F998" s="9">
        <v>45768.666684444448</v>
      </c>
      <c r="G998" t="s">
        <v>86</v>
      </c>
      <c r="H998" t="s">
        <v>136</v>
      </c>
      <c r="I998" t="s">
        <v>88</v>
      </c>
      <c r="J998" t="str">
        <f t="shared" si="120"/>
        <v/>
      </c>
      <c r="K998" t="str">
        <f t="shared" si="121"/>
        <v/>
      </c>
      <c r="L998" t="str">
        <f t="shared" si="122"/>
        <v>Unusual</v>
      </c>
      <c r="M998" t="str">
        <f t="shared" si="123"/>
        <v/>
      </c>
      <c r="N998" t="str">
        <f t="shared" si="124"/>
        <v>Invalid</v>
      </c>
      <c r="O998" t="str">
        <f t="shared" ca="1" si="125"/>
        <v>Outdated</v>
      </c>
      <c r="P998" t="str">
        <f t="shared" si="126"/>
        <v>Wrong Item</v>
      </c>
      <c r="Q998" t="str">
        <f t="shared" si="127"/>
        <v/>
      </c>
    </row>
    <row r="999" spans="1:17" x14ac:dyDescent="0.45">
      <c r="A999" t="s">
        <v>1683</v>
      </c>
      <c r="B999" t="s">
        <v>138</v>
      </c>
      <c r="C999" t="s">
        <v>1684</v>
      </c>
      <c r="D999" t="s">
        <v>101</v>
      </c>
      <c r="E999" s="8">
        <v>1962.55</v>
      </c>
      <c r="F999" s="9">
        <v>45731.666684444448</v>
      </c>
      <c r="G999" t="s">
        <v>140</v>
      </c>
      <c r="H999" t="s">
        <v>81</v>
      </c>
      <c r="I999" t="s">
        <v>112</v>
      </c>
      <c r="J999" t="str">
        <f t="shared" si="120"/>
        <v/>
      </c>
      <c r="K999" t="str">
        <f t="shared" si="121"/>
        <v/>
      </c>
      <c r="L999" t="str">
        <f t="shared" si="122"/>
        <v/>
      </c>
      <c r="M999" t="str">
        <f t="shared" si="123"/>
        <v/>
      </c>
      <c r="N999" t="str">
        <f t="shared" si="124"/>
        <v/>
      </c>
      <c r="O999" t="str">
        <f t="shared" ca="1" si="125"/>
        <v>Outdated</v>
      </c>
      <c r="P999" t="str">
        <f t="shared" si="126"/>
        <v>Damaged</v>
      </c>
      <c r="Q999" t="str">
        <f t="shared" si="127"/>
        <v/>
      </c>
    </row>
    <row r="1000" spans="1:17" x14ac:dyDescent="0.45">
      <c r="A1000" t="s">
        <v>1685</v>
      </c>
      <c r="B1000" t="s">
        <v>72</v>
      </c>
      <c r="C1000" t="s">
        <v>671</v>
      </c>
      <c r="D1000" t="s">
        <v>106</v>
      </c>
      <c r="E1000" s="8">
        <v>0</v>
      </c>
      <c r="F1000" s="9">
        <v>45805.666684444448</v>
      </c>
      <c r="G1000" t="s">
        <v>521</v>
      </c>
      <c r="I1000" t="s">
        <v>77</v>
      </c>
      <c r="J1000" t="str">
        <f t="shared" si="120"/>
        <v/>
      </c>
      <c r="K1000" t="str">
        <f t="shared" si="121"/>
        <v/>
      </c>
      <c r="L1000" t="str">
        <f t="shared" si="122"/>
        <v>Unusual</v>
      </c>
      <c r="M1000" t="str">
        <f t="shared" si="123"/>
        <v>Invalid</v>
      </c>
      <c r="N1000" t="str">
        <f t="shared" si="124"/>
        <v>Invalid</v>
      </c>
      <c r="O1000" t="str">
        <f t="shared" ca="1" si="125"/>
        <v>Outdated</v>
      </c>
      <c r="P1000" t="str">
        <f t="shared" si="126"/>
        <v>Damaged</v>
      </c>
      <c r="Q1000" t="str">
        <f t="shared" si="127"/>
        <v>Inconsistent</v>
      </c>
    </row>
    <row r="1001" spans="1:17" x14ac:dyDescent="0.45">
      <c r="A1001" t="s">
        <v>1686</v>
      </c>
      <c r="B1001" t="s">
        <v>104</v>
      </c>
      <c r="C1001" t="s">
        <v>306</v>
      </c>
      <c r="D1001" t="s">
        <v>92</v>
      </c>
      <c r="E1001" s="8">
        <v>7305.58</v>
      </c>
      <c r="F1001" s="9">
        <v>45330.666684444448</v>
      </c>
      <c r="G1001" t="s">
        <v>115</v>
      </c>
      <c r="H1001" t="s">
        <v>133</v>
      </c>
      <c r="I1001" t="s">
        <v>119</v>
      </c>
      <c r="J1001" t="str">
        <f t="shared" si="120"/>
        <v/>
      </c>
      <c r="K1001" t="str">
        <f t="shared" si="121"/>
        <v/>
      </c>
      <c r="L1001" t="str">
        <f t="shared" si="122"/>
        <v/>
      </c>
      <c r="M1001" t="str">
        <f t="shared" si="123"/>
        <v/>
      </c>
      <c r="N1001" t="str">
        <f t="shared" si="124"/>
        <v>Invalid</v>
      </c>
      <c r="O1001" t="str">
        <f t="shared" ca="1" si="125"/>
        <v>Outdated</v>
      </c>
      <c r="P1001" t="str">
        <f t="shared" si="126"/>
        <v>Not As Described</v>
      </c>
      <c r="Q1001" t="str">
        <f t="shared" si="127"/>
        <v/>
      </c>
    </row>
    <row r="1002" spans="1:17" x14ac:dyDescent="0.45">
      <c r="A1002" t="s">
        <v>1687</v>
      </c>
      <c r="B1002" t="s">
        <v>79</v>
      </c>
      <c r="C1002" t="s">
        <v>997</v>
      </c>
      <c r="D1002" t="s">
        <v>85</v>
      </c>
      <c r="E1002" s="8">
        <v>2709.16</v>
      </c>
      <c r="F1002" s="9">
        <v>45563.666684444448</v>
      </c>
      <c r="G1002" t="s">
        <v>86</v>
      </c>
      <c r="H1002" t="s">
        <v>81</v>
      </c>
      <c r="I1002" t="s">
        <v>112</v>
      </c>
      <c r="J1002" t="str">
        <f t="shared" si="120"/>
        <v/>
      </c>
      <c r="K1002" t="str">
        <f t="shared" si="121"/>
        <v/>
      </c>
      <c r="L1002" t="str">
        <f t="shared" si="122"/>
        <v/>
      </c>
      <c r="M1002" t="str">
        <f t="shared" si="123"/>
        <v/>
      </c>
      <c r="N1002" t="str">
        <f t="shared" si="124"/>
        <v/>
      </c>
      <c r="O1002" t="str">
        <f t="shared" ca="1" si="125"/>
        <v>Outdated</v>
      </c>
      <c r="P1002" t="str">
        <f t="shared" si="126"/>
        <v>Late Delivery</v>
      </c>
      <c r="Q1002" t="str">
        <f t="shared" si="127"/>
        <v/>
      </c>
    </row>
    <row r="1003" spans="1:17" x14ac:dyDescent="0.45">
      <c r="A1003" t="s">
        <v>1688</v>
      </c>
      <c r="B1003" t="s">
        <v>104</v>
      </c>
      <c r="C1003" t="s">
        <v>606</v>
      </c>
      <c r="D1003" t="s">
        <v>155</v>
      </c>
      <c r="E1003" s="8">
        <v>0</v>
      </c>
      <c r="F1003" s="9">
        <v>45245.666684444448</v>
      </c>
      <c r="G1003" t="s">
        <v>115</v>
      </c>
      <c r="H1003" t="s">
        <v>81</v>
      </c>
      <c r="I1003" t="s">
        <v>82</v>
      </c>
      <c r="J1003" t="str">
        <f t="shared" si="120"/>
        <v/>
      </c>
      <c r="K1003" t="str">
        <f t="shared" si="121"/>
        <v/>
      </c>
      <c r="L1003" t="str">
        <f t="shared" si="122"/>
        <v>Unusual</v>
      </c>
      <c r="M1003" t="str">
        <f t="shared" si="123"/>
        <v/>
      </c>
      <c r="N1003" t="str">
        <f t="shared" si="124"/>
        <v/>
      </c>
      <c r="O1003" t="str">
        <f t="shared" ca="1" si="125"/>
        <v>Outdated</v>
      </c>
      <c r="P1003" t="str">
        <f t="shared" si="126"/>
        <v>Damaged</v>
      </c>
      <c r="Q1003" t="str">
        <f t="shared" si="127"/>
        <v>Inconsistent</v>
      </c>
    </row>
    <row r="1004" spans="1:17" x14ac:dyDescent="0.45">
      <c r="A1004" t="s">
        <v>1689</v>
      </c>
      <c r="B1004" t="s">
        <v>172</v>
      </c>
      <c r="D1004" t="s">
        <v>85</v>
      </c>
      <c r="E1004" s="8">
        <v>9724.3700000000008</v>
      </c>
      <c r="F1004" s="9">
        <v>45685.666684444448</v>
      </c>
      <c r="G1004" t="s">
        <v>174</v>
      </c>
      <c r="H1004" t="s">
        <v>136</v>
      </c>
      <c r="I1004" t="s">
        <v>119</v>
      </c>
      <c r="J1004" t="str">
        <f t="shared" si="120"/>
        <v>Missing</v>
      </c>
      <c r="K1004" t="str">
        <f t="shared" si="121"/>
        <v/>
      </c>
      <c r="L1004" t="str">
        <f t="shared" si="122"/>
        <v/>
      </c>
      <c r="M1004" t="str">
        <f t="shared" si="123"/>
        <v/>
      </c>
      <c r="N1004" t="str">
        <f t="shared" si="124"/>
        <v>Invalid</v>
      </c>
      <c r="O1004" t="str">
        <f t="shared" ca="1" si="125"/>
        <v>Outdated</v>
      </c>
      <c r="P1004" t="str">
        <f t="shared" si="126"/>
        <v>Late Delivery</v>
      </c>
      <c r="Q1004" t="str">
        <f t="shared" si="127"/>
        <v/>
      </c>
    </row>
    <row r="1005" spans="1:17" x14ac:dyDescent="0.45">
      <c r="A1005" t="s">
        <v>1690</v>
      </c>
      <c r="B1005" t="s">
        <v>72</v>
      </c>
      <c r="C1005" t="s">
        <v>397</v>
      </c>
      <c r="D1005" t="s">
        <v>85</v>
      </c>
      <c r="E1005" s="8">
        <v>1530.82</v>
      </c>
      <c r="F1005" s="9">
        <v>45358.666684444448</v>
      </c>
      <c r="G1005" t="s">
        <v>75</v>
      </c>
      <c r="H1005" t="s">
        <v>76</v>
      </c>
      <c r="I1005" t="s">
        <v>88</v>
      </c>
      <c r="J1005" t="str">
        <f t="shared" si="120"/>
        <v/>
      </c>
      <c r="K1005" t="str">
        <f t="shared" si="121"/>
        <v/>
      </c>
      <c r="L1005" t="str">
        <f t="shared" si="122"/>
        <v/>
      </c>
      <c r="M1005" t="str">
        <f t="shared" si="123"/>
        <v/>
      </c>
      <c r="N1005" t="str">
        <f t="shared" si="124"/>
        <v/>
      </c>
      <c r="O1005" t="str">
        <f t="shared" ca="1" si="125"/>
        <v>Outdated</v>
      </c>
      <c r="P1005" t="str">
        <f t="shared" si="126"/>
        <v>Late Delivery</v>
      </c>
      <c r="Q1005" t="str">
        <f t="shared" si="127"/>
        <v/>
      </c>
    </row>
    <row r="1006" spans="1:17" x14ac:dyDescent="0.45">
      <c r="A1006" t="s">
        <v>1691</v>
      </c>
      <c r="B1006" t="s">
        <v>138</v>
      </c>
      <c r="C1006" t="s">
        <v>906</v>
      </c>
      <c r="D1006" t="s">
        <v>92</v>
      </c>
      <c r="E1006" s="8">
        <v>8067.35</v>
      </c>
      <c r="F1006" s="9">
        <v>45791.666684444448</v>
      </c>
      <c r="G1006" t="s">
        <v>140</v>
      </c>
      <c r="H1006" t="s">
        <v>87</v>
      </c>
      <c r="I1006" t="s">
        <v>88</v>
      </c>
      <c r="J1006" t="str">
        <f t="shared" si="120"/>
        <v/>
      </c>
      <c r="K1006" t="str">
        <f t="shared" si="121"/>
        <v/>
      </c>
      <c r="L1006" t="str">
        <f t="shared" si="122"/>
        <v/>
      </c>
      <c r="M1006" t="str">
        <f t="shared" si="123"/>
        <v/>
      </c>
      <c r="N1006" t="str">
        <f t="shared" si="124"/>
        <v>Invalid</v>
      </c>
      <c r="O1006" t="str">
        <f t="shared" ca="1" si="125"/>
        <v>Outdated</v>
      </c>
      <c r="P1006" t="str">
        <f t="shared" si="126"/>
        <v>Not As Described</v>
      </c>
      <c r="Q1006" t="str">
        <f t="shared" si="127"/>
        <v/>
      </c>
    </row>
    <row r="1007" spans="1:17" x14ac:dyDescent="0.45">
      <c r="A1007" t="s">
        <v>1692</v>
      </c>
      <c r="B1007" t="s">
        <v>109</v>
      </c>
      <c r="C1007" t="s">
        <v>1561</v>
      </c>
      <c r="D1007" t="s">
        <v>92</v>
      </c>
      <c r="E1007" s="8">
        <v>5365.93</v>
      </c>
      <c r="F1007" s="9">
        <v>45280.666684444448</v>
      </c>
      <c r="G1007" t="s">
        <v>111</v>
      </c>
      <c r="H1007" t="s">
        <v>128</v>
      </c>
      <c r="I1007" t="s">
        <v>119</v>
      </c>
      <c r="J1007" t="str">
        <f t="shared" si="120"/>
        <v/>
      </c>
      <c r="K1007" t="str">
        <f t="shared" si="121"/>
        <v/>
      </c>
      <c r="L1007" t="str">
        <f t="shared" si="122"/>
        <v/>
      </c>
      <c r="M1007" t="str">
        <f t="shared" si="123"/>
        <v/>
      </c>
      <c r="N1007" t="str">
        <f t="shared" si="124"/>
        <v>Invalid</v>
      </c>
      <c r="O1007" t="str">
        <f t="shared" ca="1" si="125"/>
        <v>Outdated</v>
      </c>
      <c r="P1007" t="str">
        <f t="shared" si="126"/>
        <v>Not As Described</v>
      </c>
      <c r="Q1007" t="str">
        <f t="shared" si="127"/>
        <v/>
      </c>
    </row>
    <row r="1008" spans="1:17" x14ac:dyDescent="0.45">
      <c r="A1008" t="s">
        <v>1693</v>
      </c>
      <c r="B1008" t="s">
        <v>72</v>
      </c>
      <c r="C1008" t="s">
        <v>273</v>
      </c>
      <c r="D1008" t="s">
        <v>74</v>
      </c>
      <c r="E1008" s="8">
        <v>9414.44</v>
      </c>
      <c r="F1008" s="9">
        <v>45400.666684444448</v>
      </c>
      <c r="G1008" t="s">
        <v>75</v>
      </c>
      <c r="H1008" t="s">
        <v>133</v>
      </c>
      <c r="I1008" t="s">
        <v>88</v>
      </c>
      <c r="J1008" t="str">
        <f t="shared" si="120"/>
        <v/>
      </c>
      <c r="K1008" t="str">
        <f t="shared" si="121"/>
        <v/>
      </c>
      <c r="L1008" t="str">
        <f t="shared" si="122"/>
        <v/>
      </c>
      <c r="M1008" t="str">
        <f t="shared" si="123"/>
        <v/>
      </c>
      <c r="N1008" t="str">
        <f t="shared" si="124"/>
        <v>Invalid</v>
      </c>
      <c r="O1008" t="str">
        <f t="shared" ca="1" si="125"/>
        <v>Outdated</v>
      </c>
      <c r="P1008" t="str">
        <f t="shared" si="126"/>
        <v>Wrong Item</v>
      </c>
      <c r="Q1008" t="str">
        <f t="shared" si="127"/>
        <v/>
      </c>
    </row>
    <row r="1009" spans="1:17" x14ac:dyDescent="0.45">
      <c r="A1009" t="s">
        <v>1694</v>
      </c>
      <c r="B1009" t="s">
        <v>99</v>
      </c>
      <c r="C1009" t="s">
        <v>1425</v>
      </c>
      <c r="D1009" t="s">
        <v>85</v>
      </c>
      <c r="E1009" s="8">
        <v>0</v>
      </c>
      <c r="F1009" s="9">
        <v>45273.666684444448</v>
      </c>
      <c r="G1009" t="s">
        <v>102</v>
      </c>
      <c r="H1009" t="s">
        <v>87</v>
      </c>
      <c r="I1009" t="s">
        <v>163</v>
      </c>
      <c r="J1009" t="str">
        <f t="shared" si="120"/>
        <v/>
      </c>
      <c r="K1009" t="str">
        <f t="shared" si="121"/>
        <v/>
      </c>
      <c r="L1009" t="str">
        <f t="shared" si="122"/>
        <v>Unusual</v>
      </c>
      <c r="M1009" t="str">
        <f t="shared" si="123"/>
        <v/>
      </c>
      <c r="N1009" t="str">
        <f t="shared" si="124"/>
        <v>Invalid</v>
      </c>
      <c r="O1009" t="str">
        <f t="shared" ca="1" si="125"/>
        <v>Outdated</v>
      </c>
      <c r="P1009" t="str">
        <f t="shared" si="126"/>
        <v>Late Delivery</v>
      </c>
      <c r="Q1009" t="str">
        <f t="shared" si="127"/>
        <v/>
      </c>
    </row>
    <row r="1010" spans="1:17" x14ac:dyDescent="0.45">
      <c r="A1010" t="s">
        <v>1695</v>
      </c>
      <c r="B1010" t="s">
        <v>138</v>
      </c>
      <c r="C1010" t="s">
        <v>1696</v>
      </c>
      <c r="D1010" t="s">
        <v>85</v>
      </c>
      <c r="E1010" s="8">
        <v>10036.61</v>
      </c>
      <c r="F1010" s="9">
        <v>45201.666684444448</v>
      </c>
      <c r="H1010" t="s">
        <v>128</v>
      </c>
      <c r="I1010" t="s">
        <v>119</v>
      </c>
      <c r="J1010" t="str">
        <f t="shared" si="120"/>
        <v/>
      </c>
      <c r="K1010" t="str">
        <f t="shared" si="121"/>
        <v/>
      </c>
      <c r="L1010" t="str">
        <f t="shared" si="122"/>
        <v>Unusual</v>
      </c>
      <c r="M1010" t="str">
        <f t="shared" si="123"/>
        <v>Invalid</v>
      </c>
      <c r="N1010" t="str">
        <f t="shared" si="124"/>
        <v>Invalid</v>
      </c>
      <c r="O1010" t="str">
        <f t="shared" ca="1" si="125"/>
        <v>Outdated</v>
      </c>
      <c r="P1010" t="str">
        <f t="shared" si="126"/>
        <v>Late Delivery</v>
      </c>
      <c r="Q1010" t="str">
        <f t="shared" si="127"/>
        <v/>
      </c>
    </row>
    <row r="1011" spans="1:17" x14ac:dyDescent="0.45">
      <c r="A1011" t="s">
        <v>765</v>
      </c>
      <c r="B1011" t="s">
        <v>95</v>
      </c>
      <c r="C1011" t="s">
        <v>1271</v>
      </c>
      <c r="D1011" t="s">
        <v>101</v>
      </c>
      <c r="E1011" s="8">
        <v>11473.59</v>
      </c>
      <c r="F1011" s="9">
        <v>45189.666684444448</v>
      </c>
      <c r="G1011" t="s">
        <v>97</v>
      </c>
      <c r="H1011" t="s">
        <v>116</v>
      </c>
      <c r="I1011" t="s">
        <v>119</v>
      </c>
      <c r="J1011" t="str">
        <f t="shared" si="120"/>
        <v/>
      </c>
      <c r="K1011" t="str">
        <f t="shared" si="121"/>
        <v>Duplicate</v>
      </c>
      <c r="L1011" t="str">
        <f t="shared" si="122"/>
        <v>Unusual</v>
      </c>
      <c r="M1011" t="str">
        <f t="shared" si="123"/>
        <v/>
      </c>
      <c r="N1011" t="str">
        <f t="shared" si="124"/>
        <v/>
      </c>
      <c r="O1011" t="str">
        <f t="shared" ca="1" si="125"/>
        <v>Outdated</v>
      </c>
      <c r="P1011" t="str">
        <f t="shared" si="126"/>
        <v>Damaged</v>
      </c>
      <c r="Q1011" t="str">
        <f t="shared" si="127"/>
        <v/>
      </c>
    </row>
    <row r="1012" spans="1:17" x14ac:dyDescent="0.45">
      <c r="A1012" t="s">
        <v>1697</v>
      </c>
      <c r="B1012" t="s">
        <v>72</v>
      </c>
      <c r="C1012" t="s">
        <v>1698</v>
      </c>
      <c r="D1012" t="s">
        <v>85</v>
      </c>
      <c r="E1012" s="8">
        <v>2493.25</v>
      </c>
      <c r="F1012" s="9">
        <v>45297.666684444448</v>
      </c>
      <c r="G1012" t="s">
        <v>75</v>
      </c>
      <c r="H1012" t="s">
        <v>136</v>
      </c>
      <c r="I1012" t="s">
        <v>82</v>
      </c>
      <c r="J1012" t="str">
        <f t="shared" si="120"/>
        <v/>
      </c>
      <c r="K1012" t="str">
        <f t="shared" si="121"/>
        <v/>
      </c>
      <c r="L1012" t="str">
        <f t="shared" si="122"/>
        <v/>
      </c>
      <c r="M1012" t="str">
        <f t="shared" si="123"/>
        <v/>
      </c>
      <c r="N1012" t="str">
        <f t="shared" si="124"/>
        <v>Invalid</v>
      </c>
      <c r="O1012" t="str">
        <f t="shared" ca="1" si="125"/>
        <v>Outdated</v>
      </c>
      <c r="P1012" t="str">
        <f t="shared" si="126"/>
        <v>Late Delivery</v>
      </c>
      <c r="Q1012" t="str">
        <f t="shared" si="127"/>
        <v/>
      </c>
    </row>
    <row r="1013" spans="1:17" x14ac:dyDescent="0.45">
      <c r="A1013" t="s">
        <v>1699</v>
      </c>
      <c r="B1013" t="s">
        <v>138</v>
      </c>
      <c r="C1013" t="s">
        <v>1700</v>
      </c>
      <c r="D1013" t="s">
        <v>101</v>
      </c>
      <c r="E1013" s="8">
        <v>0</v>
      </c>
      <c r="F1013" s="9">
        <v>45442.666684444448</v>
      </c>
      <c r="G1013" t="s">
        <v>140</v>
      </c>
      <c r="H1013" t="s">
        <v>136</v>
      </c>
      <c r="I1013" t="s">
        <v>119</v>
      </c>
      <c r="J1013" t="str">
        <f t="shared" si="120"/>
        <v/>
      </c>
      <c r="K1013" t="str">
        <f t="shared" si="121"/>
        <v/>
      </c>
      <c r="L1013" t="str">
        <f t="shared" si="122"/>
        <v>Unusual</v>
      </c>
      <c r="M1013" t="str">
        <f t="shared" si="123"/>
        <v/>
      </c>
      <c r="N1013" t="str">
        <f t="shared" si="124"/>
        <v>Invalid</v>
      </c>
      <c r="O1013" t="str">
        <f t="shared" ca="1" si="125"/>
        <v>Outdated</v>
      </c>
      <c r="P1013" t="str">
        <f t="shared" si="126"/>
        <v>Damaged</v>
      </c>
      <c r="Q1013" t="str">
        <f t="shared" si="127"/>
        <v/>
      </c>
    </row>
    <row r="1014" spans="1:17" x14ac:dyDescent="0.45">
      <c r="A1014" t="s">
        <v>1701</v>
      </c>
      <c r="B1014" t="s">
        <v>95</v>
      </c>
      <c r="C1014" t="s">
        <v>1552</v>
      </c>
      <c r="D1014" t="s">
        <v>74</v>
      </c>
      <c r="E1014" s="8">
        <v>6164.45</v>
      </c>
      <c r="F1014" s="9">
        <v>45737.666684444448</v>
      </c>
      <c r="G1014" t="s">
        <v>97</v>
      </c>
      <c r="H1014" t="s">
        <v>116</v>
      </c>
      <c r="I1014" t="s">
        <v>82</v>
      </c>
      <c r="J1014" t="str">
        <f t="shared" si="120"/>
        <v/>
      </c>
      <c r="K1014" t="str">
        <f t="shared" si="121"/>
        <v/>
      </c>
      <c r="L1014" t="str">
        <f t="shared" si="122"/>
        <v/>
      </c>
      <c r="M1014" t="str">
        <f t="shared" si="123"/>
        <v/>
      </c>
      <c r="N1014" t="str">
        <f t="shared" si="124"/>
        <v/>
      </c>
      <c r="O1014" t="str">
        <f t="shared" ca="1" si="125"/>
        <v>Outdated</v>
      </c>
      <c r="P1014" t="str">
        <f t="shared" si="126"/>
        <v>Wrong Item</v>
      </c>
      <c r="Q1014" t="str">
        <f t="shared" si="127"/>
        <v/>
      </c>
    </row>
    <row r="1015" spans="1:17" x14ac:dyDescent="0.45">
      <c r="A1015" t="s">
        <v>1702</v>
      </c>
      <c r="B1015" t="s">
        <v>72</v>
      </c>
      <c r="C1015" t="s">
        <v>693</v>
      </c>
      <c r="D1015" t="s">
        <v>101</v>
      </c>
      <c r="E1015" s="8">
        <v>1496.37</v>
      </c>
      <c r="F1015" s="9">
        <v>45710.666684444448</v>
      </c>
      <c r="G1015" t="s">
        <v>75</v>
      </c>
      <c r="H1015" t="s">
        <v>128</v>
      </c>
      <c r="I1015" t="s">
        <v>119</v>
      </c>
      <c r="J1015" t="str">
        <f t="shared" si="120"/>
        <v/>
      </c>
      <c r="K1015" t="str">
        <f t="shared" si="121"/>
        <v/>
      </c>
      <c r="L1015" t="str">
        <f t="shared" si="122"/>
        <v/>
      </c>
      <c r="M1015" t="str">
        <f t="shared" si="123"/>
        <v/>
      </c>
      <c r="N1015" t="str">
        <f t="shared" si="124"/>
        <v>Invalid</v>
      </c>
      <c r="O1015" t="str">
        <f t="shared" ca="1" si="125"/>
        <v>Outdated</v>
      </c>
      <c r="P1015" t="str">
        <f t="shared" si="126"/>
        <v>Damaged</v>
      </c>
      <c r="Q1015" t="str">
        <f t="shared" si="127"/>
        <v/>
      </c>
    </row>
    <row r="1016" spans="1:17" x14ac:dyDescent="0.45">
      <c r="A1016" t="s">
        <v>1703</v>
      </c>
      <c r="B1016" t="s">
        <v>79</v>
      </c>
      <c r="C1016" t="s">
        <v>315</v>
      </c>
      <c r="D1016" t="s">
        <v>74</v>
      </c>
      <c r="E1016" s="8">
        <v>9171.07</v>
      </c>
      <c r="F1016" s="9">
        <v>45423.666684444448</v>
      </c>
      <c r="G1016" t="s">
        <v>86</v>
      </c>
      <c r="H1016" t="s">
        <v>81</v>
      </c>
      <c r="I1016" t="s">
        <v>82</v>
      </c>
      <c r="J1016" t="str">
        <f t="shared" si="120"/>
        <v/>
      </c>
      <c r="K1016" t="str">
        <f t="shared" si="121"/>
        <v/>
      </c>
      <c r="L1016" t="str">
        <f t="shared" si="122"/>
        <v/>
      </c>
      <c r="M1016" t="str">
        <f t="shared" si="123"/>
        <v/>
      </c>
      <c r="N1016" t="str">
        <f t="shared" si="124"/>
        <v/>
      </c>
      <c r="O1016" t="str">
        <f t="shared" ca="1" si="125"/>
        <v>Outdated</v>
      </c>
      <c r="P1016" t="str">
        <f t="shared" si="126"/>
        <v>Wrong Item</v>
      </c>
      <c r="Q1016" t="str">
        <f t="shared" si="127"/>
        <v/>
      </c>
    </row>
    <row r="1017" spans="1:17" x14ac:dyDescent="0.45">
      <c r="A1017" t="s">
        <v>1704</v>
      </c>
      <c r="B1017" t="s">
        <v>109</v>
      </c>
      <c r="C1017" t="s">
        <v>135</v>
      </c>
      <c r="D1017" t="s">
        <v>85</v>
      </c>
      <c r="E1017" s="8">
        <v>9099.6299999999992</v>
      </c>
      <c r="F1017" s="9">
        <v>45577.666684444448</v>
      </c>
      <c r="G1017" t="s">
        <v>111</v>
      </c>
      <c r="H1017" t="s">
        <v>136</v>
      </c>
      <c r="I1017" t="s">
        <v>82</v>
      </c>
      <c r="J1017" t="str">
        <f t="shared" si="120"/>
        <v/>
      </c>
      <c r="K1017" t="str">
        <f t="shared" si="121"/>
        <v/>
      </c>
      <c r="L1017" t="str">
        <f t="shared" si="122"/>
        <v/>
      </c>
      <c r="M1017" t="str">
        <f t="shared" si="123"/>
        <v/>
      </c>
      <c r="N1017" t="str">
        <f t="shared" si="124"/>
        <v>Invalid</v>
      </c>
      <c r="O1017" t="str">
        <f t="shared" ca="1" si="125"/>
        <v>Outdated</v>
      </c>
      <c r="P1017" t="str">
        <f t="shared" si="126"/>
        <v>Late Delivery</v>
      </c>
      <c r="Q1017" t="str">
        <f t="shared" si="127"/>
        <v/>
      </c>
    </row>
    <row r="1018" spans="1:17" x14ac:dyDescent="0.45">
      <c r="A1018" t="s">
        <v>1705</v>
      </c>
      <c r="B1018" t="s">
        <v>79</v>
      </c>
      <c r="C1018" t="s">
        <v>1247</v>
      </c>
      <c r="D1018" t="s">
        <v>148</v>
      </c>
      <c r="E1018" s="8">
        <v>7397.53</v>
      </c>
      <c r="F1018" s="9">
        <v>45255.666684444448</v>
      </c>
      <c r="G1018" t="s">
        <v>86</v>
      </c>
      <c r="H1018" t="s">
        <v>133</v>
      </c>
      <c r="I1018" t="s">
        <v>163</v>
      </c>
      <c r="J1018" t="str">
        <f t="shared" si="120"/>
        <v/>
      </c>
      <c r="K1018" t="str">
        <f t="shared" si="121"/>
        <v/>
      </c>
      <c r="L1018" t="str">
        <f t="shared" si="122"/>
        <v/>
      </c>
      <c r="M1018" t="str">
        <f t="shared" si="123"/>
        <v/>
      </c>
      <c r="N1018" t="str">
        <f t="shared" si="124"/>
        <v>Invalid</v>
      </c>
      <c r="O1018" t="str">
        <f t="shared" ca="1" si="125"/>
        <v>Outdated</v>
      </c>
      <c r="P1018" t="str">
        <f t="shared" si="126"/>
        <v>Wrong Item</v>
      </c>
      <c r="Q1018" t="str">
        <f t="shared" si="127"/>
        <v>Inconsistent</v>
      </c>
    </row>
    <row r="1019" spans="1:17" x14ac:dyDescent="0.45">
      <c r="A1019" t="s">
        <v>1706</v>
      </c>
      <c r="B1019" t="s">
        <v>99</v>
      </c>
      <c r="C1019" t="s">
        <v>851</v>
      </c>
      <c r="D1019" t="s">
        <v>92</v>
      </c>
      <c r="E1019" s="8">
        <v>7679.48</v>
      </c>
      <c r="F1019" s="9">
        <v>45607.666684444448</v>
      </c>
      <c r="G1019" t="s">
        <v>102</v>
      </c>
      <c r="H1019" t="s">
        <v>136</v>
      </c>
      <c r="I1019" t="s">
        <v>88</v>
      </c>
      <c r="J1019" t="str">
        <f t="shared" si="120"/>
        <v/>
      </c>
      <c r="K1019" t="str">
        <f t="shared" si="121"/>
        <v/>
      </c>
      <c r="L1019" t="str">
        <f t="shared" si="122"/>
        <v/>
      </c>
      <c r="M1019" t="str">
        <f t="shared" si="123"/>
        <v/>
      </c>
      <c r="N1019" t="str">
        <f t="shared" si="124"/>
        <v>Invalid</v>
      </c>
      <c r="O1019" t="str">
        <f t="shared" ca="1" si="125"/>
        <v>Outdated</v>
      </c>
      <c r="P1019" t="str">
        <f t="shared" si="126"/>
        <v>Not As Described</v>
      </c>
      <c r="Q1019" t="str">
        <f t="shared" si="127"/>
        <v/>
      </c>
    </row>
    <row r="1020" spans="1:17" x14ac:dyDescent="0.45">
      <c r="A1020" t="s">
        <v>1707</v>
      </c>
      <c r="B1020" t="s">
        <v>138</v>
      </c>
      <c r="C1020" t="s">
        <v>105</v>
      </c>
      <c r="D1020" t="s">
        <v>101</v>
      </c>
      <c r="E1020" s="8">
        <v>11349.42</v>
      </c>
      <c r="F1020" s="9">
        <v>45833.666684444448</v>
      </c>
      <c r="G1020" t="s">
        <v>140</v>
      </c>
      <c r="H1020" t="s">
        <v>116</v>
      </c>
      <c r="I1020" t="s">
        <v>112</v>
      </c>
      <c r="J1020" t="str">
        <f t="shared" si="120"/>
        <v/>
      </c>
      <c r="K1020" t="str">
        <f t="shared" si="121"/>
        <v/>
      </c>
      <c r="L1020" t="str">
        <f t="shared" si="122"/>
        <v>Unusual</v>
      </c>
      <c r="M1020" t="str">
        <f t="shared" si="123"/>
        <v/>
      </c>
      <c r="N1020" t="str">
        <f t="shared" si="124"/>
        <v/>
      </c>
      <c r="O1020" t="str">
        <f t="shared" ca="1" si="125"/>
        <v>Outdated</v>
      </c>
      <c r="P1020" t="str">
        <f t="shared" si="126"/>
        <v>Damaged</v>
      </c>
      <c r="Q1020" t="str">
        <f t="shared" si="127"/>
        <v/>
      </c>
    </row>
    <row r="1021" spans="1:17" x14ac:dyDescent="0.45">
      <c r="A1021" t="s">
        <v>1708</v>
      </c>
      <c r="B1021" t="s">
        <v>95</v>
      </c>
      <c r="D1021" t="s">
        <v>74</v>
      </c>
      <c r="E1021" s="8">
        <v>4576.9799999999996</v>
      </c>
      <c r="F1021" s="9">
        <v>45439.666684444448</v>
      </c>
      <c r="G1021" t="s">
        <v>97</v>
      </c>
      <c r="H1021" t="s">
        <v>118</v>
      </c>
      <c r="I1021" t="s">
        <v>82</v>
      </c>
      <c r="J1021" t="str">
        <f t="shared" si="120"/>
        <v>Missing</v>
      </c>
      <c r="K1021" t="str">
        <f t="shared" si="121"/>
        <v>Duplicate</v>
      </c>
      <c r="L1021" t="str">
        <f t="shared" si="122"/>
        <v/>
      </c>
      <c r="M1021" t="str">
        <f t="shared" si="123"/>
        <v/>
      </c>
      <c r="N1021" t="str">
        <f t="shared" si="124"/>
        <v>Invalid</v>
      </c>
      <c r="O1021" t="str">
        <f t="shared" ca="1" si="125"/>
        <v>Outdated</v>
      </c>
      <c r="P1021" t="str">
        <f t="shared" si="126"/>
        <v>Wrong Item</v>
      </c>
      <c r="Q1021" t="str">
        <f t="shared" si="127"/>
        <v/>
      </c>
    </row>
    <row r="1022" spans="1:17" x14ac:dyDescent="0.45">
      <c r="A1022" t="s">
        <v>1709</v>
      </c>
      <c r="B1022" t="s">
        <v>172</v>
      </c>
      <c r="C1022" t="s">
        <v>160</v>
      </c>
      <c r="D1022" t="s">
        <v>74</v>
      </c>
      <c r="E1022" s="8">
        <v>0</v>
      </c>
      <c r="F1022" s="9">
        <v>45844.666684444448</v>
      </c>
      <c r="G1022" t="s">
        <v>174</v>
      </c>
      <c r="H1022" t="s">
        <v>87</v>
      </c>
      <c r="I1022" t="s">
        <v>163</v>
      </c>
      <c r="J1022" t="str">
        <f t="shared" si="120"/>
        <v/>
      </c>
      <c r="K1022" t="str">
        <f t="shared" si="121"/>
        <v/>
      </c>
      <c r="L1022" t="str">
        <f t="shared" si="122"/>
        <v>Unusual</v>
      </c>
      <c r="M1022" t="str">
        <f t="shared" si="123"/>
        <v/>
      </c>
      <c r="N1022" t="str">
        <f t="shared" si="124"/>
        <v>Invalid</v>
      </c>
      <c r="O1022" t="str">
        <f t="shared" ca="1" si="125"/>
        <v/>
      </c>
      <c r="P1022" t="str">
        <f t="shared" si="126"/>
        <v>Wrong Item</v>
      </c>
      <c r="Q1022" t="str">
        <f t="shared" si="127"/>
        <v/>
      </c>
    </row>
    <row r="1023" spans="1:17" x14ac:dyDescent="0.45">
      <c r="A1023" t="s">
        <v>1710</v>
      </c>
      <c r="B1023" t="s">
        <v>72</v>
      </c>
      <c r="C1023" t="s">
        <v>1711</v>
      </c>
      <c r="D1023" t="s">
        <v>85</v>
      </c>
      <c r="E1023" s="8">
        <v>710.68</v>
      </c>
      <c r="F1023" s="9">
        <v>45540.666684444448</v>
      </c>
      <c r="G1023" t="s">
        <v>75</v>
      </c>
      <c r="I1023" t="s">
        <v>77</v>
      </c>
      <c r="J1023" t="str">
        <f t="shared" si="120"/>
        <v/>
      </c>
      <c r="K1023" t="str">
        <f t="shared" si="121"/>
        <v>Duplicate</v>
      </c>
      <c r="L1023" t="str">
        <f t="shared" si="122"/>
        <v/>
      </c>
      <c r="M1023" t="str">
        <f t="shared" si="123"/>
        <v/>
      </c>
      <c r="N1023" t="str">
        <f t="shared" si="124"/>
        <v>Invalid</v>
      </c>
      <c r="O1023" t="str">
        <f t="shared" ca="1" si="125"/>
        <v>Outdated</v>
      </c>
      <c r="P1023" t="str">
        <f t="shared" si="126"/>
        <v>Late Delivery</v>
      </c>
      <c r="Q1023" t="str">
        <f t="shared" si="127"/>
        <v/>
      </c>
    </row>
    <row r="1024" spans="1:17" x14ac:dyDescent="0.45">
      <c r="A1024" t="s">
        <v>1712</v>
      </c>
      <c r="B1024" t="s">
        <v>172</v>
      </c>
      <c r="C1024" t="s">
        <v>1713</v>
      </c>
      <c r="D1024" t="s">
        <v>74</v>
      </c>
      <c r="E1024" s="8">
        <v>2215.81</v>
      </c>
      <c r="F1024" s="9">
        <v>45406.666684444448</v>
      </c>
      <c r="G1024" t="s">
        <v>174</v>
      </c>
      <c r="H1024" t="s">
        <v>118</v>
      </c>
      <c r="I1024" t="s">
        <v>82</v>
      </c>
      <c r="J1024" t="str">
        <f t="shared" si="120"/>
        <v/>
      </c>
      <c r="K1024" t="str">
        <f t="shared" si="121"/>
        <v/>
      </c>
      <c r="L1024" t="str">
        <f t="shared" si="122"/>
        <v/>
      </c>
      <c r="M1024" t="str">
        <f t="shared" si="123"/>
        <v/>
      </c>
      <c r="N1024" t="str">
        <f t="shared" si="124"/>
        <v>Invalid</v>
      </c>
      <c r="O1024" t="str">
        <f t="shared" ca="1" si="125"/>
        <v>Outdated</v>
      </c>
      <c r="P1024" t="str">
        <f t="shared" si="126"/>
        <v>Wrong Item</v>
      </c>
      <c r="Q1024" t="str">
        <f t="shared" si="127"/>
        <v/>
      </c>
    </row>
    <row r="1025" spans="1:17" x14ac:dyDescent="0.45">
      <c r="A1025" t="s">
        <v>1714</v>
      </c>
      <c r="B1025" t="s">
        <v>72</v>
      </c>
      <c r="C1025" t="s">
        <v>982</v>
      </c>
      <c r="D1025" t="s">
        <v>85</v>
      </c>
      <c r="E1025" s="8">
        <v>6522.48</v>
      </c>
      <c r="F1025" s="9">
        <v>45640.666684444448</v>
      </c>
      <c r="G1025" t="s">
        <v>75</v>
      </c>
      <c r="H1025" t="s">
        <v>87</v>
      </c>
      <c r="I1025" t="s">
        <v>112</v>
      </c>
      <c r="J1025" t="str">
        <f t="shared" si="120"/>
        <v/>
      </c>
      <c r="K1025" t="str">
        <f t="shared" si="121"/>
        <v>Duplicate</v>
      </c>
      <c r="L1025" t="str">
        <f t="shared" si="122"/>
        <v/>
      </c>
      <c r="M1025" t="str">
        <f t="shared" si="123"/>
        <v/>
      </c>
      <c r="N1025" t="str">
        <f t="shared" si="124"/>
        <v>Invalid</v>
      </c>
      <c r="O1025" t="str">
        <f t="shared" ca="1" si="125"/>
        <v>Outdated</v>
      </c>
      <c r="P1025" t="str">
        <f t="shared" si="126"/>
        <v>Late Delivery</v>
      </c>
      <c r="Q1025" t="str">
        <f t="shared" si="127"/>
        <v/>
      </c>
    </row>
    <row r="1026" spans="1:17" x14ac:dyDescent="0.45">
      <c r="A1026" t="s">
        <v>1715</v>
      </c>
      <c r="B1026" t="s">
        <v>99</v>
      </c>
      <c r="C1026" t="s">
        <v>875</v>
      </c>
      <c r="D1026" t="s">
        <v>74</v>
      </c>
      <c r="E1026" s="8">
        <v>2531.13</v>
      </c>
      <c r="F1026" s="9">
        <v>45680.666684444448</v>
      </c>
      <c r="H1026" t="s">
        <v>76</v>
      </c>
      <c r="I1026" t="s">
        <v>77</v>
      </c>
      <c r="J1026" t="str">
        <f t="shared" ref="J1026:J1089" si="128">IF(OR(ISBLANK(C1026),ISBLANK(D1026)),"Missing","")</f>
        <v/>
      </c>
      <c r="K1026" t="str">
        <f t="shared" ref="K1026:K1089" si="129">IF(COUNTIF($A$2:$A$2501,A1026)&gt;1,"Duplicate","")</f>
        <v/>
      </c>
      <c r="L1026" t="str">
        <f t="shared" ref="L1026:L1089" si="130">IF(OR(E1026=0,E1026&gt;10000),"Unusual","")</f>
        <v/>
      </c>
      <c r="M1026" t="str">
        <f t="shared" ref="M1026:M1089" si="131">IF(OR(ISBLANK(G1026),ISERROR(FIND("@",G1026)),ISERROR(FIND(".",G1026,FIND("@",G1026)+1))),"Invalid","")</f>
        <v>Invalid</v>
      </c>
      <c r="N1026" t="str">
        <f t="shared" ref="N1026:N1089" si="132">IF(COUNTIF($S$2:$S$6,H1026)=0,"Invalid","")</f>
        <v/>
      </c>
      <c r="O1026" t="str">
        <f t="shared" ref="O1026:O1089" ca="1" si="133">IF(F1026&lt;EDATE(TODAY(),-12),"Outdated","")</f>
        <v>Outdated</v>
      </c>
      <c r="P1026" t="str">
        <f t="shared" ref="P1026:P1089" si="134">IF(ISBLANK(D1026),"",PROPER(TRIM(D1026)))</f>
        <v>Wrong Item</v>
      </c>
      <c r="Q1026" t="str">
        <f t="shared" ref="Q1026:Q1089" si="135">IF(ISBLANK(D1026),"",IF(EXACT(D1026,P1026),"","Inconsistent"))</f>
        <v/>
      </c>
    </row>
    <row r="1027" spans="1:17" x14ac:dyDescent="0.45">
      <c r="A1027" t="s">
        <v>1716</v>
      </c>
      <c r="B1027" t="s">
        <v>172</v>
      </c>
      <c r="C1027" t="s">
        <v>1717</v>
      </c>
      <c r="E1027" s="8">
        <v>8451.11</v>
      </c>
      <c r="F1027" s="9">
        <v>45633.666684444448</v>
      </c>
      <c r="G1027" t="s">
        <v>174</v>
      </c>
      <c r="H1027" t="s">
        <v>81</v>
      </c>
      <c r="I1027" t="s">
        <v>77</v>
      </c>
      <c r="J1027" t="str">
        <f t="shared" si="128"/>
        <v>Missing</v>
      </c>
      <c r="K1027" t="str">
        <f t="shared" si="129"/>
        <v/>
      </c>
      <c r="L1027" t="str">
        <f t="shared" si="130"/>
        <v/>
      </c>
      <c r="M1027" t="str">
        <f t="shared" si="131"/>
        <v/>
      </c>
      <c r="N1027" t="str">
        <f t="shared" si="132"/>
        <v/>
      </c>
      <c r="O1027" t="str">
        <f t="shared" ca="1" si="133"/>
        <v>Outdated</v>
      </c>
      <c r="P1027" t="str">
        <f t="shared" si="134"/>
        <v/>
      </c>
      <c r="Q1027" t="str">
        <f t="shared" si="135"/>
        <v/>
      </c>
    </row>
    <row r="1028" spans="1:17" x14ac:dyDescent="0.45">
      <c r="A1028" t="s">
        <v>1718</v>
      </c>
      <c r="B1028" t="s">
        <v>95</v>
      </c>
      <c r="C1028" t="s">
        <v>872</v>
      </c>
      <c r="D1028" t="s">
        <v>101</v>
      </c>
      <c r="E1028" s="8">
        <v>10843.41</v>
      </c>
      <c r="F1028" s="9">
        <v>45576.666684444448</v>
      </c>
      <c r="G1028" t="s">
        <v>97</v>
      </c>
      <c r="H1028" t="s">
        <v>116</v>
      </c>
      <c r="I1028" t="s">
        <v>119</v>
      </c>
      <c r="J1028" t="str">
        <f t="shared" si="128"/>
        <v/>
      </c>
      <c r="K1028" t="str">
        <f t="shared" si="129"/>
        <v/>
      </c>
      <c r="L1028" t="str">
        <f t="shared" si="130"/>
        <v>Unusual</v>
      </c>
      <c r="M1028" t="str">
        <f t="shared" si="131"/>
        <v/>
      </c>
      <c r="N1028" t="str">
        <f t="shared" si="132"/>
        <v/>
      </c>
      <c r="O1028" t="str">
        <f t="shared" ca="1" si="133"/>
        <v>Outdated</v>
      </c>
      <c r="P1028" t="str">
        <f t="shared" si="134"/>
        <v>Damaged</v>
      </c>
      <c r="Q1028" t="str">
        <f t="shared" si="135"/>
        <v/>
      </c>
    </row>
    <row r="1029" spans="1:17" x14ac:dyDescent="0.45">
      <c r="A1029" t="s">
        <v>1719</v>
      </c>
      <c r="B1029" t="s">
        <v>90</v>
      </c>
      <c r="C1029" t="s">
        <v>647</v>
      </c>
      <c r="D1029" t="s">
        <v>74</v>
      </c>
      <c r="E1029" s="8">
        <v>2125.46</v>
      </c>
      <c r="F1029" s="9">
        <v>45210.666684444448</v>
      </c>
      <c r="G1029" t="s">
        <v>93</v>
      </c>
      <c r="H1029" t="s">
        <v>133</v>
      </c>
      <c r="I1029" t="s">
        <v>82</v>
      </c>
      <c r="J1029" t="str">
        <f t="shared" si="128"/>
        <v/>
      </c>
      <c r="K1029" t="str">
        <f t="shared" si="129"/>
        <v/>
      </c>
      <c r="L1029" t="str">
        <f t="shared" si="130"/>
        <v/>
      </c>
      <c r="M1029" t="str">
        <f t="shared" si="131"/>
        <v/>
      </c>
      <c r="N1029" t="str">
        <f t="shared" si="132"/>
        <v>Invalid</v>
      </c>
      <c r="O1029" t="str">
        <f t="shared" ca="1" si="133"/>
        <v>Outdated</v>
      </c>
      <c r="P1029" t="str">
        <f t="shared" si="134"/>
        <v>Wrong Item</v>
      </c>
      <c r="Q1029" t="str">
        <f t="shared" si="135"/>
        <v/>
      </c>
    </row>
    <row r="1030" spans="1:17" x14ac:dyDescent="0.45">
      <c r="A1030" t="s">
        <v>108</v>
      </c>
      <c r="B1030" t="s">
        <v>79</v>
      </c>
      <c r="C1030" t="s">
        <v>1395</v>
      </c>
      <c r="E1030" s="8">
        <v>1520.55</v>
      </c>
      <c r="F1030" s="9">
        <v>45740.666684444448</v>
      </c>
      <c r="G1030" t="s">
        <v>86</v>
      </c>
      <c r="H1030" t="s">
        <v>118</v>
      </c>
      <c r="I1030" t="s">
        <v>163</v>
      </c>
      <c r="J1030" t="str">
        <f t="shared" si="128"/>
        <v>Missing</v>
      </c>
      <c r="K1030" t="str">
        <f t="shared" si="129"/>
        <v>Duplicate</v>
      </c>
      <c r="L1030" t="str">
        <f t="shared" si="130"/>
        <v/>
      </c>
      <c r="M1030" t="str">
        <f t="shared" si="131"/>
        <v/>
      </c>
      <c r="N1030" t="str">
        <f t="shared" si="132"/>
        <v>Invalid</v>
      </c>
      <c r="O1030" t="str">
        <f t="shared" ca="1" si="133"/>
        <v>Outdated</v>
      </c>
      <c r="P1030" t="str">
        <f t="shared" si="134"/>
        <v/>
      </c>
      <c r="Q1030" t="str">
        <f t="shared" si="135"/>
        <v/>
      </c>
    </row>
    <row r="1031" spans="1:17" x14ac:dyDescent="0.45">
      <c r="A1031" t="s">
        <v>1123</v>
      </c>
      <c r="B1031" t="s">
        <v>95</v>
      </c>
      <c r="C1031" t="s">
        <v>1720</v>
      </c>
      <c r="D1031" t="s">
        <v>101</v>
      </c>
      <c r="E1031" s="8">
        <v>4780.8100000000004</v>
      </c>
      <c r="F1031" s="9">
        <v>45168.666684444448</v>
      </c>
      <c r="G1031" t="s">
        <v>97</v>
      </c>
      <c r="H1031" t="s">
        <v>145</v>
      </c>
      <c r="I1031" t="s">
        <v>77</v>
      </c>
      <c r="J1031" t="str">
        <f t="shared" si="128"/>
        <v/>
      </c>
      <c r="K1031" t="str">
        <f t="shared" si="129"/>
        <v>Duplicate</v>
      </c>
      <c r="L1031" t="str">
        <f t="shared" si="130"/>
        <v/>
      </c>
      <c r="M1031" t="str">
        <f t="shared" si="131"/>
        <v/>
      </c>
      <c r="N1031" t="str">
        <f t="shared" si="132"/>
        <v/>
      </c>
      <c r="O1031" t="str">
        <f t="shared" ca="1" si="133"/>
        <v>Outdated</v>
      </c>
      <c r="P1031" t="str">
        <f t="shared" si="134"/>
        <v>Damaged</v>
      </c>
      <c r="Q1031" t="str">
        <f t="shared" si="135"/>
        <v/>
      </c>
    </row>
    <row r="1032" spans="1:17" x14ac:dyDescent="0.45">
      <c r="A1032" t="s">
        <v>1721</v>
      </c>
      <c r="B1032" t="s">
        <v>104</v>
      </c>
      <c r="C1032" t="s">
        <v>1722</v>
      </c>
      <c r="D1032" t="s">
        <v>74</v>
      </c>
      <c r="E1032" s="8">
        <v>2039.88</v>
      </c>
      <c r="F1032" s="9">
        <v>45570.666684444448</v>
      </c>
      <c r="H1032" t="s">
        <v>133</v>
      </c>
      <c r="I1032" t="s">
        <v>88</v>
      </c>
      <c r="J1032" t="str">
        <f t="shared" si="128"/>
        <v/>
      </c>
      <c r="K1032" t="str">
        <f t="shared" si="129"/>
        <v/>
      </c>
      <c r="L1032" t="str">
        <f t="shared" si="130"/>
        <v/>
      </c>
      <c r="M1032" t="str">
        <f t="shared" si="131"/>
        <v>Invalid</v>
      </c>
      <c r="N1032" t="str">
        <f t="shared" si="132"/>
        <v>Invalid</v>
      </c>
      <c r="O1032" t="str">
        <f t="shared" ca="1" si="133"/>
        <v>Outdated</v>
      </c>
      <c r="P1032" t="str">
        <f t="shared" si="134"/>
        <v>Wrong Item</v>
      </c>
      <c r="Q1032" t="str">
        <f t="shared" si="135"/>
        <v/>
      </c>
    </row>
    <row r="1033" spans="1:17" x14ac:dyDescent="0.45">
      <c r="A1033" t="s">
        <v>1723</v>
      </c>
      <c r="B1033" t="s">
        <v>99</v>
      </c>
      <c r="C1033" t="s">
        <v>872</v>
      </c>
      <c r="D1033" t="s">
        <v>85</v>
      </c>
      <c r="E1033" s="8">
        <v>7295.51</v>
      </c>
      <c r="F1033" s="9">
        <v>45458.666684444448</v>
      </c>
      <c r="G1033" t="s">
        <v>102</v>
      </c>
      <c r="H1033" t="s">
        <v>81</v>
      </c>
      <c r="I1033" t="s">
        <v>119</v>
      </c>
      <c r="J1033" t="str">
        <f t="shared" si="128"/>
        <v/>
      </c>
      <c r="K1033" t="str">
        <f t="shared" si="129"/>
        <v/>
      </c>
      <c r="L1033" t="str">
        <f t="shared" si="130"/>
        <v/>
      </c>
      <c r="M1033" t="str">
        <f t="shared" si="131"/>
        <v/>
      </c>
      <c r="N1033" t="str">
        <f t="shared" si="132"/>
        <v/>
      </c>
      <c r="O1033" t="str">
        <f t="shared" ca="1" si="133"/>
        <v>Outdated</v>
      </c>
      <c r="P1033" t="str">
        <f t="shared" si="134"/>
        <v>Late Delivery</v>
      </c>
      <c r="Q1033" t="str">
        <f t="shared" si="135"/>
        <v/>
      </c>
    </row>
    <row r="1034" spans="1:17" x14ac:dyDescent="0.45">
      <c r="A1034" t="s">
        <v>1724</v>
      </c>
      <c r="B1034" t="s">
        <v>109</v>
      </c>
      <c r="C1034" t="s">
        <v>1725</v>
      </c>
      <c r="D1034" t="s">
        <v>85</v>
      </c>
      <c r="E1034" s="8">
        <v>1963.49</v>
      </c>
      <c r="F1034" s="9">
        <v>45746.666684444448</v>
      </c>
      <c r="G1034" t="s">
        <v>307</v>
      </c>
      <c r="H1034" t="s">
        <v>145</v>
      </c>
      <c r="I1034" t="s">
        <v>88</v>
      </c>
      <c r="J1034" t="str">
        <f t="shared" si="128"/>
        <v/>
      </c>
      <c r="K1034" t="str">
        <f t="shared" si="129"/>
        <v/>
      </c>
      <c r="L1034" t="str">
        <f t="shared" si="130"/>
        <v/>
      </c>
      <c r="M1034" t="str">
        <f t="shared" si="131"/>
        <v>Invalid</v>
      </c>
      <c r="N1034" t="str">
        <f t="shared" si="132"/>
        <v/>
      </c>
      <c r="O1034" t="str">
        <f t="shared" ca="1" si="133"/>
        <v>Outdated</v>
      </c>
      <c r="P1034" t="str">
        <f t="shared" si="134"/>
        <v>Late Delivery</v>
      </c>
      <c r="Q1034" t="str">
        <f t="shared" si="135"/>
        <v/>
      </c>
    </row>
    <row r="1035" spans="1:17" x14ac:dyDescent="0.45">
      <c r="A1035" t="s">
        <v>1726</v>
      </c>
      <c r="B1035" t="s">
        <v>72</v>
      </c>
      <c r="C1035" t="s">
        <v>1727</v>
      </c>
      <c r="D1035" t="s">
        <v>92</v>
      </c>
      <c r="E1035" s="8">
        <v>320.12</v>
      </c>
      <c r="F1035" s="9">
        <v>45384.666684444448</v>
      </c>
      <c r="G1035" t="s">
        <v>75</v>
      </c>
      <c r="H1035" t="s">
        <v>81</v>
      </c>
      <c r="I1035" t="s">
        <v>112</v>
      </c>
      <c r="J1035" t="str">
        <f t="shared" si="128"/>
        <v/>
      </c>
      <c r="K1035" t="str">
        <f t="shared" si="129"/>
        <v/>
      </c>
      <c r="L1035" t="str">
        <f t="shared" si="130"/>
        <v/>
      </c>
      <c r="M1035" t="str">
        <f t="shared" si="131"/>
        <v/>
      </c>
      <c r="N1035" t="str">
        <f t="shared" si="132"/>
        <v/>
      </c>
      <c r="O1035" t="str">
        <f t="shared" ca="1" si="133"/>
        <v>Outdated</v>
      </c>
      <c r="P1035" t="str">
        <f t="shared" si="134"/>
        <v>Not As Described</v>
      </c>
      <c r="Q1035" t="str">
        <f t="shared" si="135"/>
        <v/>
      </c>
    </row>
    <row r="1036" spans="1:17" x14ac:dyDescent="0.45">
      <c r="A1036" t="s">
        <v>1728</v>
      </c>
      <c r="B1036" t="s">
        <v>95</v>
      </c>
      <c r="C1036" t="s">
        <v>693</v>
      </c>
      <c r="D1036" t="s">
        <v>74</v>
      </c>
      <c r="E1036" s="8">
        <v>0</v>
      </c>
      <c r="F1036" s="9">
        <v>45154.666684444448</v>
      </c>
      <c r="G1036" t="s">
        <v>97</v>
      </c>
      <c r="H1036" t="s">
        <v>107</v>
      </c>
      <c r="I1036" t="s">
        <v>119</v>
      </c>
      <c r="J1036" t="str">
        <f t="shared" si="128"/>
        <v/>
      </c>
      <c r="K1036" t="str">
        <f t="shared" si="129"/>
        <v/>
      </c>
      <c r="L1036" t="str">
        <f t="shared" si="130"/>
        <v>Unusual</v>
      </c>
      <c r="M1036" t="str">
        <f t="shared" si="131"/>
        <v/>
      </c>
      <c r="N1036" t="str">
        <f t="shared" si="132"/>
        <v/>
      </c>
      <c r="O1036" t="str">
        <f t="shared" ca="1" si="133"/>
        <v>Outdated</v>
      </c>
      <c r="P1036" t="str">
        <f t="shared" si="134"/>
        <v>Wrong Item</v>
      </c>
      <c r="Q1036" t="str">
        <f t="shared" si="135"/>
        <v/>
      </c>
    </row>
    <row r="1037" spans="1:17" x14ac:dyDescent="0.45">
      <c r="A1037" t="s">
        <v>1729</v>
      </c>
      <c r="B1037" t="s">
        <v>172</v>
      </c>
      <c r="C1037" t="s">
        <v>994</v>
      </c>
      <c r="D1037" t="s">
        <v>101</v>
      </c>
      <c r="E1037" s="8">
        <v>541.07000000000005</v>
      </c>
      <c r="F1037" s="9">
        <v>45221.666684444448</v>
      </c>
      <c r="G1037" t="s">
        <v>174</v>
      </c>
      <c r="H1037" t="s">
        <v>136</v>
      </c>
      <c r="I1037" t="s">
        <v>88</v>
      </c>
      <c r="J1037" t="str">
        <f t="shared" si="128"/>
        <v/>
      </c>
      <c r="K1037" t="str">
        <f t="shared" si="129"/>
        <v/>
      </c>
      <c r="L1037" t="str">
        <f t="shared" si="130"/>
        <v/>
      </c>
      <c r="M1037" t="str">
        <f t="shared" si="131"/>
        <v/>
      </c>
      <c r="N1037" t="str">
        <f t="shared" si="132"/>
        <v>Invalid</v>
      </c>
      <c r="O1037" t="str">
        <f t="shared" ca="1" si="133"/>
        <v>Outdated</v>
      </c>
      <c r="P1037" t="str">
        <f t="shared" si="134"/>
        <v>Damaged</v>
      </c>
      <c r="Q1037" t="str">
        <f t="shared" si="135"/>
        <v/>
      </c>
    </row>
    <row r="1038" spans="1:17" x14ac:dyDescent="0.45">
      <c r="A1038" t="s">
        <v>1730</v>
      </c>
      <c r="B1038" t="s">
        <v>90</v>
      </c>
      <c r="C1038" t="s">
        <v>1731</v>
      </c>
      <c r="D1038" t="s">
        <v>101</v>
      </c>
      <c r="E1038" s="8">
        <v>10463.82</v>
      </c>
      <c r="F1038" s="9">
        <v>45362.666684444448</v>
      </c>
      <c r="G1038" t="s">
        <v>93</v>
      </c>
      <c r="H1038" t="s">
        <v>118</v>
      </c>
      <c r="I1038" t="s">
        <v>163</v>
      </c>
      <c r="J1038" t="str">
        <f t="shared" si="128"/>
        <v/>
      </c>
      <c r="K1038" t="str">
        <f t="shared" si="129"/>
        <v/>
      </c>
      <c r="L1038" t="str">
        <f t="shared" si="130"/>
        <v>Unusual</v>
      </c>
      <c r="M1038" t="str">
        <f t="shared" si="131"/>
        <v/>
      </c>
      <c r="N1038" t="str">
        <f t="shared" si="132"/>
        <v>Invalid</v>
      </c>
      <c r="O1038" t="str">
        <f t="shared" ca="1" si="133"/>
        <v>Outdated</v>
      </c>
      <c r="P1038" t="str">
        <f t="shared" si="134"/>
        <v>Damaged</v>
      </c>
      <c r="Q1038" t="str">
        <f t="shared" si="135"/>
        <v/>
      </c>
    </row>
    <row r="1039" spans="1:17" x14ac:dyDescent="0.45">
      <c r="A1039" t="s">
        <v>1732</v>
      </c>
      <c r="B1039" t="s">
        <v>104</v>
      </c>
      <c r="C1039" t="s">
        <v>1733</v>
      </c>
      <c r="D1039" t="s">
        <v>74</v>
      </c>
      <c r="E1039" s="8">
        <v>0</v>
      </c>
      <c r="F1039" s="9">
        <v>45818.666684444448</v>
      </c>
      <c r="G1039" t="s">
        <v>115</v>
      </c>
      <c r="H1039" t="s">
        <v>145</v>
      </c>
      <c r="I1039" t="s">
        <v>163</v>
      </c>
      <c r="J1039" t="str">
        <f t="shared" si="128"/>
        <v/>
      </c>
      <c r="K1039" t="str">
        <f t="shared" si="129"/>
        <v/>
      </c>
      <c r="L1039" t="str">
        <f t="shared" si="130"/>
        <v>Unusual</v>
      </c>
      <c r="M1039" t="str">
        <f t="shared" si="131"/>
        <v/>
      </c>
      <c r="N1039" t="str">
        <f t="shared" si="132"/>
        <v/>
      </c>
      <c r="O1039" t="str">
        <f t="shared" ca="1" si="133"/>
        <v>Outdated</v>
      </c>
      <c r="P1039" t="str">
        <f t="shared" si="134"/>
        <v>Wrong Item</v>
      </c>
      <c r="Q1039" t="str">
        <f t="shared" si="135"/>
        <v/>
      </c>
    </row>
    <row r="1040" spans="1:17" x14ac:dyDescent="0.45">
      <c r="A1040" t="s">
        <v>1734</v>
      </c>
      <c r="B1040" t="s">
        <v>172</v>
      </c>
      <c r="C1040" t="s">
        <v>1545</v>
      </c>
      <c r="D1040" t="s">
        <v>148</v>
      </c>
      <c r="E1040" s="8">
        <v>11547.64</v>
      </c>
      <c r="F1040" s="9">
        <v>45717.666684444448</v>
      </c>
      <c r="H1040" t="s">
        <v>116</v>
      </c>
      <c r="I1040" t="s">
        <v>88</v>
      </c>
      <c r="J1040" t="str">
        <f t="shared" si="128"/>
        <v/>
      </c>
      <c r="K1040" t="str">
        <f t="shared" si="129"/>
        <v/>
      </c>
      <c r="L1040" t="str">
        <f t="shared" si="130"/>
        <v>Unusual</v>
      </c>
      <c r="M1040" t="str">
        <f t="shared" si="131"/>
        <v>Invalid</v>
      </c>
      <c r="N1040" t="str">
        <f t="shared" si="132"/>
        <v/>
      </c>
      <c r="O1040" t="str">
        <f t="shared" ca="1" si="133"/>
        <v>Outdated</v>
      </c>
      <c r="P1040" t="str">
        <f t="shared" si="134"/>
        <v>Wrong Item</v>
      </c>
      <c r="Q1040" t="str">
        <f t="shared" si="135"/>
        <v>Inconsistent</v>
      </c>
    </row>
    <row r="1041" spans="1:17" x14ac:dyDescent="0.45">
      <c r="A1041" t="s">
        <v>1735</v>
      </c>
      <c r="B1041" t="s">
        <v>79</v>
      </c>
      <c r="C1041" t="s">
        <v>1736</v>
      </c>
      <c r="D1041" t="s">
        <v>92</v>
      </c>
      <c r="E1041" s="8">
        <v>5876.45</v>
      </c>
      <c r="F1041" s="9">
        <v>45729.666684444448</v>
      </c>
      <c r="G1041" t="s">
        <v>86</v>
      </c>
      <c r="I1041" t="s">
        <v>119</v>
      </c>
      <c r="J1041" t="str">
        <f t="shared" si="128"/>
        <v/>
      </c>
      <c r="K1041" t="str">
        <f t="shared" si="129"/>
        <v>Duplicate</v>
      </c>
      <c r="L1041" t="str">
        <f t="shared" si="130"/>
        <v/>
      </c>
      <c r="M1041" t="str">
        <f t="shared" si="131"/>
        <v/>
      </c>
      <c r="N1041" t="str">
        <f t="shared" si="132"/>
        <v>Invalid</v>
      </c>
      <c r="O1041" t="str">
        <f t="shared" ca="1" si="133"/>
        <v>Outdated</v>
      </c>
      <c r="P1041" t="str">
        <f t="shared" si="134"/>
        <v>Not As Described</v>
      </c>
      <c r="Q1041" t="str">
        <f t="shared" si="135"/>
        <v/>
      </c>
    </row>
    <row r="1042" spans="1:17" x14ac:dyDescent="0.45">
      <c r="A1042" t="s">
        <v>988</v>
      </c>
      <c r="B1042" t="s">
        <v>90</v>
      </c>
      <c r="C1042" t="s">
        <v>251</v>
      </c>
      <c r="D1042" t="s">
        <v>101</v>
      </c>
      <c r="E1042" s="8">
        <v>10000.530000000001</v>
      </c>
      <c r="F1042" s="9">
        <v>45149.666684444448</v>
      </c>
      <c r="G1042" t="s">
        <v>93</v>
      </c>
      <c r="H1042" t="s">
        <v>136</v>
      </c>
      <c r="I1042" t="s">
        <v>82</v>
      </c>
      <c r="J1042" t="str">
        <f t="shared" si="128"/>
        <v/>
      </c>
      <c r="K1042" t="str">
        <f t="shared" si="129"/>
        <v>Duplicate</v>
      </c>
      <c r="L1042" t="str">
        <f t="shared" si="130"/>
        <v>Unusual</v>
      </c>
      <c r="M1042" t="str">
        <f t="shared" si="131"/>
        <v/>
      </c>
      <c r="N1042" t="str">
        <f t="shared" si="132"/>
        <v>Invalid</v>
      </c>
      <c r="O1042" t="str">
        <f t="shared" ca="1" si="133"/>
        <v>Outdated</v>
      </c>
      <c r="P1042" t="str">
        <f t="shared" si="134"/>
        <v>Damaged</v>
      </c>
      <c r="Q1042" t="str">
        <f t="shared" si="135"/>
        <v/>
      </c>
    </row>
    <row r="1043" spans="1:17" x14ac:dyDescent="0.45">
      <c r="A1043" t="s">
        <v>1737</v>
      </c>
      <c r="B1043" t="s">
        <v>138</v>
      </c>
      <c r="C1043" t="s">
        <v>624</v>
      </c>
      <c r="D1043" t="s">
        <v>85</v>
      </c>
      <c r="E1043" s="8">
        <v>10705.84</v>
      </c>
      <c r="F1043" s="9">
        <v>45816.666684444448</v>
      </c>
      <c r="G1043" t="s">
        <v>140</v>
      </c>
      <c r="H1043" t="s">
        <v>107</v>
      </c>
      <c r="I1043" t="s">
        <v>112</v>
      </c>
      <c r="J1043" t="str">
        <f t="shared" si="128"/>
        <v/>
      </c>
      <c r="K1043" t="str">
        <f t="shared" si="129"/>
        <v/>
      </c>
      <c r="L1043" t="str">
        <f t="shared" si="130"/>
        <v>Unusual</v>
      </c>
      <c r="M1043" t="str">
        <f t="shared" si="131"/>
        <v/>
      </c>
      <c r="N1043" t="str">
        <f t="shared" si="132"/>
        <v/>
      </c>
      <c r="O1043" t="str">
        <f t="shared" ca="1" si="133"/>
        <v>Outdated</v>
      </c>
      <c r="P1043" t="str">
        <f t="shared" si="134"/>
        <v>Late Delivery</v>
      </c>
      <c r="Q1043" t="str">
        <f t="shared" si="135"/>
        <v/>
      </c>
    </row>
    <row r="1044" spans="1:17" x14ac:dyDescent="0.45">
      <c r="A1044" t="s">
        <v>1738</v>
      </c>
      <c r="B1044" t="s">
        <v>138</v>
      </c>
      <c r="C1044" t="s">
        <v>1739</v>
      </c>
      <c r="D1044" t="s">
        <v>74</v>
      </c>
      <c r="E1044" s="8">
        <v>6333.69</v>
      </c>
      <c r="F1044" s="9">
        <v>45403.666684444448</v>
      </c>
      <c r="G1044" t="s">
        <v>140</v>
      </c>
      <c r="H1044" t="s">
        <v>145</v>
      </c>
      <c r="I1044" t="s">
        <v>112</v>
      </c>
      <c r="J1044" t="str">
        <f t="shared" si="128"/>
        <v/>
      </c>
      <c r="K1044" t="str">
        <f t="shared" si="129"/>
        <v/>
      </c>
      <c r="L1044" t="str">
        <f t="shared" si="130"/>
        <v/>
      </c>
      <c r="M1044" t="str">
        <f t="shared" si="131"/>
        <v/>
      </c>
      <c r="N1044" t="str">
        <f t="shared" si="132"/>
        <v/>
      </c>
      <c r="O1044" t="str">
        <f t="shared" ca="1" si="133"/>
        <v>Outdated</v>
      </c>
      <c r="P1044" t="str">
        <f t="shared" si="134"/>
        <v>Wrong Item</v>
      </c>
      <c r="Q1044" t="str">
        <f t="shared" si="135"/>
        <v/>
      </c>
    </row>
    <row r="1045" spans="1:17" x14ac:dyDescent="0.45">
      <c r="A1045" t="s">
        <v>1740</v>
      </c>
      <c r="B1045" t="s">
        <v>138</v>
      </c>
      <c r="C1045" t="s">
        <v>1741</v>
      </c>
      <c r="D1045" t="s">
        <v>148</v>
      </c>
      <c r="E1045" s="8">
        <v>10119.64</v>
      </c>
      <c r="F1045" s="9">
        <v>45718.666684444448</v>
      </c>
      <c r="G1045" t="s">
        <v>140</v>
      </c>
      <c r="H1045" t="s">
        <v>145</v>
      </c>
      <c r="I1045" t="s">
        <v>77</v>
      </c>
      <c r="J1045" t="str">
        <f t="shared" si="128"/>
        <v/>
      </c>
      <c r="K1045" t="str">
        <f t="shared" si="129"/>
        <v/>
      </c>
      <c r="L1045" t="str">
        <f t="shared" si="130"/>
        <v>Unusual</v>
      </c>
      <c r="M1045" t="str">
        <f t="shared" si="131"/>
        <v/>
      </c>
      <c r="N1045" t="str">
        <f t="shared" si="132"/>
        <v/>
      </c>
      <c r="O1045" t="str">
        <f t="shared" ca="1" si="133"/>
        <v>Outdated</v>
      </c>
      <c r="P1045" t="str">
        <f t="shared" si="134"/>
        <v>Wrong Item</v>
      </c>
      <c r="Q1045" t="str">
        <f t="shared" si="135"/>
        <v>Inconsistent</v>
      </c>
    </row>
    <row r="1046" spans="1:17" x14ac:dyDescent="0.45">
      <c r="A1046" t="s">
        <v>1742</v>
      </c>
      <c r="B1046" t="s">
        <v>99</v>
      </c>
      <c r="C1046" t="s">
        <v>590</v>
      </c>
      <c r="D1046" t="s">
        <v>74</v>
      </c>
      <c r="E1046" s="8">
        <v>124.15</v>
      </c>
      <c r="F1046" s="9">
        <v>45169.666684444448</v>
      </c>
      <c r="G1046" t="s">
        <v>102</v>
      </c>
      <c r="H1046" t="s">
        <v>133</v>
      </c>
      <c r="I1046" t="s">
        <v>163</v>
      </c>
      <c r="J1046" t="str">
        <f t="shared" si="128"/>
        <v/>
      </c>
      <c r="K1046" t="str">
        <f t="shared" si="129"/>
        <v>Duplicate</v>
      </c>
      <c r="L1046" t="str">
        <f t="shared" si="130"/>
        <v/>
      </c>
      <c r="M1046" t="str">
        <f t="shared" si="131"/>
        <v/>
      </c>
      <c r="N1046" t="str">
        <f t="shared" si="132"/>
        <v>Invalid</v>
      </c>
      <c r="O1046" t="str">
        <f t="shared" ca="1" si="133"/>
        <v>Outdated</v>
      </c>
      <c r="P1046" t="str">
        <f t="shared" si="134"/>
        <v>Wrong Item</v>
      </c>
      <c r="Q1046" t="str">
        <f t="shared" si="135"/>
        <v/>
      </c>
    </row>
    <row r="1047" spans="1:17" x14ac:dyDescent="0.45">
      <c r="A1047" t="s">
        <v>1743</v>
      </c>
      <c r="B1047" t="s">
        <v>95</v>
      </c>
      <c r="C1047" t="s">
        <v>183</v>
      </c>
      <c r="D1047" t="s">
        <v>74</v>
      </c>
      <c r="E1047" s="8">
        <v>8446.9599999999991</v>
      </c>
      <c r="F1047" s="9">
        <v>45307.666684444448</v>
      </c>
      <c r="G1047" t="s">
        <v>97</v>
      </c>
      <c r="H1047" t="s">
        <v>118</v>
      </c>
      <c r="I1047" t="s">
        <v>119</v>
      </c>
      <c r="J1047" t="str">
        <f t="shared" si="128"/>
        <v/>
      </c>
      <c r="K1047" t="str">
        <f t="shared" si="129"/>
        <v/>
      </c>
      <c r="L1047" t="str">
        <f t="shared" si="130"/>
        <v/>
      </c>
      <c r="M1047" t="str">
        <f t="shared" si="131"/>
        <v/>
      </c>
      <c r="N1047" t="str">
        <f t="shared" si="132"/>
        <v>Invalid</v>
      </c>
      <c r="O1047" t="str">
        <f t="shared" ca="1" si="133"/>
        <v>Outdated</v>
      </c>
      <c r="P1047" t="str">
        <f t="shared" si="134"/>
        <v>Wrong Item</v>
      </c>
      <c r="Q1047" t="str">
        <f t="shared" si="135"/>
        <v/>
      </c>
    </row>
    <row r="1048" spans="1:17" x14ac:dyDescent="0.45">
      <c r="A1048" t="s">
        <v>1744</v>
      </c>
      <c r="B1048" t="s">
        <v>72</v>
      </c>
      <c r="C1048" t="s">
        <v>1631</v>
      </c>
      <c r="D1048" t="s">
        <v>85</v>
      </c>
      <c r="E1048" s="8">
        <v>11614.35</v>
      </c>
      <c r="F1048" s="9">
        <v>45609.666684444448</v>
      </c>
      <c r="G1048" t="s">
        <v>75</v>
      </c>
      <c r="H1048" t="s">
        <v>81</v>
      </c>
      <c r="I1048" t="s">
        <v>77</v>
      </c>
      <c r="J1048" t="str">
        <f t="shared" si="128"/>
        <v/>
      </c>
      <c r="K1048" t="str">
        <f t="shared" si="129"/>
        <v/>
      </c>
      <c r="L1048" t="str">
        <f t="shared" si="130"/>
        <v>Unusual</v>
      </c>
      <c r="M1048" t="str">
        <f t="shared" si="131"/>
        <v/>
      </c>
      <c r="N1048" t="str">
        <f t="shared" si="132"/>
        <v/>
      </c>
      <c r="O1048" t="str">
        <f t="shared" ca="1" si="133"/>
        <v>Outdated</v>
      </c>
      <c r="P1048" t="str">
        <f t="shared" si="134"/>
        <v>Late Delivery</v>
      </c>
      <c r="Q1048" t="str">
        <f t="shared" si="135"/>
        <v/>
      </c>
    </row>
    <row r="1049" spans="1:17" x14ac:dyDescent="0.45">
      <c r="A1049" t="s">
        <v>1745</v>
      </c>
      <c r="B1049" t="s">
        <v>95</v>
      </c>
      <c r="C1049" t="s">
        <v>1746</v>
      </c>
      <c r="D1049" t="s">
        <v>85</v>
      </c>
      <c r="E1049" s="8">
        <v>5385.98</v>
      </c>
      <c r="F1049" s="9">
        <v>45659.666684444448</v>
      </c>
      <c r="G1049" t="s">
        <v>97</v>
      </c>
      <c r="H1049" t="s">
        <v>107</v>
      </c>
      <c r="I1049" t="s">
        <v>119</v>
      </c>
      <c r="J1049" t="str">
        <f t="shared" si="128"/>
        <v/>
      </c>
      <c r="K1049" t="str">
        <f t="shared" si="129"/>
        <v/>
      </c>
      <c r="L1049" t="str">
        <f t="shared" si="130"/>
        <v/>
      </c>
      <c r="M1049" t="str">
        <f t="shared" si="131"/>
        <v/>
      </c>
      <c r="N1049" t="str">
        <f t="shared" si="132"/>
        <v/>
      </c>
      <c r="O1049" t="str">
        <f t="shared" ca="1" si="133"/>
        <v>Outdated</v>
      </c>
      <c r="P1049" t="str">
        <f t="shared" si="134"/>
        <v>Late Delivery</v>
      </c>
      <c r="Q1049" t="str">
        <f t="shared" si="135"/>
        <v/>
      </c>
    </row>
    <row r="1050" spans="1:17" x14ac:dyDescent="0.45">
      <c r="A1050" t="s">
        <v>1747</v>
      </c>
      <c r="B1050" t="s">
        <v>104</v>
      </c>
      <c r="C1050" t="s">
        <v>420</v>
      </c>
      <c r="D1050" t="s">
        <v>85</v>
      </c>
      <c r="E1050" s="8">
        <v>0</v>
      </c>
      <c r="F1050" s="9">
        <v>45795.666684444448</v>
      </c>
      <c r="H1050" t="s">
        <v>133</v>
      </c>
      <c r="I1050" t="s">
        <v>77</v>
      </c>
      <c r="J1050" t="str">
        <f t="shared" si="128"/>
        <v/>
      </c>
      <c r="K1050" t="str">
        <f t="shared" si="129"/>
        <v/>
      </c>
      <c r="L1050" t="str">
        <f t="shared" si="130"/>
        <v>Unusual</v>
      </c>
      <c r="M1050" t="str">
        <f t="shared" si="131"/>
        <v>Invalid</v>
      </c>
      <c r="N1050" t="str">
        <f t="shared" si="132"/>
        <v>Invalid</v>
      </c>
      <c r="O1050" t="str">
        <f t="shared" ca="1" si="133"/>
        <v>Outdated</v>
      </c>
      <c r="P1050" t="str">
        <f t="shared" si="134"/>
        <v>Late Delivery</v>
      </c>
      <c r="Q1050" t="str">
        <f t="shared" si="135"/>
        <v/>
      </c>
    </row>
    <row r="1051" spans="1:17" x14ac:dyDescent="0.45">
      <c r="A1051" t="s">
        <v>1748</v>
      </c>
      <c r="B1051" t="s">
        <v>95</v>
      </c>
      <c r="C1051" t="s">
        <v>1749</v>
      </c>
      <c r="D1051" t="s">
        <v>74</v>
      </c>
      <c r="E1051" s="8">
        <v>8270.93</v>
      </c>
      <c r="F1051" s="9">
        <v>45580.666684444448</v>
      </c>
      <c r="G1051" t="s">
        <v>97</v>
      </c>
      <c r="I1051" t="s">
        <v>112</v>
      </c>
      <c r="J1051" t="str">
        <f t="shared" si="128"/>
        <v/>
      </c>
      <c r="K1051" t="str">
        <f t="shared" si="129"/>
        <v/>
      </c>
      <c r="L1051" t="str">
        <f t="shared" si="130"/>
        <v/>
      </c>
      <c r="M1051" t="str">
        <f t="shared" si="131"/>
        <v/>
      </c>
      <c r="N1051" t="str">
        <f t="shared" si="132"/>
        <v>Invalid</v>
      </c>
      <c r="O1051" t="str">
        <f t="shared" ca="1" si="133"/>
        <v>Outdated</v>
      </c>
      <c r="P1051" t="str">
        <f t="shared" si="134"/>
        <v>Wrong Item</v>
      </c>
      <c r="Q1051" t="str">
        <f t="shared" si="135"/>
        <v/>
      </c>
    </row>
    <row r="1052" spans="1:17" x14ac:dyDescent="0.45">
      <c r="A1052" t="s">
        <v>1750</v>
      </c>
      <c r="B1052" t="s">
        <v>95</v>
      </c>
      <c r="C1052" t="s">
        <v>519</v>
      </c>
      <c r="D1052" t="s">
        <v>101</v>
      </c>
      <c r="E1052" s="8">
        <v>6457.64</v>
      </c>
      <c r="F1052" s="9">
        <v>45412.666684444448</v>
      </c>
      <c r="G1052" t="s">
        <v>97</v>
      </c>
      <c r="H1052" t="s">
        <v>145</v>
      </c>
      <c r="I1052" t="s">
        <v>112</v>
      </c>
      <c r="J1052" t="str">
        <f t="shared" si="128"/>
        <v/>
      </c>
      <c r="K1052" t="str">
        <f t="shared" si="129"/>
        <v/>
      </c>
      <c r="L1052" t="str">
        <f t="shared" si="130"/>
        <v/>
      </c>
      <c r="M1052" t="str">
        <f t="shared" si="131"/>
        <v/>
      </c>
      <c r="N1052" t="str">
        <f t="shared" si="132"/>
        <v/>
      </c>
      <c r="O1052" t="str">
        <f t="shared" ca="1" si="133"/>
        <v>Outdated</v>
      </c>
      <c r="P1052" t="str">
        <f t="shared" si="134"/>
        <v>Damaged</v>
      </c>
      <c r="Q1052" t="str">
        <f t="shared" si="135"/>
        <v/>
      </c>
    </row>
    <row r="1053" spans="1:17" x14ac:dyDescent="0.45">
      <c r="A1053" t="s">
        <v>1751</v>
      </c>
      <c r="B1053" t="s">
        <v>79</v>
      </c>
      <c r="C1053" t="s">
        <v>1617</v>
      </c>
      <c r="D1053" t="s">
        <v>85</v>
      </c>
      <c r="E1053" s="8">
        <v>3525.14</v>
      </c>
      <c r="F1053" s="9">
        <v>45313.666684444448</v>
      </c>
      <c r="G1053" t="s">
        <v>86</v>
      </c>
      <c r="H1053" t="s">
        <v>81</v>
      </c>
      <c r="I1053" t="s">
        <v>77</v>
      </c>
      <c r="J1053" t="str">
        <f t="shared" si="128"/>
        <v/>
      </c>
      <c r="K1053" t="str">
        <f t="shared" si="129"/>
        <v/>
      </c>
      <c r="L1053" t="str">
        <f t="shared" si="130"/>
        <v/>
      </c>
      <c r="M1053" t="str">
        <f t="shared" si="131"/>
        <v/>
      </c>
      <c r="N1053" t="str">
        <f t="shared" si="132"/>
        <v/>
      </c>
      <c r="O1053" t="str">
        <f t="shared" ca="1" si="133"/>
        <v>Outdated</v>
      </c>
      <c r="P1053" t="str">
        <f t="shared" si="134"/>
        <v>Late Delivery</v>
      </c>
      <c r="Q1053" t="str">
        <f t="shared" si="135"/>
        <v/>
      </c>
    </row>
    <row r="1054" spans="1:17" x14ac:dyDescent="0.45">
      <c r="A1054" t="s">
        <v>1752</v>
      </c>
      <c r="B1054" t="s">
        <v>72</v>
      </c>
      <c r="C1054" t="s">
        <v>1249</v>
      </c>
      <c r="D1054" t="s">
        <v>74</v>
      </c>
      <c r="E1054" s="8">
        <v>6002.78</v>
      </c>
      <c r="F1054" s="9">
        <v>45727.666684444448</v>
      </c>
      <c r="G1054" t="s">
        <v>521</v>
      </c>
      <c r="H1054" t="s">
        <v>145</v>
      </c>
      <c r="I1054" t="s">
        <v>77</v>
      </c>
      <c r="J1054" t="str">
        <f t="shared" si="128"/>
        <v/>
      </c>
      <c r="K1054" t="str">
        <f t="shared" si="129"/>
        <v/>
      </c>
      <c r="L1054" t="str">
        <f t="shared" si="130"/>
        <v/>
      </c>
      <c r="M1054" t="str">
        <f t="shared" si="131"/>
        <v>Invalid</v>
      </c>
      <c r="N1054" t="str">
        <f t="shared" si="132"/>
        <v/>
      </c>
      <c r="O1054" t="str">
        <f t="shared" ca="1" si="133"/>
        <v>Outdated</v>
      </c>
      <c r="P1054" t="str">
        <f t="shared" si="134"/>
        <v>Wrong Item</v>
      </c>
      <c r="Q1054" t="str">
        <f t="shared" si="135"/>
        <v/>
      </c>
    </row>
    <row r="1055" spans="1:17" x14ac:dyDescent="0.45">
      <c r="A1055" t="s">
        <v>1753</v>
      </c>
      <c r="B1055" t="s">
        <v>95</v>
      </c>
      <c r="C1055" t="s">
        <v>1754</v>
      </c>
      <c r="D1055" t="s">
        <v>148</v>
      </c>
      <c r="E1055" s="8">
        <v>4088.23</v>
      </c>
      <c r="F1055" s="9">
        <v>45574.666684444448</v>
      </c>
      <c r="H1055" t="s">
        <v>136</v>
      </c>
      <c r="I1055" t="s">
        <v>112</v>
      </c>
      <c r="J1055" t="str">
        <f t="shared" si="128"/>
        <v/>
      </c>
      <c r="K1055" t="str">
        <f t="shared" si="129"/>
        <v/>
      </c>
      <c r="L1055" t="str">
        <f t="shared" si="130"/>
        <v/>
      </c>
      <c r="M1055" t="str">
        <f t="shared" si="131"/>
        <v>Invalid</v>
      </c>
      <c r="N1055" t="str">
        <f t="shared" si="132"/>
        <v>Invalid</v>
      </c>
      <c r="O1055" t="str">
        <f t="shared" ca="1" si="133"/>
        <v>Outdated</v>
      </c>
      <c r="P1055" t="str">
        <f t="shared" si="134"/>
        <v>Wrong Item</v>
      </c>
      <c r="Q1055" t="str">
        <f t="shared" si="135"/>
        <v>Inconsistent</v>
      </c>
    </row>
    <row r="1056" spans="1:17" x14ac:dyDescent="0.45">
      <c r="A1056" t="s">
        <v>1755</v>
      </c>
      <c r="B1056" t="s">
        <v>72</v>
      </c>
      <c r="C1056" t="s">
        <v>1083</v>
      </c>
      <c r="D1056" t="s">
        <v>74</v>
      </c>
      <c r="E1056" s="8">
        <v>7045.59</v>
      </c>
      <c r="F1056" s="9">
        <v>45778.666684444448</v>
      </c>
      <c r="G1056" t="s">
        <v>75</v>
      </c>
      <c r="H1056" t="s">
        <v>87</v>
      </c>
      <c r="I1056" t="s">
        <v>77</v>
      </c>
      <c r="J1056" t="str">
        <f t="shared" si="128"/>
        <v/>
      </c>
      <c r="K1056" t="str">
        <f t="shared" si="129"/>
        <v/>
      </c>
      <c r="L1056" t="str">
        <f t="shared" si="130"/>
        <v/>
      </c>
      <c r="M1056" t="str">
        <f t="shared" si="131"/>
        <v/>
      </c>
      <c r="N1056" t="str">
        <f t="shared" si="132"/>
        <v>Invalid</v>
      </c>
      <c r="O1056" t="str">
        <f t="shared" ca="1" si="133"/>
        <v>Outdated</v>
      </c>
      <c r="P1056" t="str">
        <f t="shared" si="134"/>
        <v>Wrong Item</v>
      </c>
      <c r="Q1056" t="str">
        <f t="shared" si="135"/>
        <v/>
      </c>
    </row>
    <row r="1057" spans="1:17" x14ac:dyDescent="0.45">
      <c r="A1057" t="s">
        <v>1756</v>
      </c>
      <c r="B1057" t="s">
        <v>109</v>
      </c>
      <c r="C1057" t="s">
        <v>1427</v>
      </c>
      <c r="D1057" t="s">
        <v>85</v>
      </c>
      <c r="E1057" s="8">
        <v>0</v>
      </c>
      <c r="F1057" s="9">
        <v>45631.666684444448</v>
      </c>
      <c r="G1057" t="s">
        <v>111</v>
      </c>
      <c r="H1057" t="s">
        <v>116</v>
      </c>
      <c r="I1057" t="s">
        <v>112</v>
      </c>
      <c r="J1057" t="str">
        <f t="shared" si="128"/>
        <v/>
      </c>
      <c r="K1057" t="str">
        <f t="shared" si="129"/>
        <v/>
      </c>
      <c r="L1057" t="str">
        <f t="shared" si="130"/>
        <v>Unusual</v>
      </c>
      <c r="M1057" t="str">
        <f t="shared" si="131"/>
        <v/>
      </c>
      <c r="N1057" t="str">
        <f t="shared" si="132"/>
        <v/>
      </c>
      <c r="O1057" t="str">
        <f t="shared" ca="1" si="133"/>
        <v>Outdated</v>
      </c>
      <c r="P1057" t="str">
        <f t="shared" si="134"/>
        <v>Late Delivery</v>
      </c>
      <c r="Q1057" t="str">
        <f t="shared" si="135"/>
        <v/>
      </c>
    </row>
    <row r="1058" spans="1:17" x14ac:dyDescent="0.45">
      <c r="A1058" t="s">
        <v>1757</v>
      </c>
      <c r="B1058" t="s">
        <v>138</v>
      </c>
      <c r="C1058" t="s">
        <v>994</v>
      </c>
      <c r="D1058" t="s">
        <v>92</v>
      </c>
      <c r="E1058" s="8">
        <v>6748.54</v>
      </c>
      <c r="F1058" s="9">
        <v>45221.666684444448</v>
      </c>
      <c r="G1058" t="s">
        <v>140</v>
      </c>
      <c r="H1058" t="s">
        <v>107</v>
      </c>
      <c r="I1058" t="s">
        <v>88</v>
      </c>
      <c r="J1058" t="str">
        <f t="shared" si="128"/>
        <v/>
      </c>
      <c r="K1058" t="str">
        <f t="shared" si="129"/>
        <v/>
      </c>
      <c r="L1058" t="str">
        <f t="shared" si="130"/>
        <v/>
      </c>
      <c r="M1058" t="str">
        <f t="shared" si="131"/>
        <v/>
      </c>
      <c r="N1058" t="str">
        <f t="shared" si="132"/>
        <v/>
      </c>
      <c r="O1058" t="str">
        <f t="shared" ca="1" si="133"/>
        <v>Outdated</v>
      </c>
      <c r="P1058" t="str">
        <f t="shared" si="134"/>
        <v>Not As Described</v>
      </c>
      <c r="Q1058" t="str">
        <f t="shared" si="135"/>
        <v/>
      </c>
    </row>
    <row r="1059" spans="1:17" x14ac:dyDescent="0.45">
      <c r="A1059" t="s">
        <v>1758</v>
      </c>
      <c r="B1059" t="s">
        <v>172</v>
      </c>
      <c r="C1059" t="s">
        <v>1759</v>
      </c>
      <c r="D1059" t="s">
        <v>101</v>
      </c>
      <c r="E1059" s="8">
        <v>8437.1299999999992</v>
      </c>
      <c r="F1059" s="9">
        <v>45609.666684444448</v>
      </c>
      <c r="G1059" t="s">
        <v>174</v>
      </c>
      <c r="I1059" t="s">
        <v>88</v>
      </c>
      <c r="J1059" t="str">
        <f t="shared" si="128"/>
        <v/>
      </c>
      <c r="K1059" t="str">
        <f t="shared" si="129"/>
        <v/>
      </c>
      <c r="L1059" t="str">
        <f t="shared" si="130"/>
        <v/>
      </c>
      <c r="M1059" t="str">
        <f t="shared" si="131"/>
        <v/>
      </c>
      <c r="N1059" t="str">
        <f t="shared" si="132"/>
        <v>Invalid</v>
      </c>
      <c r="O1059" t="str">
        <f t="shared" ca="1" si="133"/>
        <v>Outdated</v>
      </c>
      <c r="P1059" t="str">
        <f t="shared" si="134"/>
        <v>Damaged</v>
      </c>
      <c r="Q1059" t="str">
        <f t="shared" si="135"/>
        <v/>
      </c>
    </row>
    <row r="1060" spans="1:17" x14ac:dyDescent="0.45">
      <c r="A1060" t="s">
        <v>1760</v>
      </c>
      <c r="B1060" t="s">
        <v>79</v>
      </c>
      <c r="C1060" t="s">
        <v>1634</v>
      </c>
      <c r="D1060" t="s">
        <v>85</v>
      </c>
      <c r="E1060" s="8">
        <v>5644.46</v>
      </c>
      <c r="F1060" s="9">
        <v>45484.666684444448</v>
      </c>
      <c r="G1060" t="s">
        <v>86</v>
      </c>
      <c r="H1060" t="s">
        <v>128</v>
      </c>
      <c r="I1060" t="s">
        <v>77</v>
      </c>
      <c r="J1060" t="str">
        <f t="shared" si="128"/>
        <v/>
      </c>
      <c r="K1060" t="str">
        <f t="shared" si="129"/>
        <v/>
      </c>
      <c r="L1060" t="str">
        <f t="shared" si="130"/>
        <v/>
      </c>
      <c r="M1060" t="str">
        <f t="shared" si="131"/>
        <v/>
      </c>
      <c r="N1060" t="str">
        <f t="shared" si="132"/>
        <v>Invalid</v>
      </c>
      <c r="O1060" t="str">
        <f t="shared" ca="1" si="133"/>
        <v>Outdated</v>
      </c>
      <c r="P1060" t="str">
        <f t="shared" si="134"/>
        <v>Late Delivery</v>
      </c>
      <c r="Q1060" t="str">
        <f t="shared" si="135"/>
        <v/>
      </c>
    </row>
    <row r="1061" spans="1:17" x14ac:dyDescent="0.45">
      <c r="A1061" t="s">
        <v>1761</v>
      </c>
      <c r="B1061" t="s">
        <v>138</v>
      </c>
      <c r="C1061" t="s">
        <v>436</v>
      </c>
      <c r="E1061" s="8">
        <v>9200.4599999999991</v>
      </c>
      <c r="F1061" s="9">
        <v>45546.666684444448</v>
      </c>
      <c r="G1061" t="s">
        <v>140</v>
      </c>
      <c r="H1061" t="s">
        <v>133</v>
      </c>
      <c r="I1061" t="s">
        <v>88</v>
      </c>
      <c r="J1061" t="str">
        <f t="shared" si="128"/>
        <v>Missing</v>
      </c>
      <c r="K1061" t="str">
        <f t="shared" si="129"/>
        <v/>
      </c>
      <c r="L1061" t="str">
        <f t="shared" si="130"/>
        <v/>
      </c>
      <c r="M1061" t="str">
        <f t="shared" si="131"/>
        <v/>
      </c>
      <c r="N1061" t="str">
        <f t="shared" si="132"/>
        <v>Invalid</v>
      </c>
      <c r="O1061" t="str">
        <f t="shared" ca="1" si="133"/>
        <v>Outdated</v>
      </c>
      <c r="P1061" t="str">
        <f t="shared" si="134"/>
        <v/>
      </c>
      <c r="Q1061" t="str">
        <f t="shared" si="135"/>
        <v/>
      </c>
    </row>
    <row r="1062" spans="1:17" x14ac:dyDescent="0.45">
      <c r="A1062" t="s">
        <v>1762</v>
      </c>
      <c r="B1062" t="s">
        <v>72</v>
      </c>
      <c r="D1062" t="s">
        <v>74</v>
      </c>
      <c r="E1062" s="8">
        <v>8955.0499999999993</v>
      </c>
      <c r="F1062" s="9">
        <v>45469.666684444448</v>
      </c>
      <c r="G1062" t="s">
        <v>75</v>
      </c>
      <c r="H1062" t="s">
        <v>76</v>
      </c>
      <c r="I1062" t="s">
        <v>77</v>
      </c>
      <c r="J1062" t="str">
        <f t="shared" si="128"/>
        <v>Missing</v>
      </c>
      <c r="K1062" t="str">
        <f t="shared" si="129"/>
        <v/>
      </c>
      <c r="L1062" t="str">
        <f t="shared" si="130"/>
        <v/>
      </c>
      <c r="M1062" t="str">
        <f t="shared" si="131"/>
        <v/>
      </c>
      <c r="N1062" t="str">
        <f t="shared" si="132"/>
        <v/>
      </c>
      <c r="O1062" t="str">
        <f t="shared" ca="1" si="133"/>
        <v>Outdated</v>
      </c>
      <c r="P1062" t="str">
        <f t="shared" si="134"/>
        <v>Wrong Item</v>
      </c>
      <c r="Q1062" t="str">
        <f t="shared" si="135"/>
        <v/>
      </c>
    </row>
    <row r="1063" spans="1:17" x14ac:dyDescent="0.45">
      <c r="A1063" t="s">
        <v>1763</v>
      </c>
      <c r="B1063" t="s">
        <v>138</v>
      </c>
      <c r="C1063" t="s">
        <v>1764</v>
      </c>
      <c r="D1063" t="s">
        <v>155</v>
      </c>
      <c r="E1063" s="8">
        <v>774.43</v>
      </c>
      <c r="F1063" s="9">
        <v>45456.666684444448</v>
      </c>
      <c r="G1063" t="s">
        <v>194</v>
      </c>
      <c r="H1063" t="s">
        <v>128</v>
      </c>
      <c r="I1063" t="s">
        <v>88</v>
      </c>
      <c r="J1063" t="str">
        <f t="shared" si="128"/>
        <v/>
      </c>
      <c r="K1063" t="str">
        <f t="shared" si="129"/>
        <v/>
      </c>
      <c r="L1063" t="str">
        <f t="shared" si="130"/>
        <v/>
      </c>
      <c r="M1063" t="str">
        <f t="shared" si="131"/>
        <v>Invalid</v>
      </c>
      <c r="N1063" t="str">
        <f t="shared" si="132"/>
        <v>Invalid</v>
      </c>
      <c r="O1063" t="str">
        <f t="shared" ca="1" si="133"/>
        <v>Outdated</v>
      </c>
      <c r="P1063" t="str">
        <f t="shared" si="134"/>
        <v>Damaged</v>
      </c>
      <c r="Q1063" t="str">
        <f t="shared" si="135"/>
        <v>Inconsistent</v>
      </c>
    </row>
    <row r="1064" spans="1:17" x14ac:dyDescent="0.45">
      <c r="A1064" t="s">
        <v>1765</v>
      </c>
      <c r="B1064" t="s">
        <v>95</v>
      </c>
      <c r="C1064" t="s">
        <v>273</v>
      </c>
      <c r="D1064" t="s">
        <v>85</v>
      </c>
      <c r="E1064" s="8">
        <v>4293.76</v>
      </c>
      <c r="F1064" s="9">
        <v>45814.666684444448</v>
      </c>
      <c r="H1064" t="s">
        <v>145</v>
      </c>
      <c r="I1064" t="s">
        <v>82</v>
      </c>
      <c r="J1064" t="str">
        <f t="shared" si="128"/>
        <v/>
      </c>
      <c r="K1064" t="str">
        <f t="shared" si="129"/>
        <v/>
      </c>
      <c r="L1064" t="str">
        <f t="shared" si="130"/>
        <v/>
      </c>
      <c r="M1064" t="str">
        <f t="shared" si="131"/>
        <v>Invalid</v>
      </c>
      <c r="N1064" t="str">
        <f t="shared" si="132"/>
        <v/>
      </c>
      <c r="O1064" t="str">
        <f t="shared" ca="1" si="133"/>
        <v>Outdated</v>
      </c>
      <c r="P1064" t="str">
        <f t="shared" si="134"/>
        <v>Late Delivery</v>
      </c>
      <c r="Q1064" t="str">
        <f t="shared" si="135"/>
        <v/>
      </c>
    </row>
    <row r="1065" spans="1:17" x14ac:dyDescent="0.45">
      <c r="A1065" t="s">
        <v>1766</v>
      </c>
      <c r="B1065" t="s">
        <v>172</v>
      </c>
      <c r="C1065" t="s">
        <v>1413</v>
      </c>
      <c r="D1065" t="s">
        <v>101</v>
      </c>
      <c r="E1065" s="8">
        <v>9686.5300000000007</v>
      </c>
      <c r="F1065" s="9">
        <v>45235.666684444448</v>
      </c>
      <c r="G1065" t="s">
        <v>174</v>
      </c>
      <c r="H1065" t="s">
        <v>136</v>
      </c>
      <c r="I1065" t="s">
        <v>163</v>
      </c>
      <c r="J1065" t="str">
        <f t="shared" si="128"/>
        <v/>
      </c>
      <c r="K1065" t="str">
        <f t="shared" si="129"/>
        <v/>
      </c>
      <c r="L1065" t="str">
        <f t="shared" si="130"/>
        <v/>
      </c>
      <c r="M1065" t="str">
        <f t="shared" si="131"/>
        <v/>
      </c>
      <c r="N1065" t="str">
        <f t="shared" si="132"/>
        <v>Invalid</v>
      </c>
      <c r="O1065" t="str">
        <f t="shared" ca="1" si="133"/>
        <v>Outdated</v>
      </c>
      <c r="P1065" t="str">
        <f t="shared" si="134"/>
        <v>Damaged</v>
      </c>
      <c r="Q1065" t="str">
        <f t="shared" si="135"/>
        <v/>
      </c>
    </row>
    <row r="1066" spans="1:17" x14ac:dyDescent="0.45">
      <c r="A1066" t="s">
        <v>1485</v>
      </c>
      <c r="B1066" t="s">
        <v>95</v>
      </c>
      <c r="C1066" t="s">
        <v>1767</v>
      </c>
      <c r="D1066" t="s">
        <v>101</v>
      </c>
      <c r="E1066" s="8">
        <v>3804.01</v>
      </c>
      <c r="F1066" s="9">
        <v>45292.666684444448</v>
      </c>
      <c r="G1066" t="s">
        <v>97</v>
      </c>
      <c r="I1066" t="s">
        <v>112</v>
      </c>
      <c r="J1066" t="str">
        <f t="shared" si="128"/>
        <v/>
      </c>
      <c r="K1066" t="str">
        <f t="shared" si="129"/>
        <v>Duplicate</v>
      </c>
      <c r="L1066" t="str">
        <f t="shared" si="130"/>
        <v/>
      </c>
      <c r="M1066" t="str">
        <f t="shared" si="131"/>
        <v/>
      </c>
      <c r="N1066" t="str">
        <f t="shared" si="132"/>
        <v>Invalid</v>
      </c>
      <c r="O1066" t="str">
        <f t="shared" ca="1" si="133"/>
        <v>Outdated</v>
      </c>
      <c r="P1066" t="str">
        <f t="shared" si="134"/>
        <v>Damaged</v>
      </c>
      <c r="Q1066" t="str">
        <f t="shared" si="135"/>
        <v/>
      </c>
    </row>
    <row r="1067" spans="1:17" x14ac:dyDescent="0.45">
      <c r="A1067" t="s">
        <v>1768</v>
      </c>
      <c r="B1067" t="s">
        <v>104</v>
      </c>
      <c r="C1067" t="s">
        <v>121</v>
      </c>
      <c r="D1067" t="s">
        <v>101</v>
      </c>
      <c r="E1067" s="8">
        <v>10155.450000000001</v>
      </c>
      <c r="F1067" s="9">
        <v>45465.666684444448</v>
      </c>
      <c r="G1067" t="s">
        <v>115</v>
      </c>
      <c r="H1067" t="s">
        <v>136</v>
      </c>
      <c r="I1067" t="s">
        <v>82</v>
      </c>
      <c r="J1067" t="str">
        <f t="shared" si="128"/>
        <v/>
      </c>
      <c r="K1067" t="str">
        <f t="shared" si="129"/>
        <v/>
      </c>
      <c r="L1067" t="str">
        <f t="shared" si="130"/>
        <v>Unusual</v>
      </c>
      <c r="M1067" t="str">
        <f t="shared" si="131"/>
        <v/>
      </c>
      <c r="N1067" t="str">
        <f t="shared" si="132"/>
        <v>Invalid</v>
      </c>
      <c r="O1067" t="str">
        <f t="shared" ca="1" si="133"/>
        <v>Outdated</v>
      </c>
      <c r="P1067" t="str">
        <f t="shared" si="134"/>
        <v>Damaged</v>
      </c>
      <c r="Q1067" t="str">
        <f t="shared" si="135"/>
        <v/>
      </c>
    </row>
    <row r="1068" spans="1:17" x14ac:dyDescent="0.45">
      <c r="A1068" t="s">
        <v>1769</v>
      </c>
      <c r="B1068" t="s">
        <v>95</v>
      </c>
      <c r="C1068" t="s">
        <v>1389</v>
      </c>
      <c r="D1068" t="s">
        <v>92</v>
      </c>
      <c r="E1068" s="8">
        <v>9989.98</v>
      </c>
      <c r="F1068" s="9">
        <v>45549.666684444448</v>
      </c>
      <c r="G1068" t="s">
        <v>97</v>
      </c>
      <c r="H1068" t="s">
        <v>136</v>
      </c>
      <c r="I1068" t="s">
        <v>82</v>
      </c>
      <c r="J1068" t="str">
        <f t="shared" si="128"/>
        <v/>
      </c>
      <c r="K1068" t="str">
        <f t="shared" si="129"/>
        <v/>
      </c>
      <c r="L1068" t="str">
        <f t="shared" si="130"/>
        <v/>
      </c>
      <c r="M1068" t="str">
        <f t="shared" si="131"/>
        <v/>
      </c>
      <c r="N1068" t="str">
        <f t="shared" si="132"/>
        <v>Invalid</v>
      </c>
      <c r="O1068" t="str">
        <f t="shared" ca="1" si="133"/>
        <v>Outdated</v>
      </c>
      <c r="P1068" t="str">
        <f t="shared" si="134"/>
        <v>Not As Described</v>
      </c>
      <c r="Q1068" t="str">
        <f t="shared" si="135"/>
        <v/>
      </c>
    </row>
    <row r="1069" spans="1:17" x14ac:dyDescent="0.45">
      <c r="A1069" t="s">
        <v>1770</v>
      </c>
      <c r="B1069" t="s">
        <v>172</v>
      </c>
      <c r="C1069" t="s">
        <v>1399</v>
      </c>
      <c r="D1069" t="s">
        <v>92</v>
      </c>
      <c r="E1069" s="8">
        <v>5087.17</v>
      </c>
      <c r="F1069" s="9">
        <v>45838.666684444448</v>
      </c>
      <c r="I1069" t="s">
        <v>82</v>
      </c>
      <c r="J1069" t="str">
        <f t="shared" si="128"/>
        <v/>
      </c>
      <c r="K1069" t="str">
        <f t="shared" si="129"/>
        <v/>
      </c>
      <c r="L1069" t="str">
        <f t="shared" si="130"/>
        <v/>
      </c>
      <c r="M1069" t="str">
        <f t="shared" si="131"/>
        <v>Invalid</v>
      </c>
      <c r="N1069" t="str">
        <f t="shared" si="132"/>
        <v>Invalid</v>
      </c>
      <c r="O1069" t="str">
        <f t="shared" ca="1" si="133"/>
        <v>Outdated</v>
      </c>
      <c r="P1069" t="str">
        <f t="shared" si="134"/>
        <v>Not As Described</v>
      </c>
      <c r="Q1069" t="str">
        <f t="shared" si="135"/>
        <v/>
      </c>
    </row>
    <row r="1070" spans="1:17" x14ac:dyDescent="0.45">
      <c r="A1070" t="s">
        <v>1771</v>
      </c>
      <c r="B1070" t="s">
        <v>90</v>
      </c>
      <c r="C1070" t="s">
        <v>1663</v>
      </c>
      <c r="E1070" s="8">
        <v>0</v>
      </c>
      <c r="F1070" s="9">
        <v>45635.666684444448</v>
      </c>
      <c r="G1070" t="s">
        <v>93</v>
      </c>
      <c r="I1070" t="s">
        <v>88</v>
      </c>
      <c r="J1070" t="str">
        <f t="shared" si="128"/>
        <v>Missing</v>
      </c>
      <c r="K1070" t="str">
        <f t="shared" si="129"/>
        <v/>
      </c>
      <c r="L1070" t="str">
        <f t="shared" si="130"/>
        <v>Unusual</v>
      </c>
      <c r="M1070" t="str">
        <f t="shared" si="131"/>
        <v/>
      </c>
      <c r="N1070" t="str">
        <f t="shared" si="132"/>
        <v>Invalid</v>
      </c>
      <c r="O1070" t="str">
        <f t="shared" ca="1" si="133"/>
        <v>Outdated</v>
      </c>
      <c r="P1070" t="str">
        <f t="shared" si="134"/>
        <v/>
      </c>
      <c r="Q1070" t="str">
        <f t="shared" si="135"/>
        <v/>
      </c>
    </row>
    <row r="1071" spans="1:17" x14ac:dyDescent="0.45">
      <c r="A1071" t="s">
        <v>1772</v>
      </c>
      <c r="B1071" t="s">
        <v>109</v>
      </c>
      <c r="C1071" t="s">
        <v>1773</v>
      </c>
      <c r="D1071" t="s">
        <v>106</v>
      </c>
      <c r="E1071" s="8">
        <v>0</v>
      </c>
      <c r="F1071" s="9">
        <v>45423.666684444448</v>
      </c>
      <c r="G1071" t="s">
        <v>111</v>
      </c>
      <c r="H1071" t="s">
        <v>76</v>
      </c>
      <c r="I1071" t="s">
        <v>163</v>
      </c>
      <c r="J1071" t="str">
        <f t="shared" si="128"/>
        <v/>
      </c>
      <c r="K1071" t="str">
        <f t="shared" si="129"/>
        <v/>
      </c>
      <c r="L1071" t="str">
        <f t="shared" si="130"/>
        <v>Unusual</v>
      </c>
      <c r="M1071" t="str">
        <f t="shared" si="131"/>
        <v/>
      </c>
      <c r="N1071" t="str">
        <f t="shared" si="132"/>
        <v/>
      </c>
      <c r="O1071" t="str">
        <f t="shared" ca="1" si="133"/>
        <v>Outdated</v>
      </c>
      <c r="P1071" t="str">
        <f t="shared" si="134"/>
        <v>Damaged</v>
      </c>
      <c r="Q1071" t="str">
        <f t="shared" si="135"/>
        <v>Inconsistent</v>
      </c>
    </row>
    <row r="1072" spans="1:17" x14ac:dyDescent="0.45">
      <c r="A1072" t="s">
        <v>1774</v>
      </c>
      <c r="B1072" t="s">
        <v>72</v>
      </c>
      <c r="C1072" t="s">
        <v>1620</v>
      </c>
      <c r="D1072" t="s">
        <v>92</v>
      </c>
      <c r="E1072" s="8">
        <v>4128.91</v>
      </c>
      <c r="F1072" s="9">
        <v>45806.666684444448</v>
      </c>
      <c r="G1072" t="s">
        <v>75</v>
      </c>
      <c r="H1072" t="s">
        <v>116</v>
      </c>
      <c r="I1072" t="s">
        <v>119</v>
      </c>
      <c r="J1072" t="str">
        <f t="shared" si="128"/>
        <v/>
      </c>
      <c r="K1072" t="str">
        <f t="shared" si="129"/>
        <v/>
      </c>
      <c r="L1072" t="str">
        <f t="shared" si="130"/>
        <v/>
      </c>
      <c r="M1072" t="str">
        <f t="shared" si="131"/>
        <v/>
      </c>
      <c r="N1072" t="str">
        <f t="shared" si="132"/>
        <v/>
      </c>
      <c r="O1072" t="str">
        <f t="shared" ca="1" si="133"/>
        <v>Outdated</v>
      </c>
      <c r="P1072" t="str">
        <f t="shared" si="134"/>
        <v>Not As Described</v>
      </c>
      <c r="Q1072" t="str">
        <f t="shared" si="135"/>
        <v/>
      </c>
    </row>
    <row r="1073" spans="1:17" x14ac:dyDescent="0.45">
      <c r="A1073" t="s">
        <v>1775</v>
      </c>
      <c r="B1073" t="s">
        <v>109</v>
      </c>
      <c r="C1073" t="s">
        <v>573</v>
      </c>
      <c r="D1073" t="s">
        <v>85</v>
      </c>
      <c r="E1073" s="8">
        <v>9268.93</v>
      </c>
      <c r="F1073" s="9">
        <v>45538.666684444448</v>
      </c>
      <c r="G1073" t="s">
        <v>307</v>
      </c>
      <c r="I1073" t="s">
        <v>77</v>
      </c>
      <c r="J1073" t="str">
        <f t="shared" si="128"/>
        <v/>
      </c>
      <c r="K1073" t="str">
        <f t="shared" si="129"/>
        <v/>
      </c>
      <c r="L1073" t="str">
        <f t="shared" si="130"/>
        <v/>
      </c>
      <c r="M1073" t="str">
        <f t="shared" si="131"/>
        <v>Invalid</v>
      </c>
      <c r="N1073" t="str">
        <f t="shared" si="132"/>
        <v>Invalid</v>
      </c>
      <c r="O1073" t="str">
        <f t="shared" ca="1" si="133"/>
        <v>Outdated</v>
      </c>
      <c r="P1073" t="str">
        <f t="shared" si="134"/>
        <v>Late Delivery</v>
      </c>
      <c r="Q1073" t="str">
        <f t="shared" si="135"/>
        <v/>
      </c>
    </row>
    <row r="1074" spans="1:17" x14ac:dyDescent="0.45">
      <c r="A1074" t="s">
        <v>1776</v>
      </c>
      <c r="B1074" t="s">
        <v>104</v>
      </c>
      <c r="C1074" t="s">
        <v>884</v>
      </c>
      <c r="D1074" t="s">
        <v>101</v>
      </c>
      <c r="E1074" s="8">
        <v>11462.91</v>
      </c>
      <c r="F1074" s="9">
        <v>45691.666684444448</v>
      </c>
      <c r="G1074" t="s">
        <v>115</v>
      </c>
      <c r="H1074" t="s">
        <v>76</v>
      </c>
      <c r="I1074" t="s">
        <v>77</v>
      </c>
      <c r="J1074" t="str">
        <f t="shared" si="128"/>
        <v/>
      </c>
      <c r="K1074" t="str">
        <f t="shared" si="129"/>
        <v/>
      </c>
      <c r="L1074" t="str">
        <f t="shared" si="130"/>
        <v>Unusual</v>
      </c>
      <c r="M1074" t="str">
        <f t="shared" si="131"/>
        <v/>
      </c>
      <c r="N1074" t="str">
        <f t="shared" si="132"/>
        <v/>
      </c>
      <c r="O1074" t="str">
        <f t="shared" ca="1" si="133"/>
        <v>Outdated</v>
      </c>
      <c r="P1074" t="str">
        <f t="shared" si="134"/>
        <v>Damaged</v>
      </c>
      <c r="Q1074" t="str">
        <f t="shared" si="135"/>
        <v/>
      </c>
    </row>
    <row r="1075" spans="1:17" x14ac:dyDescent="0.45">
      <c r="A1075" t="s">
        <v>1777</v>
      </c>
      <c r="B1075" t="s">
        <v>109</v>
      </c>
      <c r="C1075" t="s">
        <v>185</v>
      </c>
      <c r="D1075" t="s">
        <v>85</v>
      </c>
      <c r="E1075" s="8">
        <v>3818.25</v>
      </c>
      <c r="F1075" s="9">
        <v>45165.666684444448</v>
      </c>
      <c r="G1075" t="s">
        <v>111</v>
      </c>
      <c r="H1075" t="s">
        <v>116</v>
      </c>
      <c r="I1075" t="s">
        <v>163</v>
      </c>
      <c r="J1075" t="str">
        <f t="shared" si="128"/>
        <v/>
      </c>
      <c r="K1075" t="str">
        <f t="shared" si="129"/>
        <v/>
      </c>
      <c r="L1075" t="str">
        <f t="shared" si="130"/>
        <v/>
      </c>
      <c r="M1075" t="str">
        <f t="shared" si="131"/>
        <v/>
      </c>
      <c r="N1075" t="str">
        <f t="shared" si="132"/>
        <v/>
      </c>
      <c r="O1075" t="str">
        <f t="shared" ca="1" si="133"/>
        <v>Outdated</v>
      </c>
      <c r="P1075" t="str">
        <f t="shared" si="134"/>
        <v>Late Delivery</v>
      </c>
      <c r="Q1075" t="str">
        <f t="shared" si="135"/>
        <v/>
      </c>
    </row>
    <row r="1076" spans="1:17" x14ac:dyDescent="0.45">
      <c r="A1076" t="s">
        <v>1778</v>
      </c>
      <c r="B1076" t="s">
        <v>138</v>
      </c>
      <c r="C1076" t="s">
        <v>475</v>
      </c>
      <c r="D1076" t="s">
        <v>74</v>
      </c>
      <c r="E1076" s="8">
        <v>8950.7099999999991</v>
      </c>
      <c r="F1076" s="9">
        <v>45593.666684444448</v>
      </c>
      <c r="H1076" t="s">
        <v>76</v>
      </c>
      <c r="I1076" t="s">
        <v>112</v>
      </c>
      <c r="J1076" t="str">
        <f t="shared" si="128"/>
        <v/>
      </c>
      <c r="K1076" t="str">
        <f t="shared" si="129"/>
        <v/>
      </c>
      <c r="L1076" t="str">
        <f t="shared" si="130"/>
        <v/>
      </c>
      <c r="M1076" t="str">
        <f t="shared" si="131"/>
        <v>Invalid</v>
      </c>
      <c r="N1076" t="str">
        <f t="shared" si="132"/>
        <v/>
      </c>
      <c r="O1076" t="str">
        <f t="shared" ca="1" si="133"/>
        <v>Outdated</v>
      </c>
      <c r="P1076" t="str">
        <f t="shared" si="134"/>
        <v>Wrong Item</v>
      </c>
      <c r="Q1076" t="str">
        <f t="shared" si="135"/>
        <v/>
      </c>
    </row>
    <row r="1077" spans="1:17" x14ac:dyDescent="0.45">
      <c r="A1077" t="s">
        <v>1779</v>
      </c>
      <c r="B1077" t="s">
        <v>79</v>
      </c>
      <c r="C1077" t="s">
        <v>1780</v>
      </c>
      <c r="D1077" t="s">
        <v>92</v>
      </c>
      <c r="E1077" s="8">
        <v>5678.07</v>
      </c>
      <c r="F1077" s="9">
        <v>45218.666684444448</v>
      </c>
      <c r="G1077" t="s">
        <v>86</v>
      </c>
      <c r="H1077" t="s">
        <v>107</v>
      </c>
      <c r="I1077" t="s">
        <v>112</v>
      </c>
      <c r="J1077" t="str">
        <f t="shared" si="128"/>
        <v/>
      </c>
      <c r="K1077" t="str">
        <f t="shared" si="129"/>
        <v/>
      </c>
      <c r="L1077" t="str">
        <f t="shared" si="130"/>
        <v/>
      </c>
      <c r="M1077" t="str">
        <f t="shared" si="131"/>
        <v/>
      </c>
      <c r="N1077" t="str">
        <f t="shared" si="132"/>
        <v/>
      </c>
      <c r="O1077" t="str">
        <f t="shared" ca="1" si="133"/>
        <v>Outdated</v>
      </c>
      <c r="P1077" t="str">
        <f t="shared" si="134"/>
        <v>Not As Described</v>
      </c>
      <c r="Q1077" t="str">
        <f t="shared" si="135"/>
        <v/>
      </c>
    </row>
    <row r="1078" spans="1:17" x14ac:dyDescent="0.45">
      <c r="A1078" t="s">
        <v>1781</v>
      </c>
      <c r="B1078" t="s">
        <v>172</v>
      </c>
      <c r="C1078" t="s">
        <v>680</v>
      </c>
      <c r="D1078" t="s">
        <v>101</v>
      </c>
      <c r="E1078" s="8">
        <v>10894.47</v>
      </c>
      <c r="F1078" s="9">
        <v>45450.666684444448</v>
      </c>
      <c r="G1078" t="s">
        <v>174</v>
      </c>
      <c r="I1078" t="s">
        <v>88</v>
      </c>
      <c r="J1078" t="str">
        <f t="shared" si="128"/>
        <v/>
      </c>
      <c r="K1078" t="str">
        <f t="shared" si="129"/>
        <v/>
      </c>
      <c r="L1078" t="str">
        <f t="shared" si="130"/>
        <v>Unusual</v>
      </c>
      <c r="M1078" t="str">
        <f t="shared" si="131"/>
        <v/>
      </c>
      <c r="N1078" t="str">
        <f t="shared" si="132"/>
        <v>Invalid</v>
      </c>
      <c r="O1078" t="str">
        <f t="shared" ca="1" si="133"/>
        <v>Outdated</v>
      </c>
      <c r="P1078" t="str">
        <f t="shared" si="134"/>
        <v>Damaged</v>
      </c>
      <c r="Q1078" t="str">
        <f t="shared" si="135"/>
        <v/>
      </c>
    </row>
    <row r="1079" spans="1:17" x14ac:dyDescent="0.45">
      <c r="A1079" t="s">
        <v>1782</v>
      </c>
      <c r="B1079" t="s">
        <v>79</v>
      </c>
      <c r="C1079" t="s">
        <v>1783</v>
      </c>
      <c r="D1079" t="s">
        <v>74</v>
      </c>
      <c r="E1079" s="8">
        <v>9399.7999999999993</v>
      </c>
      <c r="F1079" s="9">
        <v>45386.666684444448</v>
      </c>
      <c r="G1079" t="s">
        <v>86</v>
      </c>
      <c r="H1079" t="s">
        <v>145</v>
      </c>
      <c r="I1079" t="s">
        <v>88</v>
      </c>
      <c r="J1079" t="str">
        <f t="shared" si="128"/>
        <v/>
      </c>
      <c r="K1079" t="str">
        <f t="shared" si="129"/>
        <v/>
      </c>
      <c r="L1079" t="str">
        <f t="shared" si="130"/>
        <v/>
      </c>
      <c r="M1079" t="str">
        <f t="shared" si="131"/>
        <v/>
      </c>
      <c r="N1079" t="str">
        <f t="shared" si="132"/>
        <v/>
      </c>
      <c r="O1079" t="str">
        <f t="shared" ca="1" si="133"/>
        <v>Outdated</v>
      </c>
      <c r="P1079" t="str">
        <f t="shared" si="134"/>
        <v>Wrong Item</v>
      </c>
      <c r="Q1079" t="str">
        <f t="shared" si="135"/>
        <v/>
      </c>
    </row>
    <row r="1080" spans="1:17" x14ac:dyDescent="0.45">
      <c r="A1080" t="s">
        <v>1784</v>
      </c>
      <c r="B1080" t="s">
        <v>172</v>
      </c>
      <c r="C1080" t="s">
        <v>685</v>
      </c>
      <c r="D1080" t="s">
        <v>74</v>
      </c>
      <c r="E1080" s="8">
        <v>8375.66</v>
      </c>
      <c r="F1080" s="9">
        <v>45459.666684444448</v>
      </c>
      <c r="G1080" t="s">
        <v>174</v>
      </c>
      <c r="H1080" t="s">
        <v>128</v>
      </c>
      <c r="I1080" t="s">
        <v>119</v>
      </c>
      <c r="J1080" t="str">
        <f t="shared" si="128"/>
        <v/>
      </c>
      <c r="K1080" t="str">
        <f t="shared" si="129"/>
        <v/>
      </c>
      <c r="L1080" t="str">
        <f t="shared" si="130"/>
        <v/>
      </c>
      <c r="M1080" t="str">
        <f t="shared" si="131"/>
        <v/>
      </c>
      <c r="N1080" t="str">
        <f t="shared" si="132"/>
        <v>Invalid</v>
      </c>
      <c r="O1080" t="str">
        <f t="shared" ca="1" si="133"/>
        <v>Outdated</v>
      </c>
      <c r="P1080" t="str">
        <f t="shared" si="134"/>
        <v>Wrong Item</v>
      </c>
      <c r="Q1080" t="str">
        <f t="shared" si="135"/>
        <v/>
      </c>
    </row>
    <row r="1081" spans="1:17" x14ac:dyDescent="0.45">
      <c r="A1081" t="s">
        <v>1785</v>
      </c>
      <c r="B1081" t="s">
        <v>72</v>
      </c>
      <c r="C1081" t="s">
        <v>953</v>
      </c>
      <c r="D1081" t="s">
        <v>101</v>
      </c>
      <c r="E1081" s="8">
        <v>0</v>
      </c>
      <c r="F1081" s="9">
        <v>45246.666684444448</v>
      </c>
      <c r="G1081" t="s">
        <v>75</v>
      </c>
      <c r="H1081" t="s">
        <v>107</v>
      </c>
      <c r="I1081" t="s">
        <v>112</v>
      </c>
      <c r="J1081" t="str">
        <f t="shared" si="128"/>
        <v/>
      </c>
      <c r="K1081" t="str">
        <f t="shared" si="129"/>
        <v/>
      </c>
      <c r="L1081" t="str">
        <f t="shared" si="130"/>
        <v>Unusual</v>
      </c>
      <c r="M1081" t="str">
        <f t="shared" si="131"/>
        <v/>
      </c>
      <c r="N1081" t="str">
        <f t="shared" si="132"/>
        <v/>
      </c>
      <c r="O1081" t="str">
        <f t="shared" ca="1" si="133"/>
        <v>Outdated</v>
      </c>
      <c r="P1081" t="str">
        <f t="shared" si="134"/>
        <v>Damaged</v>
      </c>
      <c r="Q1081" t="str">
        <f t="shared" si="135"/>
        <v/>
      </c>
    </row>
    <row r="1082" spans="1:17" x14ac:dyDescent="0.45">
      <c r="A1082" t="s">
        <v>1786</v>
      </c>
      <c r="B1082" t="s">
        <v>109</v>
      </c>
      <c r="C1082" t="s">
        <v>1069</v>
      </c>
      <c r="D1082" t="s">
        <v>85</v>
      </c>
      <c r="E1082" s="8">
        <v>364.55</v>
      </c>
      <c r="F1082" s="9">
        <v>45541.666684444448</v>
      </c>
      <c r="G1082" t="s">
        <v>111</v>
      </c>
      <c r="H1082" t="s">
        <v>145</v>
      </c>
      <c r="I1082" t="s">
        <v>88</v>
      </c>
      <c r="J1082" t="str">
        <f t="shared" si="128"/>
        <v/>
      </c>
      <c r="K1082" t="str">
        <f t="shared" si="129"/>
        <v/>
      </c>
      <c r="L1082" t="str">
        <f t="shared" si="130"/>
        <v/>
      </c>
      <c r="M1082" t="str">
        <f t="shared" si="131"/>
        <v/>
      </c>
      <c r="N1082" t="str">
        <f t="shared" si="132"/>
        <v/>
      </c>
      <c r="O1082" t="str">
        <f t="shared" ca="1" si="133"/>
        <v>Outdated</v>
      </c>
      <c r="P1082" t="str">
        <f t="shared" si="134"/>
        <v>Late Delivery</v>
      </c>
      <c r="Q1082" t="str">
        <f t="shared" si="135"/>
        <v/>
      </c>
    </row>
    <row r="1083" spans="1:17" x14ac:dyDescent="0.45">
      <c r="A1083" t="s">
        <v>1787</v>
      </c>
      <c r="B1083" t="s">
        <v>72</v>
      </c>
      <c r="C1083" t="s">
        <v>838</v>
      </c>
      <c r="D1083" t="s">
        <v>85</v>
      </c>
      <c r="E1083" s="8">
        <v>555.1</v>
      </c>
      <c r="F1083" s="9">
        <v>45654.666684444448</v>
      </c>
      <c r="G1083" t="s">
        <v>75</v>
      </c>
      <c r="H1083" t="s">
        <v>136</v>
      </c>
      <c r="I1083" t="s">
        <v>77</v>
      </c>
      <c r="J1083" t="str">
        <f t="shared" si="128"/>
        <v/>
      </c>
      <c r="K1083" t="str">
        <f t="shared" si="129"/>
        <v/>
      </c>
      <c r="L1083" t="str">
        <f t="shared" si="130"/>
        <v/>
      </c>
      <c r="M1083" t="str">
        <f t="shared" si="131"/>
        <v/>
      </c>
      <c r="N1083" t="str">
        <f t="shared" si="132"/>
        <v>Invalid</v>
      </c>
      <c r="O1083" t="str">
        <f t="shared" ca="1" si="133"/>
        <v>Outdated</v>
      </c>
      <c r="P1083" t="str">
        <f t="shared" si="134"/>
        <v>Late Delivery</v>
      </c>
      <c r="Q1083" t="str">
        <f t="shared" si="135"/>
        <v/>
      </c>
    </row>
    <row r="1084" spans="1:17" x14ac:dyDescent="0.45">
      <c r="A1084" t="s">
        <v>1788</v>
      </c>
      <c r="B1084" t="s">
        <v>95</v>
      </c>
      <c r="C1084" t="s">
        <v>1789</v>
      </c>
      <c r="D1084" t="s">
        <v>85</v>
      </c>
      <c r="E1084" s="8">
        <v>5966.43</v>
      </c>
      <c r="F1084" s="9">
        <v>45129.666684444448</v>
      </c>
      <c r="G1084" t="s">
        <v>97</v>
      </c>
      <c r="H1084" t="s">
        <v>81</v>
      </c>
      <c r="I1084" t="s">
        <v>163</v>
      </c>
      <c r="J1084" t="str">
        <f t="shared" si="128"/>
        <v/>
      </c>
      <c r="K1084" t="str">
        <f t="shared" si="129"/>
        <v/>
      </c>
      <c r="L1084" t="str">
        <f t="shared" si="130"/>
        <v/>
      </c>
      <c r="M1084" t="str">
        <f t="shared" si="131"/>
        <v/>
      </c>
      <c r="N1084" t="str">
        <f t="shared" si="132"/>
        <v/>
      </c>
      <c r="O1084" t="str">
        <f t="shared" ca="1" si="133"/>
        <v>Outdated</v>
      </c>
      <c r="P1084" t="str">
        <f t="shared" si="134"/>
        <v>Late Delivery</v>
      </c>
      <c r="Q1084" t="str">
        <f t="shared" si="135"/>
        <v/>
      </c>
    </row>
    <row r="1085" spans="1:17" x14ac:dyDescent="0.45">
      <c r="A1085" t="s">
        <v>1790</v>
      </c>
      <c r="B1085" t="s">
        <v>95</v>
      </c>
      <c r="C1085" t="s">
        <v>1791</v>
      </c>
      <c r="D1085" t="s">
        <v>85</v>
      </c>
      <c r="E1085" s="8">
        <v>2302.0300000000002</v>
      </c>
      <c r="F1085" s="9">
        <v>45801.666684444448</v>
      </c>
      <c r="G1085" t="s">
        <v>97</v>
      </c>
      <c r="H1085" t="s">
        <v>136</v>
      </c>
      <c r="I1085" t="s">
        <v>119</v>
      </c>
      <c r="J1085" t="str">
        <f t="shared" si="128"/>
        <v/>
      </c>
      <c r="K1085" t="str">
        <f t="shared" si="129"/>
        <v/>
      </c>
      <c r="L1085" t="str">
        <f t="shared" si="130"/>
        <v/>
      </c>
      <c r="M1085" t="str">
        <f t="shared" si="131"/>
        <v/>
      </c>
      <c r="N1085" t="str">
        <f t="shared" si="132"/>
        <v>Invalid</v>
      </c>
      <c r="O1085" t="str">
        <f t="shared" ca="1" si="133"/>
        <v>Outdated</v>
      </c>
      <c r="P1085" t="str">
        <f t="shared" si="134"/>
        <v>Late Delivery</v>
      </c>
      <c r="Q1085" t="str">
        <f t="shared" si="135"/>
        <v/>
      </c>
    </row>
    <row r="1086" spans="1:17" x14ac:dyDescent="0.45">
      <c r="A1086" t="s">
        <v>1792</v>
      </c>
      <c r="B1086" t="s">
        <v>79</v>
      </c>
      <c r="C1086" t="s">
        <v>1540</v>
      </c>
      <c r="D1086" t="s">
        <v>92</v>
      </c>
      <c r="E1086" s="8">
        <v>8732.48</v>
      </c>
      <c r="F1086" s="9">
        <v>45683.666684444448</v>
      </c>
      <c r="G1086" t="s">
        <v>86</v>
      </c>
      <c r="H1086" t="s">
        <v>128</v>
      </c>
      <c r="I1086" t="s">
        <v>119</v>
      </c>
      <c r="J1086" t="str">
        <f t="shared" si="128"/>
        <v/>
      </c>
      <c r="K1086" t="str">
        <f t="shared" si="129"/>
        <v/>
      </c>
      <c r="L1086" t="str">
        <f t="shared" si="130"/>
        <v/>
      </c>
      <c r="M1086" t="str">
        <f t="shared" si="131"/>
        <v/>
      </c>
      <c r="N1086" t="str">
        <f t="shared" si="132"/>
        <v>Invalid</v>
      </c>
      <c r="O1086" t="str">
        <f t="shared" ca="1" si="133"/>
        <v>Outdated</v>
      </c>
      <c r="P1086" t="str">
        <f t="shared" si="134"/>
        <v>Not As Described</v>
      </c>
      <c r="Q1086" t="str">
        <f t="shared" si="135"/>
        <v/>
      </c>
    </row>
    <row r="1087" spans="1:17" x14ac:dyDescent="0.45">
      <c r="A1087" t="s">
        <v>1793</v>
      </c>
      <c r="B1087" t="s">
        <v>99</v>
      </c>
      <c r="C1087" t="s">
        <v>731</v>
      </c>
      <c r="D1087" t="s">
        <v>74</v>
      </c>
      <c r="E1087" s="8">
        <v>861.78</v>
      </c>
      <c r="F1087" s="9">
        <v>45601.666684444448</v>
      </c>
      <c r="G1087" t="s">
        <v>285</v>
      </c>
      <c r="I1087" t="s">
        <v>112</v>
      </c>
      <c r="J1087" t="str">
        <f t="shared" si="128"/>
        <v/>
      </c>
      <c r="K1087" t="str">
        <f t="shared" si="129"/>
        <v/>
      </c>
      <c r="L1087" t="str">
        <f t="shared" si="130"/>
        <v/>
      </c>
      <c r="M1087" t="str">
        <f t="shared" si="131"/>
        <v>Invalid</v>
      </c>
      <c r="N1087" t="str">
        <f t="shared" si="132"/>
        <v>Invalid</v>
      </c>
      <c r="O1087" t="str">
        <f t="shared" ca="1" si="133"/>
        <v>Outdated</v>
      </c>
      <c r="P1087" t="str">
        <f t="shared" si="134"/>
        <v>Wrong Item</v>
      </c>
      <c r="Q1087" t="str">
        <f t="shared" si="135"/>
        <v/>
      </c>
    </row>
    <row r="1088" spans="1:17" x14ac:dyDescent="0.45">
      <c r="A1088" t="s">
        <v>1794</v>
      </c>
      <c r="B1088" t="s">
        <v>99</v>
      </c>
      <c r="D1088" t="s">
        <v>74</v>
      </c>
      <c r="E1088" s="8">
        <v>636.54999999999995</v>
      </c>
      <c r="F1088" s="9">
        <v>45551.666684444448</v>
      </c>
      <c r="G1088" t="s">
        <v>102</v>
      </c>
      <c r="H1088" t="s">
        <v>107</v>
      </c>
      <c r="I1088" t="s">
        <v>82</v>
      </c>
      <c r="J1088" t="str">
        <f t="shared" si="128"/>
        <v>Missing</v>
      </c>
      <c r="K1088" t="str">
        <f t="shared" si="129"/>
        <v/>
      </c>
      <c r="L1088" t="str">
        <f t="shared" si="130"/>
        <v/>
      </c>
      <c r="M1088" t="str">
        <f t="shared" si="131"/>
        <v/>
      </c>
      <c r="N1088" t="str">
        <f t="shared" si="132"/>
        <v/>
      </c>
      <c r="O1088" t="str">
        <f t="shared" ca="1" si="133"/>
        <v>Outdated</v>
      </c>
      <c r="P1088" t="str">
        <f t="shared" si="134"/>
        <v>Wrong Item</v>
      </c>
      <c r="Q1088" t="str">
        <f t="shared" si="135"/>
        <v/>
      </c>
    </row>
    <row r="1089" spans="1:17" x14ac:dyDescent="0.45">
      <c r="A1089" t="s">
        <v>1795</v>
      </c>
      <c r="B1089" t="s">
        <v>99</v>
      </c>
      <c r="C1089" t="s">
        <v>1213</v>
      </c>
      <c r="D1089" t="s">
        <v>85</v>
      </c>
      <c r="E1089" s="8">
        <v>3120.75</v>
      </c>
      <c r="F1089" s="9">
        <v>45183.666684444448</v>
      </c>
      <c r="G1089" t="s">
        <v>102</v>
      </c>
      <c r="H1089" t="s">
        <v>136</v>
      </c>
      <c r="I1089" t="s">
        <v>88</v>
      </c>
      <c r="J1089" t="str">
        <f t="shared" si="128"/>
        <v/>
      </c>
      <c r="K1089" t="str">
        <f t="shared" si="129"/>
        <v/>
      </c>
      <c r="L1089" t="str">
        <f t="shared" si="130"/>
        <v/>
      </c>
      <c r="M1089" t="str">
        <f t="shared" si="131"/>
        <v/>
      </c>
      <c r="N1089" t="str">
        <f t="shared" si="132"/>
        <v>Invalid</v>
      </c>
      <c r="O1089" t="str">
        <f t="shared" ca="1" si="133"/>
        <v>Outdated</v>
      </c>
      <c r="P1089" t="str">
        <f t="shared" si="134"/>
        <v>Late Delivery</v>
      </c>
      <c r="Q1089" t="str">
        <f t="shared" si="135"/>
        <v/>
      </c>
    </row>
    <row r="1090" spans="1:17" x14ac:dyDescent="0.45">
      <c r="A1090" t="s">
        <v>1796</v>
      </c>
      <c r="B1090" t="s">
        <v>104</v>
      </c>
      <c r="C1090" t="s">
        <v>1797</v>
      </c>
      <c r="D1090" t="s">
        <v>85</v>
      </c>
      <c r="E1090" s="8">
        <v>3135.94</v>
      </c>
      <c r="F1090" s="9">
        <v>45320.666684444448</v>
      </c>
      <c r="G1090" t="s">
        <v>115</v>
      </c>
      <c r="H1090" t="s">
        <v>128</v>
      </c>
      <c r="I1090" t="s">
        <v>119</v>
      </c>
      <c r="J1090" t="str">
        <f t="shared" ref="J1090:J1153" si="136">IF(OR(ISBLANK(C1090),ISBLANK(D1090)),"Missing","")</f>
        <v/>
      </c>
      <c r="K1090" t="str">
        <f t="shared" ref="K1090:K1153" si="137">IF(COUNTIF($A$2:$A$2501,A1090)&gt;1,"Duplicate","")</f>
        <v/>
      </c>
      <c r="L1090" t="str">
        <f t="shared" ref="L1090:L1153" si="138">IF(OR(E1090=0,E1090&gt;10000),"Unusual","")</f>
        <v/>
      </c>
      <c r="M1090" t="str">
        <f t="shared" ref="M1090:M1153" si="139">IF(OR(ISBLANK(G1090),ISERROR(FIND("@",G1090)),ISERROR(FIND(".",G1090,FIND("@",G1090)+1))),"Invalid","")</f>
        <v/>
      </c>
      <c r="N1090" t="str">
        <f t="shared" ref="N1090:N1153" si="140">IF(COUNTIF($S$2:$S$6,H1090)=0,"Invalid","")</f>
        <v>Invalid</v>
      </c>
      <c r="O1090" t="str">
        <f t="shared" ref="O1090:O1153" ca="1" si="141">IF(F1090&lt;EDATE(TODAY(),-12),"Outdated","")</f>
        <v>Outdated</v>
      </c>
      <c r="P1090" t="str">
        <f t="shared" ref="P1090:P1153" si="142">IF(ISBLANK(D1090),"",PROPER(TRIM(D1090)))</f>
        <v>Late Delivery</v>
      </c>
      <c r="Q1090" t="str">
        <f t="shared" ref="Q1090:Q1153" si="143">IF(ISBLANK(D1090),"",IF(EXACT(D1090,P1090),"","Inconsistent"))</f>
        <v/>
      </c>
    </row>
    <row r="1091" spans="1:17" x14ac:dyDescent="0.45">
      <c r="A1091" t="s">
        <v>1798</v>
      </c>
      <c r="B1091" t="s">
        <v>138</v>
      </c>
      <c r="C1091" t="s">
        <v>1799</v>
      </c>
      <c r="D1091" t="s">
        <v>74</v>
      </c>
      <c r="E1091" s="8">
        <v>3716.74</v>
      </c>
      <c r="F1091" s="9">
        <v>45658.666684444448</v>
      </c>
      <c r="G1091" t="s">
        <v>140</v>
      </c>
      <c r="H1091" t="s">
        <v>133</v>
      </c>
      <c r="I1091" t="s">
        <v>163</v>
      </c>
      <c r="J1091" t="str">
        <f t="shared" si="136"/>
        <v/>
      </c>
      <c r="K1091" t="str">
        <f t="shared" si="137"/>
        <v>Duplicate</v>
      </c>
      <c r="L1091" t="str">
        <f t="shared" si="138"/>
        <v/>
      </c>
      <c r="M1091" t="str">
        <f t="shared" si="139"/>
        <v/>
      </c>
      <c r="N1091" t="str">
        <f t="shared" si="140"/>
        <v>Invalid</v>
      </c>
      <c r="O1091" t="str">
        <f t="shared" ca="1" si="141"/>
        <v>Outdated</v>
      </c>
      <c r="P1091" t="str">
        <f t="shared" si="142"/>
        <v>Wrong Item</v>
      </c>
      <c r="Q1091" t="str">
        <f t="shared" si="143"/>
        <v/>
      </c>
    </row>
    <row r="1092" spans="1:17" x14ac:dyDescent="0.45">
      <c r="A1092" t="s">
        <v>1800</v>
      </c>
      <c r="B1092" t="s">
        <v>138</v>
      </c>
      <c r="C1092" t="s">
        <v>208</v>
      </c>
      <c r="D1092" t="s">
        <v>101</v>
      </c>
      <c r="E1092" s="8">
        <v>3341.58</v>
      </c>
      <c r="F1092" s="9">
        <v>45498.666684444448</v>
      </c>
      <c r="G1092" t="s">
        <v>140</v>
      </c>
      <c r="H1092" t="s">
        <v>81</v>
      </c>
      <c r="I1092" t="s">
        <v>119</v>
      </c>
      <c r="J1092" t="str">
        <f t="shared" si="136"/>
        <v/>
      </c>
      <c r="K1092" t="str">
        <f t="shared" si="137"/>
        <v/>
      </c>
      <c r="L1092" t="str">
        <f t="shared" si="138"/>
        <v/>
      </c>
      <c r="M1092" t="str">
        <f t="shared" si="139"/>
        <v/>
      </c>
      <c r="N1092" t="str">
        <f t="shared" si="140"/>
        <v/>
      </c>
      <c r="O1092" t="str">
        <f t="shared" ca="1" si="141"/>
        <v>Outdated</v>
      </c>
      <c r="P1092" t="str">
        <f t="shared" si="142"/>
        <v>Damaged</v>
      </c>
      <c r="Q1092" t="str">
        <f t="shared" si="143"/>
        <v/>
      </c>
    </row>
    <row r="1093" spans="1:17" x14ac:dyDescent="0.45">
      <c r="A1093" t="s">
        <v>1801</v>
      </c>
      <c r="B1093" t="s">
        <v>95</v>
      </c>
      <c r="C1093" t="s">
        <v>1223</v>
      </c>
      <c r="D1093" t="s">
        <v>74</v>
      </c>
      <c r="E1093" s="8">
        <v>7634.63</v>
      </c>
      <c r="F1093" s="9">
        <v>45765.666684444448</v>
      </c>
      <c r="G1093" t="s">
        <v>97</v>
      </c>
      <c r="H1093" t="s">
        <v>87</v>
      </c>
      <c r="I1093" t="s">
        <v>163</v>
      </c>
      <c r="J1093" t="str">
        <f t="shared" si="136"/>
        <v/>
      </c>
      <c r="K1093" t="str">
        <f t="shared" si="137"/>
        <v/>
      </c>
      <c r="L1093" t="str">
        <f t="shared" si="138"/>
        <v/>
      </c>
      <c r="M1093" t="str">
        <f t="shared" si="139"/>
        <v/>
      </c>
      <c r="N1093" t="str">
        <f t="shared" si="140"/>
        <v>Invalid</v>
      </c>
      <c r="O1093" t="str">
        <f t="shared" ca="1" si="141"/>
        <v>Outdated</v>
      </c>
      <c r="P1093" t="str">
        <f t="shared" si="142"/>
        <v>Wrong Item</v>
      </c>
      <c r="Q1093" t="str">
        <f t="shared" si="143"/>
        <v/>
      </c>
    </row>
    <row r="1094" spans="1:17" x14ac:dyDescent="0.45">
      <c r="A1094" t="s">
        <v>1802</v>
      </c>
      <c r="B1094" t="s">
        <v>99</v>
      </c>
      <c r="C1094" t="s">
        <v>1599</v>
      </c>
      <c r="D1094" t="s">
        <v>85</v>
      </c>
      <c r="E1094" s="8">
        <v>11016.13</v>
      </c>
      <c r="F1094" s="9">
        <v>45638.666684444448</v>
      </c>
      <c r="G1094" t="s">
        <v>102</v>
      </c>
      <c r="H1094" t="s">
        <v>136</v>
      </c>
      <c r="I1094" t="s">
        <v>82</v>
      </c>
      <c r="J1094" t="str">
        <f t="shared" si="136"/>
        <v/>
      </c>
      <c r="K1094" t="str">
        <f t="shared" si="137"/>
        <v/>
      </c>
      <c r="L1094" t="str">
        <f t="shared" si="138"/>
        <v>Unusual</v>
      </c>
      <c r="M1094" t="str">
        <f t="shared" si="139"/>
        <v/>
      </c>
      <c r="N1094" t="str">
        <f t="shared" si="140"/>
        <v>Invalid</v>
      </c>
      <c r="O1094" t="str">
        <f t="shared" ca="1" si="141"/>
        <v>Outdated</v>
      </c>
      <c r="P1094" t="str">
        <f t="shared" si="142"/>
        <v>Late Delivery</v>
      </c>
      <c r="Q1094" t="str">
        <f t="shared" si="143"/>
        <v/>
      </c>
    </row>
    <row r="1095" spans="1:17" x14ac:dyDescent="0.45">
      <c r="A1095" t="s">
        <v>1803</v>
      </c>
      <c r="B1095" t="s">
        <v>172</v>
      </c>
      <c r="C1095" t="s">
        <v>1741</v>
      </c>
      <c r="D1095" t="s">
        <v>101</v>
      </c>
      <c r="E1095" s="8">
        <v>8867.35</v>
      </c>
      <c r="F1095" s="9">
        <v>45768.666684444448</v>
      </c>
      <c r="G1095" t="s">
        <v>174</v>
      </c>
      <c r="H1095" t="s">
        <v>136</v>
      </c>
      <c r="I1095" t="s">
        <v>112</v>
      </c>
      <c r="J1095" t="str">
        <f t="shared" si="136"/>
        <v/>
      </c>
      <c r="K1095" t="str">
        <f t="shared" si="137"/>
        <v/>
      </c>
      <c r="L1095" t="str">
        <f t="shared" si="138"/>
        <v/>
      </c>
      <c r="M1095" t="str">
        <f t="shared" si="139"/>
        <v/>
      </c>
      <c r="N1095" t="str">
        <f t="shared" si="140"/>
        <v>Invalid</v>
      </c>
      <c r="O1095" t="str">
        <f t="shared" ca="1" si="141"/>
        <v>Outdated</v>
      </c>
      <c r="P1095" t="str">
        <f t="shared" si="142"/>
        <v>Damaged</v>
      </c>
      <c r="Q1095" t="str">
        <f t="shared" si="143"/>
        <v/>
      </c>
    </row>
    <row r="1096" spans="1:17" x14ac:dyDescent="0.45">
      <c r="A1096" t="s">
        <v>1541</v>
      </c>
      <c r="B1096" t="s">
        <v>95</v>
      </c>
      <c r="C1096" t="s">
        <v>1804</v>
      </c>
      <c r="D1096" t="s">
        <v>85</v>
      </c>
      <c r="E1096" s="8">
        <v>10120.48</v>
      </c>
      <c r="F1096" s="9">
        <v>45580.666684444448</v>
      </c>
      <c r="G1096" t="s">
        <v>97</v>
      </c>
      <c r="H1096" t="s">
        <v>136</v>
      </c>
      <c r="I1096" t="s">
        <v>82</v>
      </c>
      <c r="J1096" t="str">
        <f t="shared" si="136"/>
        <v/>
      </c>
      <c r="K1096" t="str">
        <f t="shared" si="137"/>
        <v>Duplicate</v>
      </c>
      <c r="L1096" t="str">
        <f t="shared" si="138"/>
        <v>Unusual</v>
      </c>
      <c r="M1096" t="str">
        <f t="shared" si="139"/>
        <v/>
      </c>
      <c r="N1096" t="str">
        <f t="shared" si="140"/>
        <v>Invalid</v>
      </c>
      <c r="O1096" t="str">
        <f t="shared" ca="1" si="141"/>
        <v>Outdated</v>
      </c>
      <c r="P1096" t="str">
        <f t="shared" si="142"/>
        <v>Late Delivery</v>
      </c>
      <c r="Q1096" t="str">
        <f t="shared" si="143"/>
        <v/>
      </c>
    </row>
    <row r="1097" spans="1:17" x14ac:dyDescent="0.45">
      <c r="A1097" t="s">
        <v>1805</v>
      </c>
      <c r="B1097" t="s">
        <v>72</v>
      </c>
      <c r="C1097" t="s">
        <v>1806</v>
      </c>
      <c r="E1097" s="8">
        <v>8914.7900000000009</v>
      </c>
      <c r="F1097" s="9">
        <v>45180.666684444448</v>
      </c>
      <c r="G1097" t="s">
        <v>75</v>
      </c>
      <c r="H1097" t="s">
        <v>81</v>
      </c>
      <c r="I1097" t="s">
        <v>112</v>
      </c>
      <c r="J1097" t="str">
        <f t="shared" si="136"/>
        <v>Missing</v>
      </c>
      <c r="K1097" t="str">
        <f t="shared" si="137"/>
        <v/>
      </c>
      <c r="L1097" t="str">
        <f t="shared" si="138"/>
        <v/>
      </c>
      <c r="M1097" t="str">
        <f t="shared" si="139"/>
        <v/>
      </c>
      <c r="N1097" t="str">
        <f t="shared" si="140"/>
        <v/>
      </c>
      <c r="O1097" t="str">
        <f t="shared" ca="1" si="141"/>
        <v>Outdated</v>
      </c>
      <c r="P1097" t="str">
        <f t="shared" si="142"/>
        <v/>
      </c>
      <c r="Q1097" t="str">
        <f t="shared" si="143"/>
        <v/>
      </c>
    </row>
    <row r="1098" spans="1:17" x14ac:dyDescent="0.45">
      <c r="A1098" t="s">
        <v>1807</v>
      </c>
      <c r="B1098" t="s">
        <v>99</v>
      </c>
      <c r="C1098" t="s">
        <v>1188</v>
      </c>
      <c r="D1098" t="s">
        <v>101</v>
      </c>
      <c r="E1098" s="8">
        <v>9106.67</v>
      </c>
      <c r="F1098" s="9">
        <v>45336.666684444448</v>
      </c>
      <c r="G1098" t="s">
        <v>102</v>
      </c>
      <c r="H1098" t="s">
        <v>118</v>
      </c>
      <c r="I1098" t="s">
        <v>119</v>
      </c>
      <c r="J1098" t="str">
        <f t="shared" si="136"/>
        <v/>
      </c>
      <c r="K1098" t="str">
        <f t="shared" si="137"/>
        <v/>
      </c>
      <c r="L1098" t="str">
        <f t="shared" si="138"/>
        <v/>
      </c>
      <c r="M1098" t="str">
        <f t="shared" si="139"/>
        <v/>
      </c>
      <c r="N1098" t="str">
        <f t="shared" si="140"/>
        <v>Invalid</v>
      </c>
      <c r="O1098" t="str">
        <f t="shared" ca="1" si="141"/>
        <v>Outdated</v>
      </c>
      <c r="P1098" t="str">
        <f t="shared" si="142"/>
        <v>Damaged</v>
      </c>
      <c r="Q1098" t="str">
        <f t="shared" si="143"/>
        <v/>
      </c>
    </row>
    <row r="1099" spans="1:17" x14ac:dyDescent="0.45">
      <c r="A1099" t="s">
        <v>1808</v>
      </c>
      <c r="B1099" t="s">
        <v>95</v>
      </c>
      <c r="C1099" t="s">
        <v>858</v>
      </c>
      <c r="D1099" t="s">
        <v>106</v>
      </c>
      <c r="E1099" s="8">
        <v>7664.71</v>
      </c>
      <c r="F1099" s="9">
        <v>45401.666684444448</v>
      </c>
      <c r="G1099" t="s">
        <v>336</v>
      </c>
      <c r="H1099" t="s">
        <v>87</v>
      </c>
      <c r="I1099" t="s">
        <v>82</v>
      </c>
      <c r="J1099" t="str">
        <f t="shared" si="136"/>
        <v/>
      </c>
      <c r="K1099" t="str">
        <f t="shared" si="137"/>
        <v/>
      </c>
      <c r="L1099" t="str">
        <f t="shared" si="138"/>
        <v/>
      </c>
      <c r="M1099" t="str">
        <f t="shared" si="139"/>
        <v>Invalid</v>
      </c>
      <c r="N1099" t="str">
        <f t="shared" si="140"/>
        <v>Invalid</v>
      </c>
      <c r="O1099" t="str">
        <f t="shared" ca="1" si="141"/>
        <v>Outdated</v>
      </c>
      <c r="P1099" t="str">
        <f t="shared" si="142"/>
        <v>Damaged</v>
      </c>
      <c r="Q1099" t="str">
        <f t="shared" si="143"/>
        <v>Inconsistent</v>
      </c>
    </row>
    <row r="1100" spans="1:17" x14ac:dyDescent="0.45">
      <c r="A1100" t="s">
        <v>1809</v>
      </c>
      <c r="B1100" t="s">
        <v>99</v>
      </c>
      <c r="C1100" t="s">
        <v>668</v>
      </c>
      <c r="D1100" t="s">
        <v>85</v>
      </c>
      <c r="E1100" s="8">
        <v>1213.06</v>
      </c>
      <c r="F1100" s="9">
        <v>45690.666684444448</v>
      </c>
      <c r="H1100" t="s">
        <v>87</v>
      </c>
      <c r="I1100" t="s">
        <v>88</v>
      </c>
      <c r="J1100" t="str">
        <f t="shared" si="136"/>
        <v/>
      </c>
      <c r="K1100" t="str">
        <f t="shared" si="137"/>
        <v/>
      </c>
      <c r="L1100" t="str">
        <f t="shared" si="138"/>
        <v/>
      </c>
      <c r="M1100" t="str">
        <f t="shared" si="139"/>
        <v>Invalid</v>
      </c>
      <c r="N1100" t="str">
        <f t="shared" si="140"/>
        <v>Invalid</v>
      </c>
      <c r="O1100" t="str">
        <f t="shared" ca="1" si="141"/>
        <v>Outdated</v>
      </c>
      <c r="P1100" t="str">
        <f t="shared" si="142"/>
        <v>Late Delivery</v>
      </c>
      <c r="Q1100" t="str">
        <f t="shared" si="143"/>
        <v/>
      </c>
    </row>
    <row r="1101" spans="1:17" x14ac:dyDescent="0.45">
      <c r="A1101" t="s">
        <v>1810</v>
      </c>
      <c r="B1101" t="s">
        <v>104</v>
      </c>
      <c r="C1101" t="s">
        <v>459</v>
      </c>
      <c r="D1101" t="s">
        <v>85</v>
      </c>
      <c r="E1101" s="8">
        <v>7336.28</v>
      </c>
      <c r="F1101" s="9">
        <v>45262.666684444448</v>
      </c>
      <c r="G1101" t="s">
        <v>115</v>
      </c>
      <c r="H1101" t="s">
        <v>107</v>
      </c>
      <c r="I1101" t="s">
        <v>82</v>
      </c>
      <c r="J1101" t="str">
        <f t="shared" si="136"/>
        <v/>
      </c>
      <c r="K1101" t="str">
        <f t="shared" si="137"/>
        <v/>
      </c>
      <c r="L1101" t="str">
        <f t="shared" si="138"/>
        <v/>
      </c>
      <c r="M1101" t="str">
        <f t="shared" si="139"/>
        <v/>
      </c>
      <c r="N1101" t="str">
        <f t="shared" si="140"/>
        <v/>
      </c>
      <c r="O1101" t="str">
        <f t="shared" ca="1" si="141"/>
        <v>Outdated</v>
      </c>
      <c r="P1101" t="str">
        <f t="shared" si="142"/>
        <v>Late Delivery</v>
      </c>
      <c r="Q1101" t="str">
        <f t="shared" si="143"/>
        <v/>
      </c>
    </row>
    <row r="1102" spans="1:17" x14ac:dyDescent="0.45">
      <c r="A1102" t="s">
        <v>1811</v>
      </c>
      <c r="B1102" t="s">
        <v>79</v>
      </c>
      <c r="C1102" t="s">
        <v>158</v>
      </c>
      <c r="D1102" t="s">
        <v>92</v>
      </c>
      <c r="E1102" s="8">
        <v>1146.8900000000001</v>
      </c>
      <c r="F1102" s="9">
        <v>45422.666684444448</v>
      </c>
      <c r="G1102" t="s">
        <v>86</v>
      </c>
      <c r="H1102" t="s">
        <v>116</v>
      </c>
      <c r="I1102" t="s">
        <v>82</v>
      </c>
      <c r="J1102" t="str">
        <f t="shared" si="136"/>
        <v/>
      </c>
      <c r="K1102" t="str">
        <f t="shared" si="137"/>
        <v>Duplicate</v>
      </c>
      <c r="L1102" t="str">
        <f t="shared" si="138"/>
        <v/>
      </c>
      <c r="M1102" t="str">
        <f t="shared" si="139"/>
        <v/>
      </c>
      <c r="N1102" t="str">
        <f t="shared" si="140"/>
        <v/>
      </c>
      <c r="O1102" t="str">
        <f t="shared" ca="1" si="141"/>
        <v>Outdated</v>
      </c>
      <c r="P1102" t="str">
        <f t="shared" si="142"/>
        <v>Not As Described</v>
      </c>
      <c r="Q1102" t="str">
        <f t="shared" si="143"/>
        <v/>
      </c>
    </row>
    <row r="1103" spans="1:17" x14ac:dyDescent="0.45">
      <c r="A1103" t="s">
        <v>1812</v>
      </c>
      <c r="B1103" t="s">
        <v>90</v>
      </c>
      <c r="C1103" t="s">
        <v>1813</v>
      </c>
      <c r="D1103" t="s">
        <v>92</v>
      </c>
      <c r="E1103" s="8">
        <v>0</v>
      </c>
      <c r="F1103" s="9">
        <v>45576.666684444448</v>
      </c>
      <c r="G1103" t="s">
        <v>93</v>
      </c>
      <c r="H1103" t="s">
        <v>136</v>
      </c>
      <c r="I1103" t="s">
        <v>119</v>
      </c>
      <c r="J1103" t="str">
        <f t="shared" si="136"/>
        <v/>
      </c>
      <c r="K1103" t="str">
        <f t="shared" si="137"/>
        <v/>
      </c>
      <c r="L1103" t="str">
        <f t="shared" si="138"/>
        <v>Unusual</v>
      </c>
      <c r="M1103" t="str">
        <f t="shared" si="139"/>
        <v/>
      </c>
      <c r="N1103" t="str">
        <f t="shared" si="140"/>
        <v>Invalid</v>
      </c>
      <c r="O1103" t="str">
        <f t="shared" ca="1" si="141"/>
        <v>Outdated</v>
      </c>
      <c r="P1103" t="str">
        <f t="shared" si="142"/>
        <v>Not As Described</v>
      </c>
      <c r="Q1103" t="str">
        <f t="shared" si="143"/>
        <v/>
      </c>
    </row>
    <row r="1104" spans="1:17" x14ac:dyDescent="0.45">
      <c r="A1104" t="s">
        <v>1814</v>
      </c>
      <c r="B1104" t="s">
        <v>99</v>
      </c>
      <c r="C1104" t="s">
        <v>1545</v>
      </c>
      <c r="D1104" t="s">
        <v>85</v>
      </c>
      <c r="E1104" s="8">
        <v>0</v>
      </c>
      <c r="F1104" s="9">
        <v>45843.666684444448</v>
      </c>
      <c r="G1104" t="s">
        <v>102</v>
      </c>
      <c r="H1104" t="s">
        <v>128</v>
      </c>
      <c r="I1104" t="s">
        <v>119</v>
      </c>
      <c r="J1104" t="str">
        <f t="shared" si="136"/>
        <v/>
      </c>
      <c r="K1104" t="str">
        <f t="shared" si="137"/>
        <v/>
      </c>
      <c r="L1104" t="str">
        <f t="shared" si="138"/>
        <v>Unusual</v>
      </c>
      <c r="M1104" t="str">
        <f t="shared" si="139"/>
        <v/>
      </c>
      <c r="N1104" t="str">
        <f t="shared" si="140"/>
        <v>Invalid</v>
      </c>
      <c r="O1104" t="str">
        <f t="shared" ca="1" si="141"/>
        <v>Outdated</v>
      </c>
      <c r="P1104" t="str">
        <f t="shared" si="142"/>
        <v>Late Delivery</v>
      </c>
      <c r="Q1104" t="str">
        <f t="shared" si="143"/>
        <v/>
      </c>
    </row>
    <row r="1105" spans="1:17" x14ac:dyDescent="0.45">
      <c r="A1105" t="s">
        <v>1815</v>
      </c>
      <c r="B1105" t="s">
        <v>72</v>
      </c>
      <c r="C1105" t="s">
        <v>804</v>
      </c>
      <c r="D1105" t="s">
        <v>101</v>
      </c>
      <c r="E1105" s="8">
        <v>0</v>
      </c>
      <c r="F1105" s="9">
        <v>45624.666684444448</v>
      </c>
      <c r="G1105" t="s">
        <v>75</v>
      </c>
      <c r="H1105" t="s">
        <v>133</v>
      </c>
      <c r="I1105" t="s">
        <v>112</v>
      </c>
      <c r="J1105" t="str">
        <f t="shared" si="136"/>
        <v/>
      </c>
      <c r="K1105" t="str">
        <f t="shared" si="137"/>
        <v/>
      </c>
      <c r="L1105" t="str">
        <f t="shared" si="138"/>
        <v>Unusual</v>
      </c>
      <c r="M1105" t="str">
        <f t="shared" si="139"/>
        <v/>
      </c>
      <c r="N1105" t="str">
        <f t="shared" si="140"/>
        <v>Invalid</v>
      </c>
      <c r="O1105" t="str">
        <f t="shared" ca="1" si="141"/>
        <v>Outdated</v>
      </c>
      <c r="P1105" t="str">
        <f t="shared" si="142"/>
        <v>Damaged</v>
      </c>
      <c r="Q1105" t="str">
        <f t="shared" si="143"/>
        <v/>
      </c>
    </row>
    <row r="1106" spans="1:17" x14ac:dyDescent="0.45">
      <c r="A1106" t="s">
        <v>1816</v>
      </c>
      <c r="B1106" t="s">
        <v>72</v>
      </c>
      <c r="C1106" t="s">
        <v>982</v>
      </c>
      <c r="D1106" t="s">
        <v>74</v>
      </c>
      <c r="E1106" s="8">
        <v>8655.09</v>
      </c>
      <c r="F1106" s="9">
        <v>45252.666684444448</v>
      </c>
      <c r="G1106" t="s">
        <v>75</v>
      </c>
      <c r="H1106" t="s">
        <v>133</v>
      </c>
      <c r="I1106" t="s">
        <v>77</v>
      </c>
      <c r="J1106" t="str">
        <f t="shared" si="136"/>
        <v/>
      </c>
      <c r="K1106" t="str">
        <f t="shared" si="137"/>
        <v/>
      </c>
      <c r="L1106" t="str">
        <f t="shared" si="138"/>
        <v/>
      </c>
      <c r="M1106" t="str">
        <f t="shared" si="139"/>
        <v/>
      </c>
      <c r="N1106" t="str">
        <f t="shared" si="140"/>
        <v>Invalid</v>
      </c>
      <c r="O1106" t="str">
        <f t="shared" ca="1" si="141"/>
        <v>Outdated</v>
      </c>
      <c r="P1106" t="str">
        <f t="shared" si="142"/>
        <v>Wrong Item</v>
      </c>
      <c r="Q1106" t="str">
        <f t="shared" si="143"/>
        <v/>
      </c>
    </row>
    <row r="1107" spans="1:17" x14ac:dyDescent="0.45">
      <c r="A1107" t="s">
        <v>1817</v>
      </c>
      <c r="B1107" t="s">
        <v>79</v>
      </c>
      <c r="C1107" t="s">
        <v>1818</v>
      </c>
      <c r="D1107" t="s">
        <v>74</v>
      </c>
      <c r="E1107" s="8">
        <v>6270.87</v>
      </c>
      <c r="F1107" s="9">
        <v>45157.666684444448</v>
      </c>
      <c r="G1107" t="s">
        <v>86</v>
      </c>
      <c r="H1107" t="s">
        <v>118</v>
      </c>
      <c r="I1107" t="s">
        <v>163</v>
      </c>
      <c r="J1107" t="str">
        <f t="shared" si="136"/>
        <v/>
      </c>
      <c r="K1107" t="str">
        <f t="shared" si="137"/>
        <v/>
      </c>
      <c r="L1107" t="str">
        <f t="shared" si="138"/>
        <v/>
      </c>
      <c r="M1107" t="str">
        <f t="shared" si="139"/>
        <v/>
      </c>
      <c r="N1107" t="str">
        <f t="shared" si="140"/>
        <v>Invalid</v>
      </c>
      <c r="O1107" t="str">
        <f t="shared" ca="1" si="141"/>
        <v>Outdated</v>
      </c>
      <c r="P1107" t="str">
        <f t="shared" si="142"/>
        <v>Wrong Item</v>
      </c>
      <c r="Q1107" t="str">
        <f t="shared" si="143"/>
        <v/>
      </c>
    </row>
    <row r="1108" spans="1:17" x14ac:dyDescent="0.45">
      <c r="A1108" t="s">
        <v>1819</v>
      </c>
      <c r="B1108" t="s">
        <v>109</v>
      </c>
      <c r="C1108" t="s">
        <v>1736</v>
      </c>
      <c r="D1108" t="s">
        <v>101</v>
      </c>
      <c r="E1108" s="8">
        <v>1867.78</v>
      </c>
      <c r="F1108" s="9">
        <v>45773.666684444448</v>
      </c>
      <c r="G1108" t="s">
        <v>111</v>
      </c>
      <c r="H1108" t="s">
        <v>128</v>
      </c>
      <c r="I1108" t="s">
        <v>82</v>
      </c>
      <c r="J1108" t="str">
        <f t="shared" si="136"/>
        <v/>
      </c>
      <c r="K1108" t="str">
        <f t="shared" si="137"/>
        <v/>
      </c>
      <c r="L1108" t="str">
        <f t="shared" si="138"/>
        <v/>
      </c>
      <c r="M1108" t="str">
        <f t="shared" si="139"/>
        <v/>
      </c>
      <c r="N1108" t="str">
        <f t="shared" si="140"/>
        <v>Invalid</v>
      </c>
      <c r="O1108" t="str">
        <f t="shared" ca="1" si="141"/>
        <v>Outdated</v>
      </c>
      <c r="P1108" t="str">
        <f t="shared" si="142"/>
        <v>Damaged</v>
      </c>
      <c r="Q1108" t="str">
        <f t="shared" si="143"/>
        <v/>
      </c>
    </row>
    <row r="1109" spans="1:17" x14ac:dyDescent="0.45">
      <c r="A1109" t="s">
        <v>1820</v>
      </c>
      <c r="B1109" t="s">
        <v>72</v>
      </c>
      <c r="C1109" t="s">
        <v>1821</v>
      </c>
      <c r="D1109" t="s">
        <v>101</v>
      </c>
      <c r="E1109" s="8">
        <v>5880.05</v>
      </c>
      <c r="F1109" s="9">
        <v>45751.666684444448</v>
      </c>
      <c r="G1109" t="s">
        <v>521</v>
      </c>
      <c r="H1109" t="s">
        <v>81</v>
      </c>
      <c r="I1109" t="s">
        <v>163</v>
      </c>
      <c r="J1109" t="str">
        <f t="shared" si="136"/>
        <v/>
      </c>
      <c r="K1109" t="str">
        <f t="shared" si="137"/>
        <v/>
      </c>
      <c r="L1109" t="str">
        <f t="shared" si="138"/>
        <v/>
      </c>
      <c r="M1109" t="str">
        <f t="shared" si="139"/>
        <v>Invalid</v>
      </c>
      <c r="N1109" t="str">
        <f t="shared" si="140"/>
        <v/>
      </c>
      <c r="O1109" t="str">
        <f t="shared" ca="1" si="141"/>
        <v>Outdated</v>
      </c>
      <c r="P1109" t="str">
        <f t="shared" si="142"/>
        <v>Damaged</v>
      </c>
      <c r="Q1109" t="str">
        <f t="shared" si="143"/>
        <v/>
      </c>
    </row>
    <row r="1110" spans="1:17" x14ac:dyDescent="0.45">
      <c r="A1110" t="s">
        <v>1822</v>
      </c>
      <c r="B1110" t="s">
        <v>95</v>
      </c>
      <c r="C1110" t="s">
        <v>1519</v>
      </c>
      <c r="D1110" t="s">
        <v>101</v>
      </c>
      <c r="E1110" s="8">
        <v>5034.16</v>
      </c>
      <c r="F1110" s="9">
        <v>45373.666684444448</v>
      </c>
      <c r="G1110" t="s">
        <v>97</v>
      </c>
      <c r="H1110" t="s">
        <v>145</v>
      </c>
      <c r="I1110" t="s">
        <v>82</v>
      </c>
      <c r="J1110" t="str">
        <f t="shared" si="136"/>
        <v/>
      </c>
      <c r="K1110" t="str">
        <f t="shared" si="137"/>
        <v/>
      </c>
      <c r="L1110" t="str">
        <f t="shared" si="138"/>
        <v/>
      </c>
      <c r="M1110" t="str">
        <f t="shared" si="139"/>
        <v/>
      </c>
      <c r="N1110" t="str">
        <f t="shared" si="140"/>
        <v/>
      </c>
      <c r="O1110" t="str">
        <f t="shared" ca="1" si="141"/>
        <v>Outdated</v>
      </c>
      <c r="P1110" t="str">
        <f t="shared" si="142"/>
        <v>Damaged</v>
      </c>
      <c r="Q1110" t="str">
        <f t="shared" si="143"/>
        <v/>
      </c>
    </row>
    <row r="1111" spans="1:17" x14ac:dyDescent="0.45">
      <c r="A1111" t="s">
        <v>1823</v>
      </c>
      <c r="B1111" t="s">
        <v>72</v>
      </c>
      <c r="C1111" t="s">
        <v>831</v>
      </c>
      <c r="D1111" t="s">
        <v>74</v>
      </c>
      <c r="E1111" s="8">
        <v>426.99</v>
      </c>
      <c r="F1111" s="9">
        <v>45854.666684444448</v>
      </c>
      <c r="G1111" t="s">
        <v>75</v>
      </c>
      <c r="H1111" t="s">
        <v>81</v>
      </c>
      <c r="I1111" t="s">
        <v>163</v>
      </c>
      <c r="J1111" t="str">
        <f t="shared" si="136"/>
        <v/>
      </c>
      <c r="K1111" t="str">
        <f t="shared" si="137"/>
        <v/>
      </c>
      <c r="L1111" t="str">
        <f t="shared" si="138"/>
        <v/>
      </c>
      <c r="M1111" t="str">
        <f t="shared" si="139"/>
        <v/>
      </c>
      <c r="N1111" t="str">
        <f t="shared" si="140"/>
        <v/>
      </c>
      <c r="O1111" t="str">
        <f t="shared" ca="1" si="141"/>
        <v/>
      </c>
      <c r="P1111" t="str">
        <f t="shared" si="142"/>
        <v>Wrong Item</v>
      </c>
      <c r="Q1111" t="str">
        <f t="shared" si="143"/>
        <v/>
      </c>
    </row>
    <row r="1112" spans="1:17" x14ac:dyDescent="0.45">
      <c r="A1112" t="s">
        <v>1735</v>
      </c>
      <c r="B1112" t="s">
        <v>90</v>
      </c>
      <c r="C1112" t="s">
        <v>1824</v>
      </c>
      <c r="D1112" t="s">
        <v>92</v>
      </c>
      <c r="E1112" s="8">
        <v>9168.44</v>
      </c>
      <c r="F1112" s="9">
        <v>45290.666684444448</v>
      </c>
      <c r="G1112" t="s">
        <v>93</v>
      </c>
      <c r="H1112" t="s">
        <v>107</v>
      </c>
      <c r="I1112" t="s">
        <v>77</v>
      </c>
      <c r="J1112" t="str">
        <f t="shared" si="136"/>
        <v/>
      </c>
      <c r="K1112" t="str">
        <f t="shared" si="137"/>
        <v>Duplicate</v>
      </c>
      <c r="L1112" t="str">
        <f t="shared" si="138"/>
        <v/>
      </c>
      <c r="M1112" t="str">
        <f t="shared" si="139"/>
        <v/>
      </c>
      <c r="N1112" t="str">
        <f t="shared" si="140"/>
        <v/>
      </c>
      <c r="O1112" t="str">
        <f t="shared" ca="1" si="141"/>
        <v>Outdated</v>
      </c>
      <c r="P1112" t="str">
        <f t="shared" si="142"/>
        <v>Not As Described</v>
      </c>
      <c r="Q1112" t="str">
        <f t="shared" si="143"/>
        <v/>
      </c>
    </row>
    <row r="1113" spans="1:17" x14ac:dyDescent="0.45">
      <c r="A1113" t="s">
        <v>1825</v>
      </c>
      <c r="B1113" t="s">
        <v>79</v>
      </c>
      <c r="C1113" t="s">
        <v>743</v>
      </c>
      <c r="D1113" t="s">
        <v>148</v>
      </c>
      <c r="E1113" s="8">
        <v>0</v>
      </c>
      <c r="F1113" s="9">
        <v>45446.666684444448</v>
      </c>
      <c r="G1113" t="s">
        <v>86</v>
      </c>
      <c r="H1113" t="s">
        <v>87</v>
      </c>
      <c r="I1113" t="s">
        <v>112</v>
      </c>
      <c r="J1113" t="str">
        <f t="shared" si="136"/>
        <v/>
      </c>
      <c r="K1113" t="str">
        <f t="shared" si="137"/>
        <v/>
      </c>
      <c r="L1113" t="str">
        <f t="shared" si="138"/>
        <v>Unusual</v>
      </c>
      <c r="M1113" t="str">
        <f t="shared" si="139"/>
        <v/>
      </c>
      <c r="N1113" t="str">
        <f t="shared" si="140"/>
        <v>Invalid</v>
      </c>
      <c r="O1113" t="str">
        <f t="shared" ca="1" si="141"/>
        <v>Outdated</v>
      </c>
      <c r="P1113" t="str">
        <f t="shared" si="142"/>
        <v>Wrong Item</v>
      </c>
      <c r="Q1113" t="str">
        <f t="shared" si="143"/>
        <v>Inconsistent</v>
      </c>
    </row>
    <row r="1114" spans="1:17" x14ac:dyDescent="0.45">
      <c r="A1114" t="s">
        <v>1826</v>
      </c>
      <c r="B1114" t="s">
        <v>95</v>
      </c>
      <c r="C1114" t="s">
        <v>1827</v>
      </c>
      <c r="D1114" t="s">
        <v>155</v>
      </c>
      <c r="E1114" s="8">
        <v>1037.0999999999999</v>
      </c>
      <c r="F1114" s="9">
        <v>45692.666684444448</v>
      </c>
      <c r="G1114" t="s">
        <v>97</v>
      </c>
      <c r="H1114" t="s">
        <v>128</v>
      </c>
      <c r="I1114" t="s">
        <v>119</v>
      </c>
      <c r="J1114" t="str">
        <f t="shared" si="136"/>
        <v/>
      </c>
      <c r="K1114" t="str">
        <f t="shared" si="137"/>
        <v/>
      </c>
      <c r="L1114" t="str">
        <f t="shared" si="138"/>
        <v/>
      </c>
      <c r="M1114" t="str">
        <f t="shared" si="139"/>
        <v/>
      </c>
      <c r="N1114" t="str">
        <f t="shared" si="140"/>
        <v>Invalid</v>
      </c>
      <c r="O1114" t="str">
        <f t="shared" ca="1" si="141"/>
        <v>Outdated</v>
      </c>
      <c r="P1114" t="str">
        <f t="shared" si="142"/>
        <v>Damaged</v>
      </c>
      <c r="Q1114" t="str">
        <f t="shared" si="143"/>
        <v>Inconsistent</v>
      </c>
    </row>
    <row r="1115" spans="1:17" x14ac:dyDescent="0.45">
      <c r="A1115" t="s">
        <v>1828</v>
      </c>
      <c r="B1115" t="s">
        <v>99</v>
      </c>
      <c r="C1115" t="s">
        <v>269</v>
      </c>
      <c r="D1115" t="s">
        <v>85</v>
      </c>
      <c r="E1115" s="8">
        <v>10783.4</v>
      </c>
      <c r="F1115" s="9">
        <v>45142.666684444448</v>
      </c>
      <c r="G1115" t="s">
        <v>102</v>
      </c>
      <c r="H1115" t="s">
        <v>133</v>
      </c>
      <c r="I1115" t="s">
        <v>88</v>
      </c>
      <c r="J1115" t="str">
        <f t="shared" si="136"/>
        <v/>
      </c>
      <c r="K1115" t="str">
        <f t="shared" si="137"/>
        <v/>
      </c>
      <c r="L1115" t="str">
        <f t="shared" si="138"/>
        <v>Unusual</v>
      </c>
      <c r="M1115" t="str">
        <f t="shared" si="139"/>
        <v/>
      </c>
      <c r="N1115" t="str">
        <f t="shared" si="140"/>
        <v>Invalid</v>
      </c>
      <c r="O1115" t="str">
        <f t="shared" ca="1" si="141"/>
        <v>Outdated</v>
      </c>
      <c r="P1115" t="str">
        <f t="shared" si="142"/>
        <v>Late Delivery</v>
      </c>
      <c r="Q1115" t="str">
        <f t="shared" si="143"/>
        <v/>
      </c>
    </row>
    <row r="1116" spans="1:17" x14ac:dyDescent="0.45">
      <c r="A1116" t="s">
        <v>1829</v>
      </c>
      <c r="B1116" t="s">
        <v>79</v>
      </c>
      <c r="C1116" t="s">
        <v>1678</v>
      </c>
      <c r="D1116" t="s">
        <v>92</v>
      </c>
      <c r="E1116" s="8">
        <v>10409.719999999999</v>
      </c>
      <c r="F1116" s="9">
        <v>45693.666684444448</v>
      </c>
      <c r="G1116" t="s">
        <v>86</v>
      </c>
      <c r="H1116" t="s">
        <v>118</v>
      </c>
      <c r="I1116" t="s">
        <v>163</v>
      </c>
      <c r="J1116" t="str">
        <f t="shared" si="136"/>
        <v/>
      </c>
      <c r="K1116" t="str">
        <f t="shared" si="137"/>
        <v/>
      </c>
      <c r="L1116" t="str">
        <f t="shared" si="138"/>
        <v>Unusual</v>
      </c>
      <c r="M1116" t="str">
        <f t="shared" si="139"/>
        <v/>
      </c>
      <c r="N1116" t="str">
        <f t="shared" si="140"/>
        <v>Invalid</v>
      </c>
      <c r="O1116" t="str">
        <f t="shared" ca="1" si="141"/>
        <v>Outdated</v>
      </c>
      <c r="P1116" t="str">
        <f t="shared" si="142"/>
        <v>Not As Described</v>
      </c>
      <c r="Q1116" t="str">
        <f t="shared" si="143"/>
        <v/>
      </c>
    </row>
    <row r="1117" spans="1:17" x14ac:dyDescent="0.45">
      <c r="A1117" t="s">
        <v>1830</v>
      </c>
      <c r="B1117" t="s">
        <v>90</v>
      </c>
      <c r="C1117" t="s">
        <v>330</v>
      </c>
      <c r="D1117" t="s">
        <v>148</v>
      </c>
      <c r="E1117" s="8">
        <v>3997.05</v>
      </c>
      <c r="F1117" s="9">
        <v>45545.666684444448</v>
      </c>
      <c r="G1117" t="s">
        <v>93</v>
      </c>
      <c r="H1117" t="s">
        <v>81</v>
      </c>
      <c r="I1117" t="s">
        <v>119</v>
      </c>
      <c r="J1117" t="str">
        <f t="shared" si="136"/>
        <v/>
      </c>
      <c r="K1117" t="str">
        <f t="shared" si="137"/>
        <v/>
      </c>
      <c r="L1117" t="str">
        <f t="shared" si="138"/>
        <v/>
      </c>
      <c r="M1117" t="str">
        <f t="shared" si="139"/>
        <v/>
      </c>
      <c r="N1117" t="str">
        <f t="shared" si="140"/>
        <v/>
      </c>
      <c r="O1117" t="str">
        <f t="shared" ca="1" si="141"/>
        <v>Outdated</v>
      </c>
      <c r="P1117" t="str">
        <f t="shared" si="142"/>
        <v>Wrong Item</v>
      </c>
      <c r="Q1117" t="str">
        <f t="shared" si="143"/>
        <v>Inconsistent</v>
      </c>
    </row>
    <row r="1118" spans="1:17" x14ac:dyDescent="0.45">
      <c r="A1118" t="s">
        <v>1831</v>
      </c>
      <c r="B1118" t="s">
        <v>138</v>
      </c>
      <c r="C1118" t="s">
        <v>1832</v>
      </c>
      <c r="D1118" t="s">
        <v>101</v>
      </c>
      <c r="E1118" s="8">
        <v>1671.56</v>
      </c>
      <c r="F1118" s="9">
        <v>45223.666684444448</v>
      </c>
      <c r="G1118" t="s">
        <v>140</v>
      </c>
      <c r="H1118" t="s">
        <v>87</v>
      </c>
      <c r="I1118" t="s">
        <v>82</v>
      </c>
      <c r="J1118" t="str">
        <f t="shared" si="136"/>
        <v/>
      </c>
      <c r="K1118" t="str">
        <f t="shared" si="137"/>
        <v/>
      </c>
      <c r="L1118" t="str">
        <f t="shared" si="138"/>
        <v/>
      </c>
      <c r="M1118" t="str">
        <f t="shared" si="139"/>
        <v/>
      </c>
      <c r="N1118" t="str">
        <f t="shared" si="140"/>
        <v>Invalid</v>
      </c>
      <c r="O1118" t="str">
        <f t="shared" ca="1" si="141"/>
        <v>Outdated</v>
      </c>
      <c r="P1118" t="str">
        <f t="shared" si="142"/>
        <v>Damaged</v>
      </c>
      <c r="Q1118" t="str">
        <f t="shared" si="143"/>
        <v/>
      </c>
    </row>
    <row r="1119" spans="1:17" x14ac:dyDescent="0.45">
      <c r="A1119" t="s">
        <v>1833</v>
      </c>
      <c r="B1119" t="s">
        <v>90</v>
      </c>
      <c r="C1119" t="s">
        <v>787</v>
      </c>
      <c r="D1119" t="s">
        <v>101</v>
      </c>
      <c r="E1119" s="8">
        <v>0</v>
      </c>
      <c r="F1119" s="9">
        <v>45358.666684444448</v>
      </c>
      <c r="G1119" t="s">
        <v>93</v>
      </c>
      <c r="H1119" t="s">
        <v>145</v>
      </c>
      <c r="I1119" t="s">
        <v>82</v>
      </c>
      <c r="J1119" t="str">
        <f t="shared" si="136"/>
        <v/>
      </c>
      <c r="K1119" t="str">
        <f t="shared" si="137"/>
        <v/>
      </c>
      <c r="L1119" t="str">
        <f t="shared" si="138"/>
        <v>Unusual</v>
      </c>
      <c r="M1119" t="str">
        <f t="shared" si="139"/>
        <v/>
      </c>
      <c r="N1119" t="str">
        <f t="shared" si="140"/>
        <v/>
      </c>
      <c r="O1119" t="str">
        <f t="shared" ca="1" si="141"/>
        <v>Outdated</v>
      </c>
      <c r="P1119" t="str">
        <f t="shared" si="142"/>
        <v>Damaged</v>
      </c>
      <c r="Q1119" t="str">
        <f t="shared" si="143"/>
        <v/>
      </c>
    </row>
    <row r="1120" spans="1:17" x14ac:dyDescent="0.45">
      <c r="A1120" t="s">
        <v>1834</v>
      </c>
      <c r="B1120" t="s">
        <v>172</v>
      </c>
      <c r="C1120" t="s">
        <v>193</v>
      </c>
      <c r="D1120" t="s">
        <v>155</v>
      </c>
      <c r="E1120" s="8">
        <v>6649.54</v>
      </c>
      <c r="F1120" s="9">
        <v>45244.666684444448</v>
      </c>
      <c r="H1120" t="s">
        <v>118</v>
      </c>
      <c r="I1120" t="s">
        <v>163</v>
      </c>
      <c r="J1120" t="str">
        <f t="shared" si="136"/>
        <v/>
      </c>
      <c r="K1120" t="str">
        <f t="shared" si="137"/>
        <v/>
      </c>
      <c r="L1120" t="str">
        <f t="shared" si="138"/>
        <v/>
      </c>
      <c r="M1120" t="str">
        <f t="shared" si="139"/>
        <v>Invalid</v>
      </c>
      <c r="N1120" t="str">
        <f t="shared" si="140"/>
        <v>Invalid</v>
      </c>
      <c r="O1120" t="str">
        <f t="shared" ca="1" si="141"/>
        <v>Outdated</v>
      </c>
      <c r="P1120" t="str">
        <f t="shared" si="142"/>
        <v>Damaged</v>
      </c>
      <c r="Q1120" t="str">
        <f t="shared" si="143"/>
        <v>Inconsistent</v>
      </c>
    </row>
    <row r="1121" spans="1:17" x14ac:dyDescent="0.45">
      <c r="A1121" t="s">
        <v>865</v>
      </c>
      <c r="B1121" t="s">
        <v>172</v>
      </c>
      <c r="C1121" t="s">
        <v>480</v>
      </c>
      <c r="D1121" t="s">
        <v>85</v>
      </c>
      <c r="E1121" s="8">
        <v>11123.86</v>
      </c>
      <c r="F1121" s="9">
        <v>45600.666684444448</v>
      </c>
      <c r="H1121" t="s">
        <v>116</v>
      </c>
      <c r="I1121" t="s">
        <v>163</v>
      </c>
      <c r="J1121" t="str">
        <f t="shared" si="136"/>
        <v/>
      </c>
      <c r="K1121" t="str">
        <f t="shared" si="137"/>
        <v>Duplicate</v>
      </c>
      <c r="L1121" t="str">
        <f t="shared" si="138"/>
        <v>Unusual</v>
      </c>
      <c r="M1121" t="str">
        <f t="shared" si="139"/>
        <v>Invalid</v>
      </c>
      <c r="N1121" t="str">
        <f t="shared" si="140"/>
        <v/>
      </c>
      <c r="O1121" t="str">
        <f t="shared" ca="1" si="141"/>
        <v>Outdated</v>
      </c>
      <c r="P1121" t="str">
        <f t="shared" si="142"/>
        <v>Late Delivery</v>
      </c>
      <c r="Q1121" t="str">
        <f t="shared" si="143"/>
        <v/>
      </c>
    </row>
    <row r="1122" spans="1:17" x14ac:dyDescent="0.45">
      <c r="A1122" t="s">
        <v>1835</v>
      </c>
      <c r="B1122" t="s">
        <v>138</v>
      </c>
      <c r="C1122" t="s">
        <v>1836</v>
      </c>
      <c r="D1122" t="s">
        <v>85</v>
      </c>
      <c r="E1122" s="8">
        <v>8290.24</v>
      </c>
      <c r="F1122" s="9">
        <v>45248.666684444448</v>
      </c>
      <c r="I1122" t="s">
        <v>88</v>
      </c>
      <c r="J1122" t="str">
        <f t="shared" si="136"/>
        <v/>
      </c>
      <c r="K1122" t="str">
        <f t="shared" si="137"/>
        <v/>
      </c>
      <c r="L1122" t="str">
        <f t="shared" si="138"/>
        <v/>
      </c>
      <c r="M1122" t="str">
        <f t="shared" si="139"/>
        <v>Invalid</v>
      </c>
      <c r="N1122" t="str">
        <f t="shared" si="140"/>
        <v>Invalid</v>
      </c>
      <c r="O1122" t="str">
        <f t="shared" ca="1" si="141"/>
        <v>Outdated</v>
      </c>
      <c r="P1122" t="str">
        <f t="shared" si="142"/>
        <v>Late Delivery</v>
      </c>
      <c r="Q1122" t="str">
        <f t="shared" si="143"/>
        <v/>
      </c>
    </row>
    <row r="1123" spans="1:17" x14ac:dyDescent="0.45">
      <c r="A1123" t="s">
        <v>1837</v>
      </c>
      <c r="B1123" t="s">
        <v>104</v>
      </c>
      <c r="C1123" t="s">
        <v>1838</v>
      </c>
      <c r="D1123" t="s">
        <v>74</v>
      </c>
      <c r="E1123" s="8">
        <v>1396.18</v>
      </c>
      <c r="F1123" s="9">
        <v>45791.666684444448</v>
      </c>
      <c r="G1123" t="s">
        <v>247</v>
      </c>
      <c r="H1123" t="s">
        <v>81</v>
      </c>
      <c r="I1123" t="s">
        <v>77</v>
      </c>
      <c r="J1123" t="str">
        <f t="shared" si="136"/>
        <v/>
      </c>
      <c r="K1123" t="str">
        <f t="shared" si="137"/>
        <v/>
      </c>
      <c r="L1123" t="str">
        <f t="shared" si="138"/>
        <v/>
      </c>
      <c r="M1123" t="str">
        <f t="shared" si="139"/>
        <v>Invalid</v>
      </c>
      <c r="N1123" t="str">
        <f t="shared" si="140"/>
        <v/>
      </c>
      <c r="O1123" t="str">
        <f t="shared" ca="1" si="141"/>
        <v>Outdated</v>
      </c>
      <c r="P1123" t="str">
        <f t="shared" si="142"/>
        <v>Wrong Item</v>
      </c>
      <c r="Q1123" t="str">
        <f t="shared" si="143"/>
        <v/>
      </c>
    </row>
    <row r="1124" spans="1:17" x14ac:dyDescent="0.45">
      <c r="A1124" t="s">
        <v>1839</v>
      </c>
      <c r="B1124" t="s">
        <v>72</v>
      </c>
      <c r="C1124" t="s">
        <v>1840</v>
      </c>
      <c r="D1124" t="s">
        <v>74</v>
      </c>
      <c r="E1124" s="8">
        <v>11618.5</v>
      </c>
      <c r="F1124" s="9">
        <v>45285.666684444448</v>
      </c>
      <c r="G1124" t="s">
        <v>75</v>
      </c>
      <c r="H1124" t="s">
        <v>145</v>
      </c>
      <c r="I1124" t="s">
        <v>112</v>
      </c>
      <c r="J1124" t="str">
        <f t="shared" si="136"/>
        <v/>
      </c>
      <c r="K1124" t="str">
        <f t="shared" si="137"/>
        <v/>
      </c>
      <c r="L1124" t="str">
        <f t="shared" si="138"/>
        <v>Unusual</v>
      </c>
      <c r="M1124" t="str">
        <f t="shared" si="139"/>
        <v/>
      </c>
      <c r="N1124" t="str">
        <f t="shared" si="140"/>
        <v/>
      </c>
      <c r="O1124" t="str">
        <f t="shared" ca="1" si="141"/>
        <v>Outdated</v>
      </c>
      <c r="P1124" t="str">
        <f t="shared" si="142"/>
        <v>Wrong Item</v>
      </c>
      <c r="Q1124" t="str">
        <f t="shared" si="143"/>
        <v/>
      </c>
    </row>
    <row r="1125" spans="1:17" x14ac:dyDescent="0.45">
      <c r="A1125" t="s">
        <v>1841</v>
      </c>
      <c r="B1125" t="s">
        <v>109</v>
      </c>
      <c r="C1125" t="s">
        <v>1804</v>
      </c>
      <c r="E1125" s="8">
        <v>10608.9</v>
      </c>
      <c r="F1125" s="9">
        <v>45638.666684444448</v>
      </c>
      <c r="G1125" t="s">
        <v>111</v>
      </c>
      <c r="H1125" t="s">
        <v>87</v>
      </c>
      <c r="I1125" t="s">
        <v>163</v>
      </c>
      <c r="J1125" t="str">
        <f t="shared" si="136"/>
        <v>Missing</v>
      </c>
      <c r="K1125" t="str">
        <f t="shared" si="137"/>
        <v/>
      </c>
      <c r="L1125" t="str">
        <f t="shared" si="138"/>
        <v>Unusual</v>
      </c>
      <c r="M1125" t="str">
        <f t="shared" si="139"/>
        <v/>
      </c>
      <c r="N1125" t="str">
        <f t="shared" si="140"/>
        <v>Invalid</v>
      </c>
      <c r="O1125" t="str">
        <f t="shared" ca="1" si="141"/>
        <v>Outdated</v>
      </c>
      <c r="P1125" t="str">
        <f t="shared" si="142"/>
        <v/>
      </c>
      <c r="Q1125" t="str">
        <f t="shared" si="143"/>
        <v/>
      </c>
    </row>
    <row r="1126" spans="1:17" x14ac:dyDescent="0.45">
      <c r="A1126" t="s">
        <v>1842</v>
      </c>
      <c r="B1126" t="s">
        <v>109</v>
      </c>
      <c r="C1126" t="s">
        <v>158</v>
      </c>
      <c r="D1126" t="s">
        <v>85</v>
      </c>
      <c r="E1126" s="8">
        <v>10286.32</v>
      </c>
      <c r="F1126" s="9">
        <v>45426.666684444448</v>
      </c>
      <c r="G1126" t="s">
        <v>111</v>
      </c>
      <c r="H1126" t="s">
        <v>116</v>
      </c>
      <c r="I1126" t="s">
        <v>82</v>
      </c>
      <c r="J1126" t="str">
        <f t="shared" si="136"/>
        <v/>
      </c>
      <c r="K1126" t="str">
        <f t="shared" si="137"/>
        <v/>
      </c>
      <c r="L1126" t="str">
        <f t="shared" si="138"/>
        <v>Unusual</v>
      </c>
      <c r="M1126" t="str">
        <f t="shared" si="139"/>
        <v/>
      </c>
      <c r="N1126" t="str">
        <f t="shared" si="140"/>
        <v/>
      </c>
      <c r="O1126" t="str">
        <f t="shared" ca="1" si="141"/>
        <v>Outdated</v>
      </c>
      <c r="P1126" t="str">
        <f t="shared" si="142"/>
        <v>Late Delivery</v>
      </c>
      <c r="Q1126" t="str">
        <f t="shared" si="143"/>
        <v/>
      </c>
    </row>
    <row r="1127" spans="1:17" x14ac:dyDescent="0.45">
      <c r="A1127" t="s">
        <v>1843</v>
      </c>
      <c r="B1127" t="s">
        <v>90</v>
      </c>
      <c r="C1127" t="s">
        <v>160</v>
      </c>
      <c r="D1127" t="s">
        <v>101</v>
      </c>
      <c r="E1127" s="8">
        <v>0</v>
      </c>
      <c r="F1127" s="9">
        <v>45649.666684444448</v>
      </c>
      <c r="G1127" t="s">
        <v>93</v>
      </c>
      <c r="H1127" t="s">
        <v>145</v>
      </c>
      <c r="I1127" t="s">
        <v>88</v>
      </c>
      <c r="J1127" t="str">
        <f t="shared" si="136"/>
        <v/>
      </c>
      <c r="K1127" t="str">
        <f t="shared" si="137"/>
        <v>Duplicate</v>
      </c>
      <c r="L1127" t="str">
        <f t="shared" si="138"/>
        <v>Unusual</v>
      </c>
      <c r="M1127" t="str">
        <f t="shared" si="139"/>
        <v/>
      </c>
      <c r="N1127" t="str">
        <f t="shared" si="140"/>
        <v/>
      </c>
      <c r="O1127" t="str">
        <f t="shared" ca="1" si="141"/>
        <v>Outdated</v>
      </c>
      <c r="P1127" t="str">
        <f t="shared" si="142"/>
        <v>Damaged</v>
      </c>
      <c r="Q1127" t="str">
        <f t="shared" si="143"/>
        <v/>
      </c>
    </row>
    <row r="1128" spans="1:17" x14ac:dyDescent="0.45">
      <c r="A1128" t="s">
        <v>1844</v>
      </c>
      <c r="B1128" t="s">
        <v>138</v>
      </c>
      <c r="C1128" t="s">
        <v>1845</v>
      </c>
      <c r="D1128" t="s">
        <v>74</v>
      </c>
      <c r="E1128" s="8">
        <v>4967.6099999999997</v>
      </c>
      <c r="F1128" s="9">
        <v>45850.666684444448</v>
      </c>
      <c r="G1128" t="s">
        <v>140</v>
      </c>
      <c r="H1128" t="s">
        <v>145</v>
      </c>
      <c r="I1128" t="s">
        <v>88</v>
      </c>
      <c r="J1128" t="str">
        <f t="shared" si="136"/>
        <v/>
      </c>
      <c r="K1128" t="str">
        <f t="shared" si="137"/>
        <v/>
      </c>
      <c r="L1128" t="str">
        <f t="shared" si="138"/>
        <v/>
      </c>
      <c r="M1128" t="str">
        <f t="shared" si="139"/>
        <v/>
      </c>
      <c r="N1128" t="str">
        <f t="shared" si="140"/>
        <v/>
      </c>
      <c r="O1128" t="str">
        <f t="shared" ca="1" si="141"/>
        <v/>
      </c>
      <c r="P1128" t="str">
        <f t="shared" si="142"/>
        <v>Wrong Item</v>
      </c>
      <c r="Q1128" t="str">
        <f t="shared" si="143"/>
        <v/>
      </c>
    </row>
    <row r="1129" spans="1:17" x14ac:dyDescent="0.45">
      <c r="A1129" t="s">
        <v>1846</v>
      </c>
      <c r="B1129" t="s">
        <v>138</v>
      </c>
      <c r="C1129" t="s">
        <v>796</v>
      </c>
      <c r="D1129" t="s">
        <v>85</v>
      </c>
      <c r="E1129" s="8">
        <v>3162.09</v>
      </c>
      <c r="F1129" s="9">
        <v>45407.666684444448</v>
      </c>
      <c r="G1129" t="s">
        <v>140</v>
      </c>
      <c r="H1129" t="s">
        <v>76</v>
      </c>
      <c r="I1129" t="s">
        <v>82</v>
      </c>
      <c r="J1129" t="str">
        <f t="shared" si="136"/>
        <v/>
      </c>
      <c r="K1129" t="str">
        <f t="shared" si="137"/>
        <v/>
      </c>
      <c r="L1129" t="str">
        <f t="shared" si="138"/>
        <v/>
      </c>
      <c r="M1129" t="str">
        <f t="shared" si="139"/>
        <v/>
      </c>
      <c r="N1129" t="str">
        <f t="shared" si="140"/>
        <v/>
      </c>
      <c r="O1129" t="str">
        <f t="shared" ca="1" si="141"/>
        <v>Outdated</v>
      </c>
      <c r="P1129" t="str">
        <f t="shared" si="142"/>
        <v>Late Delivery</v>
      </c>
      <c r="Q1129" t="str">
        <f t="shared" si="143"/>
        <v/>
      </c>
    </row>
    <row r="1130" spans="1:17" x14ac:dyDescent="0.45">
      <c r="A1130" t="s">
        <v>1847</v>
      </c>
      <c r="B1130" t="s">
        <v>99</v>
      </c>
      <c r="C1130" t="s">
        <v>1848</v>
      </c>
      <c r="D1130" t="s">
        <v>85</v>
      </c>
      <c r="E1130" s="8">
        <v>1953.31</v>
      </c>
      <c r="F1130" s="9">
        <v>45553.666684444448</v>
      </c>
      <c r="G1130" t="s">
        <v>102</v>
      </c>
      <c r="H1130" t="s">
        <v>118</v>
      </c>
      <c r="I1130" t="s">
        <v>82</v>
      </c>
      <c r="J1130" t="str">
        <f t="shared" si="136"/>
        <v/>
      </c>
      <c r="K1130" t="str">
        <f t="shared" si="137"/>
        <v>Duplicate</v>
      </c>
      <c r="L1130" t="str">
        <f t="shared" si="138"/>
        <v/>
      </c>
      <c r="M1130" t="str">
        <f t="shared" si="139"/>
        <v/>
      </c>
      <c r="N1130" t="str">
        <f t="shared" si="140"/>
        <v>Invalid</v>
      </c>
      <c r="O1130" t="str">
        <f t="shared" ca="1" si="141"/>
        <v>Outdated</v>
      </c>
      <c r="P1130" t="str">
        <f t="shared" si="142"/>
        <v>Late Delivery</v>
      </c>
      <c r="Q1130" t="str">
        <f t="shared" si="143"/>
        <v/>
      </c>
    </row>
    <row r="1131" spans="1:17" x14ac:dyDescent="0.45">
      <c r="A1131" t="s">
        <v>1849</v>
      </c>
      <c r="B1131" t="s">
        <v>79</v>
      </c>
      <c r="C1131" t="s">
        <v>1850</v>
      </c>
      <c r="D1131" t="s">
        <v>74</v>
      </c>
      <c r="E1131" s="8">
        <v>9526.1200000000008</v>
      </c>
      <c r="F1131" s="9">
        <v>45622.666684444448</v>
      </c>
      <c r="G1131" t="s">
        <v>86</v>
      </c>
      <c r="H1131" t="s">
        <v>107</v>
      </c>
      <c r="I1131" t="s">
        <v>119</v>
      </c>
      <c r="J1131" t="str">
        <f t="shared" si="136"/>
        <v/>
      </c>
      <c r="K1131" t="str">
        <f t="shared" si="137"/>
        <v/>
      </c>
      <c r="L1131" t="str">
        <f t="shared" si="138"/>
        <v/>
      </c>
      <c r="M1131" t="str">
        <f t="shared" si="139"/>
        <v/>
      </c>
      <c r="N1131" t="str">
        <f t="shared" si="140"/>
        <v/>
      </c>
      <c r="O1131" t="str">
        <f t="shared" ca="1" si="141"/>
        <v>Outdated</v>
      </c>
      <c r="P1131" t="str">
        <f t="shared" si="142"/>
        <v>Wrong Item</v>
      </c>
      <c r="Q1131" t="str">
        <f t="shared" si="143"/>
        <v/>
      </c>
    </row>
    <row r="1132" spans="1:17" x14ac:dyDescent="0.45">
      <c r="A1132" t="s">
        <v>1851</v>
      </c>
      <c r="B1132" t="s">
        <v>95</v>
      </c>
      <c r="C1132" t="s">
        <v>1711</v>
      </c>
      <c r="D1132" t="s">
        <v>148</v>
      </c>
      <c r="E1132" s="8">
        <v>1293.51</v>
      </c>
      <c r="F1132" s="9">
        <v>45611.666684444448</v>
      </c>
      <c r="G1132" t="s">
        <v>97</v>
      </c>
      <c r="H1132" t="s">
        <v>116</v>
      </c>
      <c r="I1132" t="s">
        <v>77</v>
      </c>
      <c r="J1132" t="str">
        <f t="shared" si="136"/>
        <v/>
      </c>
      <c r="K1132" t="str">
        <f t="shared" si="137"/>
        <v>Duplicate</v>
      </c>
      <c r="L1132" t="str">
        <f t="shared" si="138"/>
        <v/>
      </c>
      <c r="M1132" t="str">
        <f t="shared" si="139"/>
        <v/>
      </c>
      <c r="N1132" t="str">
        <f t="shared" si="140"/>
        <v/>
      </c>
      <c r="O1132" t="str">
        <f t="shared" ca="1" si="141"/>
        <v>Outdated</v>
      </c>
      <c r="P1132" t="str">
        <f t="shared" si="142"/>
        <v>Wrong Item</v>
      </c>
      <c r="Q1132" t="str">
        <f t="shared" si="143"/>
        <v>Inconsistent</v>
      </c>
    </row>
    <row r="1133" spans="1:17" x14ac:dyDescent="0.45">
      <c r="A1133" t="s">
        <v>1852</v>
      </c>
      <c r="B1133" t="s">
        <v>172</v>
      </c>
      <c r="C1133" t="s">
        <v>1299</v>
      </c>
      <c r="D1133" t="s">
        <v>74</v>
      </c>
      <c r="E1133" s="8">
        <v>8371.76</v>
      </c>
      <c r="F1133" s="9">
        <v>45377.666684444448</v>
      </c>
      <c r="G1133" t="s">
        <v>174</v>
      </c>
      <c r="H1133" t="s">
        <v>136</v>
      </c>
      <c r="I1133" t="s">
        <v>163</v>
      </c>
      <c r="J1133" t="str">
        <f t="shared" si="136"/>
        <v/>
      </c>
      <c r="K1133" t="str">
        <f t="shared" si="137"/>
        <v/>
      </c>
      <c r="L1133" t="str">
        <f t="shared" si="138"/>
        <v/>
      </c>
      <c r="M1133" t="str">
        <f t="shared" si="139"/>
        <v/>
      </c>
      <c r="N1133" t="str">
        <f t="shared" si="140"/>
        <v>Invalid</v>
      </c>
      <c r="O1133" t="str">
        <f t="shared" ca="1" si="141"/>
        <v>Outdated</v>
      </c>
      <c r="P1133" t="str">
        <f t="shared" si="142"/>
        <v>Wrong Item</v>
      </c>
      <c r="Q1133" t="str">
        <f t="shared" si="143"/>
        <v/>
      </c>
    </row>
    <row r="1134" spans="1:17" x14ac:dyDescent="0.45">
      <c r="A1134" t="s">
        <v>1853</v>
      </c>
      <c r="B1134" t="s">
        <v>109</v>
      </c>
      <c r="C1134" t="s">
        <v>198</v>
      </c>
      <c r="D1134" t="s">
        <v>101</v>
      </c>
      <c r="E1134" s="8">
        <v>4700.1099999999997</v>
      </c>
      <c r="F1134" s="9">
        <v>45595.666684444448</v>
      </c>
      <c r="G1134" t="s">
        <v>111</v>
      </c>
      <c r="H1134" t="s">
        <v>136</v>
      </c>
      <c r="I1134" t="s">
        <v>88</v>
      </c>
      <c r="J1134" t="str">
        <f t="shared" si="136"/>
        <v/>
      </c>
      <c r="K1134" t="str">
        <f t="shared" si="137"/>
        <v/>
      </c>
      <c r="L1134" t="str">
        <f t="shared" si="138"/>
        <v/>
      </c>
      <c r="M1134" t="str">
        <f t="shared" si="139"/>
        <v/>
      </c>
      <c r="N1134" t="str">
        <f t="shared" si="140"/>
        <v>Invalid</v>
      </c>
      <c r="O1134" t="str">
        <f t="shared" ca="1" si="141"/>
        <v>Outdated</v>
      </c>
      <c r="P1134" t="str">
        <f t="shared" si="142"/>
        <v>Damaged</v>
      </c>
      <c r="Q1134" t="str">
        <f t="shared" si="143"/>
        <v/>
      </c>
    </row>
    <row r="1135" spans="1:17" x14ac:dyDescent="0.45">
      <c r="A1135" t="s">
        <v>1854</v>
      </c>
      <c r="B1135" t="s">
        <v>72</v>
      </c>
      <c r="C1135" t="s">
        <v>1464</v>
      </c>
      <c r="D1135" t="s">
        <v>92</v>
      </c>
      <c r="E1135" s="8">
        <v>11623.66</v>
      </c>
      <c r="F1135" s="9">
        <v>45692.666684444448</v>
      </c>
      <c r="G1135" t="s">
        <v>75</v>
      </c>
      <c r="H1135" t="s">
        <v>116</v>
      </c>
      <c r="I1135" t="s">
        <v>163</v>
      </c>
      <c r="J1135" t="str">
        <f t="shared" si="136"/>
        <v/>
      </c>
      <c r="K1135" t="str">
        <f t="shared" si="137"/>
        <v/>
      </c>
      <c r="L1135" t="str">
        <f t="shared" si="138"/>
        <v>Unusual</v>
      </c>
      <c r="M1135" t="str">
        <f t="shared" si="139"/>
        <v/>
      </c>
      <c r="N1135" t="str">
        <f t="shared" si="140"/>
        <v/>
      </c>
      <c r="O1135" t="str">
        <f t="shared" ca="1" si="141"/>
        <v>Outdated</v>
      </c>
      <c r="P1135" t="str">
        <f t="shared" si="142"/>
        <v>Not As Described</v>
      </c>
      <c r="Q1135" t="str">
        <f t="shared" si="143"/>
        <v/>
      </c>
    </row>
    <row r="1136" spans="1:17" x14ac:dyDescent="0.45">
      <c r="A1136" t="s">
        <v>1855</v>
      </c>
      <c r="B1136" t="s">
        <v>95</v>
      </c>
      <c r="C1136" t="s">
        <v>612</v>
      </c>
      <c r="D1136" t="s">
        <v>101</v>
      </c>
      <c r="E1136" s="8">
        <v>0</v>
      </c>
      <c r="F1136" s="9">
        <v>45276.666684444448</v>
      </c>
      <c r="G1136" t="s">
        <v>97</v>
      </c>
      <c r="H1136" t="s">
        <v>81</v>
      </c>
      <c r="I1136" t="s">
        <v>82</v>
      </c>
      <c r="J1136" t="str">
        <f t="shared" si="136"/>
        <v/>
      </c>
      <c r="K1136" t="str">
        <f t="shared" si="137"/>
        <v/>
      </c>
      <c r="L1136" t="str">
        <f t="shared" si="138"/>
        <v>Unusual</v>
      </c>
      <c r="M1136" t="str">
        <f t="shared" si="139"/>
        <v/>
      </c>
      <c r="N1136" t="str">
        <f t="shared" si="140"/>
        <v/>
      </c>
      <c r="O1136" t="str">
        <f t="shared" ca="1" si="141"/>
        <v>Outdated</v>
      </c>
      <c r="P1136" t="str">
        <f t="shared" si="142"/>
        <v>Damaged</v>
      </c>
      <c r="Q1136" t="str">
        <f t="shared" si="143"/>
        <v/>
      </c>
    </row>
    <row r="1137" spans="1:17" x14ac:dyDescent="0.45">
      <c r="A1137" t="s">
        <v>1856</v>
      </c>
      <c r="B1137" t="s">
        <v>90</v>
      </c>
      <c r="C1137" t="s">
        <v>668</v>
      </c>
      <c r="E1137" s="8">
        <v>4879.2700000000004</v>
      </c>
      <c r="F1137" s="9">
        <v>45520.666684444448</v>
      </c>
      <c r="G1137" t="s">
        <v>93</v>
      </c>
      <c r="H1137" t="s">
        <v>133</v>
      </c>
      <c r="I1137" t="s">
        <v>77</v>
      </c>
      <c r="J1137" t="str">
        <f t="shared" si="136"/>
        <v>Missing</v>
      </c>
      <c r="K1137" t="str">
        <f t="shared" si="137"/>
        <v/>
      </c>
      <c r="L1137" t="str">
        <f t="shared" si="138"/>
        <v/>
      </c>
      <c r="M1137" t="str">
        <f t="shared" si="139"/>
        <v/>
      </c>
      <c r="N1137" t="str">
        <f t="shared" si="140"/>
        <v>Invalid</v>
      </c>
      <c r="O1137" t="str">
        <f t="shared" ca="1" si="141"/>
        <v>Outdated</v>
      </c>
      <c r="P1137" t="str">
        <f t="shared" si="142"/>
        <v/>
      </c>
      <c r="Q1137" t="str">
        <f t="shared" si="143"/>
        <v/>
      </c>
    </row>
    <row r="1138" spans="1:17" x14ac:dyDescent="0.45">
      <c r="A1138" t="s">
        <v>1857</v>
      </c>
      <c r="B1138" t="s">
        <v>99</v>
      </c>
      <c r="D1138" t="s">
        <v>92</v>
      </c>
      <c r="E1138" s="8">
        <v>1826.1</v>
      </c>
      <c r="F1138" s="9">
        <v>45323.666684444448</v>
      </c>
      <c r="G1138" t="s">
        <v>102</v>
      </c>
      <c r="H1138" t="s">
        <v>87</v>
      </c>
      <c r="I1138" t="s">
        <v>119</v>
      </c>
      <c r="J1138" t="str">
        <f t="shared" si="136"/>
        <v>Missing</v>
      </c>
      <c r="K1138" t="str">
        <f t="shared" si="137"/>
        <v/>
      </c>
      <c r="L1138" t="str">
        <f t="shared" si="138"/>
        <v/>
      </c>
      <c r="M1138" t="str">
        <f t="shared" si="139"/>
        <v/>
      </c>
      <c r="N1138" t="str">
        <f t="shared" si="140"/>
        <v>Invalid</v>
      </c>
      <c r="O1138" t="str">
        <f t="shared" ca="1" si="141"/>
        <v>Outdated</v>
      </c>
      <c r="P1138" t="str">
        <f t="shared" si="142"/>
        <v>Not As Described</v>
      </c>
      <c r="Q1138" t="str">
        <f t="shared" si="143"/>
        <v/>
      </c>
    </row>
    <row r="1139" spans="1:17" x14ac:dyDescent="0.45">
      <c r="A1139" t="s">
        <v>1858</v>
      </c>
      <c r="B1139" t="s">
        <v>95</v>
      </c>
      <c r="C1139" t="s">
        <v>293</v>
      </c>
      <c r="D1139" t="s">
        <v>92</v>
      </c>
      <c r="E1139" s="8">
        <v>3424.34</v>
      </c>
      <c r="F1139" s="9">
        <v>45741.666684444448</v>
      </c>
      <c r="G1139" t="s">
        <v>97</v>
      </c>
      <c r="H1139" t="s">
        <v>81</v>
      </c>
      <c r="I1139" t="s">
        <v>88</v>
      </c>
      <c r="J1139" t="str">
        <f t="shared" si="136"/>
        <v/>
      </c>
      <c r="K1139" t="str">
        <f t="shared" si="137"/>
        <v/>
      </c>
      <c r="L1139" t="str">
        <f t="shared" si="138"/>
        <v/>
      </c>
      <c r="M1139" t="str">
        <f t="shared" si="139"/>
        <v/>
      </c>
      <c r="N1139" t="str">
        <f t="shared" si="140"/>
        <v/>
      </c>
      <c r="O1139" t="str">
        <f t="shared" ca="1" si="141"/>
        <v>Outdated</v>
      </c>
      <c r="P1139" t="str">
        <f t="shared" si="142"/>
        <v>Not As Described</v>
      </c>
      <c r="Q1139" t="str">
        <f t="shared" si="143"/>
        <v/>
      </c>
    </row>
    <row r="1140" spans="1:17" x14ac:dyDescent="0.45">
      <c r="A1140" t="s">
        <v>1859</v>
      </c>
      <c r="B1140" t="s">
        <v>99</v>
      </c>
      <c r="C1140" t="s">
        <v>1840</v>
      </c>
      <c r="D1140" t="s">
        <v>74</v>
      </c>
      <c r="E1140" s="8">
        <v>8809.2999999999993</v>
      </c>
      <c r="F1140" s="9">
        <v>45648.666684444448</v>
      </c>
      <c r="G1140" t="s">
        <v>102</v>
      </c>
      <c r="I1140" t="s">
        <v>77</v>
      </c>
      <c r="J1140" t="str">
        <f t="shared" si="136"/>
        <v/>
      </c>
      <c r="K1140" t="str">
        <f t="shared" si="137"/>
        <v/>
      </c>
      <c r="L1140" t="str">
        <f t="shared" si="138"/>
        <v/>
      </c>
      <c r="M1140" t="str">
        <f t="shared" si="139"/>
        <v/>
      </c>
      <c r="N1140" t="str">
        <f t="shared" si="140"/>
        <v>Invalid</v>
      </c>
      <c r="O1140" t="str">
        <f t="shared" ca="1" si="141"/>
        <v>Outdated</v>
      </c>
      <c r="P1140" t="str">
        <f t="shared" si="142"/>
        <v>Wrong Item</v>
      </c>
      <c r="Q1140" t="str">
        <f t="shared" si="143"/>
        <v/>
      </c>
    </row>
    <row r="1141" spans="1:17" x14ac:dyDescent="0.45">
      <c r="A1141" t="s">
        <v>1860</v>
      </c>
      <c r="B1141" t="s">
        <v>109</v>
      </c>
      <c r="C1141" t="s">
        <v>1797</v>
      </c>
      <c r="D1141" t="s">
        <v>74</v>
      </c>
      <c r="E1141" s="8">
        <v>9803.49</v>
      </c>
      <c r="F1141" s="9">
        <v>45267.666684444448</v>
      </c>
      <c r="H1141" t="s">
        <v>136</v>
      </c>
      <c r="I1141" t="s">
        <v>119</v>
      </c>
      <c r="J1141" t="str">
        <f t="shared" si="136"/>
        <v/>
      </c>
      <c r="K1141" t="str">
        <f t="shared" si="137"/>
        <v/>
      </c>
      <c r="L1141" t="str">
        <f t="shared" si="138"/>
        <v/>
      </c>
      <c r="M1141" t="str">
        <f t="shared" si="139"/>
        <v>Invalid</v>
      </c>
      <c r="N1141" t="str">
        <f t="shared" si="140"/>
        <v>Invalid</v>
      </c>
      <c r="O1141" t="str">
        <f t="shared" ca="1" si="141"/>
        <v>Outdated</v>
      </c>
      <c r="P1141" t="str">
        <f t="shared" si="142"/>
        <v>Wrong Item</v>
      </c>
      <c r="Q1141" t="str">
        <f t="shared" si="143"/>
        <v/>
      </c>
    </row>
    <row r="1142" spans="1:17" x14ac:dyDescent="0.45">
      <c r="A1142" t="s">
        <v>1861</v>
      </c>
      <c r="B1142" t="s">
        <v>109</v>
      </c>
      <c r="C1142" t="s">
        <v>1172</v>
      </c>
      <c r="D1142" t="s">
        <v>101</v>
      </c>
      <c r="E1142" s="8">
        <v>10311.99</v>
      </c>
      <c r="F1142" s="9">
        <v>45199.666684444448</v>
      </c>
      <c r="G1142" t="s">
        <v>307</v>
      </c>
      <c r="H1142" t="s">
        <v>118</v>
      </c>
      <c r="I1142" t="s">
        <v>77</v>
      </c>
      <c r="J1142" t="str">
        <f t="shared" si="136"/>
        <v/>
      </c>
      <c r="K1142" t="str">
        <f t="shared" si="137"/>
        <v/>
      </c>
      <c r="L1142" t="str">
        <f t="shared" si="138"/>
        <v>Unusual</v>
      </c>
      <c r="M1142" t="str">
        <f t="shared" si="139"/>
        <v>Invalid</v>
      </c>
      <c r="N1142" t="str">
        <f t="shared" si="140"/>
        <v>Invalid</v>
      </c>
      <c r="O1142" t="str">
        <f t="shared" ca="1" si="141"/>
        <v>Outdated</v>
      </c>
      <c r="P1142" t="str">
        <f t="shared" si="142"/>
        <v>Damaged</v>
      </c>
      <c r="Q1142" t="str">
        <f t="shared" si="143"/>
        <v/>
      </c>
    </row>
    <row r="1143" spans="1:17" x14ac:dyDescent="0.45">
      <c r="A1143" t="s">
        <v>156</v>
      </c>
      <c r="B1143" t="s">
        <v>72</v>
      </c>
      <c r="C1143" t="s">
        <v>816</v>
      </c>
      <c r="D1143" t="s">
        <v>85</v>
      </c>
      <c r="E1143" s="8">
        <v>4023.95</v>
      </c>
      <c r="F1143" s="9">
        <v>45410.666684444448</v>
      </c>
      <c r="G1143" t="s">
        <v>75</v>
      </c>
      <c r="H1143" t="s">
        <v>107</v>
      </c>
      <c r="I1143" t="s">
        <v>112</v>
      </c>
      <c r="J1143" t="str">
        <f t="shared" si="136"/>
        <v/>
      </c>
      <c r="K1143" t="str">
        <f t="shared" si="137"/>
        <v>Duplicate</v>
      </c>
      <c r="L1143" t="str">
        <f t="shared" si="138"/>
        <v/>
      </c>
      <c r="M1143" t="str">
        <f t="shared" si="139"/>
        <v/>
      </c>
      <c r="N1143" t="str">
        <f t="shared" si="140"/>
        <v/>
      </c>
      <c r="O1143" t="str">
        <f t="shared" ca="1" si="141"/>
        <v>Outdated</v>
      </c>
      <c r="P1143" t="str">
        <f t="shared" si="142"/>
        <v>Late Delivery</v>
      </c>
      <c r="Q1143" t="str">
        <f t="shared" si="143"/>
        <v/>
      </c>
    </row>
    <row r="1144" spans="1:17" x14ac:dyDescent="0.45">
      <c r="A1144" t="s">
        <v>1862</v>
      </c>
      <c r="B1144" t="s">
        <v>138</v>
      </c>
      <c r="C1144" t="s">
        <v>330</v>
      </c>
      <c r="D1144" t="s">
        <v>92</v>
      </c>
      <c r="E1144" s="8">
        <v>9630.77</v>
      </c>
      <c r="F1144" s="9">
        <v>45552.666684444448</v>
      </c>
      <c r="G1144" t="s">
        <v>140</v>
      </c>
      <c r="H1144" t="s">
        <v>145</v>
      </c>
      <c r="I1144" t="s">
        <v>77</v>
      </c>
      <c r="J1144" t="str">
        <f t="shared" si="136"/>
        <v/>
      </c>
      <c r="K1144" t="str">
        <f t="shared" si="137"/>
        <v/>
      </c>
      <c r="L1144" t="str">
        <f t="shared" si="138"/>
        <v/>
      </c>
      <c r="M1144" t="str">
        <f t="shared" si="139"/>
        <v/>
      </c>
      <c r="N1144" t="str">
        <f t="shared" si="140"/>
        <v/>
      </c>
      <c r="O1144" t="str">
        <f t="shared" ca="1" si="141"/>
        <v>Outdated</v>
      </c>
      <c r="P1144" t="str">
        <f t="shared" si="142"/>
        <v>Not As Described</v>
      </c>
      <c r="Q1144" t="str">
        <f t="shared" si="143"/>
        <v/>
      </c>
    </row>
    <row r="1145" spans="1:17" x14ac:dyDescent="0.45">
      <c r="A1145" t="s">
        <v>1863</v>
      </c>
      <c r="B1145" t="s">
        <v>90</v>
      </c>
      <c r="C1145" t="s">
        <v>674</v>
      </c>
      <c r="E1145" s="8">
        <v>1386.21</v>
      </c>
      <c r="F1145" s="9">
        <v>45476.666684444448</v>
      </c>
      <c r="G1145" t="s">
        <v>296</v>
      </c>
      <c r="H1145" t="s">
        <v>116</v>
      </c>
      <c r="I1145" t="s">
        <v>88</v>
      </c>
      <c r="J1145" t="str">
        <f t="shared" si="136"/>
        <v>Missing</v>
      </c>
      <c r="K1145" t="str">
        <f t="shared" si="137"/>
        <v/>
      </c>
      <c r="L1145" t="str">
        <f t="shared" si="138"/>
        <v/>
      </c>
      <c r="M1145" t="str">
        <f t="shared" si="139"/>
        <v>Invalid</v>
      </c>
      <c r="N1145" t="str">
        <f t="shared" si="140"/>
        <v/>
      </c>
      <c r="O1145" t="str">
        <f t="shared" ca="1" si="141"/>
        <v>Outdated</v>
      </c>
      <c r="P1145" t="str">
        <f t="shared" si="142"/>
        <v/>
      </c>
      <c r="Q1145" t="str">
        <f t="shared" si="143"/>
        <v/>
      </c>
    </row>
    <row r="1146" spans="1:17" x14ac:dyDescent="0.45">
      <c r="A1146" t="s">
        <v>1864</v>
      </c>
      <c r="B1146" t="s">
        <v>104</v>
      </c>
      <c r="C1146" t="s">
        <v>1036</v>
      </c>
      <c r="D1146" t="s">
        <v>92</v>
      </c>
      <c r="E1146" s="8">
        <v>11515.51</v>
      </c>
      <c r="F1146" s="9">
        <v>45647.666684444448</v>
      </c>
      <c r="G1146" t="s">
        <v>115</v>
      </c>
      <c r="H1146" t="s">
        <v>133</v>
      </c>
      <c r="I1146" t="s">
        <v>119</v>
      </c>
      <c r="J1146" t="str">
        <f t="shared" si="136"/>
        <v/>
      </c>
      <c r="K1146" t="str">
        <f t="shared" si="137"/>
        <v/>
      </c>
      <c r="L1146" t="str">
        <f t="shared" si="138"/>
        <v>Unusual</v>
      </c>
      <c r="M1146" t="str">
        <f t="shared" si="139"/>
        <v/>
      </c>
      <c r="N1146" t="str">
        <f t="shared" si="140"/>
        <v>Invalid</v>
      </c>
      <c r="O1146" t="str">
        <f t="shared" ca="1" si="141"/>
        <v>Outdated</v>
      </c>
      <c r="P1146" t="str">
        <f t="shared" si="142"/>
        <v>Not As Described</v>
      </c>
      <c r="Q1146" t="str">
        <f t="shared" si="143"/>
        <v/>
      </c>
    </row>
    <row r="1147" spans="1:17" x14ac:dyDescent="0.45">
      <c r="A1147" t="s">
        <v>1865</v>
      </c>
      <c r="B1147" t="s">
        <v>72</v>
      </c>
      <c r="C1147" t="s">
        <v>872</v>
      </c>
      <c r="D1147" t="s">
        <v>155</v>
      </c>
      <c r="E1147" s="8">
        <v>790.73</v>
      </c>
      <c r="F1147" s="9">
        <v>45401.666684444448</v>
      </c>
      <c r="G1147" t="s">
        <v>75</v>
      </c>
      <c r="H1147" t="s">
        <v>145</v>
      </c>
      <c r="I1147" t="s">
        <v>112</v>
      </c>
      <c r="J1147" t="str">
        <f t="shared" si="136"/>
        <v/>
      </c>
      <c r="K1147" t="str">
        <f t="shared" si="137"/>
        <v/>
      </c>
      <c r="L1147" t="str">
        <f t="shared" si="138"/>
        <v/>
      </c>
      <c r="M1147" t="str">
        <f t="shared" si="139"/>
        <v/>
      </c>
      <c r="N1147" t="str">
        <f t="shared" si="140"/>
        <v/>
      </c>
      <c r="O1147" t="str">
        <f t="shared" ca="1" si="141"/>
        <v>Outdated</v>
      </c>
      <c r="P1147" t="str">
        <f t="shared" si="142"/>
        <v>Damaged</v>
      </c>
      <c r="Q1147" t="str">
        <f t="shared" si="143"/>
        <v>Inconsistent</v>
      </c>
    </row>
    <row r="1148" spans="1:17" x14ac:dyDescent="0.45">
      <c r="A1148" t="s">
        <v>1866</v>
      </c>
      <c r="B1148" t="s">
        <v>109</v>
      </c>
      <c r="C1148" t="s">
        <v>554</v>
      </c>
      <c r="D1148" t="s">
        <v>92</v>
      </c>
      <c r="E1148" s="8">
        <v>11913.97</v>
      </c>
      <c r="F1148" s="9">
        <v>45130.666684444448</v>
      </c>
      <c r="G1148" t="s">
        <v>111</v>
      </c>
      <c r="H1148" t="s">
        <v>118</v>
      </c>
      <c r="I1148" t="s">
        <v>119</v>
      </c>
      <c r="J1148" t="str">
        <f t="shared" si="136"/>
        <v/>
      </c>
      <c r="K1148" t="str">
        <f t="shared" si="137"/>
        <v/>
      </c>
      <c r="L1148" t="str">
        <f t="shared" si="138"/>
        <v>Unusual</v>
      </c>
      <c r="M1148" t="str">
        <f t="shared" si="139"/>
        <v/>
      </c>
      <c r="N1148" t="str">
        <f t="shared" si="140"/>
        <v>Invalid</v>
      </c>
      <c r="O1148" t="str">
        <f t="shared" ca="1" si="141"/>
        <v>Outdated</v>
      </c>
      <c r="P1148" t="str">
        <f t="shared" si="142"/>
        <v>Not As Described</v>
      </c>
      <c r="Q1148" t="str">
        <f t="shared" si="143"/>
        <v/>
      </c>
    </row>
    <row r="1149" spans="1:17" x14ac:dyDescent="0.45">
      <c r="A1149" t="s">
        <v>1867</v>
      </c>
      <c r="B1149" t="s">
        <v>79</v>
      </c>
      <c r="C1149" t="s">
        <v>577</v>
      </c>
      <c r="D1149" t="s">
        <v>101</v>
      </c>
      <c r="E1149" s="8">
        <v>4279.46</v>
      </c>
      <c r="F1149" s="9">
        <v>45417.666684444448</v>
      </c>
      <c r="G1149" t="s">
        <v>86</v>
      </c>
      <c r="H1149" t="s">
        <v>81</v>
      </c>
      <c r="I1149" t="s">
        <v>82</v>
      </c>
      <c r="J1149" t="str">
        <f t="shared" si="136"/>
        <v/>
      </c>
      <c r="K1149" t="str">
        <f t="shared" si="137"/>
        <v/>
      </c>
      <c r="L1149" t="str">
        <f t="shared" si="138"/>
        <v/>
      </c>
      <c r="M1149" t="str">
        <f t="shared" si="139"/>
        <v/>
      </c>
      <c r="N1149" t="str">
        <f t="shared" si="140"/>
        <v/>
      </c>
      <c r="O1149" t="str">
        <f t="shared" ca="1" si="141"/>
        <v>Outdated</v>
      </c>
      <c r="P1149" t="str">
        <f t="shared" si="142"/>
        <v>Damaged</v>
      </c>
      <c r="Q1149" t="str">
        <f t="shared" si="143"/>
        <v/>
      </c>
    </row>
    <row r="1150" spans="1:17" x14ac:dyDescent="0.45">
      <c r="A1150" t="s">
        <v>1868</v>
      </c>
      <c r="B1150" t="s">
        <v>138</v>
      </c>
      <c r="C1150" t="s">
        <v>233</v>
      </c>
      <c r="D1150" t="s">
        <v>101</v>
      </c>
      <c r="E1150" s="8">
        <v>3083.9</v>
      </c>
      <c r="F1150" s="9">
        <v>45433.666684444448</v>
      </c>
      <c r="G1150" t="s">
        <v>140</v>
      </c>
      <c r="H1150" t="s">
        <v>118</v>
      </c>
      <c r="I1150" t="s">
        <v>163</v>
      </c>
      <c r="J1150" t="str">
        <f t="shared" si="136"/>
        <v/>
      </c>
      <c r="K1150" t="str">
        <f t="shared" si="137"/>
        <v/>
      </c>
      <c r="L1150" t="str">
        <f t="shared" si="138"/>
        <v/>
      </c>
      <c r="M1150" t="str">
        <f t="shared" si="139"/>
        <v/>
      </c>
      <c r="N1150" t="str">
        <f t="shared" si="140"/>
        <v>Invalid</v>
      </c>
      <c r="O1150" t="str">
        <f t="shared" ca="1" si="141"/>
        <v>Outdated</v>
      </c>
      <c r="P1150" t="str">
        <f t="shared" si="142"/>
        <v>Damaged</v>
      </c>
      <c r="Q1150" t="str">
        <f t="shared" si="143"/>
        <v/>
      </c>
    </row>
    <row r="1151" spans="1:17" x14ac:dyDescent="0.45">
      <c r="A1151" t="s">
        <v>1869</v>
      </c>
      <c r="B1151" t="s">
        <v>79</v>
      </c>
      <c r="C1151" t="s">
        <v>309</v>
      </c>
      <c r="D1151" t="s">
        <v>92</v>
      </c>
      <c r="E1151" s="8">
        <v>5032.6499999999996</v>
      </c>
      <c r="F1151" s="9">
        <v>45729.666684444448</v>
      </c>
      <c r="G1151" t="s">
        <v>86</v>
      </c>
      <c r="H1151" t="s">
        <v>128</v>
      </c>
      <c r="I1151" t="s">
        <v>112</v>
      </c>
      <c r="J1151" t="str">
        <f t="shared" si="136"/>
        <v/>
      </c>
      <c r="K1151" t="str">
        <f t="shared" si="137"/>
        <v/>
      </c>
      <c r="L1151" t="str">
        <f t="shared" si="138"/>
        <v/>
      </c>
      <c r="M1151" t="str">
        <f t="shared" si="139"/>
        <v/>
      </c>
      <c r="N1151" t="str">
        <f t="shared" si="140"/>
        <v>Invalid</v>
      </c>
      <c r="O1151" t="str">
        <f t="shared" ca="1" si="141"/>
        <v>Outdated</v>
      </c>
      <c r="P1151" t="str">
        <f t="shared" si="142"/>
        <v>Not As Described</v>
      </c>
      <c r="Q1151" t="str">
        <f t="shared" si="143"/>
        <v/>
      </c>
    </row>
    <row r="1152" spans="1:17" x14ac:dyDescent="0.45">
      <c r="A1152" t="s">
        <v>1870</v>
      </c>
      <c r="B1152" t="s">
        <v>72</v>
      </c>
      <c r="C1152" t="s">
        <v>631</v>
      </c>
      <c r="D1152" t="s">
        <v>74</v>
      </c>
      <c r="E1152" s="8">
        <v>8206.1200000000008</v>
      </c>
      <c r="F1152" s="9">
        <v>45721.666684444448</v>
      </c>
      <c r="G1152" t="s">
        <v>75</v>
      </c>
      <c r="H1152" t="s">
        <v>145</v>
      </c>
      <c r="I1152" t="s">
        <v>88</v>
      </c>
      <c r="J1152" t="str">
        <f t="shared" si="136"/>
        <v/>
      </c>
      <c r="K1152" t="str">
        <f t="shared" si="137"/>
        <v/>
      </c>
      <c r="L1152" t="str">
        <f t="shared" si="138"/>
        <v/>
      </c>
      <c r="M1152" t="str">
        <f t="shared" si="139"/>
        <v/>
      </c>
      <c r="N1152" t="str">
        <f t="shared" si="140"/>
        <v/>
      </c>
      <c r="O1152" t="str">
        <f t="shared" ca="1" si="141"/>
        <v>Outdated</v>
      </c>
      <c r="P1152" t="str">
        <f t="shared" si="142"/>
        <v>Wrong Item</v>
      </c>
      <c r="Q1152" t="str">
        <f t="shared" si="143"/>
        <v/>
      </c>
    </row>
    <row r="1153" spans="1:17" x14ac:dyDescent="0.45">
      <c r="A1153" t="s">
        <v>1871</v>
      </c>
      <c r="B1153" t="s">
        <v>95</v>
      </c>
      <c r="C1153" t="s">
        <v>1464</v>
      </c>
      <c r="D1153" t="s">
        <v>74</v>
      </c>
      <c r="E1153" s="8">
        <v>3512.9</v>
      </c>
      <c r="F1153" s="9">
        <v>45803.666684444448</v>
      </c>
      <c r="G1153" t="s">
        <v>97</v>
      </c>
      <c r="H1153" t="s">
        <v>116</v>
      </c>
      <c r="I1153" t="s">
        <v>163</v>
      </c>
      <c r="J1153" t="str">
        <f t="shared" si="136"/>
        <v/>
      </c>
      <c r="K1153" t="str">
        <f t="shared" si="137"/>
        <v/>
      </c>
      <c r="L1153" t="str">
        <f t="shared" si="138"/>
        <v/>
      </c>
      <c r="M1153" t="str">
        <f t="shared" si="139"/>
        <v/>
      </c>
      <c r="N1153" t="str">
        <f t="shared" si="140"/>
        <v/>
      </c>
      <c r="O1153" t="str">
        <f t="shared" ca="1" si="141"/>
        <v>Outdated</v>
      </c>
      <c r="P1153" t="str">
        <f t="shared" si="142"/>
        <v>Wrong Item</v>
      </c>
      <c r="Q1153" t="str">
        <f t="shared" si="143"/>
        <v/>
      </c>
    </row>
    <row r="1154" spans="1:17" x14ac:dyDescent="0.45">
      <c r="A1154" t="s">
        <v>1872</v>
      </c>
      <c r="B1154" t="s">
        <v>104</v>
      </c>
      <c r="D1154" t="s">
        <v>85</v>
      </c>
      <c r="E1154" s="8">
        <v>0</v>
      </c>
      <c r="F1154" s="9">
        <v>45629.666684444448</v>
      </c>
      <c r="G1154" t="s">
        <v>115</v>
      </c>
      <c r="I1154" t="s">
        <v>119</v>
      </c>
      <c r="J1154" t="str">
        <f t="shared" ref="J1154:J1217" si="144">IF(OR(ISBLANK(C1154),ISBLANK(D1154)),"Missing","")</f>
        <v>Missing</v>
      </c>
      <c r="K1154" t="str">
        <f t="shared" ref="K1154:K1217" si="145">IF(COUNTIF($A$2:$A$2501,A1154)&gt;1,"Duplicate","")</f>
        <v/>
      </c>
      <c r="L1154" t="str">
        <f t="shared" ref="L1154:L1217" si="146">IF(OR(E1154=0,E1154&gt;10000),"Unusual","")</f>
        <v>Unusual</v>
      </c>
      <c r="M1154" t="str">
        <f t="shared" ref="M1154:M1217" si="147">IF(OR(ISBLANK(G1154),ISERROR(FIND("@",G1154)),ISERROR(FIND(".",G1154,FIND("@",G1154)+1))),"Invalid","")</f>
        <v/>
      </c>
      <c r="N1154" t="str">
        <f t="shared" ref="N1154:N1217" si="148">IF(COUNTIF($S$2:$S$6,H1154)=0,"Invalid","")</f>
        <v>Invalid</v>
      </c>
      <c r="O1154" t="str">
        <f t="shared" ref="O1154:O1217" ca="1" si="149">IF(F1154&lt;EDATE(TODAY(),-12),"Outdated","")</f>
        <v>Outdated</v>
      </c>
      <c r="P1154" t="str">
        <f t="shared" ref="P1154:P1217" si="150">IF(ISBLANK(D1154),"",PROPER(TRIM(D1154)))</f>
        <v>Late Delivery</v>
      </c>
      <c r="Q1154" t="str">
        <f t="shared" ref="Q1154:Q1217" si="151">IF(ISBLANK(D1154),"",IF(EXACT(D1154,P1154),"","Inconsistent"))</f>
        <v/>
      </c>
    </row>
    <row r="1155" spans="1:17" x14ac:dyDescent="0.45">
      <c r="A1155" t="s">
        <v>1873</v>
      </c>
      <c r="B1155" t="s">
        <v>99</v>
      </c>
      <c r="C1155" t="s">
        <v>807</v>
      </c>
      <c r="E1155" s="8">
        <v>3774.98</v>
      </c>
      <c r="F1155" s="9">
        <v>45280.666684444448</v>
      </c>
      <c r="G1155" t="s">
        <v>102</v>
      </c>
      <c r="I1155" t="s">
        <v>112</v>
      </c>
      <c r="J1155" t="str">
        <f t="shared" si="144"/>
        <v>Missing</v>
      </c>
      <c r="K1155" t="str">
        <f t="shared" si="145"/>
        <v/>
      </c>
      <c r="L1155" t="str">
        <f t="shared" si="146"/>
        <v/>
      </c>
      <c r="M1155" t="str">
        <f t="shared" si="147"/>
        <v/>
      </c>
      <c r="N1155" t="str">
        <f t="shared" si="148"/>
        <v>Invalid</v>
      </c>
      <c r="O1155" t="str">
        <f t="shared" ca="1" si="149"/>
        <v>Outdated</v>
      </c>
      <c r="P1155" t="str">
        <f t="shared" si="150"/>
        <v/>
      </c>
      <c r="Q1155" t="str">
        <f t="shared" si="151"/>
        <v/>
      </c>
    </row>
    <row r="1156" spans="1:17" x14ac:dyDescent="0.45">
      <c r="A1156" t="s">
        <v>1874</v>
      </c>
      <c r="B1156" t="s">
        <v>72</v>
      </c>
      <c r="C1156" t="s">
        <v>442</v>
      </c>
      <c r="D1156" t="s">
        <v>74</v>
      </c>
      <c r="E1156" s="8">
        <v>11431.71</v>
      </c>
      <c r="F1156" s="9">
        <v>45585.666684444448</v>
      </c>
      <c r="G1156" t="s">
        <v>75</v>
      </c>
      <c r="H1156" t="s">
        <v>133</v>
      </c>
      <c r="I1156" t="s">
        <v>163</v>
      </c>
      <c r="J1156" t="str">
        <f t="shared" si="144"/>
        <v/>
      </c>
      <c r="K1156" t="str">
        <f t="shared" si="145"/>
        <v/>
      </c>
      <c r="L1156" t="str">
        <f t="shared" si="146"/>
        <v>Unusual</v>
      </c>
      <c r="M1156" t="str">
        <f t="shared" si="147"/>
        <v/>
      </c>
      <c r="N1156" t="str">
        <f t="shared" si="148"/>
        <v>Invalid</v>
      </c>
      <c r="O1156" t="str">
        <f t="shared" ca="1" si="149"/>
        <v>Outdated</v>
      </c>
      <c r="P1156" t="str">
        <f t="shared" si="150"/>
        <v>Wrong Item</v>
      </c>
      <c r="Q1156" t="str">
        <f t="shared" si="151"/>
        <v/>
      </c>
    </row>
    <row r="1157" spans="1:17" x14ac:dyDescent="0.45">
      <c r="A1157" t="s">
        <v>1875</v>
      </c>
      <c r="B1157" t="s">
        <v>99</v>
      </c>
      <c r="C1157" t="s">
        <v>834</v>
      </c>
      <c r="D1157" t="s">
        <v>92</v>
      </c>
      <c r="E1157" s="8">
        <v>2096.5</v>
      </c>
      <c r="F1157" s="9">
        <v>45679.666684444448</v>
      </c>
      <c r="G1157" t="s">
        <v>102</v>
      </c>
      <c r="H1157" t="s">
        <v>116</v>
      </c>
      <c r="I1157" t="s">
        <v>163</v>
      </c>
      <c r="J1157" t="str">
        <f t="shared" si="144"/>
        <v/>
      </c>
      <c r="K1157" t="str">
        <f t="shared" si="145"/>
        <v/>
      </c>
      <c r="L1157" t="str">
        <f t="shared" si="146"/>
        <v/>
      </c>
      <c r="M1157" t="str">
        <f t="shared" si="147"/>
        <v/>
      </c>
      <c r="N1157" t="str">
        <f t="shared" si="148"/>
        <v/>
      </c>
      <c r="O1157" t="str">
        <f t="shared" ca="1" si="149"/>
        <v>Outdated</v>
      </c>
      <c r="P1157" t="str">
        <f t="shared" si="150"/>
        <v>Not As Described</v>
      </c>
      <c r="Q1157" t="str">
        <f t="shared" si="151"/>
        <v/>
      </c>
    </row>
    <row r="1158" spans="1:17" x14ac:dyDescent="0.45">
      <c r="A1158" t="s">
        <v>1876</v>
      </c>
      <c r="B1158" t="s">
        <v>99</v>
      </c>
      <c r="C1158" t="s">
        <v>1393</v>
      </c>
      <c r="E1158" s="8">
        <v>3368.52</v>
      </c>
      <c r="F1158" s="9">
        <v>45623.666684444448</v>
      </c>
      <c r="G1158" t="s">
        <v>285</v>
      </c>
      <c r="H1158" t="s">
        <v>136</v>
      </c>
      <c r="I1158" t="s">
        <v>77</v>
      </c>
      <c r="J1158" t="str">
        <f t="shared" si="144"/>
        <v>Missing</v>
      </c>
      <c r="K1158" t="str">
        <f t="shared" si="145"/>
        <v/>
      </c>
      <c r="L1158" t="str">
        <f t="shared" si="146"/>
        <v/>
      </c>
      <c r="M1158" t="str">
        <f t="shared" si="147"/>
        <v>Invalid</v>
      </c>
      <c r="N1158" t="str">
        <f t="shared" si="148"/>
        <v>Invalid</v>
      </c>
      <c r="O1158" t="str">
        <f t="shared" ca="1" si="149"/>
        <v>Outdated</v>
      </c>
      <c r="P1158" t="str">
        <f t="shared" si="150"/>
        <v/>
      </c>
      <c r="Q1158" t="str">
        <f t="shared" si="151"/>
        <v/>
      </c>
    </row>
    <row r="1159" spans="1:17" x14ac:dyDescent="0.45">
      <c r="A1159" t="s">
        <v>1877</v>
      </c>
      <c r="B1159" t="s">
        <v>79</v>
      </c>
      <c r="C1159" t="s">
        <v>1878</v>
      </c>
      <c r="D1159" t="s">
        <v>85</v>
      </c>
      <c r="E1159" s="8">
        <v>3216.14</v>
      </c>
      <c r="F1159" s="9">
        <v>45481.666684444448</v>
      </c>
      <c r="G1159" t="s">
        <v>86</v>
      </c>
      <c r="H1159" t="s">
        <v>133</v>
      </c>
      <c r="I1159" t="s">
        <v>119</v>
      </c>
      <c r="J1159" t="str">
        <f t="shared" si="144"/>
        <v/>
      </c>
      <c r="K1159" t="str">
        <f t="shared" si="145"/>
        <v/>
      </c>
      <c r="L1159" t="str">
        <f t="shared" si="146"/>
        <v/>
      </c>
      <c r="M1159" t="str">
        <f t="shared" si="147"/>
        <v/>
      </c>
      <c r="N1159" t="str">
        <f t="shared" si="148"/>
        <v>Invalid</v>
      </c>
      <c r="O1159" t="str">
        <f t="shared" ca="1" si="149"/>
        <v>Outdated</v>
      </c>
      <c r="P1159" t="str">
        <f t="shared" si="150"/>
        <v>Late Delivery</v>
      </c>
      <c r="Q1159" t="str">
        <f t="shared" si="151"/>
        <v/>
      </c>
    </row>
    <row r="1160" spans="1:17" x14ac:dyDescent="0.45">
      <c r="A1160" t="s">
        <v>1879</v>
      </c>
      <c r="B1160" t="s">
        <v>95</v>
      </c>
      <c r="C1160" t="s">
        <v>1183</v>
      </c>
      <c r="D1160" t="s">
        <v>74</v>
      </c>
      <c r="E1160" s="8">
        <v>7911.94</v>
      </c>
      <c r="F1160" s="9">
        <v>45468.666684444448</v>
      </c>
      <c r="G1160" t="s">
        <v>97</v>
      </c>
      <c r="I1160" t="s">
        <v>82</v>
      </c>
      <c r="J1160" t="str">
        <f t="shared" si="144"/>
        <v/>
      </c>
      <c r="K1160" t="str">
        <f t="shared" si="145"/>
        <v/>
      </c>
      <c r="L1160" t="str">
        <f t="shared" si="146"/>
        <v/>
      </c>
      <c r="M1160" t="str">
        <f t="shared" si="147"/>
        <v/>
      </c>
      <c r="N1160" t="str">
        <f t="shared" si="148"/>
        <v>Invalid</v>
      </c>
      <c r="O1160" t="str">
        <f t="shared" ca="1" si="149"/>
        <v>Outdated</v>
      </c>
      <c r="P1160" t="str">
        <f t="shared" si="150"/>
        <v>Wrong Item</v>
      </c>
      <c r="Q1160" t="str">
        <f t="shared" si="151"/>
        <v/>
      </c>
    </row>
    <row r="1161" spans="1:17" x14ac:dyDescent="0.45">
      <c r="A1161" t="s">
        <v>1880</v>
      </c>
      <c r="B1161" t="s">
        <v>99</v>
      </c>
      <c r="C1161" t="s">
        <v>749</v>
      </c>
      <c r="D1161" t="s">
        <v>74</v>
      </c>
      <c r="E1161" s="8">
        <v>2589.65</v>
      </c>
      <c r="F1161" s="9">
        <v>45693.666684444448</v>
      </c>
      <c r="G1161" t="s">
        <v>102</v>
      </c>
      <c r="H1161" t="s">
        <v>116</v>
      </c>
      <c r="I1161" t="s">
        <v>163</v>
      </c>
      <c r="J1161" t="str">
        <f t="shared" si="144"/>
        <v/>
      </c>
      <c r="K1161" t="str">
        <f t="shared" si="145"/>
        <v/>
      </c>
      <c r="L1161" t="str">
        <f t="shared" si="146"/>
        <v/>
      </c>
      <c r="M1161" t="str">
        <f t="shared" si="147"/>
        <v/>
      </c>
      <c r="N1161" t="str">
        <f t="shared" si="148"/>
        <v/>
      </c>
      <c r="O1161" t="str">
        <f t="shared" ca="1" si="149"/>
        <v>Outdated</v>
      </c>
      <c r="P1161" t="str">
        <f t="shared" si="150"/>
        <v>Wrong Item</v>
      </c>
      <c r="Q1161" t="str">
        <f t="shared" si="151"/>
        <v/>
      </c>
    </row>
    <row r="1162" spans="1:17" x14ac:dyDescent="0.45">
      <c r="A1162" t="s">
        <v>1881</v>
      </c>
      <c r="B1162" t="s">
        <v>104</v>
      </c>
      <c r="C1162" t="s">
        <v>691</v>
      </c>
      <c r="D1162" t="s">
        <v>92</v>
      </c>
      <c r="E1162" s="8">
        <v>3752.19</v>
      </c>
      <c r="F1162" s="9">
        <v>45684.666684444448</v>
      </c>
      <c r="G1162" t="s">
        <v>115</v>
      </c>
      <c r="H1162" t="s">
        <v>116</v>
      </c>
      <c r="I1162" t="s">
        <v>163</v>
      </c>
      <c r="J1162" t="str">
        <f t="shared" si="144"/>
        <v/>
      </c>
      <c r="K1162" t="str">
        <f t="shared" si="145"/>
        <v/>
      </c>
      <c r="L1162" t="str">
        <f t="shared" si="146"/>
        <v/>
      </c>
      <c r="M1162" t="str">
        <f t="shared" si="147"/>
        <v/>
      </c>
      <c r="N1162" t="str">
        <f t="shared" si="148"/>
        <v/>
      </c>
      <c r="O1162" t="str">
        <f t="shared" ca="1" si="149"/>
        <v>Outdated</v>
      </c>
      <c r="P1162" t="str">
        <f t="shared" si="150"/>
        <v>Not As Described</v>
      </c>
      <c r="Q1162" t="str">
        <f t="shared" si="151"/>
        <v/>
      </c>
    </row>
    <row r="1163" spans="1:17" x14ac:dyDescent="0.45">
      <c r="A1163" t="s">
        <v>1882</v>
      </c>
      <c r="B1163" t="s">
        <v>79</v>
      </c>
      <c r="D1163" t="s">
        <v>92</v>
      </c>
      <c r="E1163" s="8">
        <v>223.76</v>
      </c>
      <c r="F1163" s="9">
        <v>45514.666684444448</v>
      </c>
      <c r="G1163" t="s">
        <v>86</v>
      </c>
      <c r="H1163" t="s">
        <v>81</v>
      </c>
      <c r="I1163" t="s">
        <v>77</v>
      </c>
      <c r="J1163" t="str">
        <f t="shared" si="144"/>
        <v>Missing</v>
      </c>
      <c r="K1163" t="str">
        <f t="shared" si="145"/>
        <v/>
      </c>
      <c r="L1163" t="str">
        <f t="shared" si="146"/>
        <v/>
      </c>
      <c r="M1163" t="str">
        <f t="shared" si="147"/>
        <v/>
      </c>
      <c r="N1163" t="str">
        <f t="shared" si="148"/>
        <v/>
      </c>
      <c r="O1163" t="str">
        <f t="shared" ca="1" si="149"/>
        <v>Outdated</v>
      </c>
      <c r="P1163" t="str">
        <f t="shared" si="150"/>
        <v>Not As Described</v>
      </c>
      <c r="Q1163" t="str">
        <f t="shared" si="151"/>
        <v/>
      </c>
    </row>
    <row r="1164" spans="1:17" x14ac:dyDescent="0.45">
      <c r="A1164" t="s">
        <v>1883</v>
      </c>
      <c r="B1164" t="s">
        <v>109</v>
      </c>
      <c r="C1164" t="s">
        <v>552</v>
      </c>
      <c r="D1164" t="s">
        <v>148</v>
      </c>
      <c r="E1164" s="8">
        <v>1654.74</v>
      </c>
      <c r="F1164" s="9">
        <v>45594.666684444448</v>
      </c>
      <c r="G1164" t="s">
        <v>111</v>
      </c>
      <c r="H1164" t="s">
        <v>81</v>
      </c>
      <c r="I1164" t="s">
        <v>88</v>
      </c>
      <c r="J1164" t="str">
        <f t="shared" si="144"/>
        <v/>
      </c>
      <c r="K1164" t="str">
        <f t="shared" si="145"/>
        <v/>
      </c>
      <c r="L1164" t="str">
        <f t="shared" si="146"/>
        <v/>
      </c>
      <c r="M1164" t="str">
        <f t="shared" si="147"/>
        <v/>
      </c>
      <c r="N1164" t="str">
        <f t="shared" si="148"/>
        <v/>
      </c>
      <c r="O1164" t="str">
        <f t="shared" ca="1" si="149"/>
        <v>Outdated</v>
      </c>
      <c r="P1164" t="str">
        <f t="shared" si="150"/>
        <v>Wrong Item</v>
      </c>
      <c r="Q1164" t="str">
        <f t="shared" si="151"/>
        <v>Inconsistent</v>
      </c>
    </row>
    <row r="1165" spans="1:17" x14ac:dyDescent="0.45">
      <c r="A1165" t="s">
        <v>1884</v>
      </c>
      <c r="B1165" t="s">
        <v>79</v>
      </c>
      <c r="C1165" t="s">
        <v>511</v>
      </c>
      <c r="D1165" t="s">
        <v>85</v>
      </c>
      <c r="E1165" s="8">
        <v>9570.51</v>
      </c>
      <c r="F1165" s="9">
        <v>45457.666684444448</v>
      </c>
      <c r="G1165" t="s">
        <v>86</v>
      </c>
      <c r="H1165" t="s">
        <v>87</v>
      </c>
      <c r="I1165" t="s">
        <v>163</v>
      </c>
      <c r="J1165" t="str">
        <f t="shared" si="144"/>
        <v/>
      </c>
      <c r="K1165" t="str">
        <f t="shared" si="145"/>
        <v/>
      </c>
      <c r="L1165" t="str">
        <f t="shared" si="146"/>
        <v/>
      </c>
      <c r="M1165" t="str">
        <f t="shared" si="147"/>
        <v/>
      </c>
      <c r="N1165" t="str">
        <f t="shared" si="148"/>
        <v>Invalid</v>
      </c>
      <c r="O1165" t="str">
        <f t="shared" ca="1" si="149"/>
        <v>Outdated</v>
      </c>
      <c r="P1165" t="str">
        <f t="shared" si="150"/>
        <v>Late Delivery</v>
      </c>
      <c r="Q1165" t="str">
        <f t="shared" si="151"/>
        <v/>
      </c>
    </row>
    <row r="1166" spans="1:17" x14ac:dyDescent="0.45">
      <c r="A1166" t="s">
        <v>1885</v>
      </c>
      <c r="B1166" t="s">
        <v>104</v>
      </c>
      <c r="C1166" t="s">
        <v>1698</v>
      </c>
      <c r="D1166" t="s">
        <v>74</v>
      </c>
      <c r="E1166" s="8">
        <v>3716.18</v>
      </c>
      <c r="F1166" s="9">
        <v>45321.666684444448</v>
      </c>
      <c r="H1166" t="s">
        <v>118</v>
      </c>
      <c r="I1166" t="s">
        <v>119</v>
      </c>
      <c r="J1166" t="str">
        <f t="shared" si="144"/>
        <v/>
      </c>
      <c r="K1166" t="str">
        <f t="shared" si="145"/>
        <v/>
      </c>
      <c r="L1166" t="str">
        <f t="shared" si="146"/>
        <v/>
      </c>
      <c r="M1166" t="str">
        <f t="shared" si="147"/>
        <v>Invalid</v>
      </c>
      <c r="N1166" t="str">
        <f t="shared" si="148"/>
        <v>Invalid</v>
      </c>
      <c r="O1166" t="str">
        <f t="shared" ca="1" si="149"/>
        <v>Outdated</v>
      </c>
      <c r="P1166" t="str">
        <f t="shared" si="150"/>
        <v>Wrong Item</v>
      </c>
      <c r="Q1166" t="str">
        <f t="shared" si="151"/>
        <v/>
      </c>
    </row>
    <row r="1167" spans="1:17" x14ac:dyDescent="0.45">
      <c r="A1167" t="s">
        <v>1886</v>
      </c>
      <c r="B1167" t="s">
        <v>138</v>
      </c>
      <c r="D1167" t="s">
        <v>74</v>
      </c>
      <c r="E1167" s="8">
        <v>8841.66</v>
      </c>
      <c r="F1167" s="9">
        <v>45842.666684444448</v>
      </c>
      <c r="H1167" t="s">
        <v>116</v>
      </c>
      <c r="I1167" t="s">
        <v>119</v>
      </c>
      <c r="J1167" t="str">
        <f t="shared" si="144"/>
        <v>Missing</v>
      </c>
      <c r="K1167" t="str">
        <f t="shared" si="145"/>
        <v>Duplicate</v>
      </c>
      <c r="L1167" t="str">
        <f t="shared" si="146"/>
        <v/>
      </c>
      <c r="M1167" t="str">
        <f t="shared" si="147"/>
        <v>Invalid</v>
      </c>
      <c r="N1167" t="str">
        <f t="shared" si="148"/>
        <v/>
      </c>
      <c r="O1167" t="str">
        <f t="shared" ca="1" si="149"/>
        <v>Outdated</v>
      </c>
      <c r="P1167" t="str">
        <f t="shared" si="150"/>
        <v>Wrong Item</v>
      </c>
      <c r="Q1167" t="str">
        <f t="shared" si="151"/>
        <v/>
      </c>
    </row>
    <row r="1168" spans="1:17" x14ac:dyDescent="0.45">
      <c r="A1168" t="s">
        <v>1887</v>
      </c>
      <c r="B1168" t="s">
        <v>79</v>
      </c>
      <c r="C1168" t="s">
        <v>1888</v>
      </c>
      <c r="D1168" t="s">
        <v>92</v>
      </c>
      <c r="E1168" s="8">
        <v>7865.44</v>
      </c>
      <c r="F1168" s="9">
        <v>45372.666684444448</v>
      </c>
      <c r="G1168" t="s">
        <v>86</v>
      </c>
      <c r="H1168" t="s">
        <v>76</v>
      </c>
      <c r="I1168" t="s">
        <v>112</v>
      </c>
      <c r="J1168" t="str">
        <f t="shared" si="144"/>
        <v/>
      </c>
      <c r="K1168" t="str">
        <f t="shared" si="145"/>
        <v/>
      </c>
      <c r="L1168" t="str">
        <f t="shared" si="146"/>
        <v/>
      </c>
      <c r="M1168" t="str">
        <f t="shared" si="147"/>
        <v/>
      </c>
      <c r="N1168" t="str">
        <f t="shared" si="148"/>
        <v/>
      </c>
      <c r="O1168" t="str">
        <f t="shared" ca="1" si="149"/>
        <v>Outdated</v>
      </c>
      <c r="P1168" t="str">
        <f t="shared" si="150"/>
        <v>Not As Described</v>
      </c>
      <c r="Q1168" t="str">
        <f t="shared" si="151"/>
        <v/>
      </c>
    </row>
    <row r="1169" spans="1:17" x14ac:dyDescent="0.45">
      <c r="A1169" t="s">
        <v>1889</v>
      </c>
      <c r="B1169" t="s">
        <v>109</v>
      </c>
      <c r="C1169" t="s">
        <v>1294</v>
      </c>
      <c r="D1169" t="s">
        <v>74</v>
      </c>
      <c r="E1169" s="8">
        <v>0</v>
      </c>
      <c r="F1169" s="9">
        <v>45713.666684444448</v>
      </c>
      <c r="G1169" t="s">
        <v>307</v>
      </c>
      <c r="H1169" t="s">
        <v>81</v>
      </c>
      <c r="I1169" t="s">
        <v>77</v>
      </c>
      <c r="J1169" t="str">
        <f t="shared" si="144"/>
        <v/>
      </c>
      <c r="K1169" t="str">
        <f t="shared" si="145"/>
        <v/>
      </c>
      <c r="L1169" t="str">
        <f t="shared" si="146"/>
        <v>Unusual</v>
      </c>
      <c r="M1169" t="str">
        <f t="shared" si="147"/>
        <v>Invalid</v>
      </c>
      <c r="N1169" t="str">
        <f t="shared" si="148"/>
        <v/>
      </c>
      <c r="O1169" t="str">
        <f t="shared" ca="1" si="149"/>
        <v>Outdated</v>
      </c>
      <c r="P1169" t="str">
        <f t="shared" si="150"/>
        <v>Wrong Item</v>
      </c>
      <c r="Q1169" t="str">
        <f t="shared" si="151"/>
        <v/>
      </c>
    </row>
    <row r="1170" spans="1:17" x14ac:dyDescent="0.45">
      <c r="A1170" t="s">
        <v>1890</v>
      </c>
      <c r="B1170" t="s">
        <v>99</v>
      </c>
      <c r="C1170" t="s">
        <v>1036</v>
      </c>
      <c r="D1170" t="s">
        <v>101</v>
      </c>
      <c r="E1170" s="8">
        <v>795.48</v>
      </c>
      <c r="F1170" s="9">
        <v>45520.666684444448</v>
      </c>
      <c r="G1170" t="s">
        <v>285</v>
      </c>
      <c r="H1170" t="s">
        <v>133</v>
      </c>
      <c r="I1170" t="s">
        <v>119</v>
      </c>
      <c r="J1170" t="str">
        <f t="shared" si="144"/>
        <v/>
      </c>
      <c r="K1170" t="str">
        <f t="shared" si="145"/>
        <v/>
      </c>
      <c r="L1170" t="str">
        <f t="shared" si="146"/>
        <v/>
      </c>
      <c r="M1170" t="str">
        <f t="shared" si="147"/>
        <v>Invalid</v>
      </c>
      <c r="N1170" t="str">
        <f t="shared" si="148"/>
        <v>Invalid</v>
      </c>
      <c r="O1170" t="str">
        <f t="shared" ca="1" si="149"/>
        <v>Outdated</v>
      </c>
      <c r="P1170" t="str">
        <f t="shared" si="150"/>
        <v>Damaged</v>
      </c>
      <c r="Q1170" t="str">
        <f t="shared" si="151"/>
        <v/>
      </c>
    </row>
    <row r="1171" spans="1:17" x14ac:dyDescent="0.45">
      <c r="A1171" t="s">
        <v>1040</v>
      </c>
      <c r="B1171" t="s">
        <v>172</v>
      </c>
      <c r="C1171" t="s">
        <v>1891</v>
      </c>
      <c r="D1171" t="s">
        <v>85</v>
      </c>
      <c r="E1171" s="8">
        <v>4832.54</v>
      </c>
      <c r="F1171" s="9">
        <v>45367.666684444448</v>
      </c>
      <c r="G1171" t="s">
        <v>174</v>
      </c>
      <c r="H1171" t="s">
        <v>81</v>
      </c>
      <c r="I1171" t="s">
        <v>163</v>
      </c>
      <c r="J1171" t="str">
        <f t="shared" si="144"/>
        <v/>
      </c>
      <c r="K1171" t="str">
        <f t="shared" si="145"/>
        <v>Duplicate</v>
      </c>
      <c r="L1171" t="str">
        <f t="shared" si="146"/>
        <v/>
      </c>
      <c r="M1171" t="str">
        <f t="shared" si="147"/>
        <v/>
      </c>
      <c r="N1171" t="str">
        <f t="shared" si="148"/>
        <v/>
      </c>
      <c r="O1171" t="str">
        <f t="shared" ca="1" si="149"/>
        <v>Outdated</v>
      </c>
      <c r="P1171" t="str">
        <f t="shared" si="150"/>
        <v>Late Delivery</v>
      </c>
      <c r="Q1171" t="str">
        <f t="shared" si="151"/>
        <v/>
      </c>
    </row>
    <row r="1172" spans="1:17" x14ac:dyDescent="0.45">
      <c r="A1172" t="s">
        <v>1892</v>
      </c>
      <c r="B1172" t="s">
        <v>172</v>
      </c>
      <c r="C1172" t="s">
        <v>393</v>
      </c>
      <c r="D1172" t="s">
        <v>74</v>
      </c>
      <c r="E1172" s="8">
        <v>0</v>
      </c>
      <c r="F1172" s="9">
        <v>45548.666684444448</v>
      </c>
      <c r="G1172" t="s">
        <v>174</v>
      </c>
      <c r="H1172" t="s">
        <v>107</v>
      </c>
      <c r="I1172" t="s">
        <v>163</v>
      </c>
      <c r="J1172" t="str">
        <f t="shared" si="144"/>
        <v/>
      </c>
      <c r="K1172" t="str">
        <f t="shared" si="145"/>
        <v/>
      </c>
      <c r="L1172" t="str">
        <f t="shared" si="146"/>
        <v>Unusual</v>
      </c>
      <c r="M1172" t="str">
        <f t="shared" si="147"/>
        <v/>
      </c>
      <c r="N1172" t="str">
        <f t="shared" si="148"/>
        <v/>
      </c>
      <c r="O1172" t="str">
        <f t="shared" ca="1" si="149"/>
        <v>Outdated</v>
      </c>
      <c r="P1172" t="str">
        <f t="shared" si="150"/>
        <v>Wrong Item</v>
      </c>
      <c r="Q1172" t="str">
        <f t="shared" si="151"/>
        <v/>
      </c>
    </row>
    <row r="1173" spans="1:17" x14ac:dyDescent="0.45">
      <c r="A1173" t="s">
        <v>1893</v>
      </c>
      <c r="B1173" t="s">
        <v>172</v>
      </c>
      <c r="C1173" t="s">
        <v>922</v>
      </c>
      <c r="D1173" t="s">
        <v>74</v>
      </c>
      <c r="E1173" s="8">
        <v>9033.7099999999991</v>
      </c>
      <c r="F1173" s="9">
        <v>45172.666684444448</v>
      </c>
      <c r="G1173" t="s">
        <v>236</v>
      </c>
      <c r="I1173" t="s">
        <v>112</v>
      </c>
      <c r="J1173" t="str">
        <f t="shared" si="144"/>
        <v/>
      </c>
      <c r="K1173" t="str">
        <f t="shared" si="145"/>
        <v/>
      </c>
      <c r="L1173" t="str">
        <f t="shared" si="146"/>
        <v/>
      </c>
      <c r="M1173" t="str">
        <f t="shared" si="147"/>
        <v>Invalid</v>
      </c>
      <c r="N1173" t="str">
        <f t="shared" si="148"/>
        <v>Invalid</v>
      </c>
      <c r="O1173" t="str">
        <f t="shared" ca="1" si="149"/>
        <v>Outdated</v>
      </c>
      <c r="P1173" t="str">
        <f t="shared" si="150"/>
        <v>Wrong Item</v>
      </c>
      <c r="Q1173" t="str">
        <f t="shared" si="151"/>
        <v/>
      </c>
    </row>
    <row r="1174" spans="1:17" x14ac:dyDescent="0.45">
      <c r="A1174" t="s">
        <v>1894</v>
      </c>
      <c r="B1174" t="s">
        <v>138</v>
      </c>
      <c r="C1174" t="s">
        <v>1504</v>
      </c>
      <c r="D1174" t="s">
        <v>101</v>
      </c>
      <c r="E1174" s="8">
        <v>10552.76</v>
      </c>
      <c r="F1174" s="9">
        <v>45453.666684444448</v>
      </c>
      <c r="G1174" t="s">
        <v>140</v>
      </c>
      <c r="H1174" t="s">
        <v>136</v>
      </c>
      <c r="I1174" t="s">
        <v>163</v>
      </c>
      <c r="J1174" t="str">
        <f t="shared" si="144"/>
        <v/>
      </c>
      <c r="K1174" t="str">
        <f t="shared" si="145"/>
        <v/>
      </c>
      <c r="L1174" t="str">
        <f t="shared" si="146"/>
        <v>Unusual</v>
      </c>
      <c r="M1174" t="str">
        <f t="shared" si="147"/>
        <v/>
      </c>
      <c r="N1174" t="str">
        <f t="shared" si="148"/>
        <v>Invalid</v>
      </c>
      <c r="O1174" t="str">
        <f t="shared" ca="1" si="149"/>
        <v>Outdated</v>
      </c>
      <c r="P1174" t="str">
        <f t="shared" si="150"/>
        <v>Damaged</v>
      </c>
      <c r="Q1174" t="str">
        <f t="shared" si="151"/>
        <v/>
      </c>
    </row>
    <row r="1175" spans="1:17" x14ac:dyDescent="0.45">
      <c r="A1175" t="s">
        <v>1895</v>
      </c>
      <c r="B1175" t="s">
        <v>109</v>
      </c>
      <c r="C1175" t="s">
        <v>1896</v>
      </c>
      <c r="D1175" t="s">
        <v>101</v>
      </c>
      <c r="E1175" s="8">
        <v>7567.63</v>
      </c>
      <c r="F1175" s="9">
        <v>45612.666684444448</v>
      </c>
      <c r="G1175" t="s">
        <v>307</v>
      </c>
      <c r="H1175" t="s">
        <v>87</v>
      </c>
      <c r="I1175" t="s">
        <v>82</v>
      </c>
      <c r="J1175" t="str">
        <f t="shared" si="144"/>
        <v/>
      </c>
      <c r="K1175" t="str">
        <f t="shared" si="145"/>
        <v/>
      </c>
      <c r="L1175" t="str">
        <f t="shared" si="146"/>
        <v/>
      </c>
      <c r="M1175" t="str">
        <f t="shared" si="147"/>
        <v>Invalid</v>
      </c>
      <c r="N1175" t="str">
        <f t="shared" si="148"/>
        <v>Invalid</v>
      </c>
      <c r="O1175" t="str">
        <f t="shared" ca="1" si="149"/>
        <v>Outdated</v>
      </c>
      <c r="P1175" t="str">
        <f t="shared" si="150"/>
        <v>Damaged</v>
      </c>
      <c r="Q1175" t="str">
        <f t="shared" si="151"/>
        <v/>
      </c>
    </row>
    <row r="1176" spans="1:17" x14ac:dyDescent="0.45">
      <c r="A1176" t="s">
        <v>1897</v>
      </c>
      <c r="B1176" t="s">
        <v>104</v>
      </c>
      <c r="D1176" t="s">
        <v>74</v>
      </c>
      <c r="E1176" s="8">
        <v>0</v>
      </c>
      <c r="F1176" s="9">
        <v>45850.666684444448</v>
      </c>
      <c r="G1176" t="s">
        <v>115</v>
      </c>
      <c r="H1176" t="s">
        <v>116</v>
      </c>
      <c r="I1176" t="s">
        <v>119</v>
      </c>
      <c r="J1176" t="str">
        <f t="shared" si="144"/>
        <v>Missing</v>
      </c>
      <c r="K1176" t="str">
        <f t="shared" si="145"/>
        <v/>
      </c>
      <c r="L1176" t="str">
        <f t="shared" si="146"/>
        <v>Unusual</v>
      </c>
      <c r="M1176" t="str">
        <f t="shared" si="147"/>
        <v/>
      </c>
      <c r="N1176" t="str">
        <f t="shared" si="148"/>
        <v/>
      </c>
      <c r="O1176" t="str">
        <f t="shared" ca="1" si="149"/>
        <v/>
      </c>
      <c r="P1176" t="str">
        <f t="shared" si="150"/>
        <v>Wrong Item</v>
      </c>
      <c r="Q1176" t="str">
        <f t="shared" si="151"/>
        <v/>
      </c>
    </row>
    <row r="1177" spans="1:17" x14ac:dyDescent="0.45">
      <c r="A1177" t="s">
        <v>1898</v>
      </c>
      <c r="B1177" t="s">
        <v>72</v>
      </c>
      <c r="C1177" t="s">
        <v>515</v>
      </c>
      <c r="D1177" t="s">
        <v>92</v>
      </c>
      <c r="E1177" s="8">
        <v>1857.79</v>
      </c>
      <c r="F1177" s="9">
        <v>45518.666684444448</v>
      </c>
      <c r="G1177" t="s">
        <v>75</v>
      </c>
      <c r="H1177" t="s">
        <v>116</v>
      </c>
      <c r="I1177" t="s">
        <v>82</v>
      </c>
      <c r="J1177" t="str">
        <f t="shared" si="144"/>
        <v/>
      </c>
      <c r="K1177" t="str">
        <f t="shared" si="145"/>
        <v/>
      </c>
      <c r="L1177" t="str">
        <f t="shared" si="146"/>
        <v/>
      </c>
      <c r="M1177" t="str">
        <f t="shared" si="147"/>
        <v/>
      </c>
      <c r="N1177" t="str">
        <f t="shared" si="148"/>
        <v/>
      </c>
      <c r="O1177" t="str">
        <f t="shared" ca="1" si="149"/>
        <v>Outdated</v>
      </c>
      <c r="P1177" t="str">
        <f t="shared" si="150"/>
        <v>Not As Described</v>
      </c>
      <c r="Q1177" t="str">
        <f t="shared" si="151"/>
        <v/>
      </c>
    </row>
    <row r="1178" spans="1:17" x14ac:dyDescent="0.45">
      <c r="A1178" t="s">
        <v>1899</v>
      </c>
      <c r="B1178" t="s">
        <v>172</v>
      </c>
      <c r="C1178" t="s">
        <v>994</v>
      </c>
      <c r="E1178" s="8">
        <v>3951.66</v>
      </c>
      <c r="F1178" s="9">
        <v>45523.666684444448</v>
      </c>
      <c r="G1178" t="s">
        <v>174</v>
      </c>
      <c r="H1178" t="s">
        <v>136</v>
      </c>
      <c r="I1178" t="s">
        <v>82</v>
      </c>
      <c r="J1178" t="str">
        <f t="shared" si="144"/>
        <v>Missing</v>
      </c>
      <c r="K1178" t="str">
        <f t="shared" si="145"/>
        <v/>
      </c>
      <c r="L1178" t="str">
        <f t="shared" si="146"/>
        <v/>
      </c>
      <c r="M1178" t="str">
        <f t="shared" si="147"/>
        <v/>
      </c>
      <c r="N1178" t="str">
        <f t="shared" si="148"/>
        <v>Invalid</v>
      </c>
      <c r="O1178" t="str">
        <f t="shared" ca="1" si="149"/>
        <v>Outdated</v>
      </c>
      <c r="P1178" t="str">
        <f t="shared" si="150"/>
        <v/>
      </c>
      <c r="Q1178" t="str">
        <f t="shared" si="151"/>
        <v/>
      </c>
    </row>
    <row r="1179" spans="1:17" x14ac:dyDescent="0.45">
      <c r="A1179" t="s">
        <v>1900</v>
      </c>
      <c r="B1179" t="s">
        <v>72</v>
      </c>
      <c r="C1179" t="s">
        <v>930</v>
      </c>
      <c r="D1179" t="s">
        <v>101</v>
      </c>
      <c r="E1179" s="8">
        <v>6859.64</v>
      </c>
      <c r="F1179" s="9">
        <v>45807.666684444448</v>
      </c>
      <c r="G1179" t="s">
        <v>75</v>
      </c>
      <c r="H1179" t="s">
        <v>81</v>
      </c>
      <c r="I1179" t="s">
        <v>88</v>
      </c>
      <c r="J1179" t="str">
        <f t="shared" si="144"/>
        <v/>
      </c>
      <c r="K1179" t="str">
        <f t="shared" si="145"/>
        <v/>
      </c>
      <c r="L1179" t="str">
        <f t="shared" si="146"/>
        <v/>
      </c>
      <c r="M1179" t="str">
        <f t="shared" si="147"/>
        <v/>
      </c>
      <c r="N1179" t="str">
        <f t="shared" si="148"/>
        <v/>
      </c>
      <c r="O1179" t="str">
        <f t="shared" ca="1" si="149"/>
        <v>Outdated</v>
      </c>
      <c r="P1179" t="str">
        <f t="shared" si="150"/>
        <v>Damaged</v>
      </c>
      <c r="Q1179" t="str">
        <f t="shared" si="151"/>
        <v/>
      </c>
    </row>
    <row r="1180" spans="1:17" x14ac:dyDescent="0.45">
      <c r="A1180" t="s">
        <v>1901</v>
      </c>
      <c r="B1180" t="s">
        <v>138</v>
      </c>
      <c r="C1180" t="s">
        <v>1902</v>
      </c>
      <c r="D1180" t="s">
        <v>92</v>
      </c>
      <c r="E1180" s="8">
        <v>4733.82</v>
      </c>
      <c r="F1180" s="9">
        <v>45795.666684444448</v>
      </c>
      <c r="G1180" t="s">
        <v>140</v>
      </c>
      <c r="H1180" t="s">
        <v>128</v>
      </c>
      <c r="I1180" t="s">
        <v>163</v>
      </c>
      <c r="J1180" t="str">
        <f t="shared" si="144"/>
        <v/>
      </c>
      <c r="K1180" t="str">
        <f t="shared" si="145"/>
        <v/>
      </c>
      <c r="L1180" t="str">
        <f t="shared" si="146"/>
        <v/>
      </c>
      <c r="M1180" t="str">
        <f t="shared" si="147"/>
        <v/>
      </c>
      <c r="N1180" t="str">
        <f t="shared" si="148"/>
        <v>Invalid</v>
      </c>
      <c r="O1180" t="str">
        <f t="shared" ca="1" si="149"/>
        <v>Outdated</v>
      </c>
      <c r="P1180" t="str">
        <f t="shared" si="150"/>
        <v>Not As Described</v>
      </c>
      <c r="Q1180" t="str">
        <f t="shared" si="151"/>
        <v/>
      </c>
    </row>
    <row r="1181" spans="1:17" x14ac:dyDescent="0.45">
      <c r="A1181" t="s">
        <v>1903</v>
      </c>
      <c r="B1181" t="s">
        <v>72</v>
      </c>
      <c r="C1181" t="s">
        <v>1904</v>
      </c>
      <c r="D1181" t="s">
        <v>101</v>
      </c>
      <c r="E1181" s="8">
        <v>9108.34</v>
      </c>
      <c r="F1181" s="9">
        <v>45283.666684444448</v>
      </c>
      <c r="G1181" t="s">
        <v>75</v>
      </c>
      <c r="H1181" t="s">
        <v>81</v>
      </c>
      <c r="I1181" t="s">
        <v>112</v>
      </c>
      <c r="J1181" t="str">
        <f t="shared" si="144"/>
        <v/>
      </c>
      <c r="K1181" t="str">
        <f t="shared" si="145"/>
        <v/>
      </c>
      <c r="L1181" t="str">
        <f t="shared" si="146"/>
        <v/>
      </c>
      <c r="M1181" t="str">
        <f t="shared" si="147"/>
        <v/>
      </c>
      <c r="N1181" t="str">
        <f t="shared" si="148"/>
        <v/>
      </c>
      <c r="O1181" t="str">
        <f t="shared" ca="1" si="149"/>
        <v>Outdated</v>
      </c>
      <c r="P1181" t="str">
        <f t="shared" si="150"/>
        <v>Damaged</v>
      </c>
      <c r="Q1181" t="str">
        <f t="shared" si="151"/>
        <v/>
      </c>
    </row>
    <row r="1182" spans="1:17" x14ac:dyDescent="0.45">
      <c r="A1182" t="s">
        <v>1905</v>
      </c>
      <c r="B1182" t="s">
        <v>138</v>
      </c>
      <c r="C1182" t="s">
        <v>1906</v>
      </c>
      <c r="D1182" t="s">
        <v>85</v>
      </c>
      <c r="E1182" s="8">
        <v>7728.32</v>
      </c>
      <c r="F1182" s="9">
        <v>45635.666684444448</v>
      </c>
      <c r="G1182" t="s">
        <v>140</v>
      </c>
      <c r="H1182" t="s">
        <v>107</v>
      </c>
      <c r="I1182" t="s">
        <v>77</v>
      </c>
      <c r="J1182" t="str">
        <f t="shared" si="144"/>
        <v/>
      </c>
      <c r="K1182" t="str">
        <f t="shared" si="145"/>
        <v/>
      </c>
      <c r="L1182" t="str">
        <f t="shared" si="146"/>
        <v/>
      </c>
      <c r="M1182" t="str">
        <f t="shared" si="147"/>
        <v/>
      </c>
      <c r="N1182" t="str">
        <f t="shared" si="148"/>
        <v/>
      </c>
      <c r="O1182" t="str">
        <f t="shared" ca="1" si="149"/>
        <v>Outdated</v>
      </c>
      <c r="P1182" t="str">
        <f t="shared" si="150"/>
        <v>Late Delivery</v>
      </c>
      <c r="Q1182" t="str">
        <f t="shared" si="151"/>
        <v/>
      </c>
    </row>
    <row r="1183" spans="1:17" x14ac:dyDescent="0.45">
      <c r="A1183" t="s">
        <v>126</v>
      </c>
      <c r="B1183" t="s">
        <v>72</v>
      </c>
      <c r="C1183" t="s">
        <v>1125</v>
      </c>
      <c r="D1183" t="s">
        <v>148</v>
      </c>
      <c r="E1183" s="8">
        <v>10134.26</v>
      </c>
      <c r="F1183" s="9">
        <v>45165.666684444448</v>
      </c>
      <c r="G1183" t="s">
        <v>75</v>
      </c>
      <c r="H1183" t="s">
        <v>87</v>
      </c>
      <c r="I1183" t="s">
        <v>77</v>
      </c>
      <c r="J1183" t="str">
        <f t="shared" si="144"/>
        <v/>
      </c>
      <c r="K1183" t="str">
        <f t="shared" si="145"/>
        <v>Duplicate</v>
      </c>
      <c r="L1183" t="str">
        <f t="shared" si="146"/>
        <v>Unusual</v>
      </c>
      <c r="M1183" t="str">
        <f t="shared" si="147"/>
        <v/>
      </c>
      <c r="N1183" t="str">
        <f t="shared" si="148"/>
        <v>Invalid</v>
      </c>
      <c r="O1183" t="str">
        <f t="shared" ca="1" si="149"/>
        <v>Outdated</v>
      </c>
      <c r="P1183" t="str">
        <f t="shared" si="150"/>
        <v>Wrong Item</v>
      </c>
      <c r="Q1183" t="str">
        <f t="shared" si="151"/>
        <v>Inconsistent</v>
      </c>
    </row>
    <row r="1184" spans="1:17" x14ac:dyDescent="0.45">
      <c r="A1184" t="s">
        <v>1907</v>
      </c>
      <c r="B1184" t="s">
        <v>79</v>
      </c>
      <c r="D1184" t="s">
        <v>92</v>
      </c>
      <c r="E1184" s="8">
        <v>11832.81</v>
      </c>
      <c r="F1184" s="9">
        <v>45257.666684444448</v>
      </c>
      <c r="G1184" t="s">
        <v>86</v>
      </c>
      <c r="H1184" t="s">
        <v>87</v>
      </c>
      <c r="I1184" t="s">
        <v>163</v>
      </c>
      <c r="J1184" t="str">
        <f t="shared" si="144"/>
        <v>Missing</v>
      </c>
      <c r="K1184" t="str">
        <f t="shared" si="145"/>
        <v/>
      </c>
      <c r="L1184" t="str">
        <f t="shared" si="146"/>
        <v>Unusual</v>
      </c>
      <c r="M1184" t="str">
        <f t="shared" si="147"/>
        <v/>
      </c>
      <c r="N1184" t="str">
        <f t="shared" si="148"/>
        <v>Invalid</v>
      </c>
      <c r="O1184" t="str">
        <f t="shared" ca="1" si="149"/>
        <v>Outdated</v>
      </c>
      <c r="P1184" t="str">
        <f t="shared" si="150"/>
        <v>Not As Described</v>
      </c>
      <c r="Q1184" t="str">
        <f t="shared" si="151"/>
        <v/>
      </c>
    </row>
    <row r="1185" spans="1:17" x14ac:dyDescent="0.45">
      <c r="A1185" t="s">
        <v>447</v>
      </c>
      <c r="B1185" t="s">
        <v>172</v>
      </c>
      <c r="C1185" t="s">
        <v>1827</v>
      </c>
      <c r="E1185" s="8">
        <v>10009.34</v>
      </c>
      <c r="F1185" s="9">
        <v>45642.666684444448</v>
      </c>
      <c r="G1185" t="s">
        <v>174</v>
      </c>
      <c r="H1185" t="s">
        <v>116</v>
      </c>
      <c r="I1185" t="s">
        <v>119</v>
      </c>
      <c r="J1185" t="str">
        <f t="shared" si="144"/>
        <v>Missing</v>
      </c>
      <c r="K1185" t="str">
        <f t="shared" si="145"/>
        <v>Duplicate</v>
      </c>
      <c r="L1185" t="str">
        <f t="shared" si="146"/>
        <v>Unusual</v>
      </c>
      <c r="M1185" t="str">
        <f t="shared" si="147"/>
        <v/>
      </c>
      <c r="N1185" t="str">
        <f t="shared" si="148"/>
        <v/>
      </c>
      <c r="O1185" t="str">
        <f t="shared" ca="1" si="149"/>
        <v>Outdated</v>
      </c>
      <c r="P1185" t="str">
        <f t="shared" si="150"/>
        <v/>
      </c>
      <c r="Q1185" t="str">
        <f t="shared" si="151"/>
        <v/>
      </c>
    </row>
    <row r="1186" spans="1:17" x14ac:dyDescent="0.45">
      <c r="A1186" t="s">
        <v>1908</v>
      </c>
      <c r="B1186" t="s">
        <v>95</v>
      </c>
      <c r="C1186" t="s">
        <v>1909</v>
      </c>
      <c r="D1186" t="s">
        <v>74</v>
      </c>
      <c r="E1186" s="8">
        <v>4145.53</v>
      </c>
      <c r="F1186" s="9">
        <v>45732.666684444448</v>
      </c>
      <c r="G1186" t="s">
        <v>97</v>
      </c>
      <c r="I1186" t="s">
        <v>82</v>
      </c>
      <c r="J1186" t="str">
        <f t="shared" si="144"/>
        <v/>
      </c>
      <c r="K1186" t="str">
        <f t="shared" si="145"/>
        <v/>
      </c>
      <c r="L1186" t="str">
        <f t="shared" si="146"/>
        <v/>
      </c>
      <c r="M1186" t="str">
        <f t="shared" si="147"/>
        <v/>
      </c>
      <c r="N1186" t="str">
        <f t="shared" si="148"/>
        <v>Invalid</v>
      </c>
      <c r="O1186" t="str">
        <f t="shared" ca="1" si="149"/>
        <v>Outdated</v>
      </c>
      <c r="P1186" t="str">
        <f t="shared" si="150"/>
        <v>Wrong Item</v>
      </c>
      <c r="Q1186" t="str">
        <f t="shared" si="151"/>
        <v/>
      </c>
    </row>
    <row r="1187" spans="1:17" x14ac:dyDescent="0.45">
      <c r="A1187" t="s">
        <v>1910</v>
      </c>
      <c r="B1187" t="s">
        <v>90</v>
      </c>
      <c r="C1187" t="s">
        <v>798</v>
      </c>
      <c r="D1187" t="s">
        <v>74</v>
      </c>
      <c r="E1187" s="8">
        <v>5165.92</v>
      </c>
      <c r="F1187" s="9">
        <v>45467.666684444448</v>
      </c>
      <c r="G1187" t="s">
        <v>296</v>
      </c>
      <c r="H1187" t="s">
        <v>87</v>
      </c>
      <c r="I1187" t="s">
        <v>163</v>
      </c>
      <c r="J1187" t="str">
        <f t="shared" si="144"/>
        <v/>
      </c>
      <c r="K1187" t="str">
        <f t="shared" si="145"/>
        <v/>
      </c>
      <c r="L1187" t="str">
        <f t="shared" si="146"/>
        <v/>
      </c>
      <c r="M1187" t="str">
        <f t="shared" si="147"/>
        <v>Invalid</v>
      </c>
      <c r="N1187" t="str">
        <f t="shared" si="148"/>
        <v>Invalid</v>
      </c>
      <c r="O1187" t="str">
        <f t="shared" ca="1" si="149"/>
        <v>Outdated</v>
      </c>
      <c r="P1187" t="str">
        <f t="shared" si="150"/>
        <v>Wrong Item</v>
      </c>
      <c r="Q1187" t="str">
        <f t="shared" si="151"/>
        <v/>
      </c>
    </row>
    <row r="1188" spans="1:17" x14ac:dyDescent="0.45">
      <c r="A1188" t="s">
        <v>1911</v>
      </c>
      <c r="B1188" t="s">
        <v>138</v>
      </c>
      <c r="C1188" t="s">
        <v>251</v>
      </c>
      <c r="D1188" t="s">
        <v>148</v>
      </c>
      <c r="E1188" s="8">
        <v>2881.02</v>
      </c>
      <c r="F1188" s="9">
        <v>45230.666684444448</v>
      </c>
      <c r="G1188" t="s">
        <v>140</v>
      </c>
      <c r="H1188" t="s">
        <v>145</v>
      </c>
      <c r="I1188" t="s">
        <v>119</v>
      </c>
      <c r="J1188" t="str">
        <f t="shared" si="144"/>
        <v/>
      </c>
      <c r="K1188" t="str">
        <f t="shared" si="145"/>
        <v/>
      </c>
      <c r="L1188" t="str">
        <f t="shared" si="146"/>
        <v/>
      </c>
      <c r="M1188" t="str">
        <f t="shared" si="147"/>
        <v/>
      </c>
      <c r="N1188" t="str">
        <f t="shared" si="148"/>
        <v/>
      </c>
      <c r="O1188" t="str">
        <f t="shared" ca="1" si="149"/>
        <v>Outdated</v>
      </c>
      <c r="P1188" t="str">
        <f t="shared" si="150"/>
        <v>Wrong Item</v>
      </c>
      <c r="Q1188" t="str">
        <f t="shared" si="151"/>
        <v>Inconsistent</v>
      </c>
    </row>
    <row r="1189" spans="1:17" x14ac:dyDescent="0.45">
      <c r="A1189" t="s">
        <v>1912</v>
      </c>
      <c r="B1189" t="s">
        <v>99</v>
      </c>
      <c r="C1189" t="s">
        <v>1103</v>
      </c>
      <c r="D1189" t="s">
        <v>101</v>
      </c>
      <c r="E1189" s="8">
        <v>6510.57</v>
      </c>
      <c r="F1189" s="9">
        <v>45578.666684444448</v>
      </c>
      <c r="I1189" t="s">
        <v>88</v>
      </c>
      <c r="J1189" t="str">
        <f t="shared" si="144"/>
        <v/>
      </c>
      <c r="K1189" t="str">
        <f t="shared" si="145"/>
        <v/>
      </c>
      <c r="L1189" t="str">
        <f t="shared" si="146"/>
        <v/>
      </c>
      <c r="M1189" t="str">
        <f t="shared" si="147"/>
        <v>Invalid</v>
      </c>
      <c r="N1189" t="str">
        <f t="shared" si="148"/>
        <v>Invalid</v>
      </c>
      <c r="O1189" t="str">
        <f t="shared" ca="1" si="149"/>
        <v>Outdated</v>
      </c>
      <c r="P1189" t="str">
        <f t="shared" si="150"/>
        <v>Damaged</v>
      </c>
      <c r="Q1189" t="str">
        <f t="shared" si="151"/>
        <v/>
      </c>
    </row>
    <row r="1190" spans="1:17" x14ac:dyDescent="0.45">
      <c r="A1190" t="s">
        <v>1913</v>
      </c>
      <c r="B1190" t="s">
        <v>90</v>
      </c>
      <c r="C1190" t="s">
        <v>1129</v>
      </c>
      <c r="D1190" t="s">
        <v>101</v>
      </c>
      <c r="E1190" s="8">
        <v>9720.2099999999991</v>
      </c>
      <c r="F1190" s="9">
        <v>45230.666684444448</v>
      </c>
      <c r="G1190" t="s">
        <v>93</v>
      </c>
      <c r="H1190" t="s">
        <v>136</v>
      </c>
      <c r="I1190" t="s">
        <v>112</v>
      </c>
      <c r="J1190" t="str">
        <f t="shared" si="144"/>
        <v/>
      </c>
      <c r="K1190" t="str">
        <f t="shared" si="145"/>
        <v>Duplicate</v>
      </c>
      <c r="L1190" t="str">
        <f t="shared" si="146"/>
        <v/>
      </c>
      <c r="M1190" t="str">
        <f t="shared" si="147"/>
        <v/>
      </c>
      <c r="N1190" t="str">
        <f t="shared" si="148"/>
        <v>Invalid</v>
      </c>
      <c r="O1190" t="str">
        <f t="shared" ca="1" si="149"/>
        <v>Outdated</v>
      </c>
      <c r="P1190" t="str">
        <f t="shared" si="150"/>
        <v>Damaged</v>
      </c>
      <c r="Q1190" t="str">
        <f t="shared" si="151"/>
        <v/>
      </c>
    </row>
    <row r="1191" spans="1:17" x14ac:dyDescent="0.45">
      <c r="A1191" t="s">
        <v>1914</v>
      </c>
      <c r="B1191" t="s">
        <v>104</v>
      </c>
      <c r="C1191" t="s">
        <v>132</v>
      </c>
      <c r="D1191" t="s">
        <v>92</v>
      </c>
      <c r="E1191" s="8">
        <v>11364.48</v>
      </c>
      <c r="F1191" s="9">
        <v>45666.666684444448</v>
      </c>
      <c r="G1191" t="s">
        <v>115</v>
      </c>
      <c r="I1191" t="s">
        <v>163</v>
      </c>
      <c r="J1191" t="str">
        <f t="shared" si="144"/>
        <v/>
      </c>
      <c r="K1191" t="str">
        <f t="shared" si="145"/>
        <v/>
      </c>
      <c r="L1191" t="str">
        <f t="shared" si="146"/>
        <v>Unusual</v>
      </c>
      <c r="M1191" t="str">
        <f t="shared" si="147"/>
        <v/>
      </c>
      <c r="N1191" t="str">
        <f t="shared" si="148"/>
        <v>Invalid</v>
      </c>
      <c r="O1191" t="str">
        <f t="shared" ca="1" si="149"/>
        <v>Outdated</v>
      </c>
      <c r="P1191" t="str">
        <f t="shared" si="150"/>
        <v>Not As Described</v>
      </c>
      <c r="Q1191" t="str">
        <f t="shared" si="151"/>
        <v/>
      </c>
    </row>
    <row r="1192" spans="1:17" x14ac:dyDescent="0.45">
      <c r="A1192" t="s">
        <v>1915</v>
      </c>
      <c r="B1192" t="s">
        <v>138</v>
      </c>
      <c r="C1192" t="s">
        <v>1233</v>
      </c>
      <c r="E1192" s="8">
        <v>10645.28</v>
      </c>
      <c r="F1192" s="9">
        <v>45595.666684444448</v>
      </c>
      <c r="G1192" t="s">
        <v>140</v>
      </c>
      <c r="H1192" t="s">
        <v>81</v>
      </c>
      <c r="I1192" t="s">
        <v>112</v>
      </c>
      <c r="J1192" t="str">
        <f t="shared" si="144"/>
        <v>Missing</v>
      </c>
      <c r="K1192" t="str">
        <f t="shared" si="145"/>
        <v/>
      </c>
      <c r="L1192" t="str">
        <f t="shared" si="146"/>
        <v>Unusual</v>
      </c>
      <c r="M1192" t="str">
        <f t="shared" si="147"/>
        <v/>
      </c>
      <c r="N1192" t="str">
        <f t="shared" si="148"/>
        <v/>
      </c>
      <c r="O1192" t="str">
        <f t="shared" ca="1" si="149"/>
        <v>Outdated</v>
      </c>
      <c r="P1192" t="str">
        <f t="shared" si="150"/>
        <v/>
      </c>
      <c r="Q1192" t="str">
        <f t="shared" si="151"/>
        <v/>
      </c>
    </row>
    <row r="1193" spans="1:17" x14ac:dyDescent="0.45">
      <c r="A1193" t="s">
        <v>1916</v>
      </c>
      <c r="B1193" t="s">
        <v>138</v>
      </c>
      <c r="C1193" t="s">
        <v>1650</v>
      </c>
      <c r="D1193" t="s">
        <v>148</v>
      </c>
      <c r="E1193" s="8">
        <v>4543.71</v>
      </c>
      <c r="F1193" s="9">
        <v>45143.666684444448</v>
      </c>
      <c r="G1193" t="s">
        <v>140</v>
      </c>
      <c r="H1193" t="s">
        <v>133</v>
      </c>
      <c r="I1193" t="s">
        <v>77</v>
      </c>
      <c r="J1193" t="str">
        <f t="shared" si="144"/>
        <v/>
      </c>
      <c r="K1193" t="str">
        <f t="shared" si="145"/>
        <v/>
      </c>
      <c r="L1193" t="str">
        <f t="shared" si="146"/>
        <v/>
      </c>
      <c r="M1193" t="str">
        <f t="shared" si="147"/>
        <v/>
      </c>
      <c r="N1193" t="str">
        <f t="shared" si="148"/>
        <v>Invalid</v>
      </c>
      <c r="O1193" t="str">
        <f t="shared" ca="1" si="149"/>
        <v>Outdated</v>
      </c>
      <c r="P1193" t="str">
        <f t="shared" si="150"/>
        <v>Wrong Item</v>
      </c>
      <c r="Q1193" t="str">
        <f t="shared" si="151"/>
        <v>Inconsistent</v>
      </c>
    </row>
    <row r="1194" spans="1:17" x14ac:dyDescent="0.45">
      <c r="A1194" t="s">
        <v>1917</v>
      </c>
      <c r="B1194" t="s">
        <v>72</v>
      </c>
      <c r="C1194" t="s">
        <v>1813</v>
      </c>
      <c r="D1194" t="s">
        <v>101</v>
      </c>
      <c r="E1194" s="8">
        <v>6559.51</v>
      </c>
      <c r="F1194" s="9">
        <v>45275.666684444448</v>
      </c>
      <c r="G1194" t="s">
        <v>75</v>
      </c>
      <c r="H1194" t="s">
        <v>87</v>
      </c>
      <c r="I1194" t="s">
        <v>112</v>
      </c>
      <c r="J1194" t="str">
        <f t="shared" si="144"/>
        <v/>
      </c>
      <c r="K1194" t="str">
        <f t="shared" si="145"/>
        <v/>
      </c>
      <c r="L1194" t="str">
        <f t="shared" si="146"/>
        <v/>
      </c>
      <c r="M1194" t="str">
        <f t="shared" si="147"/>
        <v/>
      </c>
      <c r="N1194" t="str">
        <f t="shared" si="148"/>
        <v>Invalid</v>
      </c>
      <c r="O1194" t="str">
        <f t="shared" ca="1" si="149"/>
        <v>Outdated</v>
      </c>
      <c r="P1194" t="str">
        <f t="shared" si="150"/>
        <v>Damaged</v>
      </c>
      <c r="Q1194" t="str">
        <f t="shared" si="151"/>
        <v/>
      </c>
    </row>
    <row r="1195" spans="1:17" x14ac:dyDescent="0.45">
      <c r="A1195" t="s">
        <v>1918</v>
      </c>
      <c r="B1195" t="s">
        <v>138</v>
      </c>
      <c r="C1195" t="s">
        <v>568</v>
      </c>
      <c r="D1195" t="s">
        <v>148</v>
      </c>
      <c r="E1195" s="8">
        <v>5956.79</v>
      </c>
      <c r="F1195" s="9">
        <v>45547.666684444448</v>
      </c>
      <c r="G1195" t="s">
        <v>140</v>
      </c>
      <c r="H1195" t="s">
        <v>133</v>
      </c>
      <c r="I1195" t="s">
        <v>82</v>
      </c>
      <c r="J1195" t="str">
        <f t="shared" si="144"/>
        <v/>
      </c>
      <c r="K1195" t="str">
        <f t="shared" si="145"/>
        <v/>
      </c>
      <c r="L1195" t="str">
        <f t="shared" si="146"/>
        <v/>
      </c>
      <c r="M1195" t="str">
        <f t="shared" si="147"/>
        <v/>
      </c>
      <c r="N1195" t="str">
        <f t="shared" si="148"/>
        <v>Invalid</v>
      </c>
      <c r="O1195" t="str">
        <f t="shared" ca="1" si="149"/>
        <v>Outdated</v>
      </c>
      <c r="P1195" t="str">
        <f t="shared" si="150"/>
        <v>Wrong Item</v>
      </c>
      <c r="Q1195" t="str">
        <f t="shared" si="151"/>
        <v>Inconsistent</v>
      </c>
    </row>
    <row r="1196" spans="1:17" x14ac:dyDescent="0.45">
      <c r="A1196" t="s">
        <v>1919</v>
      </c>
      <c r="B1196" t="s">
        <v>172</v>
      </c>
      <c r="C1196" t="s">
        <v>1609</v>
      </c>
      <c r="D1196" t="s">
        <v>74</v>
      </c>
      <c r="E1196" s="8">
        <v>11126.48</v>
      </c>
      <c r="F1196" s="9">
        <v>45798.666684444448</v>
      </c>
      <c r="H1196" t="s">
        <v>87</v>
      </c>
      <c r="I1196" t="s">
        <v>88</v>
      </c>
      <c r="J1196" t="str">
        <f t="shared" si="144"/>
        <v/>
      </c>
      <c r="K1196" t="str">
        <f t="shared" si="145"/>
        <v/>
      </c>
      <c r="L1196" t="str">
        <f t="shared" si="146"/>
        <v>Unusual</v>
      </c>
      <c r="M1196" t="str">
        <f t="shared" si="147"/>
        <v>Invalid</v>
      </c>
      <c r="N1196" t="str">
        <f t="shared" si="148"/>
        <v>Invalid</v>
      </c>
      <c r="O1196" t="str">
        <f t="shared" ca="1" si="149"/>
        <v>Outdated</v>
      </c>
      <c r="P1196" t="str">
        <f t="shared" si="150"/>
        <v>Wrong Item</v>
      </c>
      <c r="Q1196" t="str">
        <f t="shared" si="151"/>
        <v/>
      </c>
    </row>
    <row r="1197" spans="1:17" x14ac:dyDescent="0.45">
      <c r="A1197" t="s">
        <v>1920</v>
      </c>
      <c r="B1197" t="s">
        <v>109</v>
      </c>
      <c r="C1197" t="s">
        <v>924</v>
      </c>
      <c r="D1197" t="s">
        <v>74</v>
      </c>
      <c r="E1197" s="8">
        <v>4892.87</v>
      </c>
      <c r="F1197" s="9">
        <v>45286.666684444448</v>
      </c>
      <c r="G1197" t="s">
        <v>111</v>
      </c>
      <c r="I1197" t="s">
        <v>119</v>
      </c>
      <c r="J1197" t="str">
        <f t="shared" si="144"/>
        <v/>
      </c>
      <c r="K1197" t="str">
        <f t="shared" si="145"/>
        <v/>
      </c>
      <c r="L1197" t="str">
        <f t="shared" si="146"/>
        <v/>
      </c>
      <c r="M1197" t="str">
        <f t="shared" si="147"/>
        <v/>
      </c>
      <c r="N1197" t="str">
        <f t="shared" si="148"/>
        <v>Invalid</v>
      </c>
      <c r="O1197" t="str">
        <f t="shared" ca="1" si="149"/>
        <v>Outdated</v>
      </c>
      <c r="P1197" t="str">
        <f t="shared" si="150"/>
        <v>Wrong Item</v>
      </c>
      <c r="Q1197" t="str">
        <f t="shared" si="151"/>
        <v/>
      </c>
    </row>
    <row r="1198" spans="1:17" x14ac:dyDescent="0.45">
      <c r="A1198" t="s">
        <v>1921</v>
      </c>
      <c r="B1198" t="s">
        <v>109</v>
      </c>
      <c r="C1198" t="s">
        <v>1431</v>
      </c>
      <c r="D1198" t="s">
        <v>85</v>
      </c>
      <c r="E1198" s="8">
        <v>9215.6</v>
      </c>
      <c r="F1198" s="9">
        <v>45204.666684444448</v>
      </c>
      <c r="G1198" t="s">
        <v>111</v>
      </c>
      <c r="I1198" t="s">
        <v>88</v>
      </c>
      <c r="J1198" t="str">
        <f t="shared" si="144"/>
        <v/>
      </c>
      <c r="K1198" t="str">
        <f t="shared" si="145"/>
        <v/>
      </c>
      <c r="L1198" t="str">
        <f t="shared" si="146"/>
        <v/>
      </c>
      <c r="M1198" t="str">
        <f t="shared" si="147"/>
        <v/>
      </c>
      <c r="N1198" t="str">
        <f t="shared" si="148"/>
        <v>Invalid</v>
      </c>
      <c r="O1198" t="str">
        <f t="shared" ca="1" si="149"/>
        <v>Outdated</v>
      </c>
      <c r="P1198" t="str">
        <f t="shared" si="150"/>
        <v>Late Delivery</v>
      </c>
      <c r="Q1198" t="str">
        <f t="shared" si="151"/>
        <v/>
      </c>
    </row>
    <row r="1199" spans="1:17" x14ac:dyDescent="0.45">
      <c r="A1199" t="s">
        <v>1922</v>
      </c>
      <c r="B1199" t="s">
        <v>104</v>
      </c>
      <c r="D1199" t="s">
        <v>74</v>
      </c>
      <c r="E1199" s="8">
        <v>5994.59</v>
      </c>
      <c r="F1199" s="9">
        <v>45608.666684444448</v>
      </c>
      <c r="G1199" t="s">
        <v>115</v>
      </c>
      <c r="H1199" t="s">
        <v>116</v>
      </c>
      <c r="I1199" t="s">
        <v>163</v>
      </c>
      <c r="J1199" t="str">
        <f t="shared" si="144"/>
        <v>Missing</v>
      </c>
      <c r="K1199" t="str">
        <f t="shared" si="145"/>
        <v>Duplicate</v>
      </c>
      <c r="L1199" t="str">
        <f t="shared" si="146"/>
        <v/>
      </c>
      <c r="M1199" t="str">
        <f t="shared" si="147"/>
        <v/>
      </c>
      <c r="N1199" t="str">
        <f t="shared" si="148"/>
        <v/>
      </c>
      <c r="O1199" t="str">
        <f t="shared" ca="1" si="149"/>
        <v>Outdated</v>
      </c>
      <c r="P1199" t="str">
        <f t="shared" si="150"/>
        <v>Wrong Item</v>
      </c>
      <c r="Q1199" t="str">
        <f t="shared" si="151"/>
        <v/>
      </c>
    </row>
    <row r="1200" spans="1:17" x14ac:dyDescent="0.45">
      <c r="A1200" t="s">
        <v>1923</v>
      </c>
      <c r="B1200" t="s">
        <v>95</v>
      </c>
      <c r="C1200" t="s">
        <v>1473</v>
      </c>
      <c r="D1200" t="s">
        <v>101</v>
      </c>
      <c r="E1200" s="8">
        <v>5289.19</v>
      </c>
      <c r="F1200" s="9">
        <v>45399.666684444448</v>
      </c>
      <c r="G1200" t="s">
        <v>97</v>
      </c>
      <c r="H1200" t="s">
        <v>118</v>
      </c>
      <c r="I1200" t="s">
        <v>119</v>
      </c>
      <c r="J1200" t="str">
        <f t="shared" si="144"/>
        <v/>
      </c>
      <c r="K1200" t="str">
        <f t="shared" si="145"/>
        <v/>
      </c>
      <c r="L1200" t="str">
        <f t="shared" si="146"/>
        <v/>
      </c>
      <c r="M1200" t="str">
        <f t="shared" si="147"/>
        <v/>
      </c>
      <c r="N1200" t="str">
        <f t="shared" si="148"/>
        <v>Invalid</v>
      </c>
      <c r="O1200" t="str">
        <f t="shared" ca="1" si="149"/>
        <v>Outdated</v>
      </c>
      <c r="P1200" t="str">
        <f t="shared" si="150"/>
        <v>Damaged</v>
      </c>
      <c r="Q1200" t="str">
        <f t="shared" si="151"/>
        <v/>
      </c>
    </row>
    <row r="1201" spans="1:17" x14ac:dyDescent="0.45">
      <c r="A1201" t="s">
        <v>1924</v>
      </c>
      <c r="B1201" t="s">
        <v>172</v>
      </c>
      <c r="C1201" t="s">
        <v>851</v>
      </c>
      <c r="D1201" t="s">
        <v>92</v>
      </c>
      <c r="E1201" s="8">
        <v>10763.93</v>
      </c>
      <c r="F1201" s="9">
        <v>45474.666684444448</v>
      </c>
      <c r="G1201" t="s">
        <v>236</v>
      </c>
      <c r="H1201" t="s">
        <v>136</v>
      </c>
      <c r="I1201" t="s">
        <v>82</v>
      </c>
      <c r="J1201" t="str">
        <f t="shared" si="144"/>
        <v/>
      </c>
      <c r="K1201" t="str">
        <f t="shared" si="145"/>
        <v/>
      </c>
      <c r="L1201" t="str">
        <f t="shared" si="146"/>
        <v>Unusual</v>
      </c>
      <c r="M1201" t="str">
        <f t="shared" si="147"/>
        <v>Invalid</v>
      </c>
      <c r="N1201" t="str">
        <f t="shared" si="148"/>
        <v>Invalid</v>
      </c>
      <c r="O1201" t="str">
        <f t="shared" ca="1" si="149"/>
        <v>Outdated</v>
      </c>
      <c r="P1201" t="str">
        <f t="shared" si="150"/>
        <v>Not As Described</v>
      </c>
      <c r="Q1201" t="str">
        <f t="shared" si="151"/>
        <v/>
      </c>
    </row>
    <row r="1202" spans="1:17" x14ac:dyDescent="0.45">
      <c r="A1202" t="s">
        <v>1925</v>
      </c>
      <c r="B1202" t="s">
        <v>172</v>
      </c>
      <c r="C1202" t="s">
        <v>582</v>
      </c>
      <c r="D1202" t="s">
        <v>101</v>
      </c>
      <c r="E1202" s="8">
        <v>11439.89</v>
      </c>
      <c r="F1202" s="9">
        <v>45766.666684444448</v>
      </c>
      <c r="G1202" t="s">
        <v>174</v>
      </c>
      <c r="H1202" t="s">
        <v>136</v>
      </c>
      <c r="I1202" t="s">
        <v>163</v>
      </c>
      <c r="J1202" t="str">
        <f t="shared" si="144"/>
        <v/>
      </c>
      <c r="K1202" t="str">
        <f t="shared" si="145"/>
        <v/>
      </c>
      <c r="L1202" t="str">
        <f t="shared" si="146"/>
        <v>Unusual</v>
      </c>
      <c r="M1202" t="str">
        <f t="shared" si="147"/>
        <v/>
      </c>
      <c r="N1202" t="str">
        <f t="shared" si="148"/>
        <v>Invalid</v>
      </c>
      <c r="O1202" t="str">
        <f t="shared" ca="1" si="149"/>
        <v>Outdated</v>
      </c>
      <c r="P1202" t="str">
        <f t="shared" si="150"/>
        <v>Damaged</v>
      </c>
      <c r="Q1202" t="str">
        <f t="shared" si="151"/>
        <v/>
      </c>
    </row>
    <row r="1203" spans="1:17" x14ac:dyDescent="0.45">
      <c r="A1203" t="s">
        <v>1926</v>
      </c>
      <c r="B1203" t="s">
        <v>79</v>
      </c>
      <c r="C1203" t="s">
        <v>1927</v>
      </c>
      <c r="D1203" t="s">
        <v>74</v>
      </c>
      <c r="E1203" s="8">
        <v>11685.37</v>
      </c>
      <c r="F1203" s="9">
        <v>45837.666684444448</v>
      </c>
      <c r="G1203" t="s">
        <v>86</v>
      </c>
      <c r="H1203" t="s">
        <v>81</v>
      </c>
      <c r="I1203" t="s">
        <v>163</v>
      </c>
      <c r="J1203" t="str">
        <f t="shared" si="144"/>
        <v/>
      </c>
      <c r="K1203" t="str">
        <f t="shared" si="145"/>
        <v/>
      </c>
      <c r="L1203" t="str">
        <f t="shared" si="146"/>
        <v>Unusual</v>
      </c>
      <c r="M1203" t="str">
        <f t="shared" si="147"/>
        <v/>
      </c>
      <c r="N1203" t="str">
        <f t="shared" si="148"/>
        <v/>
      </c>
      <c r="O1203" t="str">
        <f t="shared" ca="1" si="149"/>
        <v>Outdated</v>
      </c>
      <c r="P1203" t="str">
        <f t="shared" si="150"/>
        <v>Wrong Item</v>
      </c>
      <c r="Q1203" t="str">
        <f t="shared" si="151"/>
        <v/>
      </c>
    </row>
    <row r="1204" spans="1:17" x14ac:dyDescent="0.45">
      <c r="A1204" t="s">
        <v>1928</v>
      </c>
      <c r="B1204" t="s">
        <v>109</v>
      </c>
      <c r="C1204" t="s">
        <v>1032</v>
      </c>
      <c r="D1204" t="s">
        <v>101</v>
      </c>
      <c r="E1204" s="8">
        <v>0</v>
      </c>
      <c r="F1204" s="9">
        <v>45535.666684444448</v>
      </c>
      <c r="G1204" t="s">
        <v>111</v>
      </c>
      <c r="H1204" t="s">
        <v>133</v>
      </c>
      <c r="I1204" t="s">
        <v>112</v>
      </c>
      <c r="J1204" t="str">
        <f t="shared" si="144"/>
        <v/>
      </c>
      <c r="K1204" t="str">
        <f t="shared" si="145"/>
        <v/>
      </c>
      <c r="L1204" t="str">
        <f t="shared" si="146"/>
        <v>Unusual</v>
      </c>
      <c r="M1204" t="str">
        <f t="shared" si="147"/>
        <v/>
      </c>
      <c r="N1204" t="str">
        <f t="shared" si="148"/>
        <v>Invalid</v>
      </c>
      <c r="O1204" t="str">
        <f t="shared" ca="1" si="149"/>
        <v>Outdated</v>
      </c>
      <c r="P1204" t="str">
        <f t="shared" si="150"/>
        <v>Damaged</v>
      </c>
      <c r="Q1204" t="str">
        <f t="shared" si="151"/>
        <v/>
      </c>
    </row>
    <row r="1205" spans="1:17" x14ac:dyDescent="0.45">
      <c r="A1205" t="s">
        <v>1929</v>
      </c>
      <c r="B1205" t="s">
        <v>90</v>
      </c>
      <c r="C1205" t="s">
        <v>556</v>
      </c>
      <c r="D1205" t="s">
        <v>85</v>
      </c>
      <c r="E1205" s="8">
        <v>11173.45</v>
      </c>
      <c r="F1205" s="9">
        <v>45793.666684444448</v>
      </c>
      <c r="G1205" t="s">
        <v>93</v>
      </c>
      <c r="H1205" t="s">
        <v>128</v>
      </c>
      <c r="I1205" t="s">
        <v>119</v>
      </c>
      <c r="J1205" t="str">
        <f t="shared" si="144"/>
        <v/>
      </c>
      <c r="K1205" t="str">
        <f t="shared" si="145"/>
        <v/>
      </c>
      <c r="L1205" t="str">
        <f t="shared" si="146"/>
        <v>Unusual</v>
      </c>
      <c r="M1205" t="str">
        <f t="shared" si="147"/>
        <v/>
      </c>
      <c r="N1205" t="str">
        <f t="shared" si="148"/>
        <v>Invalid</v>
      </c>
      <c r="O1205" t="str">
        <f t="shared" ca="1" si="149"/>
        <v>Outdated</v>
      </c>
      <c r="P1205" t="str">
        <f t="shared" si="150"/>
        <v>Late Delivery</v>
      </c>
      <c r="Q1205" t="str">
        <f t="shared" si="151"/>
        <v/>
      </c>
    </row>
    <row r="1206" spans="1:17" x14ac:dyDescent="0.45">
      <c r="A1206" t="s">
        <v>1930</v>
      </c>
      <c r="B1206" t="s">
        <v>99</v>
      </c>
      <c r="C1206" t="s">
        <v>1931</v>
      </c>
      <c r="D1206" t="s">
        <v>85</v>
      </c>
      <c r="E1206" s="8">
        <v>156.91999999999999</v>
      </c>
      <c r="F1206" s="9">
        <v>45210.666684444448</v>
      </c>
      <c r="G1206" t="s">
        <v>102</v>
      </c>
      <c r="H1206" t="s">
        <v>118</v>
      </c>
      <c r="I1206" t="s">
        <v>112</v>
      </c>
      <c r="J1206" t="str">
        <f t="shared" si="144"/>
        <v/>
      </c>
      <c r="K1206" t="str">
        <f t="shared" si="145"/>
        <v/>
      </c>
      <c r="L1206" t="str">
        <f t="shared" si="146"/>
        <v/>
      </c>
      <c r="M1206" t="str">
        <f t="shared" si="147"/>
        <v/>
      </c>
      <c r="N1206" t="str">
        <f t="shared" si="148"/>
        <v>Invalid</v>
      </c>
      <c r="O1206" t="str">
        <f t="shared" ca="1" si="149"/>
        <v>Outdated</v>
      </c>
      <c r="P1206" t="str">
        <f t="shared" si="150"/>
        <v>Late Delivery</v>
      </c>
      <c r="Q1206" t="str">
        <f t="shared" si="151"/>
        <v/>
      </c>
    </row>
    <row r="1207" spans="1:17" x14ac:dyDescent="0.45">
      <c r="A1207" t="s">
        <v>1932</v>
      </c>
      <c r="B1207" t="s">
        <v>138</v>
      </c>
      <c r="C1207" t="s">
        <v>1933</v>
      </c>
      <c r="D1207" t="s">
        <v>92</v>
      </c>
      <c r="E1207" s="8">
        <v>7845.17</v>
      </c>
      <c r="F1207" s="9">
        <v>45464.666684444448</v>
      </c>
      <c r="G1207" t="s">
        <v>140</v>
      </c>
      <c r="I1207" t="s">
        <v>119</v>
      </c>
      <c r="J1207" t="str">
        <f t="shared" si="144"/>
        <v/>
      </c>
      <c r="K1207" t="str">
        <f t="shared" si="145"/>
        <v/>
      </c>
      <c r="L1207" t="str">
        <f t="shared" si="146"/>
        <v/>
      </c>
      <c r="M1207" t="str">
        <f t="shared" si="147"/>
        <v/>
      </c>
      <c r="N1207" t="str">
        <f t="shared" si="148"/>
        <v>Invalid</v>
      </c>
      <c r="O1207" t="str">
        <f t="shared" ca="1" si="149"/>
        <v>Outdated</v>
      </c>
      <c r="P1207" t="str">
        <f t="shared" si="150"/>
        <v>Not As Described</v>
      </c>
      <c r="Q1207" t="str">
        <f t="shared" si="151"/>
        <v/>
      </c>
    </row>
    <row r="1208" spans="1:17" x14ac:dyDescent="0.45">
      <c r="A1208" t="s">
        <v>1934</v>
      </c>
      <c r="B1208" t="s">
        <v>95</v>
      </c>
      <c r="C1208" t="s">
        <v>1845</v>
      </c>
      <c r="D1208" t="s">
        <v>92</v>
      </c>
      <c r="E1208" s="8">
        <v>0</v>
      </c>
      <c r="F1208" s="9">
        <v>45818.666684444448</v>
      </c>
      <c r="H1208" t="s">
        <v>145</v>
      </c>
      <c r="I1208" t="s">
        <v>77</v>
      </c>
      <c r="J1208" t="str">
        <f t="shared" si="144"/>
        <v/>
      </c>
      <c r="K1208" t="str">
        <f t="shared" si="145"/>
        <v/>
      </c>
      <c r="L1208" t="str">
        <f t="shared" si="146"/>
        <v>Unusual</v>
      </c>
      <c r="M1208" t="str">
        <f t="shared" si="147"/>
        <v>Invalid</v>
      </c>
      <c r="N1208" t="str">
        <f t="shared" si="148"/>
        <v/>
      </c>
      <c r="O1208" t="str">
        <f t="shared" ca="1" si="149"/>
        <v>Outdated</v>
      </c>
      <c r="P1208" t="str">
        <f t="shared" si="150"/>
        <v>Not As Described</v>
      </c>
      <c r="Q1208" t="str">
        <f t="shared" si="151"/>
        <v/>
      </c>
    </row>
    <row r="1209" spans="1:17" x14ac:dyDescent="0.45">
      <c r="A1209" t="s">
        <v>1935</v>
      </c>
      <c r="B1209" t="s">
        <v>99</v>
      </c>
      <c r="C1209" t="s">
        <v>1614</v>
      </c>
      <c r="D1209" t="s">
        <v>85</v>
      </c>
      <c r="E1209" s="8">
        <v>0</v>
      </c>
      <c r="F1209" s="9">
        <v>45674.666684444448</v>
      </c>
      <c r="G1209" t="s">
        <v>102</v>
      </c>
      <c r="H1209" t="s">
        <v>116</v>
      </c>
      <c r="I1209" t="s">
        <v>163</v>
      </c>
      <c r="J1209" t="str">
        <f t="shared" si="144"/>
        <v/>
      </c>
      <c r="K1209" t="str">
        <f t="shared" si="145"/>
        <v/>
      </c>
      <c r="L1209" t="str">
        <f t="shared" si="146"/>
        <v>Unusual</v>
      </c>
      <c r="M1209" t="str">
        <f t="shared" si="147"/>
        <v/>
      </c>
      <c r="N1209" t="str">
        <f t="shared" si="148"/>
        <v/>
      </c>
      <c r="O1209" t="str">
        <f t="shared" ca="1" si="149"/>
        <v>Outdated</v>
      </c>
      <c r="P1209" t="str">
        <f t="shared" si="150"/>
        <v>Late Delivery</v>
      </c>
      <c r="Q1209" t="str">
        <f t="shared" si="151"/>
        <v/>
      </c>
    </row>
    <row r="1210" spans="1:17" x14ac:dyDescent="0.45">
      <c r="A1210" t="s">
        <v>1936</v>
      </c>
      <c r="B1210" t="s">
        <v>99</v>
      </c>
      <c r="C1210" t="s">
        <v>784</v>
      </c>
      <c r="E1210" s="8">
        <v>6149.28</v>
      </c>
      <c r="F1210" s="9">
        <v>45517.666684444448</v>
      </c>
      <c r="G1210" t="s">
        <v>102</v>
      </c>
      <c r="H1210" t="s">
        <v>116</v>
      </c>
      <c r="I1210" t="s">
        <v>82</v>
      </c>
      <c r="J1210" t="str">
        <f t="shared" si="144"/>
        <v>Missing</v>
      </c>
      <c r="K1210" t="str">
        <f t="shared" si="145"/>
        <v/>
      </c>
      <c r="L1210" t="str">
        <f t="shared" si="146"/>
        <v/>
      </c>
      <c r="M1210" t="str">
        <f t="shared" si="147"/>
        <v/>
      </c>
      <c r="N1210" t="str">
        <f t="shared" si="148"/>
        <v/>
      </c>
      <c r="O1210" t="str">
        <f t="shared" ca="1" si="149"/>
        <v>Outdated</v>
      </c>
      <c r="P1210" t="str">
        <f t="shared" si="150"/>
        <v/>
      </c>
      <c r="Q1210" t="str">
        <f t="shared" si="151"/>
        <v/>
      </c>
    </row>
    <row r="1211" spans="1:17" x14ac:dyDescent="0.45">
      <c r="A1211" t="s">
        <v>1937</v>
      </c>
      <c r="B1211" t="s">
        <v>79</v>
      </c>
      <c r="C1211" t="s">
        <v>1938</v>
      </c>
      <c r="D1211" t="s">
        <v>74</v>
      </c>
      <c r="E1211" s="8">
        <v>411.13</v>
      </c>
      <c r="F1211" s="9">
        <v>45452.666684444448</v>
      </c>
      <c r="G1211" t="s">
        <v>86</v>
      </c>
      <c r="H1211" t="s">
        <v>81</v>
      </c>
      <c r="I1211" t="s">
        <v>82</v>
      </c>
      <c r="J1211" t="str">
        <f t="shared" si="144"/>
        <v/>
      </c>
      <c r="K1211" t="str">
        <f t="shared" si="145"/>
        <v/>
      </c>
      <c r="L1211" t="str">
        <f t="shared" si="146"/>
        <v/>
      </c>
      <c r="M1211" t="str">
        <f t="shared" si="147"/>
        <v/>
      </c>
      <c r="N1211" t="str">
        <f t="shared" si="148"/>
        <v/>
      </c>
      <c r="O1211" t="str">
        <f t="shared" ca="1" si="149"/>
        <v>Outdated</v>
      </c>
      <c r="P1211" t="str">
        <f t="shared" si="150"/>
        <v>Wrong Item</v>
      </c>
      <c r="Q1211" t="str">
        <f t="shared" si="151"/>
        <v/>
      </c>
    </row>
    <row r="1212" spans="1:17" x14ac:dyDescent="0.45">
      <c r="A1212" t="s">
        <v>1939</v>
      </c>
      <c r="B1212" t="s">
        <v>95</v>
      </c>
      <c r="C1212" t="s">
        <v>1824</v>
      </c>
      <c r="D1212" t="s">
        <v>101</v>
      </c>
      <c r="E1212" s="8">
        <v>5996.47</v>
      </c>
      <c r="F1212" s="9">
        <v>45769.666684444448</v>
      </c>
      <c r="G1212" t="s">
        <v>97</v>
      </c>
      <c r="I1212" t="s">
        <v>77</v>
      </c>
      <c r="J1212" t="str">
        <f t="shared" si="144"/>
        <v/>
      </c>
      <c r="K1212" t="str">
        <f t="shared" si="145"/>
        <v/>
      </c>
      <c r="L1212" t="str">
        <f t="shared" si="146"/>
        <v/>
      </c>
      <c r="M1212" t="str">
        <f t="shared" si="147"/>
        <v/>
      </c>
      <c r="N1212" t="str">
        <f t="shared" si="148"/>
        <v>Invalid</v>
      </c>
      <c r="O1212" t="str">
        <f t="shared" ca="1" si="149"/>
        <v>Outdated</v>
      </c>
      <c r="P1212" t="str">
        <f t="shared" si="150"/>
        <v>Damaged</v>
      </c>
      <c r="Q1212" t="str">
        <f t="shared" si="151"/>
        <v/>
      </c>
    </row>
    <row r="1213" spans="1:17" x14ac:dyDescent="0.45">
      <c r="A1213" t="s">
        <v>1940</v>
      </c>
      <c r="B1213" t="s">
        <v>95</v>
      </c>
      <c r="C1213" t="s">
        <v>166</v>
      </c>
      <c r="E1213" s="8">
        <v>1780.82</v>
      </c>
      <c r="F1213" s="9">
        <v>45627.666684444448</v>
      </c>
      <c r="G1213" t="s">
        <v>97</v>
      </c>
      <c r="H1213" t="s">
        <v>116</v>
      </c>
      <c r="I1213" t="s">
        <v>112</v>
      </c>
      <c r="J1213" t="str">
        <f t="shared" si="144"/>
        <v>Missing</v>
      </c>
      <c r="K1213" t="str">
        <f t="shared" si="145"/>
        <v/>
      </c>
      <c r="L1213" t="str">
        <f t="shared" si="146"/>
        <v/>
      </c>
      <c r="M1213" t="str">
        <f t="shared" si="147"/>
        <v/>
      </c>
      <c r="N1213" t="str">
        <f t="shared" si="148"/>
        <v/>
      </c>
      <c r="O1213" t="str">
        <f t="shared" ca="1" si="149"/>
        <v>Outdated</v>
      </c>
      <c r="P1213" t="str">
        <f t="shared" si="150"/>
        <v/>
      </c>
      <c r="Q1213" t="str">
        <f t="shared" si="151"/>
        <v/>
      </c>
    </row>
    <row r="1214" spans="1:17" x14ac:dyDescent="0.45">
      <c r="A1214" t="s">
        <v>1941</v>
      </c>
      <c r="B1214" t="s">
        <v>79</v>
      </c>
      <c r="C1214" t="s">
        <v>218</v>
      </c>
      <c r="D1214" t="s">
        <v>101</v>
      </c>
      <c r="E1214" s="8">
        <v>10852.82</v>
      </c>
      <c r="F1214" s="9">
        <v>45682.666684444448</v>
      </c>
      <c r="G1214" t="s">
        <v>86</v>
      </c>
      <c r="I1214" t="s">
        <v>119</v>
      </c>
      <c r="J1214" t="str">
        <f t="shared" si="144"/>
        <v/>
      </c>
      <c r="K1214" t="str">
        <f t="shared" si="145"/>
        <v/>
      </c>
      <c r="L1214" t="str">
        <f t="shared" si="146"/>
        <v>Unusual</v>
      </c>
      <c r="M1214" t="str">
        <f t="shared" si="147"/>
        <v/>
      </c>
      <c r="N1214" t="str">
        <f t="shared" si="148"/>
        <v>Invalid</v>
      </c>
      <c r="O1214" t="str">
        <f t="shared" ca="1" si="149"/>
        <v>Outdated</v>
      </c>
      <c r="P1214" t="str">
        <f t="shared" si="150"/>
        <v>Damaged</v>
      </c>
      <c r="Q1214" t="str">
        <f t="shared" si="151"/>
        <v/>
      </c>
    </row>
    <row r="1215" spans="1:17" x14ac:dyDescent="0.45">
      <c r="A1215" t="s">
        <v>1942</v>
      </c>
      <c r="B1215" t="s">
        <v>172</v>
      </c>
      <c r="C1215" t="s">
        <v>1943</v>
      </c>
      <c r="D1215" t="s">
        <v>106</v>
      </c>
      <c r="E1215" s="8">
        <v>11846.57</v>
      </c>
      <c r="F1215" s="9">
        <v>45164.666684444448</v>
      </c>
      <c r="G1215" t="s">
        <v>174</v>
      </c>
      <c r="H1215" t="s">
        <v>145</v>
      </c>
      <c r="I1215" t="s">
        <v>112</v>
      </c>
      <c r="J1215" t="str">
        <f t="shared" si="144"/>
        <v/>
      </c>
      <c r="K1215" t="str">
        <f t="shared" si="145"/>
        <v/>
      </c>
      <c r="L1215" t="str">
        <f t="shared" si="146"/>
        <v>Unusual</v>
      </c>
      <c r="M1215" t="str">
        <f t="shared" si="147"/>
        <v/>
      </c>
      <c r="N1215" t="str">
        <f t="shared" si="148"/>
        <v/>
      </c>
      <c r="O1215" t="str">
        <f t="shared" ca="1" si="149"/>
        <v>Outdated</v>
      </c>
      <c r="P1215" t="str">
        <f t="shared" si="150"/>
        <v>Damaged</v>
      </c>
      <c r="Q1215" t="str">
        <f t="shared" si="151"/>
        <v>Inconsistent</v>
      </c>
    </row>
    <row r="1216" spans="1:17" x14ac:dyDescent="0.45">
      <c r="A1216" t="s">
        <v>1944</v>
      </c>
      <c r="B1216" t="s">
        <v>79</v>
      </c>
      <c r="C1216" t="s">
        <v>1945</v>
      </c>
      <c r="D1216" t="s">
        <v>85</v>
      </c>
      <c r="E1216" s="8">
        <v>4735.92</v>
      </c>
      <c r="F1216" s="9">
        <v>45760.666684444448</v>
      </c>
      <c r="G1216" t="s">
        <v>86</v>
      </c>
      <c r="I1216" t="s">
        <v>119</v>
      </c>
      <c r="J1216" t="str">
        <f t="shared" si="144"/>
        <v/>
      </c>
      <c r="K1216" t="str">
        <f t="shared" si="145"/>
        <v/>
      </c>
      <c r="L1216" t="str">
        <f t="shared" si="146"/>
        <v/>
      </c>
      <c r="M1216" t="str">
        <f t="shared" si="147"/>
        <v/>
      </c>
      <c r="N1216" t="str">
        <f t="shared" si="148"/>
        <v>Invalid</v>
      </c>
      <c r="O1216" t="str">
        <f t="shared" ca="1" si="149"/>
        <v>Outdated</v>
      </c>
      <c r="P1216" t="str">
        <f t="shared" si="150"/>
        <v>Late Delivery</v>
      </c>
      <c r="Q1216" t="str">
        <f t="shared" si="151"/>
        <v/>
      </c>
    </row>
    <row r="1217" spans="1:17" x14ac:dyDescent="0.45">
      <c r="A1217" t="s">
        <v>1946</v>
      </c>
      <c r="B1217" t="s">
        <v>172</v>
      </c>
      <c r="C1217" t="s">
        <v>992</v>
      </c>
      <c r="D1217" t="s">
        <v>92</v>
      </c>
      <c r="E1217" s="8">
        <v>4999.1099999999997</v>
      </c>
      <c r="F1217" s="9">
        <v>45198.666684444448</v>
      </c>
      <c r="G1217" t="s">
        <v>174</v>
      </c>
      <c r="H1217" t="s">
        <v>76</v>
      </c>
      <c r="I1217" t="s">
        <v>82</v>
      </c>
      <c r="J1217" t="str">
        <f t="shared" si="144"/>
        <v/>
      </c>
      <c r="K1217" t="str">
        <f t="shared" si="145"/>
        <v/>
      </c>
      <c r="L1217" t="str">
        <f t="shared" si="146"/>
        <v/>
      </c>
      <c r="M1217" t="str">
        <f t="shared" si="147"/>
        <v/>
      </c>
      <c r="N1217" t="str">
        <f t="shared" si="148"/>
        <v/>
      </c>
      <c r="O1217" t="str">
        <f t="shared" ca="1" si="149"/>
        <v>Outdated</v>
      </c>
      <c r="P1217" t="str">
        <f t="shared" si="150"/>
        <v>Not As Described</v>
      </c>
      <c r="Q1217" t="str">
        <f t="shared" si="151"/>
        <v/>
      </c>
    </row>
    <row r="1218" spans="1:17" x14ac:dyDescent="0.45">
      <c r="A1218" t="s">
        <v>1947</v>
      </c>
      <c r="B1218" t="s">
        <v>90</v>
      </c>
      <c r="C1218" t="s">
        <v>1948</v>
      </c>
      <c r="D1218" t="s">
        <v>101</v>
      </c>
      <c r="E1218" s="8">
        <v>3713.19</v>
      </c>
      <c r="F1218" s="9">
        <v>45368.666684444448</v>
      </c>
      <c r="G1218" t="s">
        <v>93</v>
      </c>
      <c r="H1218" t="s">
        <v>136</v>
      </c>
      <c r="I1218" t="s">
        <v>163</v>
      </c>
      <c r="J1218" t="str">
        <f t="shared" ref="J1218:J1281" si="152">IF(OR(ISBLANK(C1218),ISBLANK(D1218)),"Missing","")</f>
        <v/>
      </c>
      <c r="K1218" t="str">
        <f t="shared" ref="K1218:K1281" si="153">IF(COUNTIF($A$2:$A$2501,A1218)&gt;1,"Duplicate","")</f>
        <v/>
      </c>
      <c r="L1218" t="str">
        <f t="shared" ref="L1218:L1281" si="154">IF(OR(E1218=0,E1218&gt;10000),"Unusual","")</f>
        <v/>
      </c>
      <c r="M1218" t="str">
        <f t="shared" ref="M1218:M1281" si="155">IF(OR(ISBLANK(G1218),ISERROR(FIND("@",G1218)),ISERROR(FIND(".",G1218,FIND("@",G1218)+1))),"Invalid","")</f>
        <v/>
      </c>
      <c r="N1218" t="str">
        <f t="shared" ref="N1218:N1281" si="156">IF(COUNTIF($S$2:$S$6,H1218)=0,"Invalid","")</f>
        <v>Invalid</v>
      </c>
      <c r="O1218" t="str">
        <f t="shared" ref="O1218:O1281" ca="1" si="157">IF(F1218&lt;EDATE(TODAY(),-12),"Outdated","")</f>
        <v>Outdated</v>
      </c>
      <c r="P1218" t="str">
        <f t="shared" ref="P1218:P1281" si="158">IF(ISBLANK(D1218),"",PROPER(TRIM(D1218)))</f>
        <v>Damaged</v>
      </c>
      <c r="Q1218" t="str">
        <f t="shared" ref="Q1218:Q1281" si="159">IF(ISBLANK(D1218),"",IF(EXACT(D1218,P1218),"","Inconsistent"))</f>
        <v/>
      </c>
    </row>
    <row r="1219" spans="1:17" x14ac:dyDescent="0.45">
      <c r="A1219" t="s">
        <v>1949</v>
      </c>
      <c r="B1219" t="s">
        <v>104</v>
      </c>
      <c r="C1219" t="s">
        <v>570</v>
      </c>
      <c r="D1219" t="s">
        <v>101</v>
      </c>
      <c r="E1219" s="8">
        <v>6285.1</v>
      </c>
      <c r="F1219" s="9">
        <v>45774.666684444448</v>
      </c>
      <c r="G1219" t="s">
        <v>115</v>
      </c>
      <c r="H1219" t="s">
        <v>128</v>
      </c>
      <c r="I1219" t="s">
        <v>119</v>
      </c>
      <c r="J1219" t="str">
        <f t="shared" si="152"/>
        <v/>
      </c>
      <c r="K1219" t="str">
        <f t="shared" si="153"/>
        <v/>
      </c>
      <c r="L1219" t="str">
        <f t="shared" si="154"/>
        <v/>
      </c>
      <c r="M1219" t="str">
        <f t="shared" si="155"/>
        <v/>
      </c>
      <c r="N1219" t="str">
        <f t="shared" si="156"/>
        <v>Invalid</v>
      </c>
      <c r="O1219" t="str">
        <f t="shared" ca="1" si="157"/>
        <v>Outdated</v>
      </c>
      <c r="P1219" t="str">
        <f t="shared" si="158"/>
        <v>Damaged</v>
      </c>
      <c r="Q1219" t="str">
        <f t="shared" si="159"/>
        <v/>
      </c>
    </row>
    <row r="1220" spans="1:17" x14ac:dyDescent="0.45">
      <c r="A1220" t="s">
        <v>1950</v>
      </c>
      <c r="B1220" t="s">
        <v>172</v>
      </c>
      <c r="C1220" t="s">
        <v>1247</v>
      </c>
      <c r="D1220" t="s">
        <v>101</v>
      </c>
      <c r="E1220" s="8">
        <v>0</v>
      </c>
      <c r="F1220" s="9">
        <v>45828.666684444448</v>
      </c>
      <c r="G1220" t="s">
        <v>174</v>
      </c>
      <c r="H1220" t="s">
        <v>107</v>
      </c>
      <c r="I1220" t="s">
        <v>82</v>
      </c>
      <c r="J1220" t="str">
        <f t="shared" si="152"/>
        <v/>
      </c>
      <c r="K1220" t="str">
        <f t="shared" si="153"/>
        <v/>
      </c>
      <c r="L1220" t="str">
        <f t="shared" si="154"/>
        <v>Unusual</v>
      </c>
      <c r="M1220" t="str">
        <f t="shared" si="155"/>
        <v/>
      </c>
      <c r="N1220" t="str">
        <f t="shared" si="156"/>
        <v/>
      </c>
      <c r="O1220" t="str">
        <f t="shared" ca="1" si="157"/>
        <v>Outdated</v>
      </c>
      <c r="P1220" t="str">
        <f t="shared" si="158"/>
        <v>Damaged</v>
      </c>
      <c r="Q1220" t="str">
        <f t="shared" si="159"/>
        <v/>
      </c>
    </row>
    <row r="1221" spans="1:17" x14ac:dyDescent="0.45">
      <c r="A1221" t="s">
        <v>1951</v>
      </c>
      <c r="B1221" t="s">
        <v>99</v>
      </c>
      <c r="C1221" t="s">
        <v>423</v>
      </c>
      <c r="D1221" t="s">
        <v>92</v>
      </c>
      <c r="E1221" s="8">
        <v>142.77000000000001</v>
      </c>
      <c r="F1221" s="9">
        <v>45422.666684444448</v>
      </c>
      <c r="G1221" t="s">
        <v>102</v>
      </c>
      <c r="H1221" t="s">
        <v>118</v>
      </c>
      <c r="I1221" t="s">
        <v>77</v>
      </c>
      <c r="J1221" t="str">
        <f t="shared" si="152"/>
        <v/>
      </c>
      <c r="K1221" t="str">
        <f t="shared" si="153"/>
        <v/>
      </c>
      <c r="L1221" t="str">
        <f t="shared" si="154"/>
        <v/>
      </c>
      <c r="M1221" t="str">
        <f t="shared" si="155"/>
        <v/>
      </c>
      <c r="N1221" t="str">
        <f t="shared" si="156"/>
        <v>Invalid</v>
      </c>
      <c r="O1221" t="str">
        <f t="shared" ca="1" si="157"/>
        <v>Outdated</v>
      </c>
      <c r="P1221" t="str">
        <f t="shared" si="158"/>
        <v>Not As Described</v>
      </c>
      <c r="Q1221" t="str">
        <f t="shared" si="159"/>
        <v/>
      </c>
    </row>
    <row r="1222" spans="1:17" x14ac:dyDescent="0.45">
      <c r="A1222" t="s">
        <v>1952</v>
      </c>
      <c r="B1222" t="s">
        <v>172</v>
      </c>
      <c r="C1222" t="s">
        <v>1953</v>
      </c>
      <c r="D1222" t="s">
        <v>85</v>
      </c>
      <c r="E1222" s="8">
        <v>71.09</v>
      </c>
      <c r="F1222" s="9">
        <v>45360.666684444448</v>
      </c>
      <c r="G1222" t="s">
        <v>174</v>
      </c>
      <c r="H1222" t="s">
        <v>87</v>
      </c>
      <c r="I1222" t="s">
        <v>163</v>
      </c>
      <c r="J1222" t="str">
        <f t="shared" si="152"/>
        <v/>
      </c>
      <c r="K1222" t="str">
        <f t="shared" si="153"/>
        <v/>
      </c>
      <c r="L1222" t="str">
        <f t="shared" si="154"/>
        <v/>
      </c>
      <c r="M1222" t="str">
        <f t="shared" si="155"/>
        <v/>
      </c>
      <c r="N1222" t="str">
        <f t="shared" si="156"/>
        <v>Invalid</v>
      </c>
      <c r="O1222" t="str">
        <f t="shared" ca="1" si="157"/>
        <v>Outdated</v>
      </c>
      <c r="P1222" t="str">
        <f t="shared" si="158"/>
        <v>Late Delivery</v>
      </c>
      <c r="Q1222" t="str">
        <f t="shared" si="159"/>
        <v/>
      </c>
    </row>
    <row r="1223" spans="1:17" x14ac:dyDescent="0.45">
      <c r="A1223" t="s">
        <v>1954</v>
      </c>
      <c r="B1223" t="s">
        <v>104</v>
      </c>
      <c r="C1223" t="s">
        <v>1759</v>
      </c>
      <c r="D1223" t="s">
        <v>155</v>
      </c>
      <c r="E1223" s="8">
        <v>757.93</v>
      </c>
      <c r="F1223" s="9">
        <v>45220.666684444448</v>
      </c>
      <c r="G1223" t="s">
        <v>115</v>
      </c>
      <c r="H1223" t="s">
        <v>133</v>
      </c>
      <c r="I1223" t="s">
        <v>163</v>
      </c>
      <c r="J1223" t="str">
        <f t="shared" si="152"/>
        <v/>
      </c>
      <c r="K1223" t="str">
        <f t="shared" si="153"/>
        <v/>
      </c>
      <c r="L1223" t="str">
        <f t="shared" si="154"/>
        <v/>
      </c>
      <c r="M1223" t="str">
        <f t="shared" si="155"/>
        <v/>
      </c>
      <c r="N1223" t="str">
        <f t="shared" si="156"/>
        <v>Invalid</v>
      </c>
      <c r="O1223" t="str">
        <f t="shared" ca="1" si="157"/>
        <v>Outdated</v>
      </c>
      <c r="P1223" t="str">
        <f t="shared" si="158"/>
        <v>Damaged</v>
      </c>
      <c r="Q1223" t="str">
        <f t="shared" si="159"/>
        <v>Inconsistent</v>
      </c>
    </row>
    <row r="1224" spans="1:17" x14ac:dyDescent="0.45">
      <c r="A1224" t="s">
        <v>1955</v>
      </c>
      <c r="B1224" t="s">
        <v>138</v>
      </c>
      <c r="C1224" t="s">
        <v>139</v>
      </c>
      <c r="D1224" t="s">
        <v>101</v>
      </c>
      <c r="E1224" s="8">
        <v>4988.1499999999996</v>
      </c>
      <c r="F1224" s="9">
        <v>45572.666684444448</v>
      </c>
      <c r="G1224" t="s">
        <v>140</v>
      </c>
      <c r="I1224" t="s">
        <v>88</v>
      </c>
      <c r="J1224" t="str">
        <f t="shared" si="152"/>
        <v/>
      </c>
      <c r="K1224" t="str">
        <f t="shared" si="153"/>
        <v/>
      </c>
      <c r="L1224" t="str">
        <f t="shared" si="154"/>
        <v/>
      </c>
      <c r="M1224" t="str">
        <f t="shared" si="155"/>
        <v/>
      </c>
      <c r="N1224" t="str">
        <f t="shared" si="156"/>
        <v>Invalid</v>
      </c>
      <c r="O1224" t="str">
        <f t="shared" ca="1" si="157"/>
        <v>Outdated</v>
      </c>
      <c r="P1224" t="str">
        <f t="shared" si="158"/>
        <v>Damaged</v>
      </c>
      <c r="Q1224" t="str">
        <f t="shared" si="159"/>
        <v/>
      </c>
    </row>
    <row r="1225" spans="1:17" x14ac:dyDescent="0.45">
      <c r="A1225" t="s">
        <v>1956</v>
      </c>
      <c r="B1225" t="s">
        <v>79</v>
      </c>
      <c r="C1225" t="s">
        <v>749</v>
      </c>
      <c r="D1225" t="s">
        <v>74</v>
      </c>
      <c r="E1225" s="8">
        <v>4198.2</v>
      </c>
      <c r="F1225" s="9">
        <v>45228.666684444448</v>
      </c>
      <c r="G1225" t="s">
        <v>86</v>
      </c>
      <c r="H1225" t="s">
        <v>133</v>
      </c>
      <c r="I1225" t="s">
        <v>112</v>
      </c>
      <c r="J1225" t="str">
        <f t="shared" si="152"/>
        <v/>
      </c>
      <c r="K1225" t="str">
        <f t="shared" si="153"/>
        <v/>
      </c>
      <c r="L1225" t="str">
        <f t="shared" si="154"/>
        <v/>
      </c>
      <c r="M1225" t="str">
        <f t="shared" si="155"/>
        <v/>
      </c>
      <c r="N1225" t="str">
        <f t="shared" si="156"/>
        <v>Invalid</v>
      </c>
      <c r="O1225" t="str">
        <f t="shared" ca="1" si="157"/>
        <v>Outdated</v>
      </c>
      <c r="P1225" t="str">
        <f t="shared" si="158"/>
        <v>Wrong Item</v>
      </c>
      <c r="Q1225" t="str">
        <f t="shared" si="159"/>
        <v/>
      </c>
    </row>
    <row r="1226" spans="1:17" x14ac:dyDescent="0.45">
      <c r="A1226" t="s">
        <v>1957</v>
      </c>
      <c r="B1226" t="s">
        <v>138</v>
      </c>
      <c r="C1226" t="s">
        <v>1804</v>
      </c>
      <c r="D1226" t="s">
        <v>101</v>
      </c>
      <c r="E1226" s="8">
        <v>9412.9</v>
      </c>
      <c r="F1226" s="9">
        <v>45776.666684444448</v>
      </c>
      <c r="G1226" t="s">
        <v>140</v>
      </c>
      <c r="H1226" t="s">
        <v>76</v>
      </c>
      <c r="I1226" t="s">
        <v>77</v>
      </c>
      <c r="J1226" t="str">
        <f t="shared" si="152"/>
        <v/>
      </c>
      <c r="K1226" t="str">
        <f t="shared" si="153"/>
        <v/>
      </c>
      <c r="L1226" t="str">
        <f t="shared" si="154"/>
        <v/>
      </c>
      <c r="M1226" t="str">
        <f t="shared" si="155"/>
        <v/>
      </c>
      <c r="N1226" t="str">
        <f t="shared" si="156"/>
        <v/>
      </c>
      <c r="O1226" t="str">
        <f t="shared" ca="1" si="157"/>
        <v>Outdated</v>
      </c>
      <c r="P1226" t="str">
        <f t="shared" si="158"/>
        <v>Damaged</v>
      </c>
      <c r="Q1226" t="str">
        <f t="shared" si="159"/>
        <v/>
      </c>
    </row>
    <row r="1227" spans="1:17" x14ac:dyDescent="0.45">
      <c r="A1227" t="s">
        <v>1958</v>
      </c>
      <c r="B1227" t="s">
        <v>79</v>
      </c>
      <c r="C1227" t="s">
        <v>1159</v>
      </c>
      <c r="D1227" t="s">
        <v>85</v>
      </c>
      <c r="E1227" s="8">
        <v>8978.49</v>
      </c>
      <c r="F1227" s="9">
        <v>45848.666684444448</v>
      </c>
      <c r="G1227" t="s">
        <v>278</v>
      </c>
      <c r="H1227" t="s">
        <v>145</v>
      </c>
      <c r="I1227" t="s">
        <v>82</v>
      </c>
      <c r="J1227" t="str">
        <f t="shared" si="152"/>
        <v/>
      </c>
      <c r="K1227" t="str">
        <f t="shared" si="153"/>
        <v/>
      </c>
      <c r="L1227" t="str">
        <f t="shared" si="154"/>
        <v/>
      </c>
      <c r="M1227" t="str">
        <f t="shared" si="155"/>
        <v>Invalid</v>
      </c>
      <c r="N1227" t="str">
        <f t="shared" si="156"/>
        <v/>
      </c>
      <c r="O1227" t="str">
        <f t="shared" ca="1" si="157"/>
        <v/>
      </c>
      <c r="P1227" t="str">
        <f t="shared" si="158"/>
        <v>Late Delivery</v>
      </c>
      <c r="Q1227" t="str">
        <f t="shared" si="159"/>
        <v/>
      </c>
    </row>
    <row r="1228" spans="1:17" x14ac:dyDescent="0.45">
      <c r="A1228" t="s">
        <v>1959</v>
      </c>
      <c r="B1228" t="s">
        <v>90</v>
      </c>
      <c r="C1228" t="s">
        <v>342</v>
      </c>
      <c r="D1228" t="s">
        <v>148</v>
      </c>
      <c r="E1228" s="8">
        <v>10362.56</v>
      </c>
      <c r="F1228" s="9">
        <v>45230.666684444448</v>
      </c>
      <c r="H1228" t="s">
        <v>76</v>
      </c>
      <c r="I1228" t="s">
        <v>112</v>
      </c>
      <c r="J1228" t="str">
        <f t="shared" si="152"/>
        <v/>
      </c>
      <c r="K1228" t="str">
        <f t="shared" si="153"/>
        <v/>
      </c>
      <c r="L1228" t="str">
        <f t="shared" si="154"/>
        <v>Unusual</v>
      </c>
      <c r="M1228" t="str">
        <f t="shared" si="155"/>
        <v>Invalid</v>
      </c>
      <c r="N1228" t="str">
        <f t="shared" si="156"/>
        <v/>
      </c>
      <c r="O1228" t="str">
        <f t="shared" ca="1" si="157"/>
        <v>Outdated</v>
      </c>
      <c r="P1228" t="str">
        <f t="shared" si="158"/>
        <v>Wrong Item</v>
      </c>
      <c r="Q1228" t="str">
        <f t="shared" si="159"/>
        <v>Inconsistent</v>
      </c>
    </row>
    <row r="1229" spans="1:17" x14ac:dyDescent="0.45">
      <c r="A1229" t="s">
        <v>1960</v>
      </c>
      <c r="B1229" t="s">
        <v>109</v>
      </c>
      <c r="C1229" t="s">
        <v>375</v>
      </c>
      <c r="D1229" t="s">
        <v>101</v>
      </c>
      <c r="E1229" s="8">
        <v>2575.66</v>
      </c>
      <c r="F1229" s="9">
        <v>45582.666684444448</v>
      </c>
      <c r="G1229" t="s">
        <v>111</v>
      </c>
      <c r="H1229" t="s">
        <v>81</v>
      </c>
      <c r="I1229" t="s">
        <v>119</v>
      </c>
      <c r="J1229" t="str">
        <f t="shared" si="152"/>
        <v/>
      </c>
      <c r="K1229" t="str">
        <f t="shared" si="153"/>
        <v/>
      </c>
      <c r="L1229" t="str">
        <f t="shared" si="154"/>
        <v/>
      </c>
      <c r="M1229" t="str">
        <f t="shared" si="155"/>
        <v/>
      </c>
      <c r="N1229" t="str">
        <f t="shared" si="156"/>
        <v/>
      </c>
      <c r="O1229" t="str">
        <f t="shared" ca="1" si="157"/>
        <v>Outdated</v>
      </c>
      <c r="P1229" t="str">
        <f t="shared" si="158"/>
        <v>Damaged</v>
      </c>
      <c r="Q1229" t="str">
        <f t="shared" si="159"/>
        <v/>
      </c>
    </row>
    <row r="1230" spans="1:17" x14ac:dyDescent="0.45">
      <c r="A1230" t="s">
        <v>1961</v>
      </c>
      <c r="B1230" t="s">
        <v>99</v>
      </c>
      <c r="C1230" t="s">
        <v>1848</v>
      </c>
      <c r="D1230" t="s">
        <v>92</v>
      </c>
      <c r="E1230" s="8">
        <v>6073</v>
      </c>
      <c r="F1230" s="9">
        <v>45298.666684444448</v>
      </c>
      <c r="G1230" t="s">
        <v>285</v>
      </c>
      <c r="H1230" t="s">
        <v>81</v>
      </c>
      <c r="I1230" t="s">
        <v>119</v>
      </c>
      <c r="J1230" t="str">
        <f t="shared" si="152"/>
        <v/>
      </c>
      <c r="K1230" t="str">
        <f t="shared" si="153"/>
        <v/>
      </c>
      <c r="L1230" t="str">
        <f t="shared" si="154"/>
        <v/>
      </c>
      <c r="M1230" t="str">
        <f t="shared" si="155"/>
        <v>Invalid</v>
      </c>
      <c r="N1230" t="str">
        <f t="shared" si="156"/>
        <v/>
      </c>
      <c r="O1230" t="str">
        <f t="shared" ca="1" si="157"/>
        <v>Outdated</v>
      </c>
      <c r="P1230" t="str">
        <f t="shared" si="158"/>
        <v>Not As Described</v>
      </c>
      <c r="Q1230" t="str">
        <f t="shared" si="159"/>
        <v/>
      </c>
    </row>
    <row r="1231" spans="1:17" x14ac:dyDescent="0.45">
      <c r="A1231" t="s">
        <v>1962</v>
      </c>
      <c r="B1231" t="s">
        <v>99</v>
      </c>
      <c r="C1231" t="s">
        <v>371</v>
      </c>
      <c r="D1231" t="s">
        <v>101</v>
      </c>
      <c r="E1231" s="8">
        <v>9995.18</v>
      </c>
      <c r="F1231" s="9">
        <v>45838.666684444448</v>
      </c>
      <c r="G1231" t="s">
        <v>285</v>
      </c>
      <c r="H1231" t="s">
        <v>76</v>
      </c>
      <c r="I1231" t="s">
        <v>163</v>
      </c>
      <c r="J1231" t="str">
        <f t="shared" si="152"/>
        <v/>
      </c>
      <c r="K1231" t="str">
        <f t="shared" si="153"/>
        <v/>
      </c>
      <c r="L1231" t="str">
        <f t="shared" si="154"/>
        <v/>
      </c>
      <c r="M1231" t="str">
        <f t="shared" si="155"/>
        <v>Invalid</v>
      </c>
      <c r="N1231" t="str">
        <f t="shared" si="156"/>
        <v/>
      </c>
      <c r="O1231" t="str">
        <f t="shared" ca="1" si="157"/>
        <v>Outdated</v>
      </c>
      <c r="P1231" t="str">
        <f t="shared" si="158"/>
        <v>Damaged</v>
      </c>
      <c r="Q1231" t="str">
        <f t="shared" si="159"/>
        <v/>
      </c>
    </row>
    <row r="1232" spans="1:17" x14ac:dyDescent="0.45">
      <c r="A1232" t="s">
        <v>1963</v>
      </c>
      <c r="B1232" t="s">
        <v>109</v>
      </c>
      <c r="C1232" t="s">
        <v>637</v>
      </c>
      <c r="D1232" t="s">
        <v>85</v>
      </c>
      <c r="E1232" s="8">
        <v>10158.73</v>
      </c>
      <c r="F1232" s="9">
        <v>45434.666684444448</v>
      </c>
      <c r="H1232" t="s">
        <v>107</v>
      </c>
      <c r="I1232" t="s">
        <v>82</v>
      </c>
      <c r="J1232" t="str">
        <f t="shared" si="152"/>
        <v/>
      </c>
      <c r="K1232" t="str">
        <f t="shared" si="153"/>
        <v/>
      </c>
      <c r="L1232" t="str">
        <f t="shared" si="154"/>
        <v>Unusual</v>
      </c>
      <c r="M1232" t="str">
        <f t="shared" si="155"/>
        <v>Invalid</v>
      </c>
      <c r="N1232" t="str">
        <f t="shared" si="156"/>
        <v/>
      </c>
      <c r="O1232" t="str">
        <f t="shared" ca="1" si="157"/>
        <v>Outdated</v>
      </c>
      <c r="P1232" t="str">
        <f t="shared" si="158"/>
        <v>Late Delivery</v>
      </c>
      <c r="Q1232" t="str">
        <f t="shared" si="159"/>
        <v/>
      </c>
    </row>
    <row r="1233" spans="1:17" x14ac:dyDescent="0.45">
      <c r="A1233" t="s">
        <v>1964</v>
      </c>
      <c r="B1233" t="s">
        <v>109</v>
      </c>
      <c r="C1233" t="s">
        <v>1965</v>
      </c>
      <c r="D1233" t="s">
        <v>148</v>
      </c>
      <c r="E1233" s="8">
        <v>0</v>
      </c>
      <c r="F1233" s="9">
        <v>45157.666684444448</v>
      </c>
      <c r="G1233" t="s">
        <v>111</v>
      </c>
      <c r="I1233" t="s">
        <v>82</v>
      </c>
      <c r="J1233" t="str">
        <f t="shared" si="152"/>
        <v/>
      </c>
      <c r="K1233" t="str">
        <f t="shared" si="153"/>
        <v/>
      </c>
      <c r="L1233" t="str">
        <f t="shared" si="154"/>
        <v>Unusual</v>
      </c>
      <c r="M1233" t="str">
        <f t="shared" si="155"/>
        <v/>
      </c>
      <c r="N1233" t="str">
        <f t="shared" si="156"/>
        <v>Invalid</v>
      </c>
      <c r="O1233" t="str">
        <f t="shared" ca="1" si="157"/>
        <v>Outdated</v>
      </c>
      <c r="P1233" t="str">
        <f t="shared" si="158"/>
        <v>Wrong Item</v>
      </c>
      <c r="Q1233" t="str">
        <f t="shared" si="159"/>
        <v>Inconsistent</v>
      </c>
    </row>
    <row r="1234" spans="1:17" x14ac:dyDescent="0.45">
      <c r="A1234" t="s">
        <v>1966</v>
      </c>
      <c r="B1234" t="s">
        <v>79</v>
      </c>
      <c r="C1234" t="s">
        <v>170</v>
      </c>
      <c r="D1234" t="s">
        <v>74</v>
      </c>
      <c r="E1234" s="8">
        <v>0</v>
      </c>
      <c r="F1234" s="9">
        <v>45175.666684444448</v>
      </c>
      <c r="G1234" t="s">
        <v>86</v>
      </c>
      <c r="H1234" t="s">
        <v>87</v>
      </c>
      <c r="I1234" t="s">
        <v>112</v>
      </c>
      <c r="J1234" t="str">
        <f t="shared" si="152"/>
        <v/>
      </c>
      <c r="K1234" t="str">
        <f t="shared" si="153"/>
        <v/>
      </c>
      <c r="L1234" t="str">
        <f t="shared" si="154"/>
        <v>Unusual</v>
      </c>
      <c r="M1234" t="str">
        <f t="shared" si="155"/>
        <v/>
      </c>
      <c r="N1234" t="str">
        <f t="shared" si="156"/>
        <v>Invalid</v>
      </c>
      <c r="O1234" t="str">
        <f t="shared" ca="1" si="157"/>
        <v>Outdated</v>
      </c>
      <c r="P1234" t="str">
        <f t="shared" si="158"/>
        <v>Wrong Item</v>
      </c>
      <c r="Q1234" t="str">
        <f t="shared" si="159"/>
        <v/>
      </c>
    </row>
    <row r="1235" spans="1:17" x14ac:dyDescent="0.45">
      <c r="A1235" t="s">
        <v>1967</v>
      </c>
      <c r="B1235" t="s">
        <v>99</v>
      </c>
      <c r="C1235" t="s">
        <v>1547</v>
      </c>
      <c r="D1235" t="s">
        <v>101</v>
      </c>
      <c r="E1235" s="8">
        <v>10807.99</v>
      </c>
      <c r="F1235" s="9">
        <v>45460.666684444448</v>
      </c>
      <c r="G1235" t="s">
        <v>102</v>
      </c>
      <c r="H1235" t="s">
        <v>128</v>
      </c>
      <c r="I1235" t="s">
        <v>112</v>
      </c>
      <c r="J1235" t="str">
        <f t="shared" si="152"/>
        <v/>
      </c>
      <c r="K1235" t="str">
        <f t="shared" si="153"/>
        <v/>
      </c>
      <c r="L1235" t="str">
        <f t="shared" si="154"/>
        <v>Unusual</v>
      </c>
      <c r="M1235" t="str">
        <f t="shared" si="155"/>
        <v/>
      </c>
      <c r="N1235" t="str">
        <f t="shared" si="156"/>
        <v>Invalid</v>
      </c>
      <c r="O1235" t="str">
        <f t="shared" ca="1" si="157"/>
        <v>Outdated</v>
      </c>
      <c r="P1235" t="str">
        <f t="shared" si="158"/>
        <v>Damaged</v>
      </c>
      <c r="Q1235" t="str">
        <f t="shared" si="159"/>
        <v/>
      </c>
    </row>
    <row r="1236" spans="1:17" x14ac:dyDescent="0.45">
      <c r="A1236" t="s">
        <v>1968</v>
      </c>
      <c r="B1236" t="s">
        <v>99</v>
      </c>
      <c r="C1236" t="s">
        <v>880</v>
      </c>
      <c r="D1236" t="s">
        <v>106</v>
      </c>
      <c r="E1236" s="8">
        <v>8192.73</v>
      </c>
      <c r="F1236" s="9">
        <v>45185.666684444448</v>
      </c>
      <c r="G1236" t="s">
        <v>102</v>
      </c>
      <c r="H1236" t="s">
        <v>136</v>
      </c>
      <c r="I1236" t="s">
        <v>82</v>
      </c>
      <c r="J1236" t="str">
        <f t="shared" si="152"/>
        <v/>
      </c>
      <c r="K1236" t="str">
        <f t="shared" si="153"/>
        <v/>
      </c>
      <c r="L1236" t="str">
        <f t="shared" si="154"/>
        <v/>
      </c>
      <c r="M1236" t="str">
        <f t="shared" si="155"/>
        <v/>
      </c>
      <c r="N1236" t="str">
        <f t="shared" si="156"/>
        <v>Invalid</v>
      </c>
      <c r="O1236" t="str">
        <f t="shared" ca="1" si="157"/>
        <v>Outdated</v>
      </c>
      <c r="P1236" t="str">
        <f t="shared" si="158"/>
        <v>Damaged</v>
      </c>
      <c r="Q1236" t="str">
        <f t="shared" si="159"/>
        <v>Inconsistent</v>
      </c>
    </row>
    <row r="1237" spans="1:17" x14ac:dyDescent="0.45">
      <c r="A1237" t="s">
        <v>195</v>
      </c>
      <c r="B1237" t="s">
        <v>109</v>
      </c>
      <c r="C1237" t="s">
        <v>1969</v>
      </c>
      <c r="D1237" t="s">
        <v>148</v>
      </c>
      <c r="E1237" s="8">
        <v>8720.0499999999993</v>
      </c>
      <c r="F1237" s="9">
        <v>45428.666684444448</v>
      </c>
      <c r="G1237" t="s">
        <v>111</v>
      </c>
      <c r="H1237" t="s">
        <v>118</v>
      </c>
      <c r="I1237" t="s">
        <v>163</v>
      </c>
      <c r="J1237" t="str">
        <f t="shared" si="152"/>
        <v/>
      </c>
      <c r="K1237" t="str">
        <f t="shared" si="153"/>
        <v>Duplicate</v>
      </c>
      <c r="L1237" t="str">
        <f t="shared" si="154"/>
        <v/>
      </c>
      <c r="M1237" t="str">
        <f t="shared" si="155"/>
        <v/>
      </c>
      <c r="N1237" t="str">
        <f t="shared" si="156"/>
        <v>Invalid</v>
      </c>
      <c r="O1237" t="str">
        <f t="shared" ca="1" si="157"/>
        <v>Outdated</v>
      </c>
      <c r="P1237" t="str">
        <f t="shared" si="158"/>
        <v>Wrong Item</v>
      </c>
      <c r="Q1237" t="str">
        <f t="shared" si="159"/>
        <v>Inconsistent</v>
      </c>
    </row>
    <row r="1238" spans="1:17" x14ac:dyDescent="0.45">
      <c r="A1238" t="s">
        <v>1970</v>
      </c>
      <c r="B1238" t="s">
        <v>79</v>
      </c>
      <c r="C1238" t="s">
        <v>425</v>
      </c>
      <c r="D1238" t="s">
        <v>85</v>
      </c>
      <c r="E1238" s="8">
        <v>9986.2900000000009</v>
      </c>
      <c r="F1238" s="9">
        <v>45495.666684444448</v>
      </c>
      <c r="G1238" t="s">
        <v>86</v>
      </c>
      <c r="H1238" t="s">
        <v>107</v>
      </c>
      <c r="I1238" t="s">
        <v>163</v>
      </c>
      <c r="J1238" t="str">
        <f t="shared" si="152"/>
        <v/>
      </c>
      <c r="K1238" t="str">
        <f t="shared" si="153"/>
        <v/>
      </c>
      <c r="L1238" t="str">
        <f t="shared" si="154"/>
        <v/>
      </c>
      <c r="M1238" t="str">
        <f t="shared" si="155"/>
        <v/>
      </c>
      <c r="N1238" t="str">
        <f t="shared" si="156"/>
        <v/>
      </c>
      <c r="O1238" t="str">
        <f t="shared" ca="1" si="157"/>
        <v>Outdated</v>
      </c>
      <c r="P1238" t="str">
        <f t="shared" si="158"/>
        <v>Late Delivery</v>
      </c>
      <c r="Q1238" t="str">
        <f t="shared" si="159"/>
        <v/>
      </c>
    </row>
    <row r="1239" spans="1:17" x14ac:dyDescent="0.45">
      <c r="A1239" t="s">
        <v>1971</v>
      </c>
      <c r="B1239" t="s">
        <v>172</v>
      </c>
      <c r="C1239" t="s">
        <v>1575</v>
      </c>
      <c r="D1239" t="s">
        <v>85</v>
      </c>
      <c r="E1239" s="8">
        <v>7988.59</v>
      </c>
      <c r="F1239" s="9">
        <v>45511.666684444448</v>
      </c>
      <c r="G1239" t="s">
        <v>174</v>
      </c>
      <c r="I1239" t="s">
        <v>163</v>
      </c>
      <c r="J1239" t="str">
        <f t="shared" si="152"/>
        <v/>
      </c>
      <c r="K1239" t="str">
        <f t="shared" si="153"/>
        <v/>
      </c>
      <c r="L1239" t="str">
        <f t="shared" si="154"/>
        <v/>
      </c>
      <c r="M1239" t="str">
        <f t="shared" si="155"/>
        <v/>
      </c>
      <c r="N1239" t="str">
        <f t="shared" si="156"/>
        <v>Invalid</v>
      </c>
      <c r="O1239" t="str">
        <f t="shared" ca="1" si="157"/>
        <v>Outdated</v>
      </c>
      <c r="P1239" t="str">
        <f t="shared" si="158"/>
        <v>Late Delivery</v>
      </c>
      <c r="Q1239" t="str">
        <f t="shared" si="159"/>
        <v/>
      </c>
    </row>
    <row r="1240" spans="1:17" x14ac:dyDescent="0.45">
      <c r="A1240" t="s">
        <v>1972</v>
      </c>
      <c r="B1240" t="s">
        <v>172</v>
      </c>
      <c r="C1240" t="s">
        <v>462</v>
      </c>
      <c r="D1240" t="s">
        <v>101</v>
      </c>
      <c r="E1240" s="8">
        <v>7887.83</v>
      </c>
      <c r="F1240" s="9">
        <v>45569.666684444448</v>
      </c>
      <c r="H1240" t="s">
        <v>128</v>
      </c>
      <c r="I1240" t="s">
        <v>88</v>
      </c>
      <c r="J1240" t="str">
        <f t="shared" si="152"/>
        <v/>
      </c>
      <c r="K1240" t="str">
        <f t="shared" si="153"/>
        <v/>
      </c>
      <c r="L1240" t="str">
        <f t="shared" si="154"/>
        <v/>
      </c>
      <c r="M1240" t="str">
        <f t="shared" si="155"/>
        <v>Invalid</v>
      </c>
      <c r="N1240" t="str">
        <f t="shared" si="156"/>
        <v>Invalid</v>
      </c>
      <c r="O1240" t="str">
        <f t="shared" ca="1" si="157"/>
        <v>Outdated</v>
      </c>
      <c r="P1240" t="str">
        <f t="shared" si="158"/>
        <v>Damaged</v>
      </c>
      <c r="Q1240" t="str">
        <f t="shared" si="159"/>
        <v/>
      </c>
    </row>
    <row r="1241" spans="1:17" x14ac:dyDescent="0.45">
      <c r="A1241" t="s">
        <v>1973</v>
      </c>
      <c r="B1241" t="s">
        <v>104</v>
      </c>
      <c r="C1241" t="s">
        <v>1741</v>
      </c>
      <c r="D1241" t="s">
        <v>85</v>
      </c>
      <c r="E1241" s="8">
        <v>1835.54</v>
      </c>
      <c r="F1241" s="9">
        <v>45277.666684444448</v>
      </c>
      <c r="G1241" t="s">
        <v>115</v>
      </c>
      <c r="H1241" t="s">
        <v>76</v>
      </c>
      <c r="I1241" t="s">
        <v>77</v>
      </c>
      <c r="J1241" t="str">
        <f t="shared" si="152"/>
        <v/>
      </c>
      <c r="K1241" t="str">
        <f t="shared" si="153"/>
        <v/>
      </c>
      <c r="L1241" t="str">
        <f t="shared" si="154"/>
        <v/>
      </c>
      <c r="M1241" t="str">
        <f t="shared" si="155"/>
        <v/>
      </c>
      <c r="N1241" t="str">
        <f t="shared" si="156"/>
        <v/>
      </c>
      <c r="O1241" t="str">
        <f t="shared" ca="1" si="157"/>
        <v>Outdated</v>
      </c>
      <c r="P1241" t="str">
        <f t="shared" si="158"/>
        <v>Late Delivery</v>
      </c>
      <c r="Q1241" t="str">
        <f t="shared" si="159"/>
        <v/>
      </c>
    </row>
    <row r="1242" spans="1:17" x14ac:dyDescent="0.45">
      <c r="A1242" t="s">
        <v>1974</v>
      </c>
      <c r="B1242" t="s">
        <v>72</v>
      </c>
      <c r="C1242" t="s">
        <v>1975</v>
      </c>
      <c r="E1242" s="8">
        <v>6122.97</v>
      </c>
      <c r="F1242" s="9">
        <v>45378.666684444448</v>
      </c>
      <c r="G1242" t="s">
        <v>75</v>
      </c>
      <c r="H1242" t="s">
        <v>76</v>
      </c>
      <c r="I1242" t="s">
        <v>112</v>
      </c>
      <c r="J1242" t="str">
        <f t="shared" si="152"/>
        <v>Missing</v>
      </c>
      <c r="K1242" t="str">
        <f t="shared" si="153"/>
        <v/>
      </c>
      <c r="L1242" t="str">
        <f t="shared" si="154"/>
        <v/>
      </c>
      <c r="M1242" t="str">
        <f t="shared" si="155"/>
        <v/>
      </c>
      <c r="N1242" t="str">
        <f t="shared" si="156"/>
        <v/>
      </c>
      <c r="O1242" t="str">
        <f t="shared" ca="1" si="157"/>
        <v>Outdated</v>
      </c>
      <c r="P1242" t="str">
        <f t="shared" si="158"/>
        <v/>
      </c>
      <c r="Q1242" t="str">
        <f t="shared" si="159"/>
        <v/>
      </c>
    </row>
    <row r="1243" spans="1:17" x14ac:dyDescent="0.45">
      <c r="A1243" t="s">
        <v>1976</v>
      </c>
      <c r="B1243" t="s">
        <v>95</v>
      </c>
      <c r="C1243" t="s">
        <v>1977</v>
      </c>
      <c r="D1243" t="s">
        <v>92</v>
      </c>
      <c r="E1243" s="8">
        <v>3380.15</v>
      </c>
      <c r="F1243" s="9">
        <v>45671.666684444448</v>
      </c>
      <c r="H1243" t="s">
        <v>133</v>
      </c>
      <c r="I1243" t="s">
        <v>77</v>
      </c>
      <c r="J1243" t="str">
        <f t="shared" si="152"/>
        <v/>
      </c>
      <c r="K1243" t="str">
        <f t="shared" si="153"/>
        <v/>
      </c>
      <c r="L1243" t="str">
        <f t="shared" si="154"/>
        <v/>
      </c>
      <c r="M1243" t="str">
        <f t="shared" si="155"/>
        <v>Invalid</v>
      </c>
      <c r="N1243" t="str">
        <f t="shared" si="156"/>
        <v>Invalid</v>
      </c>
      <c r="O1243" t="str">
        <f t="shared" ca="1" si="157"/>
        <v>Outdated</v>
      </c>
      <c r="P1243" t="str">
        <f t="shared" si="158"/>
        <v>Not As Described</v>
      </c>
      <c r="Q1243" t="str">
        <f t="shared" si="159"/>
        <v/>
      </c>
    </row>
    <row r="1244" spans="1:17" x14ac:dyDescent="0.45">
      <c r="A1244" t="s">
        <v>1978</v>
      </c>
      <c r="B1244" t="s">
        <v>90</v>
      </c>
      <c r="C1244" t="s">
        <v>1108</v>
      </c>
      <c r="D1244" t="s">
        <v>101</v>
      </c>
      <c r="E1244" s="8">
        <v>5375.95</v>
      </c>
      <c r="F1244" s="9">
        <v>45549.666684444448</v>
      </c>
      <c r="G1244" t="s">
        <v>296</v>
      </c>
      <c r="H1244" t="s">
        <v>107</v>
      </c>
      <c r="I1244" t="s">
        <v>163</v>
      </c>
      <c r="J1244" t="str">
        <f t="shared" si="152"/>
        <v/>
      </c>
      <c r="K1244" t="str">
        <f t="shared" si="153"/>
        <v/>
      </c>
      <c r="L1244" t="str">
        <f t="shared" si="154"/>
        <v/>
      </c>
      <c r="M1244" t="str">
        <f t="shared" si="155"/>
        <v>Invalid</v>
      </c>
      <c r="N1244" t="str">
        <f t="shared" si="156"/>
        <v/>
      </c>
      <c r="O1244" t="str">
        <f t="shared" ca="1" si="157"/>
        <v>Outdated</v>
      </c>
      <c r="P1244" t="str">
        <f t="shared" si="158"/>
        <v>Damaged</v>
      </c>
      <c r="Q1244" t="str">
        <f t="shared" si="159"/>
        <v/>
      </c>
    </row>
    <row r="1245" spans="1:17" x14ac:dyDescent="0.45">
      <c r="A1245" t="s">
        <v>1979</v>
      </c>
      <c r="B1245" t="s">
        <v>79</v>
      </c>
      <c r="D1245" t="s">
        <v>74</v>
      </c>
      <c r="E1245" s="8">
        <v>5113.38</v>
      </c>
      <c r="F1245" s="9">
        <v>45707.666684444448</v>
      </c>
      <c r="G1245" t="s">
        <v>86</v>
      </c>
      <c r="I1245" t="s">
        <v>82</v>
      </c>
      <c r="J1245" t="str">
        <f t="shared" si="152"/>
        <v>Missing</v>
      </c>
      <c r="K1245" t="str">
        <f t="shared" si="153"/>
        <v>Duplicate</v>
      </c>
      <c r="L1245" t="str">
        <f t="shared" si="154"/>
        <v/>
      </c>
      <c r="M1245" t="str">
        <f t="shared" si="155"/>
        <v/>
      </c>
      <c r="N1245" t="str">
        <f t="shared" si="156"/>
        <v>Invalid</v>
      </c>
      <c r="O1245" t="str">
        <f t="shared" ca="1" si="157"/>
        <v>Outdated</v>
      </c>
      <c r="P1245" t="str">
        <f t="shared" si="158"/>
        <v>Wrong Item</v>
      </c>
      <c r="Q1245" t="str">
        <f t="shared" si="159"/>
        <v/>
      </c>
    </row>
    <row r="1246" spans="1:17" x14ac:dyDescent="0.45">
      <c r="A1246" t="s">
        <v>1980</v>
      </c>
      <c r="B1246" t="s">
        <v>172</v>
      </c>
      <c r="C1246" t="s">
        <v>1981</v>
      </c>
      <c r="D1246" t="s">
        <v>101</v>
      </c>
      <c r="E1246" s="8">
        <v>1923.85</v>
      </c>
      <c r="F1246" s="9">
        <v>45826.666684444448</v>
      </c>
      <c r="G1246" t="s">
        <v>174</v>
      </c>
      <c r="H1246" t="s">
        <v>118</v>
      </c>
      <c r="I1246" t="s">
        <v>77</v>
      </c>
      <c r="J1246" t="str">
        <f t="shared" si="152"/>
        <v/>
      </c>
      <c r="K1246" t="str">
        <f t="shared" si="153"/>
        <v/>
      </c>
      <c r="L1246" t="str">
        <f t="shared" si="154"/>
        <v/>
      </c>
      <c r="M1246" t="str">
        <f t="shared" si="155"/>
        <v/>
      </c>
      <c r="N1246" t="str">
        <f t="shared" si="156"/>
        <v>Invalid</v>
      </c>
      <c r="O1246" t="str">
        <f t="shared" ca="1" si="157"/>
        <v>Outdated</v>
      </c>
      <c r="P1246" t="str">
        <f t="shared" si="158"/>
        <v>Damaged</v>
      </c>
      <c r="Q1246" t="str">
        <f t="shared" si="159"/>
        <v/>
      </c>
    </row>
    <row r="1247" spans="1:17" x14ac:dyDescent="0.45">
      <c r="A1247" t="s">
        <v>1982</v>
      </c>
      <c r="B1247" t="s">
        <v>95</v>
      </c>
      <c r="C1247" t="s">
        <v>1832</v>
      </c>
      <c r="D1247" t="s">
        <v>74</v>
      </c>
      <c r="E1247" s="8">
        <v>2799.02</v>
      </c>
      <c r="F1247" s="9">
        <v>45312.666684444448</v>
      </c>
      <c r="G1247" t="s">
        <v>97</v>
      </c>
      <c r="H1247" t="s">
        <v>107</v>
      </c>
      <c r="I1247" t="s">
        <v>88</v>
      </c>
      <c r="J1247" t="str">
        <f t="shared" si="152"/>
        <v/>
      </c>
      <c r="K1247" t="str">
        <f t="shared" si="153"/>
        <v/>
      </c>
      <c r="L1247" t="str">
        <f t="shared" si="154"/>
        <v/>
      </c>
      <c r="M1247" t="str">
        <f t="shared" si="155"/>
        <v/>
      </c>
      <c r="N1247" t="str">
        <f t="shared" si="156"/>
        <v/>
      </c>
      <c r="O1247" t="str">
        <f t="shared" ca="1" si="157"/>
        <v>Outdated</v>
      </c>
      <c r="P1247" t="str">
        <f t="shared" si="158"/>
        <v>Wrong Item</v>
      </c>
      <c r="Q1247" t="str">
        <f t="shared" si="159"/>
        <v/>
      </c>
    </row>
    <row r="1248" spans="1:17" x14ac:dyDescent="0.45">
      <c r="A1248" t="s">
        <v>1983</v>
      </c>
      <c r="B1248" t="s">
        <v>95</v>
      </c>
      <c r="C1248" t="s">
        <v>450</v>
      </c>
      <c r="D1248" t="s">
        <v>74</v>
      </c>
      <c r="E1248" s="8">
        <v>369.3</v>
      </c>
      <c r="F1248" s="9">
        <v>45302.666684444448</v>
      </c>
      <c r="G1248" t="s">
        <v>97</v>
      </c>
      <c r="H1248" t="s">
        <v>118</v>
      </c>
      <c r="I1248" t="s">
        <v>163</v>
      </c>
      <c r="J1248" t="str">
        <f t="shared" si="152"/>
        <v/>
      </c>
      <c r="K1248" t="str">
        <f t="shared" si="153"/>
        <v/>
      </c>
      <c r="L1248" t="str">
        <f t="shared" si="154"/>
        <v/>
      </c>
      <c r="M1248" t="str">
        <f t="shared" si="155"/>
        <v/>
      </c>
      <c r="N1248" t="str">
        <f t="shared" si="156"/>
        <v>Invalid</v>
      </c>
      <c r="O1248" t="str">
        <f t="shared" ca="1" si="157"/>
        <v>Outdated</v>
      </c>
      <c r="P1248" t="str">
        <f t="shared" si="158"/>
        <v>Wrong Item</v>
      </c>
      <c r="Q1248" t="str">
        <f t="shared" si="159"/>
        <v/>
      </c>
    </row>
    <row r="1249" spans="1:17" x14ac:dyDescent="0.45">
      <c r="A1249" t="s">
        <v>1984</v>
      </c>
      <c r="B1249" t="s">
        <v>95</v>
      </c>
      <c r="C1249" t="s">
        <v>1985</v>
      </c>
      <c r="D1249" t="s">
        <v>101</v>
      </c>
      <c r="E1249" s="8">
        <v>9127.94</v>
      </c>
      <c r="F1249" s="9">
        <v>45307.666684444448</v>
      </c>
      <c r="H1249" t="s">
        <v>81</v>
      </c>
      <c r="I1249" t="s">
        <v>119</v>
      </c>
      <c r="J1249" t="str">
        <f t="shared" si="152"/>
        <v/>
      </c>
      <c r="K1249" t="str">
        <f t="shared" si="153"/>
        <v/>
      </c>
      <c r="L1249" t="str">
        <f t="shared" si="154"/>
        <v/>
      </c>
      <c r="M1249" t="str">
        <f t="shared" si="155"/>
        <v>Invalid</v>
      </c>
      <c r="N1249" t="str">
        <f t="shared" si="156"/>
        <v/>
      </c>
      <c r="O1249" t="str">
        <f t="shared" ca="1" si="157"/>
        <v>Outdated</v>
      </c>
      <c r="P1249" t="str">
        <f t="shared" si="158"/>
        <v>Damaged</v>
      </c>
      <c r="Q1249" t="str">
        <f t="shared" si="159"/>
        <v/>
      </c>
    </row>
    <row r="1250" spans="1:17" x14ac:dyDescent="0.45">
      <c r="A1250" t="s">
        <v>1986</v>
      </c>
      <c r="B1250" t="s">
        <v>109</v>
      </c>
      <c r="C1250" t="s">
        <v>1540</v>
      </c>
      <c r="D1250" t="s">
        <v>74</v>
      </c>
      <c r="E1250" s="8">
        <v>11178.78</v>
      </c>
      <c r="F1250" s="9">
        <v>45208.666684444448</v>
      </c>
      <c r="H1250" t="s">
        <v>128</v>
      </c>
      <c r="I1250" t="s">
        <v>88</v>
      </c>
      <c r="J1250" t="str">
        <f t="shared" si="152"/>
        <v/>
      </c>
      <c r="K1250" t="str">
        <f t="shared" si="153"/>
        <v/>
      </c>
      <c r="L1250" t="str">
        <f t="shared" si="154"/>
        <v>Unusual</v>
      </c>
      <c r="M1250" t="str">
        <f t="shared" si="155"/>
        <v>Invalid</v>
      </c>
      <c r="N1250" t="str">
        <f t="shared" si="156"/>
        <v>Invalid</v>
      </c>
      <c r="O1250" t="str">
        <f t="shared" ca="1" si="157"/>
        <v>Outdated</v>
      </c>
      <c r="P1250" t="str">
        <f t="shared" si="158"/>
        <v>Wrong Item</v>
      </c>
      <c r="Q1250" t="str">
        <f t="shared" si="159"/>
        <v/>
      </c>
    </row>
    <row r="1251" spans="1:17" x14ac:dyDescent="0.45">
      <c r="A1251" t="s">
        <v>1987</v>
      </c>
      <c r="B1251" t="s">
        <v>104</v>
      </c>
      <c r="C1251" t="s">
        <v>879</v>
      </c>
      <c r="D1251" t="s">
        <v>74</v>
      </c>
      <c r="E1251" s="8">
        <v>8975.08</v>
      </c>
      <c r="F1251" s="9">
        <v>45752.666684444448</v>
      </c>
      <c r="G1251" t="s">
        <v>115</v>
      </c>
      <c r="I1251" t="s">
        <v>88</v>
      </c>
      <c r="J1251" t="str">
        <f t="shared" si="152"/>
        <v/>
      </c>
      <c r="K1251" t="str">
        <f t="shared" si="153"/>
        <v/>
      </c>
      <c r="L1251" t="str">
        <f t="shared" si="154"/>
        <v/>
      </c>
      <c r="M1251" t="str">
        <f t="shared" si="155"/>
        <v/>
      </c>
      <c r="N1251" t="str">
        <f t="shared" si="156"/>
        <v>Invalid</v>
      </c>
      <c r="O1251" t="str">
        <f t="shared" ca="1" si="157"/>
        <v>Outdated</v>
      </c>
      <c r="P1251" t="str">
        <f t="shared" si="158"/>
        <v>Wrong Item</v>
      </c>
      <c r="Q1251" t="str">
        <f t="shared" si="159"/>
        <v/>
      </c>
    </row>
    <row r="1252" spans="1:17" x14ac:dyDescent="0.45">
      <c r="A1252" t="s">
        <v>1988</v>
      </c>
      <c r="B1252" t="s">
        <v>72</v>
      </c>
      <c r="C1252" t="s">
        <v>1083</v>
      </c>
      <c r="D1252" t="s">
        <v>85</v>
      </c>
      <c r="E1252" s="8">
        <v>9327.5499999999993</v>
      </c>
      <c r="F1252" s="9">
        <v>45519.666684444448</v>
      </c>
      <c r="G1252" t="s">
        <v>75</v>
      </c>
      <c r="H1252" t="s">
        <v>136</v>
      </c>
      <c r="I1252" t="s">
        <v>112</v>
      </c>
      <c r="J1252" t="str">
        <f t="shared" si="152"/>
        <v/>
      </c>
      <c r="K1252" t="str">
        <f t="shared" si="153"/>
        <v/>
      </c>
      <c r="L1252" t="str">
        <f t="shared" si="154"/>
        <v/>
      </c>
      <c r="M1252" t="str">
        <f t="shared" si="155"/>
        <v/>
      </c>
      <c r="N1252" t="str">
        <f t="shared" si="156"/>
        <v>Invalid</v>
      </c>
      <c r="O1252" t="str">
        <f t="shared" ca="1" si="157"/>
        <v>Outdated</v>
      </c>
      <c r="P1252" t="str">
        <f t="shared" si="158"/>
        <v>Late Delivery</v>
      </c>
      <c r="Q1252" t="str">
        <f t="shared" si="159"/>
        <v/>
      </c>
    </row>
    <row r="1253" spans="1:17" x14ac:dyDescent="0.45">
      <c r="A1253" t="s">
        <v>1989</v>
      </c>
      <c r="B1253" t="s">
        <v>79</v>
      </c>
      <c r="C1253" t="s">
        <v>1299</v>
      </c>
      <c r="D1253" t="s">
        <v>74</v>
      </c>
      <c r="E1253" s="8">
        <v>4335.2</v>
      </c>
      <c r="F1253" s="9">
        <v>45762.666684444448</v>
      </c>
      <c r="G1253" t="s">
        <v>86</v>
      </c>
      <c r="H1253" t="s">
        <v>136</v>
      </c>
      <c r="I1253" t="s">
        <v>119</v>
      </c>
      <c r="J1253" t="str">
        <f t="shared" si="152"/>
        <v/>
      </c>
      <c r="K1253" t="str">
        <f t="shared" si="153"/>
        <v/>
      </c>
      <c r="L1253" t="str">
        <f t="shared" si="154"/>
        <v/>
      </c>
      <c r="M1253" t="str">
        <f t="shared" si="155"/>
        <v/>
      </c>
      <c r="N1253" t="str">
        <f t="shared" si="156"/>
        <v>Invalid</v>
      </c>
      <c r="O1253" t="str">
        <f t="shared" ca="1" si="157"/>
        <v>Outdated</v>
      </c>
      <c r="P1253" t="str">
        <f t="shared" si="158"/>
        <v>Wrong Item</v>
      </c>
      <c r="Q1253" t="str">
        <f t="shared" si="159"/>
        <v/>
      </c>
    </row>
    <row r="1254" spans="1:17" x14ac:dyDescent="0.45">
      <c r="A1254" t="s">
        <v>1990</v>
      </c>
      <c r="B1254" t="s">
        <v>104</v>
      </c>
      <c r="C1254" t="s">
        <v>1991</v>
      </c>
      <c r="D1254" t="s">
        <v>74</v>
      </c>
      <c r="E1254" s="8">
        <v>4620.6099999999997</v>
      </c>
      <c r="F1254" s="9">
        <v>45827.666684444448</v>
      </c>
      <c r="G1254" t="s">
        <v>115</v>
      </c>
      <c r="H1254" t="s">
        <v>76</v>
      </c>
      <c r="I1254" t="s">
        <v>77</v>
      </c>
      <c r="J1254" t="str">
        <f t="shared" si="152"/>
        <v/>
      </c>
      <c r="K1254" t="str">
        <f t="shared" si="153"/>
        <v/>
      </c>
      <c r="L1254" t="str">
        <f t="shared" si="154"/>
        <v/>
      </c>
      <c r="M1254" t="str">
        <f t="shared" si="155"/>
        <v/>
      </c>
      <c r="N1254" t="str">
        <f t="shared" si="156"/>
        <v/>
      </c>
      <c r="O1254" t="str">
        <f t="shared" ca="1" si="157"/>
        <v>Outdated</v>
      </c>
      <c r="P1254" t="str">
        <f t="shared" si="158"/>
        <v>Wrong Item</v>
      </c>
      <c r="Q1254" t="str">
        <f t="shared" si="159"/>
        <v/>
      </c>
    </row>
    <row r="1255" spans="1:17" x14ac:dyDescent="0.45">
      <c r="A1255" t="s">
        <v>1992</v>
      </c>
      <c r="B1255" t="s">
        <v>138</v>
      </c>
      <c r="C1255" t="s">
        <v>989</v>
      </c>
      <c r="D1255" t="s">
        <v>101</v>
      </c>
      <c r="E1255" s="8">
        <v>5011.67</v>
      </c>
      <c r="F1255" s="9">
        <v>45374.666684444448</v>
      </c>
      <c r="G1255" t="s">
        <v>140</v>
      </c>
      <c r="H1255" t="s">
        <v>81</v>
      </c>
      <c r="I1255" t="s">
        <v>77</v>
      </c>
      <c r="J1255" t="str">
        <f t="shared" si="152"/>
        <v/>
      </c>
      <c r="K1255" t="str">
        <f t="shared" si="153"/>
        <v/>
      </c>
      <c r="L1255" t="str">
        <f t="shared" si="154"/>
        <v/>
      </c>
      <c r="M1255" t="str">
        <f t="shared" si="155"/>
        <v/>
      </c>
      <c r="N1255" t="str">
        <f t="shared" si="156"/>
        <v/>
      </c>
      <c r="O1255" t="str">
        <f t="shared" ca="1" si="157"/>
        <v>Outdated</v>
      </c>
      <c r="P1255" t="str">
        <f t="shared" si="158"/>
        <v>Damaged</v>
      </c>
      <c r="Q1255" t="str">
        <f t="shared" si="159"/>
        <v/>
      </c>
    </row>
    <row r="1256" spans="1:17" x14ac:dyDescent="0.45">
      <c r="A1256" t="s">
        <v>1993</v>
      </c>
      <c r="B1256" t="s">
        <v>104</v>
      </c>
      <c r="D1256" t="s">
        <v>74</v>
      </c>
      <c r="E1256" s="8">
        <v>1362.77</v>
      </c>
      <c r="F1256" s="9">
        <v>45637.666684444448</v>
      </c>
      <c r="G1256" t="s">
        <v>115</v>
      </c>
      <c r="H1256" t="s">
        <v>145</v>
      </c>
      <c r="I1256" t="s">
        <v>88</v>
      </c>
      <c r="J1256" t="str">
        <f t="shared" si="152"/>
        <v>Missing</v>
      </c>
      <c r="K1256" t="str">
        <f t="shared" si="153"/>
        <v/>
      </c>
      <c r="L1256" t="str">
        <f t="shared" si="154"/>
        <v/>
      </c>
      <c r="M1256" t="str">
        <f t="shared" si="155"/>
        <v/>
      </c>
      <c r="N1256" t="str">
        <f t="shared" si="156"/>
        <v/>
      </c>
      <c r="O1256" t="str">
        <f t="shared" ca="1" si="157"/>
        <v>Outdated</v>
      </c>
      <c r="P1256" t="str">
        <f t="shared" si="158"/>
        <v>Wrong Item</v>
      </c>
      <c r="Q1256" t="str">
        <f t="shared" si="159"/>
        <v/>
      </c>
    </row>
    <row r="1257" spans="1:17" x14ac:dyDescent="0.45">
      <c r="A1257" t="s">
        <v>945</v>
      </c>
      <c r="B1257" t="s">
        <v>138</v>
      </c>
      <c r="C1257" t="s">
        <v>1994</v>
      </c>
      <c r="D1257" t="s">
        <v>85</v>
      </c>
      <c r="E1257" s="8">
        <v>3038.49</v>
      </c>
      <c r="F1257" s="9">
        <v>45725.666684444448</v>
      </c>
      <c r="G1257" t="s">
        <v>194</v>
      </c>
      <c r="H1257" t="s">
        <v>128</v>
      </c>
      <c r="I1257" t="s">
        <v>88</v>
      </c>
      <c r="J1257" t="str">
        <f t="shared" si="152"/>
        <v/>
      </c>
      <c r="K1257" t="str">
        <f t="shared" si="153"/>
        <v>Duplicate</v>
      </c>
      <c r="L1257" t="str">
        <f t="shared" si="154"/>
        <v/>
      </c>
      <c r="M1257" t="str">
        <f t="shared" si="155"/>
        <v>Invalid</v>
      </c>
      <c r="N1257" t="str">
        <f t="shared" si="156"/>
        <v>Invalid</v>
      </c>
      <c r="O1257" t="str">
        <f t="shared" ca="1" si="157"/>
        <v>Outdated</v>
      </c>
      <c r="P1257" t="str">
        <f t="shared" si="158"/>
        <v>Late Delivery</v>
      </c>
      <c r="Q1257" t="str">
        <f t="shared" si="159"/>
        <v/>
      </c>
    </row>
    <row r="1258" spans="1:17" x14ac:dyDescent="0.45">
      <c r="A1258" t="s">
        <v>1995</v>
      </c>
      <c r="B1258" t="s">
        <v>72</v>
      </c>
      <c r="C1258" t="s">
        <v>1996</v>
      </c>
      <c r="D1258" t="s">
        <v>74</v>
      </c>
      <c r="E1258" s="8">
        <v>7084.57</v>
      </c>
      <c r="F1258" s="9">
        <v>45274.666684444448</v>
      </c>
      <c r="G1258" t="s">
        <v>75</v>
      </c>
      <c r="H1258" t="s">
        <v>128</v>
      </c>
      <c r="I1258" t="s">
        <v>112</v>
      </c>
      <c r="J1258" t="str">
        <f t="shared" si="152"/>
        <v/>
      </c>
      <c r="K1258" t="str">
        <f t="shared" si="153"/>
        <v>Duplicate</v>
      </c>
      <c r="L1258" t="str">
        <f t="shared" si="154"/>
        <v/>
      </c>
      <c r="M1258" t="str">
        <f t="shared" si="155"/>
        <v/>
      </c>
      <c r="N1258" t="str">
        <f t="shared" si="156"/>
        <v>Invalid</v>
      </c>
      <c r="O1258" t="str">
        <f t="shared" ca="1" si="157"/>
        <v>Outdated</v>
      </c>
      <c r="P1258" t="str">
        <f t="shared" si="158"/>
        <v>Wrong Item</v>
      </c>
      <c r="Q1258" t="str">
        <f t="shared" si="159"/>
        <v/>
      </c>
    </row>
    <row r="1259" spans="1:17" x14ac:dyDescent="0.45">
      <c r="A1259" t="s">
        <v>1997</v>
      </c>
      <c r="B1259" t="s">
        <v>79</v>
      </c>
      <c r="C1259" t="s">
        <v>509</v>
      </c>
      <c r="D1259" t="s">
        <v>92</v>
      </c>
      <c r="E1259" s="8">
        <v>0</v>
      </c>
      <c r="F1259" s="9">
        <v>45365.666684444448</v>
      </c>
      <c r="G1259" t="s">
        <v>86</v>
      </c>
      <c r="H1259" t="s">
        <v>81</v>
      </c>
      <c r="I1259" t="s">
        <v>82</v>
      </c>
      <c r="J1259" t="str">
        <f t="shared" si="152"/>
        <v/>
      </c>
      <c r="K1259" t="str">
        <f t="shared" si="153"/>
        <v/>
      </c>
      <c r="L1259" t="str">
        <f t="shared" si="154"/>
        <v>Unusual</v>
      </c>
      <c r="M1259" t="str">
        <f t="shared" si="155"/>
        <v/>
      </c>
      <c r="N1259" t="str">
        <f t="shared" si="156"/>
        <v/>
      </c>
      <c r="O1259" t="str">
        <f t="shared" ca="1" si="157"/>
        <v>Outdated</v>
      </c>
      <c r="P1259" t="str">
        <f t="shared" si="158"/>
        <v>Not As Described</v>
      </c>
      <c r="Q1259" t="str">
        <f t="shared" si="159"/>
        <v/>
      </c>
    </row>
    <row r="1260" spans="1:17" x14ac:dyDescent="0.45">
      <c r="A1260" t="s">
        <v>1998</v>
      </c>
      <c r="B1260" t="s">
        <v>109</v>
      </c>
      <c r="C1260" t="s">
        <v>665</v>
      </c>
      <c r="D1260" t="s">
        <v>155</v>
      </c>
      <c r="E1260" s="8">
        <v>0</v>
      </c>
      <c r="F1260" s="9">
        <v>45600.666684444448</v>
      </c>
      <c r="G1260" t="s">
        <v>111</v>
      </c>
      <c r="H1260" t="s">
        <v>87</v>
      </c>
      <c r="I1260" t="s">
        <v>77</v>
      </c>
      <c r="J1260" t="str">
        <f t="shared" si="152"/>
        <v/>
      </c>
      <c r="K1260" t="str">
        <f t="shared" si="153"/>
        <v/>
      </c>
      <c r="L1260" t="str">
        <f t="shared" si="154"/>
        <v>Unusual</v>
      </c>
      <c r="M1260" t="str">
        <f t="shared" si="155"/>
        <v/>
      </c>
      <c r="N1260" t="str">
        <f t="shared" si="156"/>
        <v>Invalid</v>
      </c>
      <c r="O1260" t="str">
        <f t="shared" ca="1" si="157"/>
        <v>Outdated</v>
      </c>
      <c r="P1260" t="str">
        <f t="shared" si="158"/>
        <v>Damaged</v>
      </c>
      <c r="Q1260" t="str">
        <f t="shared" si="159"/>
        <v>Inconsistent</v>
      </c>
    </row>
    <row r="1261" spans="1:17" x14ac:dyDescent="0.45">
      <c r="A1261" t="s">
        <v>1999</v>
      </c>
      <c r="B1261" t="s">
        <v>95</v>
      </c>
      <c r="C1261" t="s">
        <v>505</v>
      </c>
      <c r="D1261" t="s">
        <v>92</v>
      </c>
      <c r="E1261" s="8">
        <v>6456.81</v>
      </c>
      <c r="F1261" s="9">
        <v>45781.666684444448</v>
      </c>
      <c r="G1261" t="s">
        <v>97</v>
      </c>
      <c r="H1261" t="s">
        <v>118</v>
      </c>
      <c r="I1261" t="s">
        <v>77</v>
      </c>
      <c r="J1261" t="str">
        <f t="shared" si="152"/>
        <v/>
      </c>
      <c r="K1261" t="str">
        <f t="shared" si="153"/>
        <v/>
      </c>
      <c r="L1261" t="str">
        <f t="shared" si="154"/>
        <v/>
      </c>
      <c r="M1261" t="str">
        <f t="shared" si="155"/>
        <v/>
      </c>
      <c r="N1261" t="str">
        <f t="shared" si="156"/>
        <v>Invalid</v>
      </c>
      <c r="O1261" t="str">
        <f t="shared" ca="1" si="157"/>
        <v>Outdated</v>
      </c>
      <c r="P1261" t="str">
        <f t="shared" si="158"/>
        <v>Not As Described</v>
      </c>
      <c r="Q1261" t="str">
        <f t="shared" si="159"/>
        <v/>
      </c>
    </row>
    <row r="1262" spans="1:17" x14ac:dyDescent="0.45">
      <c r="A1262" t="s">
        <v>2000</v>
      </c>
      <c r="B1262" t="s">
        <v>79</v>
      </c>
      <c r="C1262" t="s">
        <v>997</v>
      </c>
      <c r="D1262" t="s">
        <v>85</v>
      </c>
      <c r="E1262" s="8">
        <v>10157.219999999999</v>
      </c>
      <c r="F1262" s="9">
        <v>45388.666684444448</v>
      </c>
      <c r="G1262" t="s">
        <v>86</v>
      </c>
      <c r="H1262" t="s">
        <v>145</v>
      </c>
      <c r="I1262" t="s">
        <v>77</v>
      </c>
      <c r="J1262" t="str">
        <f t="shared" si="152"/>
        <v/>
      </c>
      <c r="K1262" t="str">
        <f t="shared" si="153"/>
        <v/>
      </c>
      <c r="L1262" t="str">
        <f t="shared" si="154"/>
        <v>Unusual</v>
      </c>
      <c r="M1262" t="str">
        <f t="shared" si="155"/>
        <v/>
      </c>
      <c r="N1262" t="str">
        <f t="shared" si="156"/>
        <v/>
      </c>
      <c r="O1262" t="str">
        <f t="shared" ca="1" si="157"/>
        <v>Outdated</v>
      </c>
      <c r="P1262" t="str">
        <f t="shared" si="158"/>
        <v>Late Delivery</v>
      </c>
      <c r="Q1262" t="str">
        <f t="shared" si="159"/>
        <v/>
      </c>
    </row>
    <row r="1263" spans="1:17" x14ac:dyDescent="0.45">
      <c r="A1263" t="s">
        <v>2001</v>
      </c>
      <c r="B1263" t="s">
        <v>109</v>
      </c>
      <c r="C1263" t="s">
        <v>796</v>
      </c>
      <c r="D1263" t="s">
        <v>148</v>
      </c>
      <c r="E1263" s="8">
        <v>444.62</v>
      </c>
      <c r="F1263" s="9">
        <v>45598.666684444448</v>
      </c>
      <c r="G1263" t="s">
        <v>111</v>
      </c>
      <c r="H1263" t="s">
        <v>145</v>
      </c>
      <c r="I1263" t="s">
        <v>77</v>
      </c>
      <c r="J1263" t="str">
        <f t="shared" si="152"/>
        <v/>
      </c>
      <c r="K1263" t="str">
        <f t="shared" si="153"/>
        <v/>
      </c>
      <c r="L1263" t="str">
        <f t="shared" si="154"/>
        <v/>
      </c>
      <c r="M1263" t="str">
        <f t="shared" si="155"/>
        <v/>
      </c>
      <c r="N1263" t="str">
        <f t="shared" si="156"/>
        <v/>
      </c>
      <c r="O1263" t="str">
        <f t="shared" ca="1" si="157"/>
        <v>Outdated</v>
      </c>
      <c r="P1263" t="str">
        <f t="shared" si="158"/>
        <v>Wrong Item</v>
      </c>
      <c r="Q1263" t="str">
        <f t="shared" si="159"/>
        <v>Inconsistent</v>
      </c>
    </row>
    <row r="1264" spans="1:17" x14ac:dyDescent="0.45">
      <c r="A1264" t="s">
        <v>2002</v>
      </c>
      <c r="B1264" t="s">
        <v>79</v>
      </c>
      <c r="C1264" t="s">
        <v>401</v>
      </c>
      <c r="D1264" t="s">
        <v>92</v>
      </c>
      <c r="E1264" s="8">
        <v>8457.5499999999993</v>
      </c>
      <c r="F1264" s="9">
        <v>45389.666684444448</v>
      </c>
      <c r="G1264" t="s">
        <v>86</v>
      </c>
      <c r="H1264" t="s">
        <v>136</v>
      </c>
      <c r="I1264" t="s">
        <v>77</v>
      </c>
      <c r="J1264" t="str">
        <f t="shared" si="152"/>
        <v/>
      </c>
      <c r="K1264" t="str">
        <f t="shared" si="153"/>
        <v/>
      </c>
      <c r="L1264" t="str">
        <f t="shared" si="154"/>
        <v/>
      </c>
      <c r="M1264" t="str">
        <f t="shared" si="155"/>
        <v/>
      </c>
      <c r="N1264" t="str">
        <f t="shared" si="156"/>
        <v>Invalid</v>
      </c>
      <c r="O1264" t="str">
        <f t="shared" ca="1" si="157"/>
        <v>Outdated</v>
      </c>
      <c r="P1264" t="str">
        <f t="shared" si="158"/>
        <v>Not As Described</v>
      </c>
      <c r="Q1264" t="str">
        <f t="shared" si="159"/>
        <v/>
      </c>
    </row>
    <row r="1265" spans="1:17" x14ac:dyDescent="0.45">
      <c r="A1265" t="s">
        <v>2003</v>
      </c>
      <c r="B1265" t="s">
        <v>109</v>
      </c>
      <c r="C1265" t="s">
        <v>365</v>
      </c>
      <c r="D1265" t="s">
        <v>74</v>
      </c>
      <c r="E1265" s="8">
        <v>1332.76</v>
      </c>
      <c r="F1265" s="9">
        <v>45810.666684444448</v>
      </c>
      <c r="G1265" t="s">
        <v>111</v>
      </c>
      <c r="H1265" t="s">
        <v>145</v>
      </c>
      <c r="I1265" t="s">
        <v>82</v>
      </c>
      <c r="J1265" t="str">
        <f t="shared" si="152"/>
        <v/>
      </c>
      <c r="K1265" t="str">
        <f t="shared" si="153"/>
        <v>Duplicate</v>
      </c>
      <c r="L1265" t="str">
        <f t="shared" si="154"/>
        <v/>
      </c>
      <c r="M1265" t="str">
        <f t="shared" si="155"/>
        <v/>
      </c>
      <c r="N1265" t="str">
        <f t="shared" si="156"/>
        <v/>
      </c>
      <c r="O1265" t="str">
        <f t="shared" ca="1" si="157"/>
        <v>Outdated</v>
      </c>
      <c r="P1265" t="str">
        <f t="shared" si="158"/>
        <v>Wrong Item</v>
      </c>
      <c r="Q1265" t="str">
        <f t="shared" si="159"/>
        <v/>
      </c>
    </row>
    <row r="1266" spans="1:17" x14ac:dyDescent="0.45">
      <c r="A1266" t="s">
        <v>2004</v>
      </c>
      <c r="B1266" t="s">
        <v>79</v>
      </c>
      <c r="C1266" t="s">
        <v>130</v>
      </c>
      <c r="D1266" t="s">
        <v>101</v>
      </c>
      <c r="E1266" s="8">
        <v>9259.07</v>
      </c>
      <c r="F1266" s="9">
        <v>45137.666684444448</v>
      </c>
      <c r="H1266" t="s">
        <v>116</v>
      </c>
      <c r="I1266" t="s">
        <v>119</v>
      </c>
      <c r="J1266" t="str">
        <f t="shared" si="152"/>
        <v/>
      </c>
      <c r="K1266" t="str">
        <f t="shared" si="153"/>
        <v/>
      </c>
      <c r="L1266" t="str">
        <f t="shared" si="154"/>
        <v/>
      </c>
      <c r="M1266" t="str">
        <f t="shared" si="155"/>
        <v>Invalid</v>
      </c>
      <c r="N1266" t="str">
        <f t="shared" si="156"/>
        <v/>
      </c>
      <c r="O1266" t="str">
        <f t="shared" ca="1" si="157"/>
        <v>Outdated</v>
      </c>
      <c r="P1266" t="str">
        <f t="shared" si="158"/>
        <v>Damaged</v>
      </c>
      <c r="Q1266" t="str">
        <f t="shared" si="159"/>
        <v/>
      </c>
    </row>
    <row r="1267" spans="1:17" x14ac:dyDescent="0.45">
      <c r="A1267" t="s">
        <v>2005</v>
      </c>
      <c r="B1267" t="s">
        <v>104</v>
      </c>
      <c r="C1267" t="s">
        <v>448</v>
      </c>
      <c r="D1267" t="s">
        <v>148</v>
      </c>
      <c r="E1267" s="8">
        <v>9743.7800000000007</v>
      </c>
      <c r="F1267" s="9">
        <v>45604.666684444448</v>
      </c>
      <c r="G1267" t="s">
        <v>247</v>
      </c>
      <c r="H1267" t="s">
        <v>118</v>
      </c>
      <c r="I1267" t="s">
        <v>112</v>
      </c>
      <c r="J1267" t="str">
        <f t="shared" si="152"/>
        <v/>
      </c>
      <c r="K1267" t="str">
        <f t="shared" si="153"/>
        <v/>
      </c>
      <c r="L1267" t="str">
        <f t="shared" si="154"/>
        <v/>
      </c>
      <c r="M1267" t="str">
        <f t="shared" si="155"/>
        <v>Invalid</v>
      </c>
      <c r="N1267" t="str">
        <f t="shared" si="156"/>
        <v>Invalid</v>
      </c>
      <c r="O1267" t="str">
        <f t="shared" ca="1" si="157"/>
        <v>Outdated</v>
      </c>
      <c r="P1267" t="str">
        <f t="shared" si="158"/>
        <v>Wrong Item</v>
      </c>
      <c r="Q1267" t="str">
        <f t="shared" si="159"/>
        <v>Inconsistent</v>
      </c>
    </row>
    <row r="1268" spans="1:17" x14ac:dyDescent="0.45">
      <c r="A1268" t="s">
        <v>2006</v>
      </c>
      <c r="B1268" t="s">
        <v>104</v>
      </c>
      <c r="C1268" t="s">
        <v>2007</v>
      </c>
      <c r="D1268" t="s">
        <v>101</v>
      </c>
      <c r="E1268" s="8">
        <v>1962.66</v>
      </c>
      <c r="F1268" s="9">
        <v>45422.666684444448</v>
      </c>
      <c r="G1268" t="s">
        <v>115</v>
      </c>
      <c r="H1268" t="s">
        <v>145</v>
      </c>
      <c r="I1268" t="s">
        <v>163</v>
      </c>
      <c r="J1268" t="str">
        <f t="shared" si="152"/>
        <v/>
      </c>
      <c r="K1268" t="str">
        <f t="shared" si="153"/>
        <v/>
      </c>
      <c r="L1268" t="str">
        <f t="shared" si="154"/>
        <v/>
      </c>
      <c r="M1268" t="str">
        <f t="shared" si="155"/>
        <v/>
      </c>
      <c r="N1268" t="str">
        <f t="shared" si="156"/>
        <v/>
      </c>
      <c r="O1268" t="str">
        <f t="shared" ca="1" si="157"/>
        <v>Outdated</v>
      </c>
      <c r="P1268" t="str">
        <f t="shared" si="158"/>
        <v>Damaged</v>
      </c>
      <c r="Q1268" t="str">
        <f t="shared" si="159"/>
        <v/>
      </c>
    </row>
    <row r="1269" spans="1:17" x14ac:dyDescent="0.45">
      <c r="A1269" t="s">
        <v>2008</v>
      </c>
      <c r="B1269" t="s">
        <v>104</v>
      </c>
      <c r="C1269" t="s">
        <v>1585</v>
      </c>
      <c r="D1269" t="s">
        <v>74</v>
      </c>
      <c r="E1269" s="8">
        <v>5427.29</v>
      </c>
      <c r="F1269" s="9">
        <v>45821.666684444448</v>
      </c>
      <c r="G1269" t="s">
        <v>115</v>
      </c>
      <c r="H1269" t="s">
        <v>136</v>
      </c>
      <c r="I1269" t="s">
        <v>112</v>
      </c>
      <c r="J1269" t="str">
        <f t="shared" si="152"/>
        <v/>
      </c>
      <c r="K1269" t="str">
        <f t="shared" si="153"/>
        <v/>
      </c>
      <c r="L1269" t="str">
        <f t="shared" si="154"/>
        <v/>
      </c>
      <c r="M1269" t="str">
        <f t="shared" si="155"/>
        <v/>
      </c>
      <c r="N1269" t="str">
        <f t="shared" si="156"/>
        <v>Invalid</v>
      </c>
      <c r="O1269" t="str">
        <f t="shared" ca="1" si="157"/>
        <v>Outdated</v>
      </c>
      <c r="P1269" t="str">
        <f t="shared" si="158"/>
        <v>Wrong Item</v>
      </c>
      <c r="Q1269" t="str">
        <f t="shared" si="159"/>
        <v/>
      </c>
    </row>
    <row r="1270" spans="1:17" x14ac:dyDescent="0.45">
      <c r="A1270" t="s">
        <v>2009</v>
      </c>
      <c r="B1270" t="s">
        <v>95</v>
      </c>
      <c r="C1270" t="s">
        <v>704</v>
      </c>
      <c r="D1270" t="s">
        <v>92</v>
      </c>
      <c r="E1270" s="8">
        <v>0</v>
      </c>
      <c r="F1270" s="9">
        <v>45687.666684444448</v>
      </c>
      <c r="G1270" t="s">
        <v>97</v>
      </c>
      <c r="H1270" t="s">
        <v>133</v>
      </c>
      <c r="I1270" t="s">
        <v>163</v>
      </c>
      <c r="J1270" t="str">
        <f t="shared" si="152"/>
        <v/>
      </c>
      <c r="K1270" t="str">
        <f t="shared" si="153"/>
        <v/>
      </c>
      <c r="L1270" t="str">
        <f t="shared" si="154"/>
        <v>Unusual</v>
      </c>
      <c r="M1270" t="str">
        <f t="shared" si="155"/>
        <v/>
      </c>
      <c r="N1270" t="str">
        <f t="shared" si="156"/>
        <v>Invalid</v>
      </c>
      <c r="O1270" t="str">
        <f t="shared" ca="1" si="157"/>
        <v>Outdated</v>
      </c>
      <c r="P1270" t="str">
        <f t="shared" si="158"/>
        <v>Not As Described</v>
      </c>
      <c r="Q1270" t="str">
        <f t="shared" si="159"/>
        <v/>
      </c>
    </row>
    <row r="1271" spans="1:17" x14ac:dyDescent="0.45">
      <c r="A1271" t="s">
        <v>2010</v>
      </c>
      <c r="B1271" t="s">
        <v>90</v>
      </c>
      <c r="C1271" t="s">
        <v>2011</v>
      </c>
      <c r="E1271" s="8">
        <v>2219.11</v>
      </c>
      <c r="F1271" s="9">
        <v>45289.666684444448</v>
      </c>
      <c r="G1271" t="s">
        <v>296</v>
      </c>
      <c r="H1271" t="s">
        <v>133</v>
      </c>
      <c r="I1271" t="s">
        <v>82</v>
      </c>
      <c r="J1271" t="str">
        <f t="shared" si="152"/>
        <v>Missing</v>
      </c>
      <c r="K1271" t="str">
        <f t="shared" si="153"/>
        <v/>
      </c>
      <c r="L1271" t="str">
        <f t="shared" si="154"/>
        <v/>
      </c>
      <c r="M1271" t="str">
        <f t="shared" si="155"/>
        <v>Invalid</v>
      </c>
      <c r="N1271" t="str">
        <f t="shared" si="156"/>
        <v>Invalid</v>
      </c>
      <c r="O1271" t="str">
        <f t="shared" ca="1" si="157"/>
        <v>Outdated</v>
      </c>
      <c r="P1271" t="str">
        <f t="shared" si="158"/>
        <v/>
      </c>
      <c r="Q1271" t="str">
        <f t="shared" si="159"/>
        <v/>
      </c>
    </row>
    <row r="1272" spans="1:17" x14ac:dyDescent="0.45">
      <c r="A1272" t="s">
        <v>2012</v>
      </c>
      <c r="B1272" t="s">
        <v>99</v>
      </c>
      <c r="C1272" t="s">
        <v>745</v>
      </c>
      <c r="D1272" t="s">
        <v>74</v>
      </c>
      <c r="E1272" s="8">
        <v>4098.3100000000004</v>
      </c>
      <c r="F1272" s="9">
        <v>45203.666684444448</v>
      </c>
      <c r="G1272" t="s">
        <v>102</v>
      </c>
      <c r="I1272" t="s">
        <v>119</v>
      </c>
      <c r="J1272" t="str">
        <f t="shared" si="152"/>
        <v/>
      </c>
      <c r="K1272" t="str">
        <f t="shared" si="153"/>
        <v/>
      </c>
      <c r="L1272" t="str">
        <f t="shared" si="154"/>
        <v/>
      </c>
      <c r="M1272" t="str">
        <f t="shared" si="155"/>
        <v/>
      </c>
      <c r="N1272" t="str">
        <f t="shared" si="156"/>
        <v>Invalid</v>
      </c>
      <c r="O1272" t="str">
        <f t="shared" ca="1" si="157"/>
        <v>Outdated</v>
      </c>
      <c r="P1272" t="str">
        <f t="shared" si="158"/>
        <v>Wrong Item</v>
      </c>
      <c r="Q1272" t="str">
        <f t="shared" si="159"/>
        <v/>
      </c>
    </row>
    <row r="1273" spans="1:17" x14ac:dyDescent="0.45">
      <c r="A1273" t="s">
        <v>2013</v>
      </c>
      <c r="B1273" t="s">
        <v>138</v>
      </c>
      <c r="C1273" t="s">
        <v>1471</v>
      </c>
      <c r="D1273" t="s">
        <v>85</v>
      </c>
      <c r="E1273" s="8">
        <v>6110.67</v>
      </c>
      <c r="F1273" s="9">
        <v>45580.666684444448</v>
      </c>
      <c r="H1273" t="s">
        <v>118</v>
      </c>
      <c r="I1273" t="s">
        <v>77</v>
      </c>
      <c r="J1273" t="str">
        <f t="shared" si="152"/>
        <v/>
      </c>
      <c r="K1273" t="str">
        <f t="shared" si="153"/>
        <v/>
      </c>
      <c r="L1273" t="str">
        <f t="shared" si="154"/>
        <v/>
      </c>
      <c r="M1273" t="str">
        <f t="shared" si="155"/>
        <v>Invalid</v>
      </c>
      <c r="N1273" t="str">
        <f t="shared" si="156"/>
        <v>Invalid</v>
      </c>
      <c r="O1273" t="str">
        <f t="shared" ca="1" si="157"/>
        <v>Outdated</v>
      </c>
      <c r="P1273" t="str">
        <f t="shared" si="158"/>
        <v>Late Delivery</v>
      </c>
      <c r="Q1273" t="str">
        <f t="shared" si="159"/>
        <v/>
      </c>
    </row>
    <row r="1274" spans="1:17" x14ac:dyDescent="0.45">
      <c r="A1274" t="s">
        <v>2014</v>
      </c>
      <c r="B1274" t="s">
        <v>104</v>
      </c>
      <c r="C1274" t="s">
        <v>2015</v>
      </c>
      <c r="D1274" t="s">
        <v>74</v>
      </c>
      <c r="E1274" s="8">
        <v>4276.6400000000003</v>
      </c>
      <c r="F1274" s="9">
        <v>45481.666684444448</v>
      </c>
      <c r="G1274" t="s">
        <v>115</v>
      </c>
      <c r="I1274" t="s">
        <v>163</v>
      </c>
      <c r="J1274" t="str">
        <f t="shared" si="152"/>
        <v/>
      </c>
      <c r="K1274" t="str">
        <f t="shared" si="153"/>
        <v/>
      </c>
      <c r="L1274" t="str">
        <f t="shared" si="154"/>
        <v/>
      </c>
      <c r="M1274" t="str">
        <f t="shared" si="155"/>
        <v/>
      </c>
      <c r="N1274" t="str">
        <f t="shared" si="156"/>
        <v>Invalid</v>
      </c>
      <c r="O1274" t="str">
        <f t="shared" ca="1" si="157"/>
        <v>Outdated</v>
      </c>
      <c r="P1274" t="str">
        <f t="shared" si="158"/>
        <v>Wrong Item</v>
      </c>
      <c r="Q1274" t="str">
        <f t="shared" si="159"/>
        <v/>
      </c>
    </row>
    <row r="1275" spans="1:17" x14ac:dyDescent="0.45">
      <c r="A1275" t="s">
        <v>2016</v>
      </c>
      <c r="B1275" t="s">
        <v>90</v>
      </c>
      <c r="C1275" t="s">
        <v>637</v>
      </c>
      <c r="D1275" t="s">
        <v>92</v>
      </c>
      <c r="E1275" s="8">
        <v>277.76</v>
      </c>
      <c r="F1275" s="9">
        <v>45729.666684444448</v>
      </c>
      <c r="I1275" t="s">
        <v>82</v>
      </c>
      <c r="J1275" t="str">
        <f t="shared" si="152"/>
        <v/>
      </c>
      <c r="K1275" t="str">
        <f t="shared" si="153"/>
        <v/>
      </c>
      <c r="L1275" t="str">
        <f t="shared" si="154"/>
        <v/>
      </c>
      <c r="M1275" t="str">
        <f t="shared" si="155"/>
        <v>Invalid</v>
      </c>
      <c r="N1275" t="str">
        <f t="shared" si="156"/>
        <v>Invalid</v>
      </c>
      <c r="O1275" t="str">
        <f t="shared" ca="1" si="157"/>
        <v>Outdated</v>
      </c>
      <c r="P1275" t="str">
        <f t="shared" si="158"/>
        <v>Not As Described</v>
      </c>
      <c r="Q1275" t="str">
        <f t="shared" si="159"/>
        <v/>
      </c>
    </row>
    <row r="1276" spans="1:17" x14ac:dyDescent="0.45">
      <c r="A1276" t="s">
        <v>2017</v>
      </c>
      <c r="B1276" t="s">
        <v>138</v>
      </c>
      <c r="C1276" t="s">
        <v>2018</v>
      </c>
      <c r="D1276" t="s">
        <v>101</v>
      </c>
      <c r="E1276" s="8">
        <v>5803.31</v>
      </c>
      <c r="F1276" s="9">
        <v>45434.666684444448</v>
      </c>
      <c r="G1276" t="s">
        <v>140</v>
      </c>
      <c r="H1276" t="s">
        <v>118</v>
      </c>
      <c r="I1276" t="s">
        <v>88</v>
      </c>
      <c r="J1276" t="str">
        <f t="shared" si="152"/>
        <v/>
      </c>
      <c r="K1276" t="str">
        <f t="shared" si="153"/>
        <v/>
      </c>
      <c r="L1276" t="str">
        <f t="shared" si="154"/>
        <v/>
      </c>
      <c r="M1276" t="str">
        <f t="shared" si="155"/>
        <v/>
      </c>
      <c r="N1276" t="str">
        <f t="shared" si="156"/>
        <v>Invalid</v>
      </c>
      <c r="O1276" t="str">
        <f t="shared" ca="1" si="157"/>
        <v>Outdated</v>
      </c>
      <c r="P1276" t="str">
        <f t="shared" si="158"/>
        <v>Damaged</v>
      </c>
      <c r="Q1276" t="str">
        <f t="shared" si="159"/>
        <v/>
      </c>
    </row>
    <row r="1277" spans="1:17" x14ac:dyDescent="0.45">
      <c r="A1277" t="s">
        <v>2019</v>
      </c>
      <c r="B1277" t="s">
        <v>79</v>
      </c>
      <c r="C1277" t="s">
        <v>2020</v>
      </c>
      <c r="D1277" t="s">
        <v>101</v>
      </c>
      <c r="E1277" s="8">
        <v>9171.89</v>
      </c>
      <c r="F1277" s="9">
        <v>45782.666684444448</v>
      </c>
      <c r="G1277" t="s">
        <v>86</v>
      </c>
      <c r="I1277" t="s">
        <v>77</v>
      </c>
      <c r="J1277" t="str">
        <f t="shared" si="152"/>
        <v/>
      </c>
      <c r="K1277" t="str">
        <f t="shared" si="153"/>
        <v/>
      </c>
      <c r="L1277" t="str">
        <f t="shared" si="154"/>
        <v/>
      </c>
      <c r="M1277" t="str">
        <f t="shared" si="155"/>
        <v/>
      </c>
      <c r="N1277" t="str">
        <f t="shared" si="156"/>
        <v>Invalid</v>
      </c>
      <c r="O1277" t="str">
        <f t="shared" ca="1" si="157"/>
        <v>Outdated</v>
      </c>
      <c r="P1277" t="str">
        <f t="shared" si="158"/>
        <v>Damaged</v>
      </c>
      <c r="Q1277" t="str">
        <f t="shared" si="159"/>
        <v/>
      </c>
    </row>
    <row r="1278" spans="1:17" x14ac:dyDescent="0.45">
      <c r="A1278" t="s">
        <v>2021</v>
      </c>
      <c r="B1278" t="s">
        <v>72</v>
      </c>
      <c r="E1278" s="8">
        <v>4067.93</v>
      </c>
      <c r="F1278" s="9">
        <v>45562.666684444448</v>
      </c>
      <c r="G1278" t="s">
        <v>75</v>
      </c>
      <c r="H1278" t="s">
        <v>107</v>
      </c>
      <c r="I1278" t="s">
        <v>119</v>
      </c>
      <c r="J1278" t="str">
        <f t="shared" si="152"/>
        <v>Missing</v>
      </c>
      <c r="K1278" t="str">
        <f t="shared" si="153"/>
        <v/>
      </c>
      <c r="L1278" t="str">
        <f t="shared" si="154"/>
        <v/>
      </c>
      <c r="M1278" t="str">
        <f t="shared" si="155"/>
        <v/>
      </c>
      <c r="N1278" t="str">
        <f t="shared" si="156"/>
        <v/>
      </c>
      <c r="O1278" t="str">
        <f t="shared" ca="1" si="157"/>
        <v>Outdated</v>
      </c>
      <c r="P1278" t="str">
        <f t="shared" si="158"/>
        <v/>
      </c>
      <c r="Q1278" t="str">
        <f t="shared" si="159"/>
        <v/>
      </c>
    </row>
    <row r="1279" spans="1:17" x14ac:dyDescent="0.45">
      <c r="A1279" t="s">
        <v>2022</v>
      </c>
      <c r="B1279" t="s">
        <v>109</v>
      </c>
      <c r="C1279" t="s">
        <v>277</v>
      </c>
      <c r="D1279" t="s">
        <v>85</v>
      </c>
      <c r="E1279" s="8">
        <v>6625.93</v>
      </c>
      <c r="F1279" s="9">
        <v>45834.666684444448</v>
      </c>
      <c r="G1279" t="s">
        <v>111</v>
      </c>
      <c r="H1279" t="s">
        <v>87</v>
      </c>
      <c r="I1279" t="s">
        <v>163</v>
      </c>
      <c r="J1279" t="str">
        <f t="shared" si="152"/>
        <v/>
      </c>
      <c r="K1279" t="str">
        <f t="shared" si="153"/>
        <v/>
      </c>
      <c r="L1279" t="str">
        <f t="shared" si="154"/>
        <v/>
      </c>
      <c r="M1279" t="str">
        <f t="shared" si="155"/>
        <v/>
      </c>
      <c r="N1279" t="str">
        <f t="shared" si="156"/>
        <v>Invalid</v>
      </c>
      <c r="O1279" t="str">
        <f t="shared" ca="1" si="157"/>
        <v>Outdated</v>
      </c>
      <c r="P1279" t="str">
        <f t="shared" si="158"/>
        <v>Late Delivery</v>
      </c>
      <c r="Q1279" t="str">
        <f t="shared" si="159"/>
        <v/>
      </c>
    </row>
    <row r="1280" spans="1:17" x14ac:dyDescent="0.45">
      <c r="A1280" t="s">
        <v>2023</v>
      </c>
      <c r="B1280" t="s">
        <v>90</v>
      </c>
      <c r="C1280" t="s">
        <v>715</v>
      </c>
      <c r="D1280" t="s">
        <v>92</v>
      </c>
      <c r="E1280" s="8">
        <v>3383.99</v>
      </c>
      <c r="F1280" s="9">
        <v>45384.666684444448</v>
      </c>
      <c r="G1280" t="s">
        <v>93</v>
      </c>
      <c r="H1280" t="s">
        <v>118</v>
      </c>
      <c r="I1280" t="s">
        <v>112</v>
      </c>
      <c r="J1280" t="str">
        <f t="shared" si="152"/>
        <v/>
      </c>
      <c r="K1280" t="str">
        <f t="shared" si="153"/>
        <v/>
      </c>
      <c r="L1280" t="str">
        <f t="shared" si="154"/>
        <v/>
      </c>
      <c r="M1280" t="str">
        <f t="shared" si="155"/>
        <v/>
      </c>
      <c r="N1280" t="str">
        <f t="shared" si="156"/>
        <v>Invalid</v>
      </c>
      <c r="O1280" t="str">
        <f t="shared" ca="1" si="157"/>
        <v>Outdated</v>
      </c>
      <c r="P1280" t="str">
        <f t="shared" si="158"/>
        <v>Not As Described</v>
      </c>
      <c r="Q1280" t="str">
        <f t="shared" si="159"/>
        <v/>
      </c>
    </row>
    <row r="1281" spans="1:17" x14ac:dyDescent="0.45">
      <c r="A1281" t="s">
        <v>2024</v>
      </c>
      <c r="B1281" t="s">
        <v>172</v>
      </c>
      <c r="C1281" t="s">
        <v>2025</v>
      </c>
      <c r="D1281" t="s">
        <v>101</v>
      </c>
      <c r="E1281" s="8">
        <v>6263.22</v>
      </c>
      <c r="F1281" s="9">
        <v>45595.666684444448</v>
      </c>
      <c r="G1281" t="s">
        <v>174</v>
      </c>
      <c r="H1281" t="s">
        <v>76</v>
      </c>
      <c r="I1281" t="s">
        <v>77</v>
      </c>
      <c r="J1281" t="str">
        <f t="shared" si="152"/>
        <v/>
      </c>
      <c r="K1281" t="str">
        <f t="shared" si="153"/>
        <v/>
      </c>
      <c r="L1281" t="str">
        <f t="shared" si="154"/>
        <v/>
      </c>
      <c r="M1281" t="str">
        <f t="shared" si="155"/>
        <v/>
      </c>
      <c r="N1281" t="str">
        <f t="shared" si="156"/>
        <v/>
      </c>
      <c r="O1281" t="str">
        <f t="shared" ca="1" si="157"/>
        <v>Outdated</v>
      </c>
      <c r="P1281" t="str">
        <f t="shared" si="158"/>
        <v>Damaged</v>
      </c>
      <c r="Q1281" t="str">
        <f t="shared" si="159"/>
        <v/>
      </c>
    </row>
    <row r="1282" spans="1:17" x14ac:dyDescent="0.45">
      <c r="A1282" t="s">
        <v>2026</v>
      </c>
      <c r="B1282" t="s">
        <v>90</v>
      </c>
      <c r="C1282" t="s">
        <v>935</v>
      </c>
      <c r="D1282" t="s">
        <v>101</v>
      </c>
      <c r="E1282" s="8">
        <v>7999.36</v>
      </c>
      <c r="F1282" s="9">
        <v>45437.666684444448</v>
      </c>
      <c r="G1282" t="s">
        <v>93</v>
      </c>
      <c r="H1282" t="s">
        <v>116</v>
      </c>
      <c r="I1282" t="s">
        <v>163</v>
      </c>
      <c r="J1282" t="str">
        <f t="shared" ref="J1282:J1345" si="160">IF(OR(ISBLANK(C1282),ISBLANK(D1282)),"Missing","")</f>
        <v/>
      </c>
      <c r="K1282" t="str">
        <f t="shared" ref="K1282:K1345" si="161">IF(COUNTIF($A$2:$A$2501,A1282)&gt;1,"Duplicate","")</f>
        <v/>
      </c>
      <c r="L1282" t="str">
        <f t="shared" ref="L1282:L1345" si="162">IF(OR(E1282=0,E1282&gt;10000),"Unusual","")</f>
        <v/>
      </c>
      <c r="M1282" t="str">
        <f t="shared" ref="M1282:M1345" si="163">IF(OR(ISBLANK(G1282),ISERROR(FIND("@",G1282)),ISERROR(FIND(".",G1282,FIND("@",G1282)+1))),"Invalid","")</f>
        <v/>
      </c>
      <c r="N1282" t="str">
        <f t="shared" ref="N1282:N1345" si="164">IF(COUNTIF($S$2:$S$6,H1282)=0,"Invalid","")</f>
        <v/>
      </c>
      <c r="O1282" t="str">
        <f t="shared" ref="O1282:O1345" ca="1" si="165">IF(F1282&lt;EDATE(TODAY(),-12),"Outdated","")</f>
        <v>Outdated</v>
      </c>
      <c r="P1282" t="str">
        <f t="shared" ref="P1282:P1345" si="166">IF(ISBLANK(D1282),"",PROPER(TRIM(D1282)))</f>
        <v>Damaged</v>
      </c>
      <c r="Q1282" t="str">
        <f t="shared" ref="Q1282:Q1345" si="167">IF(ISBLANK(D1282),"",IF(EXACT(D1282,P1282),"","Inconsistent"))</f>
        <v/>
      </c>
    </row>
    <row r="1283" spans="1:17" x14ac:dyDescent="0.45">
      <c r="A1283" t="s">
        <v>2027</v>
      </c>
      <c r="B1283" t="s">
        <v>104</v>
      </c>
      <c r="C1283" t="s">
        <v>1696</v>
      </c>
      <c r="D1283" t="s">
        <v>85</v>
      </c>
      <c r="E1283" s="8">
        <v>1044.98</v>
      </c>
      <c r="F1283" s="9">
        <v>45331.666684444448</v>
      </c>
      <c r="G1283" t="s">
        <v>115</v>
      </c>
      <c r="H1283" t="s">
        <v>133</v>
      </c>
      <c r="I1283" t="s">
        <v>77</v>
      </c>
      <c r="J1283" t="str">
        <f t="shared" si="160"/>
        <v/>
      </c>
      <c r="K1283" t="str">
        <f t="shared" si="161"/>
        <v/>
      </c>
      <c r="L1283" t="str">
        <f t="shared" si="162"/>
        <v/>
      </c>
      <c r="M1283" t="str">
        <f t="shared" si="163"/>
        <v/>
      </c>
      <c r="N1283" t="str">
        <f t="shared" si="164"/>
        <v>Invalid</v>
      </c>
      <c r="O1283" t="str">
        <f t="shared" ca="1" si="165"/>
        <v>Outdated</v>
      </c>
      <c r="P1283" t="str">
        <f t="shared" si="166"/>
        <v>Late Delivery</v>
      </c>
      <c r="Q1283" t="str">
        <f t="shared" si="167"/>
        <v/>
      </c>
    </row>
    <row r="1284" spans="1:17" x14ac:dyDescent="0.45">
      <c r="A1284" t="s">
        <v>2028</v>
      </c>
      <c r="B1284" t="s">
        <v>104</v>
      </c>
      <c r="C1284" t="s">
        <v>505</v>
      </c>
      <c r="D1284" t="s">
        <v>74</v>
      </c>
      <c r="E1284" s="8">
        <v>0</v>
      </c>
      <c r="F1284" s="9">
        <v>45521.666684444448</v>
      </c>
      <c r="G1284" t="s">
        <v>115</v>
      </c>
      <c r="H1284" t="s">
        <v>81</v>
      </c>
      <c r="I1284" t="s">
        <v>88</v>
      </c>
      <c r="J1284" t="str">
        <f t="shared" si="160"/>
        <v/>
      </c>
      <c r="K1284" t="str">
        <f t="shared" si="161"/>
        <v/>
      </c>
      <c r="L1284" t="str">
        <f t="shared" si="162"/>
        <v>Unusual</v>
      </c>
      <c r="M1284" t="str">
        <f t="shared" si="163"/>
        <v/>
      </c>
      <c r="N1284" t="str">
        <f t="shared" si="164"/>
        <v/>
      </c>
      <c r="O1284" t="str">
        <f t="shared" ca="1" si="165"/>
        <v>Outdated</v>
      </c>
      <c r="P1284" t="str">
        <f t="shared" si="166"/>
        <v>Wrong Item</v>
      </c>
      <c r="Q1284" t="str">
        <f t="shared" si="167"/>
        <v/>
      </c>
    </row>
    <row r="1285" spans="1:17" x14ac:dyDescent="0.45">
      <c r="A1285" t="s">
        <v>1979</v>
      </c>
      <c r="B1285" t="s">
        <v>90</v>
      </c>
      <c r="C1285" t="s">
        <v>2029</v>
      </c>
      <c r="D1285" t="s">
        <v>101</v>
      </c>
      <c r="E1285" s="8">
        <v>3531.53</v>
      </c>
      <c r="F1285" s="9">
        <v>45622.666684444448</v>
      </c>
      <c r="G1285" t="s">
        <v>93</v>
      </c>
      <c r="H1285" t="s">
        <v>133</v>
      </c>
      <c r="I1285" t="s">
        <v>119</v>
      </c>
      <c r="J1285" t="str">
        <f t="shared" si="160"/>
        <v/>
      </c>
      <c r="K1285" t="str">
        <f t="shared" si="161"/>
        <v>Duplicate</v>
      </c>
      <c r="L1285" t="str">
        <f t="shared" si="162"/>
        <v/>
      </c>
      <c r="M1285" t="str">
        <f t="shared" si="163"/>
        <v/>
      </c>
      <c r="N1285" t="str">
        <f t="shared" si="164"/>
        <v>Invalid</v>
      </c>
      <c r="O1285" t="str">
        <f t="shared" ca="1" si="165"/>
        <v>Outdated</v>
      </c>
      <c r="P1285" t="str">
        <f t="shared" si="166"/>
        <v>Damaged</v>
      </c>
      <c r="Q1285" t="str">
        <f t="shared" si="167"/>
        <v/>
      </c>
    </row>
    <row r="1286" spans="1:17" x14ac:dyDescent="0.45">
      <c r="A1286" t="s">
        <v>2030</v>
      </c>
      <c r="B1286" t="s">
        <v>109</v>
      </c>
      <c r="C1286" t="s">
        <v>653</v>
      </c>
      <c r="D1286" t="s">
        <v>74</v>
      </c>
      <c r="E1286" s="8">
        <v>0</v>
      </c>
      <c r="F1286" s="9">
        <v>45237.666684444448</v>
      </c>
      <c r="G1286" t="s">
        <v>111</v>
      </c>
      <c r="H1286" t="s">
        <v>145</v>
      </c>
      <c r="I1286" t="s">
        <v>119</v>
      </c>
      <c r="J1286" t="str">
        <f t="shared" si="160"/>
        <v/>
      </c>
      <c r="K1286" t="str">
        <f t="shared" si="161"/>
        <v/>
      </c>
      <c r="L1286" t="str">
        <f t="shared" si="162"/>
        <v>Unusual</v>
      </c>
      <c r="M1286" t="str">
        <f t="shared" si="163"/>
        <v/>
      </c>
      <c r="N1286" t="str">
        <f t="shared" si="164"/>
        <v/>
      </c>
      <c r="O1286" t="str">
        <f t="shared" ca="1" si="165"/>
        <v>Outdated</v>
      </c>
      <c r="P1286" t="str">
        <f t="shared" si="166"/>
        <v>Wrong Item</v>
      </c>
      <c r="Q1286" t="str">
        <f t="shared" si="167"/>
        <v/>
      </c>
    </row>
    <row r="1287" spans="1:17" x14ac:dyDescent="0.45">
      <c r="A1287" t="s">
        <v>2031</v>
      </c>
      <c r="B1287" t="s">
        <v>138</v>
      </c>
      <c r="C1287" t="s">
        <v>494</v>
      </c>
      <c r="D1287" t="s">
        <v>92</v>
      </c>
      <c r="E1287" s="8">
        <v>3768.53</v>
      </c>
      <c r="F1287" s="9">
        <v>45370.666684444448</v>
      </c>
      <c r="G1287" t="s">
        <v>140</v>
      </c>
      <c r="H1287" t="s">
        <v>81</v>
      </c>
      <c r="I1287" t="s">
        <v>112</v>
      </c>
      <c r="J1287" t="str">
        <f t="shared" si="160"/>
        <v/>
      </c>
      <c r="K1287" t="str">
        <f t="shared" si="161"/>
        <v>Duplicate</v>
      </c>
      <c r="L1287" t="str">
        <f t="shared" si="162"/>
        <v/>
      </c>
      <c r="M1287" t="str">
        <f t="shared" si="163"/>
        <v/>
      </c>
      <c r="N1287" t="str">
        <f t="shared" si="164"/>
        <v/>
      </c>
      <c r="O1287" t="str">
        <f t="shared" ca="1" si="165"/>
        <v>Outdated</v>
      </c>
      <c r="P1287" t="str">
        <f t="shared" si="166"/>
        <v>Not As Described</v>
      </c>
      <c r="Q1287" t="str">
        <f t="shared" si="167"/>
        <v/>
      </c>
    </row>
    <row r="1288" spans="1:17" x14ac:dyDescent="0.45">
      <c r="A1288" t="s">
        <v>2032</v>
      </c>
      <c r="B1288" t="s">
        <v>79</v>
      </c>
      <c r="C1288" t="s">
        <v>2033</v>
      </c>
      <c r="D1288" t="s">
        <v>155</v>
      </c>
      <c r="E1288" s="8">
        <v>2841.76</v>
      </c>
      <c r="F1288" s="9">
        <v>45518.666684444448</v>
      </c>
      <c r="H1288" t="s">
        <v>136</v>
      </c>
      <c r="I1288" t="s">
        <v>77</v>
      </c>
      <c r="J1288" t="str">
        <f t="shared" si="160"/>
        <v/>
      </c>
      <c r="K1288" t="str">
        <f t="shared" si="161"/>
        <v/>
      </c>
      <c r="L1288" t="str">
        <f t="shared" si="162"/>
        <v/>
      </c>
      <c r="M1288" t="str">
        <f t="shared" si="163"/>
        <v>Invalid</v>
      </c>
      <c r="N1288" t="str">
        <f t="shared" si="164"/>
        <v>Invalid</v>
      </c>
      <c r="O1288" t="str">
        <f t="shared" ca="1" si="165"/>
        <v>Outdated</v>
      </c>
      <c r="P1288" t="str">
        <f t="shared" si="166"/>
        <v>Damaged</v>
      </c>
      <c r="Q1288" t="str">
        <f t="shared" si="167"/>
        <v>Inconsistent</v>
      </c>
    </row>
    <row r="1289" spans="1:17" x14ac:dyDescent="0.45">
      <c r="A1289" t="s">
        <v>2034</v>
      </c>
      <c r="B1289" t="s">
        <v>172</v>
      </c>
      <c r="C1289" t="s">
        <v>1028</v>
      </c>
      <c r="D1289" t="s">
        <v>106</v>
      </c>
      <c r="E1289" s="8">
        <v>3617.86</v>
      </c>
      <c r="F1289" s="9">
        <v>45713.666684444448</v>
      </c>
      <c r="G1289" t="s">
        <v>174</v>
      </c>
      <c r="H1289" t="s">
        <v>145</v>
      </c>
      <c r="I1289" t="s">
        <v>112</v>
      </c>
      <c r="J1289" t="str">
        <f t="shared" si="160"/>
        <v/>
      </c>
      <c r="K1289" t="str">
        <f t="shared" si="161"/>
        <v>Duplicate</v>
      </c>
      <c r="L1289" t="str">
        <f t="shared" si="162"/>
        <v/>
      </c>
      <c r="M1289" t="str">
        <f t="shared" si="163"/>
        <v/>
      </c>
      <c r="N1289" t="str">
        <f t="shared" si="164"/>
        <v/>
      </c>
      <c r="O1289" t="str">
        <f t="shared" ca="1" si="165"/>
        <v>Outdated</v>
      </c>
      <c r="P1289" t="str">
        <f t="shared" si="166"/>
        <v>Damaged</v>
      </c>
      <c r="Q1289" t="str">
        <f t="shared" si="167"/>
        <v>Inconsistent</v>
      </c>
    </row>
    <row r="1290" spans="1:17" x14ac:dyDescent="0.45">
      <c r="A1290" t="s">
        <v>2035</v>
      </c>
      <c r="B1290" t="s">
        <v>79</v>
      </c>
      <c r="C1290" t="s">
        <v>1658</v>
      </c>
      <c r="D1290" t="s">
        <v>85</v>
      </c>
      <c r="E1290" s="8">
        <v>8435.3700000000008</v>
      </c>
      <c r="F1290" s="9">
        <v>45495.666684444448</v>
      </c>
      <c r="G1290" t="s">
        <v>86</v>
      </c>
      <c r="H1290" t="s">
        <v>145</v>
      </c>
      <c r="I1290" t="s">
        <v>163</v>
      </c>
      <c r="J1290" t="str">
        <f t="shared" si="160"/>
        <v/>
      </c>
      <c r="K1290" t="str">
        <f t="shared" si="161"/>
        <v/>
      </c>
      <c r="L1290" t="str">
        <f t="shared" si="162"/>
        <v/>
      </c>
      <c r="M1290" t="str">
        <f t="shared" si="163"/>
        <v/>
      </c>
      <c r="N1290" t="str">
        <f t="shared" si="164"/>
        <v/>
      </c>
      <c r="O1290" t="str">
        <f t="shared" ca="1" si="165"/>
        <v>Outdated</v>
      </c>
      <c r="P1290" t="str">
        <f t="shared" si="166"/>
        <v>Late Delivery</v>
      </c>
      <c r="Q1290" t="str">
        <f t="shared" si="167"/>
        <v/>
      </c>
    </row>
    <row r="1291" spans="1:17" x14ac:dyDescent="0.45">
      <c r="A1291" t="s">
        <v>2036</v>
      </c>
      <c r="B1291" t="s">
        <v>95</v>
      </c>
      <c r="C1291" t="s">
        <v>2037</v>
      </c>
      <c r="D1291" t="s">
        <v>101</v>
      </c>
      <c r="E1291" s="8">
        <v>5000.34</v>
      </c>
      <c r="F1291" s="9">
        <v>45716.666684444448</v>
      </c>
      <c r="G1291" t="s">
        <v>97</v>
      </c>
      <c r="H1291" t="s">
        <v>133</v>
      </c>
      <c r="I1291" t="s">
        <v>77</v>
      </c>
      <c r="J1291" t="str">
        <f t="shared" si="160"/>
        <v/>
      </c>
      <c r="K1291" t="str">
        <f t="shared" si="161"/>
        <v/>
      </c>
      <c r="L1291" t="str">
        <f t="shared" si="162"/>
        <v/>
      </c>
      <c r="M1291" t="str">
        <f t="shared" si="163"/>
        <v/>
      </c>
      <c r="N1291" t="str">
        <f t="shared" si="164"/>
        <v>Invalid</v>
      </c>
      <c r="O1291" t="str">
        <f t="shared" ca="1" si="165"/>
        <v>Outdated</v>
      </c>
      <c r="P1291" t="str">
        <f t="shared" si="166"/>
        <v>Damaged</v>
      </c>
      <c r="Q1291" t="str">
        <f t="shared" si="167"/>
        <v/>
      </c>
    </row>
    <row r="1292" spans="1:17" x14ac:dyDescent="0.45">
      <c r="A1292" t="s">
        <v>2038</v>
      </c>
      <c r="B1292" t="s">
        <v>109</v>
      </c>
      <c r="C1292" t="s">
        <v>1116</v>
      </c>
      <c r="D1292" t="s">
        <v>101</v>
      </c>
      <c r="E1292" s="8">
        <v>6410.97</v>
      </c>
      <c r="F1292" s="9">
        <v>45430.666684444448</v>
      </c>
      <c r="G1292" t="s">
        <v>111</v>
      </c>
      <c r="I1292" t="s">
        <v>88</v>
      </c>
      <c r="J1292" t="str">
        <f t="shared" si="160"/>
        <v/>
      </c>
      <c r="K1292" t="str">
        <f t="shared" si="161"/>
        <v/>
      </c>
      <c r="L1292" t="str">
        <f t="shared" si="162"/>
        <v/>
      </c>
      <c r="M1292" t="str">
        <f t="shared" si="163"/>
        <v/>
      </c>
      <c r="N1292" t="str">
        <f t="shared" si="164"/>
        <v>Invalid</v>
      </c>
      <c r="O1292" t="str">
        <f t="shared" ca="1" si="165"/>
        <v>Outdated</v>
      </c>
      <c r="P1292" t="str">
        <f t="shared" si="166"/>
        <v>Damaged</v>
      </c>
      <c r="Q1292" t="str">
        <f t="shared" si="167"/>
        <v/>
      </c>
    </row>
    <row r="1293" spans="1:17" x14ac:dyDescent="0.45">
      <c r="A1293" t="s">
        <v>2039</v>
      </c>
      <c r="B1293" t="s">
        <v>104</v>
      </c>
      <c r="E1293" s="8">
        <v>7001.06</v>
      </c>
      <c r="F1293" s="9">
        <v>45844.666684444448</v>
      </c>
      <c r="G1293" t="s">
        <v>115</v>
      </c>
      <c r="H1293" t="s">
        <v>145</v>
      </c>
      <c r="I1293" t="s">
        <v>112</v>
      </c>
      <c r="J1293" t="str">
        <f t="shared" si="160"/>
        <v>Missing</v>
      </c>
      <c r="K1293" t="str">
        <f t="shared" si="161"/>
        <v/>
      </c>
      <c r="L1293" t="str">
        <f t="shared" si="162"/>
        <v/>
      </c>
      <c r="M1293" t="str">
        <f t="shared" si="163"/>
        <v/>
      </c>
      <c r="N1293" t="str">
        <f t="shared" si="164"/>
        <v/>
      </c>
      <c r="O1293" t="str">
        <f t="shared" ca="1" si="165"/>
        <v/>
      </c>
      <c r="P1293" t="str">
        <f t="shared" si="166"/>
        <v/>
      </c>
      <c r="Q1293" t="str">
        <f t="shared" si="167"/>
        <v/>
      </c>
    </row>
    <row r="1294" spans="1:17" x14ac:dyDescent="0.45">
      <c r="A1294" t="s">
        <v>2040</v>
      </c>
      <c r="B1294" t="s">
        <v>95</v>
      </c>
      <c r="C1294" t="s">
        <v>2041</v>
      </c>
      <c r="D1294" t="s">
        <v>74</v>
      </c>
      <c r="E1294" s="8">
        <v>0</v>
      </c>
      <c r="F1294" s="9">
        <v>45430.666684444448</v>
      </c>
      <c r="G1294" t="s">
        <v>97</v>
      </c>
      <c r="H1294" t="s">
        <v>145</v>
      </c>
      <c r="I1294" t="s">
        <v>88</v>
      </c>
      <c r="J1294" t="str">
        <f t="shared" si="160"/>
        <v/>
      </c>
      <c r="K1294" t="str">
        <f t="shared" si="161"/>
        <v/>
      </c>
      <c r="L1294" t="str">
        <f t="shared" si="162"/>
        <v>Unusual</v>
      </c>
      <c r="M1294" t="str">
        <f t="shared" si="163"/>
        <v/>
      </c>
      <c r="N1294" t="str">
        <f t="shared" si="164"/>
        <v/>
      </c>
      <c r="O1294" t="str">
        <f t="shared" ca="1" si="165"/>
        <v>Outdated</v>
      </c>
      <c r="P1294" t="str">
        <f t="shared" si="166"/>
        <v>Wrong Item</v>
      </c>
      <c r="Q1294" t="str">
        <f t="shared" si="167"/>
        <v/>
      </c>
    </row>
    <row r="1295" spans="1:17" x14ac:dyDescent="0.45">
      <c r="A1295" t="s">
        <v>2042</v>
      </c>
      <c r="B1295" t="s">
        <v>79</v>
      </c>
      <c r="C1295" t="s">
        <v>515</v>
      </c>
      <c r="D1295" t="s">
        <v>106</v>
      </c>
      <c r="E1295" s="8">
        <v>99.18</v>
      </c>
      <c r="F1295" s="9">
        <v>45150.666684444448</v>
      </c>
      <c r="H1295" t="s">
        <v>133</v>
      </c>
      <c r="I1295" t="s">
        <v>163</v>
      </c>
      <c r="J1295" t="str">
        <f t="shared" si="160"/>
        <v/>
      </c>
      <c r="K1295" t="str">
        <f t="shared" si="161"/>
        <v/>
      </c>
      <c r="L1295" t="str">
        <f t="shared" si="162"/>
        <v/>
      </c>
      <c r="M1295" t="str">
        <f t="shared" si="163"/>
        <v>Invalid</v>
      </c>
      <c r="N1295" t="str">
        <f t="shared" si="164"/>
        <v>Invalid</v>
      </c>
      <c r="O1295" t="str">
        <f t="shared" ca="1" si="165"/>
        <v>Outdated</v>
      </c>
      <c r="P1295" t="str">
        <f t="shared" si="166"/>
        <v>Damaged</v>
      </c>
      <c r="Q1295" t="str">
        <f t="shared" si="167"/>
        <v>Inconsistent</v>
      </c>
    </row>
    <row r="1296" spans="1:17" x14ac:dyDescent="0.45">
      <c r="A1296" t="s">
        <v>2043</v>
      </c>
      <c r="B1296" t="s">
        <v>79</v>
      </c>
      <c r="C1296" t="s">
        <v>515</v>
      </c>
      <c r="D1296" t="s">
        <v>101</v>
      </c>
      <c r="E1296" s="8">
        <v>7999.63</v>
      </c>
      <c r="F1296" s="9">
        <v>45802.666684444448</v>
      </c>
      <c r="G1296" t="s">
        <v>86</v>
      </c>
      <c r="H1296" t="s">
        <v>118</v>
      </c>
      <c r="I1296" t="s">
        <v>112</v>
      </c>
      <c r="J1296" t="str">
        <f t="shared" si="160"/>
        <v/>
      </c>
      <c r="K1296" t="str">
        <f t="shared" si="161"/>
        <v/>
      </c>
      <c r="L1296" t="str">
        <f t="shared" si="162"/>
        <v/>
      </c>
      <c r="M1296" t="str">
        <f t="shared" si="163"/>
        <v/>
      </c>
      <c r="N1296" t="str">
        <f t="shared" si="164"/>
        <v>Invalid</v>
      </c>
      <c r="O1296" t="str">
        <f t="shared" ca="1" si="165"/>
        <v>Outdated</v>
      </c>
      <c r="P1296" t="str">
        <f t="shared" si="166"/>
        <v>Damaged</v>
      </c>
      <c r="Q1296" t="str">
        <f t="shared" si="167"/>
        <v/>
      </c>
    </row>
    <row r="1297" spans="1:17" x14ac:dyDescent="0.45">
      <c r="A1297" t="s">
        <v>2044</v>
      </c>
      <c r="B1297" t="s">
        <v>172</v>
      </c>
      <c r="C1297" t="s">
        <v>1791</v>
      </c>
      <c r="D1297" t="s">
        <v>106</v>
      </c>
      <c r="E1297" s="8">
        <v>3509.3</v>
      </c>
      <c r="F1297" s="9">
        <v>45533.666684444448</v>
      </c>
      <c r="G1297" t="s">
        <v>174</v>
      </c>
      <c r="H1297" t="s">
        <v>87</v>
      </c>
      <c r="I1297" t="s">
        <v>82</v>
      </c>
      <c r="J1297" t="str">
        <f t="shared" si="160"/>
        <v/>
      </c>
      <c r="K1297" t="str">
        <f t="shared" si="161"/>
        <v/>
      </c>
      <c r="L1297" t="str">
        <f t="shared" si="162"/>
        <v/>
      </c>
      <c r="M1297" t="str">
        <f t="shared" si="163"/>
        <v/>
      </c>
      <c r="N1297" t="str">
        <f t="shared" si="164"/>
        <v>Invalid</v>
      </c>
      <c r="O1297" t="str">
        <f t="shared" ca="1" si="165"/>
        <v>Outdated</v>
      </c>
      <c r="P1297" t="str">
        <f t="shared" si="166"/>
        <v>Damaged</v>
      </c>
      <c r="Q1297" t="str">
        <f t="shared" si="167"/>
        <v>Inconsistent</v>
      </c>
    </row>
    <row r="1298" spans="1:17" x14ac:dyDescent="0.45">
      <c r="A1298" t="s">
        <v>2045</v>
      </c>
      <c r="B1298" t="s">
        <v>99</v>
      </c>
      <c r="C1298" t="s">
        <v>2041</v>
      </c>
      <c r="E1298" s="8">
        <v>9400.0400000000009</v>
      </c>
      <c r="F1298" s="9">
        <v>45409.666684444448</v>
      </c>
      <c r="G1298" t="s">
        <v>102</v>
      </c>
      <c r="H1298" t="s">
        <v>145</v>
      </c>
      <c r="I1298" t="s">
        <v>112</v>
      </c>
      <c r="J1298" t="str">
        <f t="shared" si="160"/>
        <v>Missing</v>
      </c>
      <c r="K1298" t="str">
        <f t="shared" si="161"/>
        <v/>
      </c>
      <c r="L1298" t="str">
        <f t="shared" si="162"/>
        <v/>
      </c>
      <c r="M1298" t="str">
        <f t="shared" si="163"/>
        <v/>
      </c>
      <c r="N1298" t="str">
        <f t="shared" si="164"/>
        <v/>
      </c>
      <c r="O1298" t="str">
        <f t="shared" ca="1" si="165"/>
        <v>Outdated</v>
      </c>
      <c r="P1298" t="str">
        <f t="shared" si="166"/>
        <v/>
      </c>
      <c r="Q1298" t="str">
        <f t="shared" si="167"/>
        <v/>
      </c>
    </row>
    <row r="1299" spans="1:17" x14ac:dyDescent="0.45">
      <c r="A1299" t="s">
        <v>2046</v>
      </c>
      <c r="B1299" t="s">
        <v>79</v>
      </c>
      <c r="C1299" t="s">
        <v>2029</v>
      </c>
      <c r="E1299" s="8">
        <v>3587.37</v>
      </c>
      <c r="F1299" s="9">
        <v>45136.666684444448</v>
      </c>
      <c r="G1299" t="s">
        <v>86</v>
      </c>
      <c r="H1299" t="s">
        <v>87</v>
      </c>
      <c r="I1299" t="s">
        <v>112</v>
      </c>
      <c r="J1299" t="str">
        <f t="shared" si="160"/>
        <v>Missing</v>
      </c>
      <c r="K1299" t="str">
        <f t="shared" si="161"/>
        <v/>
      </c>
      <c r="L1299" t="str">
        <f t="shared" si="162"/>
        <v/>
      </c>
      <c r="M1299" t="str">
        <f t="shared" si="163"/>
        <v/>
      </c>
      <c r="N1299" t="str">
        <f t="shared" si="164"/>
        <v>Invalid</v>
      </c>
      <c r="O1299" t="str">
        <f t="shared" ca="1" si="165"/>
        <v>Outdated</v>
      </c>
      <c r="P1299" t="str">
        <f t="shared" si="166"/>
        <v/>
      </c>
      <c r="Q1299" t="str">
        <f t="shared" si="167"/>
        <v/>
      </c>
    </row>
    <row r="1300" spans="1:17" x14ac:dyDescent="0.45">
      <c r="A1300" t="s">
        <v>2047</v>
      </c>
      <c r="B1300" t="s">
        <v>138</v>
      </c>
      <c r="C1300" t="s">
        <v>2007</v>
      </c>
      <c r="D1300" t="s">
        <v>101</v>
      </c>
      <c r="E1300" s="8">
        <v>100.39</v>
      </c>
      <c r="F1300" s="9">
        <v>45707.666684444448</v>
      </c>
      <c r="G1300" t="s">
        <v>140</v>
      </c>
      <c r="H1300" t="s">
        <v>76</v>
      </c>
      <c r="I1300" t="s">
        <v>77</v>
      </c>
      <c r="J1300" t="str">
        <f t="shared" si="160"/>
        <v/>
      </c>
      <c r="K1300" t="str">
        <f t="shared" si="161"/>
        <v/>
      </c>
      <c r="L1300" t="str">
        <f t="shared" si="162"/>
        <v/>
      </c>
      <c r="M1300" t="str">
        <f t="shared" si="163"/>
        <v/>
      </c>
      <c r="N1300" t="str">
        <f t="shared" si="164"/>
        <v/>
      </c>
      <c r="O1300" t="str">
        <f t="shared" ca="1" si="165"/>
        <v>Outdated</v>
      </c>
      <c r="P1300" t="str">
        <f t="shared" si="166"/>
        <v>Damaged</v>
      </c>
      <c r="Q1300" t="str">
        <f t="shared" si="167"/>
        <v/>
      </c>
    </row>
    <row r="1301" spans="1:17" x14ac:dyDescent="0.45">
      <c r="A1301" t="s">
        <v>2048</v>
      </c>
      <c r="B1301" t="s">
        <v>138</v>
      </c>
      <c r="C1301" t="s">
        <v>2020</v>
      </c>
      <c r="D1301" t="s">
        <v>74</v>
      </c>
      <c r="E1301" s="8">
        <v>0</v>
      </c>
      <c r="F1301" s="9">
        <v>45830.666684444448</v>
      </c>
      <c r="G1301" t="s">
        <v>194</v>
      </c>
      <c r="H1301" t="s">
        <v>81</v>
      </c>
      <c r="I1301" t="s">
        <v>88</v>
      </c>
      <c r="J1301" t="str">
        <f t="shared" si="160"/>
        <v/>
      </c>
      <c r="K1301" t="str">
        <f t="shared" si="161"/>
        <v/>
      </c>
      <c r="L1301" t="str">
        <f t="shared" si="162"/>
        <v>Unusual</v>
      </c>
      <c r="M1301" t="str">
        <f t="shared" si="163"/>
        <v>Invalid</v>
      </c>
      <c r="N1301" t="str">
        <f t="shared" si="164"/>
        <v/>
      </c>
      <c r="O1301" t="str">
        <f t="shared" ca="1" si="165"/>
        <v>Outdated</v>
      </c>
      <c r="P1301" t="str">
        <f t="shared" si="166"/>
        <v>Wrong Item</v>
      </c>
      <c r="Q1301" t="str">
        <f t="shared" si="167"/>
        <v/>
      </c>
    </row>
    <row r="1302" spans="1:17" x14ac:dyDescent="0.45">
      <c r="A1302" t="s">
        <v>2049</v>
      </c>
      <c r="B1302" t="s">
        <v>90</v>
      </c>
      <c r="C1302" t="s">
        <v>1524</v>
      </c>
      <c r="D1302" t="s">
        <v>101</v>
      </c>
      <c r="E1302" s="8">
        <v>2224.94</v>
      </c>
      <c r="F1302" s="9">
        <v>45178.666684444448</v>
      </c>
      <c r="G1302" t="s">
        <v>93</v>
      </c>
      <c r="H1302" t="s">
        <v>118</v>
      </c>
      <c r="I1302" t="s">
        <v>119</v>
      </c>
      <c r="J1302" t="str">
        <f t="shared" si="160"/>
        <v/>
      </c>
      <c r="K1302" t="str">
        <f t="shared" si="161"/>
        <v/>
      </c>
      <c r="L1302" t="str">
        <f t="shared" si="162"/>
        <v/>
      </c>
      <c r="M1302" t="str">
        <f t="shared" si="163"/>
        <v/>
      </c>
      <c r="N1302" t="str">
        <f t="shared" si="164"/>
        <v>Invalid</v>
      </c>
      <c r="O1302" t="str">
        <f t="shared" ca="1" si="165"/>
        <v>Outdated</v>
      </c>
      <c r="P1302" t="str">
        <f t="shared" si="166"/>
        <v>Damaged</v>
      </c>
      <c r="Q1302" t="str">
        <f t="shared" si="167"/>
        <v/>
      </c>
    </row>
    <row r="1303" spans="1:17" x14ac:dyDescent="0.45">
      <c r="A1303" t="s">
        <v>2003</v>
      </c>
      <c r="B1303" t="s">
        <v>172</v>
      </c>
      <c r="C1303" t="s">
        <v>2050</v>
      </c>
      <c r="D1303" t="s">
        <v>101</v>
      </c>
      <c r="E1303" s="8">
        <v>11906.9</v>
      </c>
      <c r="F1303" s="9">
        <v>45748.666684444448</v>
      </c>
      <c r="G1303" t="s">
        <v>174</v>
      </c>
      <c r="H1303" t="s">
        <v>81</v>
      </c>
      <c r="I1303" t="s">
        <v>82</v>
      </c>
      <c r="J1303" t="str">
        <f t="shared" si="160"/>
        <v/>
      </c>
      <c r="K1303" t="str">
        <f t="shared" si="161"/>
        <v>Duplicate</v>
      </c>
      <c r="L1303" t="str">
        <f t="shared" si="162"/>
        <v>Unusual</v>
      </c>
      <c r="M1303" t="str">
        <f t="shared" si="163"/>
        <v/>
      </c>
      <c r="N1303" t="str">
        <f t="shared" si="164"/>
        <v/>
      </c>
      <c r="O1303" t="str">
        <f t="shared" ca="1" si="165"/>
        <v>Outdated</v>
      </c>
      <c r="P1303" t="str">
        <f t="shared" si="166"/>
        <v>Damaged</v>
      </c>
      <c r="Q1303" t="str">
        <f t="shared" si="167"/>
        <v/>
      </c>
    </row>
    <row r="1304" spans="1:17" x14ac:dyDescent="0.45">
      <c r="A1304" t="s">
        <v>2051</v>
      </c>
      <c r="B1304" t="s">
        <v>172</v>
      </c>
      <c r="C1304" t="s">
        <v>1225</v>
      </c>
      <c r="D1304" t="s">
        <v>74</v>
      </c>
      <c r="E1304" s="8">
        <v>735.59</v>
      </c>
      <c r="F1304" s="9">
        <v>45636.666684444448</v>
      </c>
      <c r="G1304" t="s">
        <v>174</v>
      </c>
      <c r="H1304" t="s">
        <v>116</v>
      </c>
      <c r="I1304" t="s">
        <v>82</v>
      </c>
      <c r="J1304" t="str">
        <f t="shared" si="160"/>
        <v/>
      </c>
      <c r="K1304" t="str">
        <f t="shared" si="161"/>
        <v/>
      </c>
      <c r="L1304" t="str">
        <f t="shared" si="162"/>
        <v/>
      </c>
      <c r="M1304" t="str">
        <f t="shared" si="163"/>
        <v/>
      </c>
      <c r="N1304" t="str">
        <f t="shared" si="164"/>
        <v/>
      </c>
      <c r="O1304" t="str">
        <f t="shared" ca="1" si="165"/>
        <v>Outdated</v>
      </c>
      <c r="P1304" t="str">
        <f t="shared" si="166"/>
        <v>Wrong Item</v>
      </c>
      <c r="Q1304" t="str">
        <f t="shared" si="167"/>
        <v/>
      </c>
    </row>
    <row r="1305" spans="1:17" x14ac:dyDescent="0.45">
      <c r="A1305" t="s">
        <v>2052</v>
      </c>
      <c r="B1305" t="s">
        <v>104</v>
      </c>
      <c r="C1305" t="s">
        <v>2011</v>
      </c>
      <c r="D1305" t="s">
        <v>85</v>
      </c>
      <c r="E1305" s="8">
        <v>5959.74</v>
      </c>
      <c r="F1305" s="9">
        <v>45421.666684444448</v>
      </c>
      <c r="G1305" t="s">
        <v>115</v>
      </c>
      <c r="H1305" t="s">
        <v>118</v>
      </c>
      <c r="I1305" t="s">
        <v>119</v>
      </c>
      <c r="J1305" t="str">
        <f t="shared" si="160"/>
        <v/>
      </c>
      <c r="K1305" t="str">
        <f t="shared" si="161"/>
        <v/>
      </c>
      <c r="L1305" t="str">
        <f t="shared" si="162"/>
        <v/>
      </c>
      <c r="M1305" t="str">
        <f t="shared" si="163"/>
        <v/>
      </c>
      <c r="N1305" t="str">
        <f t="shared" si="164"/>
        <v>Invalid</v>
      </c>
      <c r="O1305" t="str">
        <f t="shared" ca="1" si="165"/>
        <v>Outdated</v>
      </c>
      <c r="P1305" t="str">
        <f t="shared" si="166"/>
        <v>Late Delivery</v>
      </c>
      <c r="Q1305" t="str">
        <f t="shared" si="167"/>
        <v/>
      </c>
    </row>
    <row r="1306" spans="1:17" x14ac:dyDescent="0.45">
      <c r="A1306" t="s">
        <v>1742</v>
      </c>
      <c r="B1306" t="s">
        <v>79</v>
      </c>
      <c r="D1306" t="s">
        <v>101</v>
      </c>
      <c r="E1306" s="8">
        <v>11043.27</v>
      </c>
      <c r="F1306" s="9">
        <v>45363.666684444448</v>
      </c>
      <c r="G1306" t="s">
        <v>86</v>
      </c>
      <c r="H1306" t="s">
        <v>81</v>
      </c>
      <c r="I1306" t="s">
        <v>82</v>
      </c>
      <c r="J1306" t="str">
        <f t="shared" si="160"/>
        <v>Missing</v>
      </c>
      <c r="K1306" t="str">
        <f t="shared" si="161"/>
        <v>Duplicate</v>
      </c>
      <c r="L1306" t="str">
        <f t="shared" si="162"/>
        <v>Unusual</v>
      </c>
      <c r="M1306" t="str">
        <f t="shared" si="163"/>
        <v/>
      </c>
      <c r="N1306" t="str">
        <f t="shared" si="164"/>
        <v/>
      </c>
      <c r="O1306" t="str">
        <f t="shared" ca="1" si="165"/>
        <v>Outdated</v>
      </c>
      <c r="P1306" t="str">
        <f t="shared" si="166"/>
        <v>Damaged</v>
      </c>
      <c r="Q1306" t="str">
        <f t="shared" si="167"/>
        <v/>
      </c>
    </row>
    <row r="1307" spans="1:17" x14ac:dyDescent="0.45">
      <c r="A1307" t="s">
        <v>125</v>
      </c>
      <c r="B1307" t="s">
        <v>99</v>
      </c>
      <c r="C1307" t="s">
        <v>2053</v>
      </c>
      <c r="D1307" t="s">
        <v>85</v>
      </c>
      <c r="E1307" s="8">
        <v>11934.71</v>
      </c>
      <c r="F1307" s="9">
        <v>45749.666684444448</v>
      </c>
      <c r="G1307" t="s">
        <v>102</v>
      </c>
      <c r="H1307" t="s">
        <v>128</v>
      </c>
      <c r="I1307" t="s">
        <v>82</v>
      </c>
      <c r="J1307" t="str">
        <f t="shared" si="160"/>
        <v/>
      </c>
      <c r="K1307" t="str">
        <f t="shared" si="161"/>
        <v>Duplicate</v>
      </c>
      <c r="L1307" t="str">
        <f t="shared" si="162"/>
        <v>Unusual</v>
      </c>
      <c r="M1307" t="str">
        <f t="shared" si="163"/>
        <v/>
      </c>
      <c r="N1307" t="str">
        <f t="shared" si="164"/>
        <v>Invalid</v>
      </c>
      <c r="O1307" t="str">
        <f t="shared" ca="1" si="165"/>
        <v>Outdated</v>
      </c>
      <c r="P1307" t="str">
        <f t="shared" si="166"/>
        <v>Late Delivery</v>
      </c>
      <c r="Q1307" t="str">
        <f t="shared" si="167"/>
        <v/>
      </c>
    </row>
    <row r="1308" spans="1:17" x14ac:dyDescent="0.45">
      <c r="A1308" t="s">
        <v>2054</v>
      </c>
      <c r="B1308" t="s">
        <v>95</v>
      </c>
      <c r="C1308" t="s">
        <v>1433</v>
      </c>
      <c r="D1308" t="s">
        <v>85</v>
      </c>
      <c r="E1308" s="8">
        <v>7295.49</v>
      </c>
      <c r="F1308" s="9">
        <v>45488.666684444448</v>
      </c>
      <c r="G1308" t="s">
        <v>97</v>
      </c>
      <c r="H1308" t="s">
        <v>116</v>
      </c>
      <c r="I1308" t="s">
        <v>88</v>
      </c>
      <c r="J1308" t="str">
        <f t="shared" si="160"/>
        <v/>
      </c>
      <c r="K1308" t="str">
        <f t="shared" si="161"/>
        <v/>
      </c>
      <c r="L1308" t="str">
        <f t="shared" si="162"/>
        <v/>
      </c>
      <c r="M1308" t="str">
        <f t="shared" si="163"/>
        <v/>
      </c>
      <c r="N1308" t="str">
        <f t="shared" si="164"/>
        <v/>
      </c>
      <c r="O1308" t="str">
        <f t="shared" ca="1" si="165"/>
        <v>Outdated</v>
      </c>
      <c r="P1308" t="str">
        <f t="shared" si="166"/>
        <v>Late Delivery</v>
      </c>
      <c r="Q1308" t="str">
        <f t="shared" si="167"/>
        <v/>
      </c>
    </row>
    <row r="1309" spans="1:17" x14ac:dyDescent="0.45">
      <c r="A1309" t="s">
        <v>2055</v>
      </c>
      <c r="B1309" t="s">
        <v>172</v>
      </c>
      <c r="C1309" t="s">
        <v>840</v>
      </c>
      <c r="D1309" t="s">
        <v>74</v>
      </c>
      <c r="E1309" s="8">
        <v>5450.73</v>
      </c>
      <c r="F1309" s="9">
        <v>45352.666684444448</v>
      </c>
      <c r="G1309" t="s">
        <v>174</v>
      </c>
      <c r="H1309" t="s">
        <v>76</v>
      </c>
      <c r="I1309" t="s">
        <v>119</v>
      </c>
      <c r="J1309" t="str">
        <f t="shared" si="160"/>
        <v/>
      </c>
      <c r="K1309" t="str">
        <f t="shared" si="161"/>
        <v/>
      </c>
      <c r="L1309" t="str">
        <f t="shared" si="162"/>
        <v/>
      </c>
      <c r="M1309" t="str">
        <f t="shared" si="163"/>
        <v/>
      </c>
      <c r="N1309" t="str">
        <f t="shared" si="164"/>
        <v/>
      </c>
      <c r="O1309" t="str">
        <f t="shared" ca="1" si="165"/>
        <v>Outdated</v>
      </c>
      <c r="P1309" t="str">
        <f t="shared" si="166"/>
        <v>Wrong Item</v>
      </c>
      <c r="Q1309" t="str">
        <f t="shared" si="167"/>
        <v/>
      </c>
    </row>
    <row r="1310" spans="1:17" x14ac:dyDescent="0.45">
      <c r="A1310" t="s">
        <v>2056</v>
      </c>
      <c r="B1310" t="s">
        <v>90</v>
      </c>
      <c r="C1310" t="s">
        <v>375</v>
      </c>
      <c r="D1310" t="s">
        <v>106</v>
      </c>
      <c r="E1310" s="8">
        <v>10026.780000000001</v>
      </c>
      <c r="F1310" s="9">
        <v>45779.666684444448</v>
      </c>
      <c r="G1310" t="s">
        <v>93</v>
      </c>
      <c r="H1310" t="s">
        <v>107</v>
      </c>
      <c r="I1310" t="s">
        <v>77</v>
      </c>
      <c r="J1310" t="str">
        <f t="shared" si="160"/>
        <v/>
      </c>
      <c r="K1310" t="str">
        <f t="shared" si="161"/>
        <v/>
      </c>
      <c r="L1310" t="str">
        <f t="shared" si="162"/>
        <v>Unusual</v>
      </c>
      <c r="M1310" t="str">
        <f t="shared" si="163"/>
        <v/>
      </c>
      <c r="N1310" t="str">
        <f t="shared" si="164"/>
        <v/>
      </c>
      <c r="O1310" t="str">
        <f t="shared" ca="1" si="165"/>
        <v>Outdated</v>
      </c>
      <c r="P1310" t="str">
        <f t="shared" si="166"/>
        <v>Damaged</v>
      </c>
      <c r="Q1310" t="str">
        <f t="shared" si="167"/>
        <v>Inconsistent</v>
      </c>
    </row>
    <row r="1311" spans="1:17" x14ac:dyDescent="0.45">
      <c r="A1311" t="s">
        <v>2057</v>
      </c>
      <c r="B1311" t="s">
        <v>90</v>
      </c>
      <c r="C1311" t="s">
        <v>2058</v>
      </c>
      <c r="D1311" t="s">
        <v>74</v>
      </c>
      <c r="E1311" s="8">
        <v>9890.16</v>
      </c>
      <c r="F1311" s="9">
        <v>45322.666684444448</v>
      </c>
      <c r="G1311" t="s">
        <v>93</v>
      </c>
      <c r="H1311" t="s">
        <v>133</v>
      </c>
      <c r="I1311" t="s">
        <v>163</v>
      </c>
      <c r="J1311" t="str">
        <f t="shared" si="160"/>
        <v/>
      </c>
      <c r="K1311" t="str">
        <f t="shared" si="161"/>
        <v/>
      </c>
      <c r="L1311" t="str">
        <f t="shared" si="162"/>
        <v/>
      </c>
      <c r="M1311" t="str">
        <f t="shared" si="163"/>
        <v/>
      </c>
      <c r="N1311" t="str">
        <f t="shared" si="164"/>
        <v>Invalid</v>
      </c>
      <c r="O1311" t="str">
        <f t="shared" ca="1" si="165"/>
        <v>Outdated</v>
      </c>
      <c r="P1311" t="str">
        <f t="shared" si="166"/>
        <v>Wrong Item</v>
      </c>
      <c r="Q1311" t="str">
        <f t="shared" si="167"/>
        <v/>
      </c>
    </row>
    <row r="1312" spans="1:17" x14ac:dyDescent="0.45">
      <c r="A1312" t="s">
        <v>2059</v>
      </c>
      <c r="B1312" t="s">
        <v>79</v>
      </c>
      <c r="C1312" t="s">
        <v>1118</v>
      </c>
      <c r="D1312" t="s">
        <v>101</v>
      </c>
      <c r="E1312" s="8">
        <v>9992.2000000000007</v>
      </c>
      <c r="F1312" s="9">
        <v>45763.666684444448</v>
      </c>
      <c r="H1312" t="s">
        <v>145</v>
      </c>
      <c r="I1312" t="s">
        <v>77</v>
      </c>
      <c r="J1312" t="str">
        <f t="shared" si="160"/>
        <v/>
      </c>
      <c r="K1312" t="str">
        <f t="shared" si="161"/>
        <v/>
      </c>
      <c r="L1312" t="str">
        <f t="shared" si="162"/>
        <v/>
      </c>
      <c r="M1312" t="str">
        <f t="shared" si="163"/>
        <v>Invalid</v>
      </c>
      <c r="N1312" t="str">
        <f t="shared" si="164"/>
        <v/>
      </c>
      <c r="O1312" t="str">
        <f t="shared" ca="1" si="165"/>
        <v>Outdated</v>
      </c>
      <c r="P1312" t="str">
        <f t="shared" si="166"/>
        <v>Damaged</v>
      </c>
      <c r="Q1312" t="str">
        <f t="shared" si="167"/>
        <v/>
      </c>
    </row>
    <row r="1313" spans="1:17" x14ac:dyDescent="0.45">
      <c r="A1313" t="s">
        <v>2060</v>
      </c>
      <c r="B1313" t="s">
        <v>79</v>
      </c>
      <c r="C1313" t="s">
        <v>2061</v>
      </c>
      <c r="D1313" t="s">
        <v>85</v>
      </c>
      <c r="E1313" s="8">
        <v>5424.53</v>
      </c>
      <c r="F1313" s="9">
        <v>45384.666684444448</v>
      </c>
      <c r="G1313" t="s">
        <v>86</v>
      </c>
      <c r="H1313" t="s">
        <v>136</v>
      </c>
      <c r="I1313" t="s">
        <v>163</v>
      </c>
      <c r="J1313" t="str">
        <f t="shared" si="160"/>
        <v/>
      </c>
      <c r="K1313" t="str">
        <f t="shared" si="161"/>
        <v/>
      </c>
      <c r="L1313" t="str">
        <f t="shared" si="162"/>
        <v/>
      </c>
      <c r="M1313" t="str">
        <f t="shared" si="163"/>
        <v/>
      </c>
      <c r="N1313" t="str">
        <f t="shared" si="164"/>
        <v>Invalid</v>
      </c>
      <c r="O1313" t="str">
        <f t="shared" ca="1" si="165"/>
        <v>Outdated</v>
      </c>
      <c r="P1313" t="str">
        <f t="shared" si="166"/>
        <v>Late Delivery</v>
      </c>
      <c r="Q1313" t="str">
        <f t="shared" si="167"/>
        <v/>
      </c>
    </row>
    <row r="1314" spans="1:17" x14ac:dyDescent="0.45">
      <c r="A1314" t="s">
        <v>2062</v>
      </c>
      <c r="B1314" t="s">
        <v>72</v>
      </c>
      <c r="C1314" t="s">
        <v>1477</v>
      </c>
      <c r="E1314" s="8">
        <v>7648.71</v>
      </c>
      <c r="F1314" s="9">
        <v>45822.666684444448</v>
      </c>
      <c r="G1314" t="s">
        <v>75</v>
      </c>
      <c r="I1314" t="s">
        <v>163</v>
      </c>
      <c r="J1314" t="str">
        <f t="shared" si="160"/>
        <v>Missing</v>
      </c>
      <c r="K1314" t="str">
        <f t="shared" si="161"/>
        <v/>
      </c>
      <c r="L1314" t="str">
        <f t="shared" si="162"/>
        <v/>
      </c>
      <c r="M1314" t="str">
        <f t="shared" si="163"/>
        <v/>
      </c>
      <c r="N1314" t="str">
        <f t="shared" si="164"/>
        <v>Invalid</v>
      </c>
      <c r="O1314" t="str">
        <f t="shared" ca="1" si="165"/>
        <v>Outdated</v>
      </c>
      <c r="P1314" t="str">
        <f t="shared" si="166"/>
        <v/>
      </c>
      <c r="Q1314" t="str">
        <f t="shared" si="167"/>
        <v/>
      </c>
    </row>
    <row r="1315" spans="1:17" x14ac:dyDescent="0.45">
      <c r="A1315" t="s">
        <v>2063</v>
      </c>
      <c r="B1315" t="s">
        <v>72</v>
      </c>
      <c r="C1315" t="s">
        <v>1552</v>
      </c>
      <c r="D1315" t="s">
        <v>74</v>
      </c>
      <c r="E1315" s="8">
        <v>2691.1</v>
      </c>
      <c r="F1315" s="9">
        <v>45803.666684444448</v>
      </c>
      <c r="G1315" t="s">
        <v>75</v>
      </c>
      <c r="H1315" t="s">
        <v>118</v>
      </c>
      <c r="I1315" t="s">
        <v>163</v>
      </c>
      <c r="J1315" t="str">
        <f t="shared" si="160"/>
        <v/>
      </c>
      <c r="K1315" t="str">
        <f t="shared" si="161"/>
        <v/>
      </c>
      <c r="L1315" t="str">
        <f t="shared" si="162"/>
        <v/>
      </c>
      <c r="M1315" t="str">
        <f t="shared" si="163"/>
        <v/>
      </c>
      <c r="N1315" t="str">
        <f t="shared" si="164"/>
        <v>Invalid</v>
      </c>
      <c r="O1315" t="str">
        <f t="shared" ca="1" si="165"/>
        <v>Outdated</v>
      </c>
      <c r="P1315" t="str">
        <f t="shared" si="166"/>
        <v>Wrong Item</v>
      </c>
      <c r="Q1315" t="str">
        <f t="shared" si="167"/>
        <v/>
      </c>
    </row>
    <row r="1316" spans="1:17" x14ac:dyDescent="0.45">
      <c r="A1316" t="s">
        <v>2064</v>
      </c>
      <c r="B1316" t="s">
        <v>79</v>
      </c>
      <c r="C1316" t="s">
        <v>645</v>
      </c>
      <c r="D1316" t="s">
        <v>101</v>
      </c>
      <c r="E1316" s="8">
        <v>0</v>
      </c>
      <c r="F1316" s="9">
        <v>45825.666684444448</v>
      </c>
      <c r="G1316" t="s">
        <v>86</v>
      </c>
      <c r="H1316" t="s">
        <v>81</v>
      </c>
      <c r="I1316" t="s">
        <v>82</v>
      </c>
      <c r="J1316" t="str">
        <f t="shared" si="160"/>
        <v/>
      </c>
      <c r="K1316" t="str">
        <f t="shared" si="161"/>
        <v/>
      </c>
      <c r="L1316" t="str">
        <f t="shared" si="162"/>
        <v>Unusual</v>
      </c>
      <c r="M1316" t="str">
        <f t="shared" si="163"/>
        <v/>
      </c>
      <c r="N1316" t="str">
        <f t="shared" si="164"/>
        <v/>
      </c>
      <c r="O1316" t="str">
        <f t="shared" ca="1" si="165"/>
        <v>Outdated</v>
      </c>
      <c r="P1316" t="str">
        <f t="shared" si="166"/>
        <v>Damaged</v>
      </c>
      <c r="Q1316" t="str">
        <f t="shared" si="167"/>
        <v/>
      </c>
    </row>
    <row r="1317" spans="1:17" x14ac:dyDescent="0.45">
      <c r="A1317" t="s">
        <v>2065</v>
      </c>
      <c r="B1317" t="s">
        <v>109</v>
      </c>
      <c r="C1317" t="s">
        <v>2066</v>
      </c>
      <c r="D1317" t="s">
        <v>85</v>
      </c>
      <c r="E1317" s="8">
        <v>6722.06</v>
      </c>
      <c r="F1317" s="9">
        <v>45268.666684444448</v>
      </c>
      <c r="G1317" t="s">
        <v>111</v>
      </c>
      <c r="H1317" t="s">
        <v>81</v>
      </c>
      <c r="I1317" t="s">
        <v>82</v>
      </c>
      <c r="J1317" t="str">
        <f t="shared" si="160"/>
        <v/>
      </c>
      <c r="K1317" t="str">
        <f t="shared" si="161"/>
        <v/>
      </c>
      <c r="L1317" t="str">
        <f t="shared" si="162"/>
        <v/>
      </c>
      <c r="M1317" t="str">
        <f t="shared" si="163"/>
        <v/>
      </c>
      <c r="N1317" t="str">
        <f t="shared" si="164"/>
        <v/>
      </c>
      <c r="O1317" t="str">
        <f t="shared" ca="1" si="165"/>
        <v>Outdated</v>
      </c>
      <c r="P1317" t="str">
        <f t="shared" si="166"/>
        <v>Late Delivery</v>
      </c>
      <c r="Q1317" t="str">
        <f t="shared" si="167"/>
        <v/>
      </c>
    </row>
    <row r="1318" spans="1:17" x14ac:dyDescent="0.45">
      <c r="A1318" t="s">
        <v>2067</v>
      </c>
      <c r="B1318" t="s">
        <v>138</v>
      </c>
      <c r="C1318" t="s">
        <v>656</v>
      </c>
      <c r="D1318" t="s">
        <v>74</v>
      </c>
      <c r="E1318" s="8">
        <v>9521.24</v>
      </c>
      <c r="F1318" s="9">
        <v>45771.666684444448</v>
      </c>
      <c r="G1318" t="s">
        <v>140</v>
      </c>
      <c r="H1318" t="s">
        <v>145</v>
      </c>
      <c r="I1318" t="s">
        <v>88</v>
      </c>
      <c r="J1318" t="str">
        <f t="shared" si="160"/>
        <v/>
      </c>
      <c r="K1318" t="str">
        <f t="shared" si="161"/>
        <v/>
      </c>
      <c r="L1318" t="str">
        <f t="shared" si="162"/>
        <v/>
      </c>
      <c r="M1318" t="str">
        <f t="shared" si="163"/>
        <v/>
      </c>
      <c r="N1318" t="str">
        <f t="shared" si="164"/>
        <v/>
      </c>
      <c r="O1318" t="str">
        <f t="shared" ca="1" si="165"/>
        <v>Outdated</v>
      </c>
      <c r="P1318" t="str">
        <f t="shared" si="166"/>
        <v>Wrong Item</v>
      </c>
      <c r="Q1318" t="str">
        <f t="shared" si="167"/>
        <v/>
      </c>
    </row>
    <row r="1319" spans="1:17" x14ac:dyDescent="0.45">
      <c r="A1319" t="s">
        <v>2068</v>
      </c>
      <c r="B1319" t="s">
        <v>138</v>
      </c>
      <c r="C1319" t="s">
        <v>639</v>
      </c>
      <c r="D1319" t="s">
        <v>85</v>
      </c>
      <c r="E1319" s="8">
        <v>2034.76</v>
      </c>
      <c r="F1319" s="9">
        <v>45227.666684444448</v>
      </c>
      <c r="G1319" t="s">
        <v>140</v>
      </c>
      <c r="H1319" t="s">
        <v>145</v>
      </c>
      <c r="I1319" t="s">
        <v>163</v>
      </c>
      <c r="J1319" t="str">
        <f t="shared" si="160"/>
        <v/>
      </c>
      <c r="K1319" t="str">
        <f t="shared" si="161"/>
        <v/>
      </c>
      <c r="L1319" t="str">
        <f t="shared" si="162"/>
        <v/>
      </c>
      <c r="M1319" t="str">
        <f t="shared" si="163"/>
        <v/>
      </c>
      <c r="N1319" t="str">
        <f t="shared" si="164"/>
        <v/>
      </c>
      <c r="O1319" t="str">
        <f t="shared" ca="1" si="165"/>
        <v>Outdated</v>
      </c>
      <c r="P1319" t="str">
        <f t="shared" si="166"/>
        <v>Late Delivery</v>
      </c>
      <c r="Q1319" t="str">
        <f t="shared" si="167"/>
        <v/>
      </c>
    </row>
    <row r="1320" spans="1:17" x14ac:dyDescent="0.45">
      <c r="A1320" t="s">
        <v>2069</v>
      </c>
      <c r="B1320" t="s">
        <v>104</v>
      </c>
      <c r="C1320" t="s">
        <v>208</v>
      </c>
      <c r="D1320" t="s">
        <v>155</v>
      </c>
      <c r="E1320" s="8">
        <v>11198.7</v>
      </c>
      <c r="F1320" s="9">
        <v>45770.666684444448</v>
      </c>
      <c r="G1320" t="s">
        <v>115</v>
      </c>
      <c r="H1320" t="s">
        <v>107</v>
      </c>
      <c r="I1320" t="s">
        <v>88</v>
      </c>
      <c r="J1320" t="str">
        <f t="shared" si="160"/>
        <v/>
      </c>
      <c r="K1320" t="str">
        <f t="shared" si="161"/>
        <v/>
      </c>
      <c r="L1320" t="str">
        <f t="shared" si="162"/>
        <v>Unusual</v>
      </c>
      <c r="M1320" t="str">
        <f t="shared" si="163"/>
        <v/>
      </c>
      <c r="N1320" t="str">
        <f t="shared" si="164"/>
        <v/>
      </c>
      <c r="O1320" t="str">
        <f t="shared" ca="1" si="165"/>
        <v>Outdated</v>
      </c>
      <c r="P1320" t="str">
        <f t="shared" si="166"/>
        <v>Damaged</v>
      </c>
      <c r="Q1320" t="str">
        <f t="shared" si="167"/>
        <v>Inconsistent</v>
      </c>
    </row>
    <row r="1321" spans="1:17" x14ac:dyDescent="0.45">
      <c r="A1321" t="s">
        <v>2070</v>
      </c>
      <c r="B1321" t="s">
        <v>99</v>
      </c>
      <c r="C1321" t="s">
        <v>827</v>
      </c>
      <c r="D1321" t="s">
        <v>106</v>
      </c>
      <c r="E1321" s="8">
        <v>10969.88</v>
      </c>
      <c r="F1321" s="9">
        <v>45789.666684444448</v>
      </c>
      <c r="G1321" t="s">
        <v>102</v>
      </c>
      <c r="H1321" t="s">
        <v>76</v>
      </c>
      <c r="I1321" t="s">
        <v>82</v>
      </c>
      <c r="J1321" t="str">
        <f t="shared" si="160"/>
        <v/>
      </c>
      <c r="K1321" t="str">
        <f t="shared" si="161"/>
        <v/>
      </c>
      <c r="L1321" t="str">
        <f t="shared" si="162"/>
        <v>Unusual</v>
      </c>
      <c r="M1321" t="str">
        <f t="shared" si="163"/>
        <v/>
      </c>
      <c r="N1321" t="str">
        <f t="shared" si="164"/>
        <v/>
      </c>
      <c r="O1321" t="str">
        <f t="shared" ca="1" si="165"/>
        <v>Outdated</v>
      </c>
      <c r="P1321" t="str">
        <f t="shared" si="166"/>
        <v>Damaged</v>
      </c>
      <c r="Q1321" t="str">
        <f t="shared" si="167"/>
        <v>Inconsistent</v>
      </c>
    </row>
    <row r="1322" spans="1:17" x14ac:dyDescent="0.45">
      <c r="A1322" t="s">
        <v>2071</v>
      </c>
      <c r="B1322" t="s">
        <v>90</v>
      </c>
      <c r="C1322" t="s">
        <v>836</v>
      </c>
      <c r="D1322" t="s">
        <v>74</v>
      </c>
      <c r="E1322" s="8">
        <v>4274.54</v>
      </c>
      <c r="F1322" s="9">
        <v>45168.666684444448</v>
      </c>
      <c r="G1322" t="s">
        <v>93</v>
      </c>
      <c r="H1322" t="s">
        <v>145</v>
      </c>
      <c r="I1322" t="s">
        <v>119</v>
      </c>
      <c r="J1322" t="str">
        <f t="shared" si="160"/>
        <v/>
      </c>
      <c r="K1322" t="str">
        <f t="shared" si="161"/>
        <v/>
      </c>
      <c r="L1322" t="str">
        <f t="shared" si="162"/>
        <v/>
      </c>
      <c r="M1322" t="str">
        <f t="shared" si="163"/>
        <v/>
      </c>
      <c r="N1322" t="str">
        <f t="shared" si="164"/>
        <v/>
      </c>
      <c r="O1322" t="str">
        <f t="shared" ca="1" si="165"/>
        <v>Outdated</v>
      </c>
      <c r="P1322" t="str">
        <f t="shared" si="166"/>
        <v>Wrong Item</v>
      </c>
      <c r="Q1322" t="str">
        <f t="shared" si="167"/>
        <v/>
      </c>
    </row>
    <row r="1323" spans="1:17" x14ac:dyDescent="0.45">
      <c r="A1323" t="s">
        <v>2072</v>
      </c>
      <c r="B1323" t="s">
        <v>138</v>
      </c>
      <c r="C1323" t="s">
        <v>1344</v>
      </c>
      <c r="D1323" t="s">
        <v>74</v>
      </c>
      <c r="E1323" s="8">
        <v>0</v>
      </c>
      <c r="F1323" s="9">
        <v>45444.666684444448</v>
      </c>
      <c r="H1323" t="s">
        <v>107</v>
      </c>
      <c r="I1323" t="s">
        <v>112</v>
      </c>
      <c r="J1323" t="str">
        <f t="shared" si="160"/>
        <v/>
      </c>
      <c r="K1323" t="str">
        <f t="shared" si="161"/>
        <v/>
      </c>
      <c r="L1323" t="str">
        <f t="shared" si="162"/>
        <v>Unusual</v>
      </c>
      <c r="M1323" t="str">
        <f t="shared" si="163"/>
        <v>Invalid</v>
      </c>
      <c r="N1323" t="str">
        <f t="shared" si="164"/>
        <v/>
      </c>
      <c r="O1323" t="str">
        <f t="shared" ca="1" si="165"/>
        <v>Outdated</v>
      </c>
      <c r="P1323" t="str">
        <f t="shared" si="166"/>
        <v>Wrong Item</v>
      </c>
      <c r="Q1323" t="str">
        <f t="shared" si="167"/>
        <v/>
      </c>
    </row>
    <row r="1324" spans="1:17" x14ac:dyDescent="0.45">
      <c r="A1324" t="s">
        <v>2073</v>
      </c>
      <c r="B1324" t="s">
        <v>109</v>
      </c>
      <c r="C1324" t="s">
        <v>721</v>
      </c>
      <c r="D1324" t="s">
        <v>101</v>
      </c>
      <c r="E1324" s="8">
        <v>0</v>
      </c>
      <c r="F1324" s="9">
        <v>45579.666684444448</v>
      </c>
      <c r="G1324" t="s">
        <v>111</v>
      </c>
      <c r="H1324" t="s">
        <v>76</v>
      </c>
      <c r="I1324" t="s">
        <v>163</v>
      </c>
      <c r="J1324" t="str">
        <f t="shared" si="160"/>
        <v/>
      </c>
      <c r="K1324" t="str">
        <f t="shared" si="161"/>
        <v/>
      </c>
      <c r="L1324" t="str">
        <f t="shared" si="162"/>
        <v>Unusual</v>
      </c>
      <c r="M1324" t="str">
        <f t="shared" si="163"/>
        <v/>
      </c>
      <c r="N1324" t="str">
        <f t="shared" si="164"/>
        <v/>
      </c>
      <c r="O1324" t="str">
        <f t="shared" ca="1" si="165"/>
        <v>Outdated</v>
      </c>
      <c r="P1324" t="str">
        <f t="shared" si="166"/>
        <v>Damaged</v>
      </c>
      <c r="Q1324" t="str">
        <f t="shared" si="167"/>
        <v/>
      </c>
    </row>
    <row r="1325" spans="1:17" x14ac:dyDescent="0.45">
      <c r="A1325" t="s">
        <v>2074</v>
      </c>
      <c r="B1325" t="s">
        <v>79</v>
      </c>
      <c r="C1325" t="s">
        <v>1146</v>
      </c>
      <c r="D1325" t="s">
        <v>101</v>
      </c>
      <c r="E1325" s="8">
        <v>4791.91</v>
      </c>
      <c r="F1325" s="9">
        <v>45162.666684444448</v>
      </c>
      <c r="G1325" t="s">
        <v>86</v>
      </c>
      <c r="H1325" t="s">
        <v>118</v>
      </c>
      <c r="I1325" t="s">
        <v>163</v>
      </c>
      <c r="J1325" t="str">
        <f t="shared" si="160"/>
        <v/>
      </c>
      <c r="K1325" t="str">
        <f t="shared" si="161"/>
        <v/>
      </c>
      <c r="L1325" t="str">
        <f t="shared" si="162"/>
        <v/>
      </c>
      <c r="M1325" t="str">
        <f t="shared" si="163"/>
        <v/>
      </c>
      <c r="N1325" t="str">
        <f t="shared" si="164"/>
        <v>Invalid</v>
      </c>
      <c r="O1325" t="str">
        <f t="shared" ca="1" si="165"/>
        <v>Outdated</v>
      </c>
      <c r="P1325" t="str">
        <f t="shared" si="166"/>
        <v>Damaged</v>
      </c>
      <c r="Q1325" t="str">
        <f t="shared" si="167"/>
        <v/>
      </c>
    </row>
    <row r="1326" spans="1:17" x14ac:dyDescent="0.45">
      <c r="A1326" t="s">
        <v>2075</v>
      </c>
      <c r="B1326" t="s">
        <v>172</v>
      </c>
      <c r="C1326" t="s">
        <v>1263</v>
      </c>
      <c r="D1326" t="s">
        <v>74</v>
      </c>
      <c r="E1326" s="8">
        <v>4745.76</v>
      </c>
      <c r="F1326" s="9">
        <v>45721.666684444448</v>
      </c>
      <c r="G1326" t="s">
        <v>174</v>
      </c>
      <c r="H1326" t="s">
        <v>128</v>
      </c>
      <c r="I1326" t="s">
        <v>82</v>
      </c>
      <c r="J1326" t="str">
        <f t="shared" si="160"/>
        <v/>
      </c>
      <c r="K1326" t="str">
        <f t="shared" si="161"/>
        <v/>
      </c>
      <c r="L1326" t="str">
        <f t="shared" si="162"/>
        <v/>
      </c>
      <c r="M1326" t="str">
        <f t="shared" si="163"/>
        <v/>
      </c>
      <c r="N1326" t="str">
        <f t="shared" si="164"/>
        <v>Invalid</v>
      </c>
      <c r="O1326" t="str">
        <f t="shared" ca="1" si="165"/>
        <v>Outdated</v>
      </c>
      <c r="P1326" t="str">
        <f t="shared" si="166"/>
        <v>Wrong Item</v>
      </c>
      <c r="Q1326" t="str">
        <f t="shared" si="167"/>
        <v/>
      </c>
    </row>
    <row r="1327" spans="1:17" x14ac:dyDescent="0.45">
      <c r="A1327" t="s">
        <v>2076</v>
      </c>
      <c r="B1327" t="s">
        <v>109</v>
      </c>
      <c r="C1327" t="s">
        <v>1736</v>
      </c>
      <c r="D1327" t="s">
        <v>74</v>
      </c>
      <c r="E1327" s="8">
        <v>10185.5</v>
      </c>
      <c r="F1327" s="9">
        <v>45501.666684444448</v>
      </c>
      <c r="G1327" t="s">
        <v>111</v>
      </c>
      <c r="H1327" t="s">
        <v>145</v>
      </c>
      <c r="I1327" t="s">
        <v>112</v>
      </c>
      <c r="J1327" t="str">
        <f t="shared" si="160"/>
        <v/>
      </c>
      <c r="K1327" t="str">
        <f t="shared" si="161"/>
        <v/>
      </c>
      <c r="L1327" t="str">
        <f t="shared" si="162"/>
        <v>Unusual</v>
      </c>
      <c r="M1327" t="str">
        <f t="shared" si="163"/>
        <v/>
      </c>
      <c r="N1327" t="str">
        <f t="shared" si="164"/>
        <v/>
      </c>
      <c r="O1327" t="str">
        <f t="shared" ca="1" si="165"/>
        <v>Outdated</v>
      </c>
      <c r="P1327" t="str">
        <f t="shared" si="166"/>
        <v>Wrong Item</v>
      </c>
      <c r="Q1327" t="str">
        <f t="shared" si="167"/>
        <v/>
      </c>
    </row>
    <row r="1328" spans="1:17" x14ac:dyDescent="0.45">
      <c r="A1328" t="s">
        <v>2077</v>
      </c>
      <c r="B1328" t="s">
        <v>104</v>
      </c>
      <c r="C1328" t="s">
        <v>371</v>
      </c>
      <c r="D1328" t="s">
        <v>106</v>
      </c>
      <c r="E1328" s="8">
        <v>7182.77</v>
      </c>
      <c r="F1328" s="9">
        <v>45262.666684444448</v>
      </c>
      <c r="G1328" t="s">
        <v>247</v>
      </c>
      <c r="H1328" t="s">
        <v>76</v>
      </c>
      <c r="I1328" t="s">
        <v>88</v>
      </c>
      <c r="J1328" t="str">
        <f t="shared" si="160"/>
        <v/>
      </c>
      <c r="K1328" t="str">
        <f t="shared" si="161"/>
        <v/>
      </c>
      <c r="L1328" t="str">
        <f t="shared" si="162"/>
        <v/>
      </c>
      <c r="M1328" t="str">
        <f t="shared" si="163"/>
        <v>Invalid</v>
      </c>
      <c r="N1328" t="str">
        <f t="shared" si="164"/>
        <v/>
      </c>
      <c r="O1328" t="str">
        <f t="shared" ca="1" si="165"/>
        <v>Outdated</v>
      </c>
      <c r="P1328" t="str">
        <f t="shared" si="166"/>
        <v>Damaged</v>
      </c>
      <c r="Q1328" t="str">
        <f t="shared" si="167"/>
        <v>Inconsistent</v>
      </c>
    </row>
    <row r="1329" spans="1:17" x14ac:dyDescent="0.45">
      <c r="A1329" t="s">
        <v>164</v>
      </c>
      <c r="B1329" t="s">
        <v>109</v>
      </c>
      <c r="C1329" t="s">
        <v>1646</v>
      </c>
      <c r="D1329" t="s">
        <v>155</v>
      </c>
      <c r="E1329" s="8">
        <v>622.58000000000004</v>
      </c>
      <c r="F1329" s="9">
        <v>45220.666684444448</v>
      </c>
      <c r="G1329" t="s">
        <v>111</v>
      </c>
      <c r="H1329" t="s">
        <v>145</v>
      </c>
      <c r="I1329" t="s">
        <v>88</v>
      </c>
      <c r="J1329" t="str">
        <f t="shared" si="160"/>
        <v/>
      </c>
      <c r="K1329" t="str">
        <f t="shared" si="161"/>
        <v>Duplicate</v>
      </c>
      <c r="L1329" t="str">
        <f t="shared" si="162"/>
        <v/>
      </c>
      <c r="M1329" t="str">
        <f t="shared" si="163"/>
        <v/>
      </c>
      <c r="N1329" t="str">
        <f t="shared" si="164"/>
        <v/>
      </c>
      <c r="O1329" t="str">
        <f t="shared" ca="1" si="165"/>
        <v>Outdated</v>
      </c>
      <c r="P1329" t="str">
        <f t="shared" si="166"/>
        <v>Damaged</v>
      </c>
      <c r="Q1329" t="str">
        <f t="shared" si="167"/>
        <v>Inconsistent</v>
      </c>
    </row>
    <row r="1330" spans="1:17" x14ac:dyDescent="0.45">
      <c r="A1330" t="s">
        <v>2078</v>
      </c>
      <c r="B1330" t="s">
        <v>172</v>
      </c>
      <c r="C1330" t="s">
        <v>2079</v>
      </c>
      <c r="D1330" t="s">
        <v>74</v>
      </c>
      <c r="E1330" s="8">
        <v>6326.71</v>
      </c>
      <c r="F1330" s="9">
        <v>45430.666684444448</v>
      </c>
      <c r="G1330" t="s">
        <v>174</v>
      </c>
      <c r="H1330" t="s">
        <v>81</v>
      </c>
      <c r="I1330" t="s">
        <v>112</v>
      </c>
      <c r="J1330" t="str">
        <f t="shared" si="160"/>
        <v/>
      </c>
      <c r="K1330" t="str">
        <f t="shared" si="161"/>
        <v/>
      </c>
      <c r="L1330" t="str">
        <f t="shared" si="162"/>
        <v/>
      </c>
      <c r="M1330" t="str">
        <f t="shared" si="163"/>
        <v/>
      </c>
      <c r="N1330" t="str">
        <f t="shared" si="164"/>
        <v/>
      </c>
      <c r="O1330" t="str">
        <f t="shared" ca="1" si="165"/>
        <v>Outdated</v>
      </c>
      <c r="P1330" t="str">
        <f t="shared" si="166"/>
        <v>Wrong Item</v>
      </c>
      <c r="Q1330" t="str">
        <f t="shared" si="167"/>
        <v/>
      </c>
    </row>
    <row r="1331" spans="1:17" x14ac:dyDescent="0.45">
      <c r="A1331" t="s">
        <v>2080</v>
      </c>
      <c r="B1331" t="s">
        <v>95</v>
      </c>
      <c r="C1331" t="s">
        <v>2081</v>
      </c>
      <c r="D1331" t="s">
        <v>101</v>
      </c>
      <c r="E1331" s="8">
        <v>1897.52</v>
      </c>
      <c r="F1331" s="9">
        <v>45462.666684444448</v>
      </c>
      <c r="G1331" t="s">
        <v>97</v>
      </c>
      <c r="H1331" t="s">
        <v>76</v>
      </c>
      <c r="I1331" t="s">
        <v>88</v>
      </c>
      <c r="J1331" t="str">
        <f t="shared" si="160"/>
        <v/>
      </c>
      <c r="K1331" t="str">
        <f t="shared" si="161"/>
        <v/>
      </c>
      <c r="L1331" t="str">
        <f t="shared" si="162"/>
        <v/>
      </c>
      <c r="M1331" t="str">
        <f t="shared" si="163"/>
        <v/>
      </c>
      <c r="N1331" t="str">
        <f t="shared" si="164"/>
        <v/>
      </c>
      <c r="O1331" t="str">
        <f t="shared" ca="1" si="165"/>
        <v>Outdated</v>
      </c>
      <c r="P1331" t="str">
        <f t="shared" si="166"/>
        <v>Damaged</v>
      </c>
      <c r="Q1331" t="str">
        <f t="shared" si="167"/>
        <v/>
      </c>
    </row>
    <row r="1332" spans="1:17" x14ac:dyDescent="0.45">
      <c r="A1332" t="s">
        <v>2082</v>
      </c>
      <c r="B1332" t="s">
        <v>72</v>
      </c>
      <c r="C1332" t="s">
        <v>110</v>
      </c>
      <c r="D1332" t="s">
        <v>101</v>
      </c>
      <c r="E1332" s="8">
        <v>246.14</v>
      </c>
      <c r="F1332" s="9">
        <v>45553.666684444448</v>
      </c>
      <c r="G1332" t="s">
        <v>75</v>
      </c>
      <c r="H1332" t="s">
        <v>107</v>
      </c>
      <c r="I1332" t="s">
        <v>163</v>
      </c>
      <c r="J1332" t="str">
        <f t="shared" si="160"/>
        <v/>
      </c>
      <c r="K1332" t="str">
        <f t="shared" si="161"/>
        <v/>
      </c>
      <c r="L1332" t="str">
        <f t="shared" si="162"/>
        <v/>
      </c>
      <c r="M1332" t="str">
        <f t="shared" si="163"/>
        <v/>
      </c>
      <c r="N1332" t="str">
        <f t="shared" si="164"/>
        <v/>
      </c>
      <c r="O1332" t="str">
        <f t="shared" ca="1" si="165"/>
        <v>Outdated</v>
      </c>
      <c r="P1332" t="str">
        <f t="shared" si="166"/>
        <v>Damaged</v>
      </c>
      <c r="Q1332" t="str">
        <f t="shared" si="167"/>
        <v/>
      </c>
    </row>
    <row r="1333" spans="1:17" x14ac:dyDescent="0.45">
      <c r="A1333" t="s">
        <v>2083</v>
      </c>
      <c r="B1333" t="s">
        <v>95</v>
      </c>
      <c r="C1333" t="s">
        <v>319</v>
      </c>
      <c r="D1333" t="s">
        <v>74</v>
      </c>
      <c r="E1333" s="8">
        <v>6377.83</v>
      </c>
      <c r="F1333" s="9">
        <v>45307.666684444448</v>
      </c>
      <c r="G1333" t="s">
        <v>97</v>
      </c>
      <c r="H1333" t="s">
        <v>116</v>
      </c>
      <c r="I1333" t="s">
        <v>163</v>
      </c>
      <c r="J1333" t="str">
        <f t="shared" si="160"/>
        <v/>
      </c>
      <c r="K1333" t="str">
        <f t="shared" si="161"/>
        <v/>
      </c>
      <c r="L1333" t="str">
        <f t="shared" si="162"/>
        <v/>
      </c>
      <c r="M1333" t="str">
        <f t="shared" si="163"/>
        <v/>
      </c>
      <c r="N1333" t="str">
        <f t="shared" si="164"/>
        <v/>
      </c>
      <c r="O1333" t="str">
        <f t="shared" ca="1" si="165"/>
        <v>Outdated</v>
      </c>
      <c r="P1333" t="str">
        <f t="shared" si="166"/>
        <v>Wrong Item</v>
      </c>
      <c r="Q1333" t="str">
        <f t="shared" si="167"/>
        <v/>
      </c>
    </row>
    <row r="1334" spans="1:17" x14ac:dyDescent="0.45">
      <c r="A1334" t="s">
        <v>2084</v>
      </c>
      <c r="B1334" t="s">
        <v>90</v>
      </c>
      <c r="C1334" t="s">
        <v>1711</v>
      </c>
      <c r="D1334" t="s">
        <v>85</v>
      </c>
      <c r="E1334" s="8">
        <v>8248.49</v>
      </c>
      <c r="F1334" s="9">
        <v>45333.666684444448</v>
      </c>
      <c r="G1334" t="s">
        <v>93</v>
      </c>
      <c r="H1334" t="s">
        <v>81</v>
      </c>
      <c r="I1334" t="s">
        <v>82</v>
      </c>
      <c r="J1334" t="str">
        <f t="shared" si="160"/>
        <v/>
      </c>
      <c r="K1334" t="str">
        <f t="shared" si="161"/>
        <v/>
      </c>
      <c r="L1334" t="str">
        <f t="shared" si="162"/>
        <v/>
      </c>
      <c r="M1334" t="str">
        <f t="shared" si="163"/>
        <v/>
      </c>
      <c r="N1334" t="str">
        <f t="shared" si="164"/>
        <v/>
      </c>
      <c r="O1334" t="str">
        <f t="shared" ca="1" si="165"/>
        <v>Outdated</v>
      </c>
      <c r="P1334" t="str">
        <f t="shared" si="166"/>
        <v>Late Delivery</v>
      </c>
      <c r="Q1334" t="str">
        <f t="shared" si="167"/>
        <v/>
      </c>
    </row>
    <row r="1335" spans="1:17" x14ac:dyDescent="0.45">
      <c r="A1335" t="s">
        <v>2085</v>
      </c>
      <c r="B1335" t="s">
        <v>90</v>
      </c>
      <c r="C1335" t="s">
        <v>253</v>
      </c>
      <c r="D1335" t="s">
        <v>85</v>
      </c>
      <c r="E1335" s="8">
        <v>1772.96</v>
      </c>
      <c r="F1335" s="9">
        <v>45263.666684444448</v>
      </c>
      <c r="G1335" t="s">
        <v>93</v>
      </c>
      <c r="H1335" t="s">
        <v>136</v>
      </c>
      <c r="I1335" t="s">
        <v>77</v>
      </c>
      <c r="J1335" t="str">
        <f t="shared" si="160"/>
        <v/>
      </c>
      <c r="K1335" t="str">
        <f t="shared" si="161"/>
        <v/>
      </c>
      <c r="L1335" t="str">
        <f t="shared" si="162"/>
        <v/>
      </c>
      <c r="M1335" t="str">
        <f t="shared" si="163"/>
        <v/>
      </c>
      <c r="N1335" t="str">
        <f t="shared" si="164"/>
        <v>Invalid</v>
      </c>
      <c r="O1335" t="str">
        <f t="shared" ca="1" si="165"/>
        <v>Outdated</v>
      </c>
      <c r="P1335" t="str">
        <f t="shared" si="166"/>
        <v>Late Delivery</v>
      </c>
      <c r="Q1335" t="str">
        <f t="shared" si="167"/>
        <v/>
      </c>
    </row>
    <row r="1336" spans="1:17" x14ac:dyDescent="0.45">
      <c r="A1336" t="s">
        <v>2086</v>
      </c>
      <c r="B1336" t="s">
        <v>138</v>
      </c>
      <c r="C1336" t="s">
        <v>2087</v>
      </c>
      <c r="D1336" t="s">
        <v>148</v>
      </c>
      <c r="E1336" s="8">
        <v>2348.4899999999998</v>
      </c>
      <c r="F1336" s="9">
        <v>45680.666684444448</v>
      </c>
      <c r="G1336" t="s">
        <v>140</v>
      </c>
      <c r="H1336" t="s">
        <v>76</v>
      </c>
      <c r="I1336" t="s">
        <v>77</v>
      </c>
      <c r="J1336" t="str">
        <f t="shared" si="160"/>
        <v/>
      </c>
      <c r="K1336" t="str">
        <f t="shared" si="161"/>
        <v/>
      </c>
      <c r="L1336" t="str">
        <f t="shared" si="162"/>
        <v/>
      </c>
      <c r="M1336" t="str">
        <f t="shared" si="163"/>
        <v/>
      </c>
      <c r="N1336" t="str">
        <f t="shared" si="164"/>
        <v/>
      </c>
      <c r="O1336" t="str">
        <f t="shared" ca="1" si="165"/>
        <v>Outdated</v>
      </c>
      <c r="P1336" t="str">
        <f t="shared" si="166"/>
        <v>Wrong Item</v>
      </c>
      <c r="Q1336" t="str">
        <f t="shared" si="167"/>
        <v>Inconsistent</v>
      </c>
    </row>
    <row r="1337" spans="1:17" x14ac:dyDescent="0.45">
      <c r="A1337" t="s">
        <v>2088</v>
      </c>
      <c r="B1337" t="s">
        <v>172</v>
      </c>
      <c r="C1337" t="s">
        <v>913</v>
      </c>
      <c r="D1337" t="s">
        <v>92</v>
      </c>
      <c r="E1337" s="8">
        <v>0</v>
      </c>
      <c r="F1337" s="9">
        <v>45502.666684444448</v>
      </c>
      <c r="G1337" t="s">
        <v>174</v>
      </c>
      <c r="H1337" t="s">
        <v>87</v>
      </c>
      <c r="I1337" t="s">
        <v>77</v>
      </c>
      <c r="J1337" t="str">
        <f t="shared" si="160"/>
        <v/>
      </c>
      <c r="K1337" t="str">
        <f t="shared" si="161"/>
        <v/>
      </c>
      <c r="L1337" t="str">
        <f t="shared" si="162"/>
        <v>Unusual</v>
      </c>
      <c r="M1337" t="str">
        <f t="shared" si="163"/>
        <v/>
      </c>
      <c r="N1337" t="str">
        <f t="shared" si="164"/>
        <v>Invalid</v>
      </c>
      <c r="O1337" t="str">
        <f t="shared" ca="1" si="165"/>
        <v>Outdated</v>
      </c>
      <c r="P1337" t="str">
        <f t="shared" si="166"/>
        <v>Not As Described</v>
      </c>
      <c r="Q1337" t="str">
        <f t="shared" si="167"/>
        <v/>
      </c>
    </row>
    <row r="1338" spans="1:17" x14ac:dyDescent="0.45">
      <c r="A1338" t="s">
        <v>2089</v>
      </c>
      <c r="B1338" t="s">
        <v>90</v>
      </c>
      <c r="C1338" t="s">
        <v>2090</v>
      </c>
      <c r="D1338" t="s">
        <v>85</v>
      </c>
      <c r="E1338" s="8">
        <v>234.27</v>
      </c>
      <c r="F1338" s="9">
        <v>45671.666684444448</v>
      </c>
      <c r="G1338" t="s">
        <v>93</v>
      </c>
      <c r="H1338" t="s">
        <v>136</v>
      </c>
      <c r="I1338" t="s">
        <v>163</v>
      </c>
      <c r="J1338" t="str">
        <f t="shared" si="160"/>
        <v/>
      </c>
      <c r="K1338" t="str">
        <f t="shared" si="161"/>
        <v/>
      </c>
      <c r="L1338" t="str">
        <f t="shared" si="162"/>
        <v/>
      </c>
      <c r="M1338" t="str">
        <f t="shared" si="163"/>
        <v/>
      </c>
      <c r="N1338" t="str">
        <f t="shared" si="164"/>
        <v>Invalid</v>
      </c>
      <c r="O1338" t="str">
        <f t="shared" ca="1" si="165"/>
        <v>Outdated</v>
      </c>
      <c r="P1338" t="str">
        <f t="shared" si="166"/>
        <v>Late Delivery</v>
      </c>
      <c r="Q1338" t="str">
        <f t="shared" si="167"/>
        <v/>
      </c>
    </row>
    <row r="1339" spans="1:17" x14ac:dyDescent="0.45">
      <c r="A1339" t="s">
        <v>2091</v>
      </c>
      <c r="B1339" t="s">
        <v>138</v>
      </c>
      <c r="C1339" t="s">
        <v>2092</v>
      </c>
      <c r="D1339" t="s">
        <v>92</v>
      </c>
      <c r="E1339" s="8">
        <v>1729.25</v>
      </c>
      <c r="F1339" s="9">
        <v>45641.666684444448</v>
      </c>
      <c r="G1339" t="s">
        <v>140</v>
      </c>
      <c r="H1339" t="s">
        <v>116</v>
      </c>
      <c r="I1339" t="s">
        <v>77</v>
      </c>
      <c r="J1339" t="str">
        <f t="shared" si="160"/>
        <v/>
      </c>
      <c r="K1339" t="str">
        <f t="shared" si="161"/>
        <v/>
      </c>
      <c r="L1339" t="str">
        <f t="shared" si="162"/>
        <v/>
      </c>
      <c r="M1339" t="str">
        <f t="shared" si="163"/>
        <v/>
      </c>
      <c r="N1339" t="str">
        <f t="shared" si="164"/>
        <v/>
      </c>
      <c r="O1339" t="str">
        <f t="shared" ca="1" si="165"/>
        <v>Outdated</v>
      </c>
      <c r="P1339" t="str">
        <f t="shared" si="166"/>
        <v>Not As Described</v>
      </c>
      <c r="Q1339" t="str">
        <f t="shared" si="167"/>
        <v/>
      </c>
    </row>
    <row r="1340" spans="1:17" x14ac:dyDescent="0.45">
      <c r="A1340" t="s">
        <v>2093</v>
      </c>
      <c r="B1340" t="s">
        <v>104</v>
      </c>
      <c r="D1340" t="s">
        <v>101</v>
      </c>
      <c r="E1340" s="8">
        <v>7246.49</v>
      </c>
      <c r="F1340" s="9">
        <v>45407.666684444448</v>
      </c>
      <c r="G1340" t="s">
        <v>247</v>
      </c>
      <c r="H1340" t="s">
        <v>118</v>
      </c>
      <c r="I1340" t="s">
        <v>82</v>
      </c>
      <c r="J1340" t="str">
        <f t="shared" si="160"/>
        <v>Missing</v>
      </c>
      <c r="K1340" t="str">
        <f t="shared" si="161"/>
        <v>Duplicate</v>
      </c>
      <c r="L1340" t="str">
        <f t="shared" si="162"/>
        <v/>
      </c>
      <c r="M1340" t="str">
        <f t="shared" si="163"/>
        <v>Invalid</v>
      </c>
      <c r="N1340" t="str">
        <f t="shared" si="164"/>
        <v>Invalid</v>
      </c>
      <c r="O1340" t="str">
        <f t="shared" ca="1" si="165"/>
        <v>Outdated</v>
      </c>
      <c r="P1340" t="str">
        <f t="shared" si="166"/>
        <v>Damaged</v>
      </c>
      <c r="Q1340" t="str">
        <f t="shared" si="167"/>
        <v/>
      </c>
    </row>
    <row r="1341" spans="1:17" x14ac:dyDescent="0.45">
      <c r="A1341" t="s">
        <v>2094</v>
      </c>
      <c r="B1341" t="s">
        <v>138</v>
      </c>
      <c r="C1341" t="s">
        <v>1393</v>
      </c>
      <c r="D1341" t="s">
        <v>85</v>
      </c>
      <c r="E1341" s="8">
        <v>1325.8</v>
      </c>
      <c r="F1341" s="9">
        <v>45296.666684444448</v>
      </c>
      <c r="G1341" t="s">
        <v>140</v>
      </c>
      <c r="H1341" t="s">
        <v>145</v>
      </c>
      <c r="I1341" t="s">
        <v>77</v>
      </c>
      <c r="J1341" t="str">
        <f t="shared" si="160"/>
        <v/>
      </c>
      <c r="K1341" t="str">
        <f t="shared" si="161"/>
        <v/>
      </c>
      <c r="L1341" t="str">
        <f t="shared" si="162"/>
        <v/>
      </c>
      <c r="M1341" t="str">
        <f t="shared" si="163"/>
        <v/>
      </c>
      <c r="N1341" t="str">
        <f t="shared" si="164"/>
        <v/>
      </c>
      <c r="O1341" t="str">
        <f t="shared" ca="1" si="165"/>
        <v>Outdated</v>
      </c>
      <c r="P1341" t="str">
        <f t="shared" si="166"/>
        <v>Late Delivery</v>
      </c>
      <c r="Q1341" t="str">
        <f t="shared" si="167"/>
        <v/>
      </c>
    </row>
    <row r="1342" spans="1:17" x14ac:dyDescent="0.45">
      <c r="A1342" t="s">
        <v>2095</v>
      </c>
      <c r="B1342" t="s">
        <v>95</v>
      </c>
      <c r="C1342" t="s">
        <v>809</v>
      </c>
      <c r="D1342" t="s">
        <v>85</v>
      </c>
      <c r="E1342" s="8">
        <v>10070.31</v>
      </c>
      <c r="F1342" s="9">
        <v>45391.666684444448</v>
      </c>
      <c r="G1342" t="s">
        <v>97</v>
      </c>
      <c r="H1342" t="s">
        <v>107</v>
      </c>
      <c r="I1342" t="s">
        <v>88</v>
      </c>
      <c r="J1342" t="str">
        <f t="shared" si="160"/>
        <v/>
      </c>
      <c r="K1342" t="str">
        <f t="shared" si="161"/>
        <v/>
      </c>
      <c r="L1342" t="str">
        <f t="shared" si="162"/>
        <v>Unusual</v>
      </c>
      <c r="M1342" t="str">
        <f t="shared" si="163"/>
        <v/>
      </c>
      <c r="N1342" t="str">
        <f t="shared" si="164"/>
        <v/>
      </c>
      <c r="O1342" t="str">
        <f t="shared" ca="1" si="165"/>
        <v>Outdated</v>
      </c>
      <c r="P1342" t="str">
        <f t="shared" si="166"/>
        <v>Late Delivery</v>
      </c>
      <c r="Q1342" t="str">
        <f t="shared" si="167"/>
        <v/>
      </c>
    </row>
    <row r="1343" spans="1:17" x14ac:dyDescent="0.45">
      <c r="A1343" t="s">
        <v>2096</v>
      </c>
      <c r="B1343" t="s">
        <v>79</v>
      </c>
      <c r="C1343" t="s">
        <v>1741</v>
      </c>
      <c r="D1343" t="s">
        <v>74</v>
      </c>
      <c r="E1343" s="8">
        <v>6027.3</v>
      </c>
      <c r="F1343" s="9">
        <v>45621.666684444448</v>
      </c>
      <c r="G1343" t="s">
        <v>86</v>
      </c>
      <c r="H1343" t="s">
        <v>133</v>
      </c>
      <c r="I1343" t="s">
        <v>119</v>
      </c>
      <c r="J1343" t="str">
        <f t="shared" si="160"/>
        <v/>
      </c>
      <c r="K1343" t="str">
        <f t="shared" si="161"/>
        <v/>
      </c>
      <c r="L1343" t="str">
        <f t="shared" si="162"/>
        <v/>
      </c>
      <c r="M1343" t="str">
        <f t="shared" si="163"/>
        <v/>
      </c>
      <c r="N1343" t="str">
        <f t="shared" si="164"/>
        <v>Invalid</v>
      </c>
      <c r="O1343" t="str">
        <f t="shared" ca="1" si="165"/>
        <v>Outdated</v>
      </c>
      <c r="P1343" t="str">
        <f t="shared" si="166"/>
        <v>Wrong Item</v>
      </c>
      <c r="Q1343" t="str">
        <f t="shared" si="167"/>
        <v/>
      </c>
    </row>
    <row r="1344" spans="1:17" x14ac:dyDescent="0.45">
      <c r="A1344" t="s">
        <v>2097</v>
      </c>
      <c r="B1344" t="s">
        <v>99</v>
      </c>
      <c r="C1344" t="s">
        <v>2098</v>
      </c>
      <c r="D1344" t="s">
        <v>74</v>
      </c>
      <c r="E1344" s="8">
        <v>71.14</v>
      </c>
      <c r="F1344" s="9">
        <v>45430.666684444448</v>
      </c>
      <c r="G1344" t="s">
        <v>102</v>
      </c>
      <c r="H1344" t="s">
        <v>145</v>
      </c>
      <c r="I1344" t="s">
        <v>119</v>
      </c>
      <c r="J1344" t="str">
        <f t="shared" si="160"/>
        <v/>
      </c>
      <c r="K1344" t="str">
        <f t="shared" si="161"/>
        <v/>
      </c>
      <c r="L1344" t="str">
        <f t="shared" si="162"/>
        <v/>
      </c>
      <c r="M1344" t="str">
        <f t="shared" si="163"/>
        <v/>
      </c>
      <c r="N1344" t="str">
        <f t="shared" si="164"/>
        <v/>
      </c>
      <c r="O1344" t="str">
        <f t="shared" ca="1" si="165"/>
        <v>Outdated</v>
      </c>
      <c r="P1344" t="str">
        <f t="shared" si="166"/>
        <v>Wrong Item</v>
      </c>
      <c r="Q1344" t="str">
        <f t="shared" si="167"/>
        <v/>
      </c>
    </row>
    <row r="1345" spans="1:17" x14ac:dyDescent="0.45">
      <c r="A1345" t="s">
        <v>2099</v>
      </c>
      <c r="B1345" t="s">
        <v>95</v>
      </c>
      <c r="C1345" t="s">
        <v>2100</v>
      </c>
      <c r="D1345" t="s">
        <v>101</v>
      </c>
      <c r="E1345" s="8">
        <v>10168.870000000001</v>
      </c>
      <c r="F1345" s="9">
        <v>45474.666684444448</v>
      </c>
      <c r="G1345" t="s">
        <v>97</v>
      </c>
      <c r="H1345" t="s">
        <v>118</v>
      </c>
      <c r="I1345" t="s">
        <v>119</v>
      </c>
      <c r="J1345" t="str">
        <f t="shared" si="160"/>
        <v/>
      </c>
      <c r="K1345" t="str">
        <f t="shared" si="161"/>
        <v/>
      </c>
      <c r="L1345" t="str">
        <f t="shared" si="162"/>
        <v>Unusual</v>
      </c>
      <c r="M1345" t="str">
        <f t="shared" si="163"/>
        <v/>
      </c>
      <c r="N1345" t="str">
        <f t="shared" si="164"/>
        <v>Invalid</v>
      </c>
      <c r="O1345" t="str">
        <f t="shared" ca="1" si="165"/>
        <v>Outdated</v>
      </c>
      <c r="P1345" t="str">
        <f t="shared" si="166"/>
        <v>Damaged</v>
      </c>
      <c r="Q1345" t="str">
        <f t="shared" si="167"/>
        <v/>
      </c>
    </row>
    <row r="1346" spans="1:17" x14ac:dyDescent="0.45">
      <c r="A1346" t="s">
        <v>2101</v>
      </c>
      <c r="B1346" t="s">
        <v>109</v>
      </c>
      <c r="D1346" t="s">
        <v>155</v>
      </c>
      <c r="E1346" s="8">
        <v>1299.47</v>
      </c>
      <c r="F1346" s="9">
        <v>45245.666684444448</v>
      </c>
      <c r="G1346" t="s">
        <v>111</v>
      </c>
      <c r="H1346" t="s">
        <v>118</v>
      </c>
      <c r="I1346" t="s">
        <v>119</v>
      </c>
      <c r="J1346" t="str">
        <f t="shared" ref="J1346:J1409" si="168">IF(OR(ISBLANK(C1346),ISBLANK(D1346)),"Missing","")</f>
        <v>Missing</v>
      </c>
      <c r="K1346" t="str">
        <f t="shared" ref="K1346:K1409" si="169">IF(COUNTIF($A$2:$A$2501,A1346)&gt;1,"Duplicate","")</f>
        <v/>
      </c>
      <c r="L1346" t="str">
        <f t="shared" ref="L1346:L1409" si="170">IF(OR(E1346=0,E1346&gt;10000),"Unusual","")</f>
        <v/>
      </c>
      <c r="M1346" t="str">
        <f t="shared" ref="M1346:M1409" si="171">IF(OR(ISBLANK(G1346),ISERROR(FIND("@",G1346)),ISERROR(FIND(".",G1346,FIND("@",G1346)+1))),"Invalid","")</f>
        <v/>
      </c>
      <c r="N1346" t="str">
        <f t="shared" ref="N1346:N1409" si="172">IF(COUNTIF($S$2:$S$6,H1346)=0,"Invalid","")</f>
        <v>Invalid</v>
      </c>
      <c r="O1346" t="str">
        <f t="shared" ref="O1346:O1409" ca="1" si="173">IF(F1346&lt;EDATE(TODAY(),-12),"Outdated","")</f>
        <v>Outdated</v>
      </c>
      <c r="P1346" t="str">
        <f t="shared" ref="P1346:P1409" si="174">IF(ISBLANK(D1346),"",PROPER(TRIM(D1346)))</f>
        <v>Damaged</v>
      </c>
      <c r="Q1346" t="str">
        <f t="shared" ref="Q1346:Q1409" si="175">IF(ISBLANK(D1346),"",IF(EXACT(D1346,P1346),"","Inconsistent"))</f>
        <v>Inconsistent</v>
      </c>
    </row>
    <row r="1347" spans="1:17" x14ac:dyDescent="0.45">
      <c r="A1347" t="s">
        <v>2102</v>
      </c>
      <c r="B1347" t="s">
        <v>79</v>
      </c>
      <c r="C1347" t="s">
        <v>982</v>
      </c>
      <c r="D1347" t="s">
        <v>74</v>
      </c>
      <c r="E1347" s="8">
        <v>8725.25</v>
      </c>
      <c r="F1347" s="9">
        <v>45607.666684444448</v>
      </c>
      <c r="G1347" t="s">
        <v>86</v>
      </c>
      <c r="H1347" t="s">
        <v>136</v>
      </c>
      <c r="I1347" t="s">
        <v>77</v>
      </c>
      <c r="J1347" t="str">
        <f t="shared" si="168"/>
        <v/>
      </c>
      <c r="K1347" t="str">
        <f t="shared" si="169"/>
        <v/>
      </c>
      <c r="L1347" t="str">
        <f t="shared" si="170"/>
        <v/>
      </c>
      <c r="M1347" t="str">
        <f t="shared" si="171"/>
        <v/>
      </c>
      <c r="N1347" t="str">
        <f t="shared" si="172"/>
        <v>Invalid</v>
      </c>
      <c r="O1347" t="str">
        <f t="shared" ca="1" si="173"/>
        <v>Outdated</v>
      </c>
      <c r="P1347" t="str">
        <f t="shared" si="174"/>
        <v>Wrong Item</v>
      </c>
      <c r="Q1347" t="str">
        <f t="shared" si="175"/>
        <v/>
      </c>
    </row>
    <row r="1348" spans="1:17" x14ac:dyDescent="0.45">
      <c r="A1348" t="s">
        <v>2103</v>
      </c>
      <c r="B1348" t="s">
        <v>72</v>
      </c>
      <c r="C1348" t="s">
        <v>2104</v>
      </c>
      <c r="D1348" t="s">
        <v>101</v>
      </c>
      <c r="E1348" s="8">
        <v>2472.58</v>
      </c>
      <c r="F1348" s="9">
        <v>45205.666684444448</v>
      </c>
      <c r="H1348" t="s">
        <v>76</v>
      </c>
      <c r="I1348" t="s">
        <v>119</v>
      </c>
      <c r="J1348" t="str">
        <f t="shared" si="168"/>
        <v/>
      </c>
      <c r="K1348" t="str">
        <f t="shared" si="169"/>
        <v/>
      </c>
      <c r="L1348" t="str">
        <f t="shared" si="170"/>
        <v/>
      </c>
      <c r="M1348" t="str">
        <f t="shared" si="171"/>
        <v>Invalid</v>
      </c>
      <c r="N1348" t="str">
        <f t="shared" si="172"/>
        <v/>
      </c>
      <c r="O1348" t="str">
        <f t="shared" ca="1" si="173"/>
        <v>Outdated</v>
      </c>
      <c r="P1348" t="str">
        <f t="shared" si="174"/>
        <v>Damaged</v>
      </c>
      <c r="Q1348" t="str">
        <f t="shared" si="175"/>
        <v/>
      </c>
    </row>
    <row r="1349" spans="1:17" x14ac:dyDescent="0.45">
      <c r="A1349" t="s">
        <v>2105</v>
      </c>
      <c r="B1349" t="s">
        <v>95</v>
      </c>
      <c r="C1349" t="s">
        <v>674</v>
      </c>
      <c r="D1349" t="s">
        <v>101</v>
      </c>
      <c r="E1349" s="8">
        <v>9563.3700000000008</v>
      </c>
      <c r="F1349" s="9">
        <v>45272.666684444448</v>
      </c>
      <c r="G1349" t="s">
        <v>97</v>
      </c>
      <c r="H1349" t="s">
        <v>128</v>
      </c>
      <c r="I1349" t="s">
        <v>88</v>
      </c>
      <c r="J1349" t="str">
        <f t="shared" si="168"/>
        <v/>
      </c>
      <c r="K1349" t="str">
        <f t="shared" si="169"/>
        <v/>
      </c>
      <c r="L1349" t="str">
        <f t="shared" si="170"/>
        <v/>
      </c>
      <c r="M1349" t="str">
        <f t="shared" si="171"/>
        <v/>
      </c>
      <c r="N1349" t="str">
        <f t="shared" si="172"/>
        <v>Invalid</v>
      </c>
      <c r="O1349" t="str">
        <f t="shared" ca="1" si="173"/>
        <v>Outdated</v>
      </c>
      <c r="P1349" t="str">
        <f t="shared" si="174"/>
        <v>Damaged</v>
      </c>
      <c r="Q1349" t="str">
        <f t="shared" si="175"/>
        <v/>
      </c>
    </row>
    <row r="1350" spans="1:17" x14ac:dyDescent="0.45">
      <c r="A1350" t="s">
        <v>2106</v>
      </c>
      <c r="B1350" t="s">
        <v>95</v>
      </c>
      <c r="C1350" t="s">
        <v>1036</v>
      </c>
      <c r="D1350" t="s">
        <v>92</v>
      </c>
      <c r="E1350" s="8">
        <v>0</v>
      </c>
      <c r="F1350" s="9">
        <v>45359.666684444448</v>
      </c>
      <c r="G1350" t="s">
        <v>97</v>
      </c>
      <c r="I1350" t="s">
        <v>163</v>
      </c>
      <c r="J1350" t="str">
        <f t="shared" si="168"/>
        <v/>
      </c>
      <c r="K1350" t="str">
        <f t="shared" si="169"/>
        <v/>
      </c>
      <c r="L1350" t="str">
        <f t="shared" si="170"/>
        <v>Unusual</v>
      </c>
      <c r="M1350" t="str">
        <f t="shared" si="171"/>
        <v/>
      </c>
      <c r="N1350" t="str">
        <f t="shared" si="172"/>
        <v>Invalid</v>
      </c>
      <c r="O1350" t="str">
        <f t="shared" ca="1" si="173"/>
        <v>Outdated</v>
      </c>
      <c r="P1350" t="str">
        <f t="shared" si="174"/>
        <v>Not As Described</v>
      </c>
      <c r="Q1350" t="str">
        <f t="shared" si="175"/>
        <v/>
      </c>
    </row>
    <row r="1351" spans="1:17" x14ac:dyDescent="0.45">
      <c r="A1351" t="s">
        <v>2107</v>
      </c>
      <c r="B1351" t="s">
        <v>109</v>
      </c>
      <c r="C1351" t="s">
        <v>2108</v>
      </c>
      <c r="D1351" t="s">
        <v>74</v>
      </c>
      <c r="E1351" s="8">
        <v>4397.4799999999996</v>
      </c>
      <c r="F1351" s="9">
        <v>45820.666684444448</v>
      </c>
      <c r="H1351" t="s">
        <v>87</v>
      </c>
      <c r="I1351" t="s">
        <v>119</v>
      </c>
      <c r="J1351" t="str">
        <f t="shared" si="168"/>
        <v/>
      </c>
      <c r="K1351" t="str">
        <f t="shared" si="169"/>
        <v/>
      </c>
      <c r="L1351" t="str">
        <f t="shared" si="170"/>
        <v/>
      </c>
      <c r="M1351" t="str">
        <f t="shared" si="171"/>
        <v>Invalid</v>
      </c>
      <c r="N1351" t="str">
        <f t="shared" si="172"/>
        <v>Invalid</v>
      </c>
      <c r="O1351" t="str">
        <f t="shared" ca="1" si="173"/>
        <v>Outdated</v>
      </c>
      <c r="P1351" t="str">
        <f t="shared" si="174"/>
        <v>Wrong Item</v>
      </c>
      <c r="Q1351" t="str">
        <f t="shared" si="175"/>
        <v/>
      </c>
    </row>
    <row r="1352" spans="1:17" x14ac:dyDescent="0.45">
      <c r="A1352" t="s">
        <v>2109</v>
      </c>
      <c r="B1352" t="s">
        <v>99</v>
      </c>
      <c r="C1352" t="s">
        <v>735</v>
      </c>
      <c r="D1352" t="s">
        <v>106</v>
      </c>
      <c r="E1352" s="8">
        <v>11572.6</v>
      </c>
      <c r="F1352" s="9">
        <v>45818.666684444448</v>
      </c>
      <c r="G1352" t="s">
        <v>102</v>
      </c>
      <c r="H1352" t="s">
        <v>116</v>
      </c>
      <c r="I1352" t="s">
        <v>163</v>
      </c>
      <c r="J1352" t="str">
        <f t="shared" si="168"/>
        <v/>
      </c>
      <c r="K1352" t="str">
        <f t="shared" si="169"/>
        <v/>
      </c>
      <c r="L1352" t="str">
        <f t="shared" si="170"/>
        <v>Unusual</v>
      </c>
      <c r="M1352" t="str">
        <f t="shared" si="171"/>
        <v/>
      </c>
      <c r="N1352" t="str">
        <f t="shared" si="172"/>
        <v/>
      </c>
      <c r="O1352" t="str">
        <f t="shared" ca="1" si="173"/>
        <v>Outdated</v>
      </c>
      <c r="P1352" t="str">
        <f t="shared" si="174"/>
        <v>Damaged</v>
      </c>
      <c r="Q1352" t="str">
        <f t="shared" si="175"/>
        <v>Inconsistent</v>
      </c>
    </row>
    <row r="1353" spans="1:17" x14ac:dyDescent="0.45">
      <c r="A1353" t="s">
        <v>2110</v>
      </c>
      <c r="B1353" t="s">
        <v>109</v>
      </c>
      <c r="C1353" t="s">
        <v>2111</v>
      </c>
      <c r="D1353" t="s">
        <v>148</v>
      </c>
      <c r="E1353" s="8">
        <v>3772.62</v>
      </c>
      <c r="F1353" s="9">
        <v>45534.666684444448</v>
      </c>
      <c r="H1353" t="s">
        <v>116</v>
      </c>
      <c r="I1353" t="s">
        <v>77</v>
      </c>
      <c r="J1353" t="str">
        <f t="shared" si="168"/>
        <v/>
      </c>
      <c r="K1353" t="str">
        <f t="shared" si="169"/>
        <v/>
      </c>
      <c r="L1353" t="str">
        <f t="shared" si="170"/>
        <v/>
      </c>
      <c r="M1353" t="str">
        <f t="shared" si="171"/>
        <v>Invalid</v>
      </c>
      <c r="N1353" t="str">
        <f t="shared" si="172"/>
        <v/>
      </c>
      <c r="O1353" t="str">
        <f t="shared" ca="1" si="173"/>
        <v>Outdated</v>
      </c>
      <c r="P1353" t="str">
        <f t="shared" si="174"/>
        <v>Wrong Item</v>
      </c>
      <c r="Q1353" t="str">
        <f t="shared" si="175"/>
        <v>Inconsistent</v>
      </c>
    </row>
    <row r="1354" spans="1:17" x14ac:dyDescent="0.45">
      <c r="A1354" t="s">
        <v>2112</v>
      </c>
      <c r="B1354" t="s">
        <v>138</v>
      </c>
      <c r="C1354" t="s">
        <v>691</v>
      </c>
      <c r="D1354" t="s">
        <v>85</v>
      </c>
      <c r="E1354" s="8">
        <v>3193.9</v>
      </c>
      <c r="F1354" s="9">
        <v>45698.666684444448</v>
      </c>
      <c r="G1354" t="s">
        <v>140</v>
      </c>
      <c r="H1354" t="s">
        <v>76</v>
      </c>
      <c r="I1354" t="s">
        <v>88</v>
      </c>
      <c r="J1354" t="str">
        <f t="shared" si="168"/>
        <v/>
      </c>
      <c r="K1354" t="str">
        <f t="shared" si="169"/>
        <v/>
      </c>
      <c r="L1354" t="str">
        <f t="shared" si="170"/>
        <v/>
      </c>
      <c r="M1354" t="str">
        <f t="shared" si="171"/>
        <v/>
      </c>
      <c r="N1354" t="str">
        <f t="shared" si="172"/>
        <v/>
      </c>
      <c r="O1354" t="str">
        <f t="shared" ca="1" si="173"/>
        <v>Outdated</v>
      </c>
      <c r="P1354" t="str">
        <f t="shared" si="174"/>
        <v>Late Delivery</v>
      </c>
      <c r="Q1354" t="str">
        <f t="shared" si="175"/>
        <v/>
      </c>
    </row>
    <row r="1355" spans="1:17" x14ac:dyDescent="0.45">
      <c r="A1355" t="s">
        <v>2113</v>
      </c>
      <c r="B1355" t="s">
        <v>72</v>
      </c>
      <c r="C1355" t="s">
        <v>130</v>
      </c>
      <c r="D1355" t="s">
        <v>92</v>
      </c>
      <c r="E1355" s="8">
        <v>9904.5400000000009</v>
      </c>
      <c r="F1355" s="9">
        <v>45502.666684444448</v>
      </c>
      <c r="H1355" t="s">
        <v>76</v>
      </c>
      <c r="I1355" t="s">
        <v>88</v>
      </c>
      <c r="J1355" t="str">
        <f t="shared" si="168"/>
        <v/>
      </c>
      <c r="K1355" t="str">
        <f t="shared" si="169"/>
        <v/>
      </c>
      <c r="L1355" t="str">
        <f t="shared" si="170"/>
        <v/>
      </c>
      <c r="M1355" t="str">
        <f t="shared" si="171"/>
        <v>Invalid</v>
      </c>
      <c r="N1355" t="str">
        <f t="shared" si="172"/>
        <v/>
      </c>
      <c r="O1355" t="str">
        <f t="shared" ca="1" si="173"/>
        <v>Outdated</v>
      </c>
      <c r="P1355" t="str">
        <f t="shared" si="174"/>
        <v>Not As Described</v>
      </c>
      <c r="Q1355" t="str">
        <f t="shared" si="175"/>
        <v/>
      </c>
    </row>
    <row r="1356" spans="1:17" x14ac:dyDescent="0.45">
      <c r="A1356" t="s">
        <v>2114</v>
      </c>
      <c r="B1356" t="s">
        <v>90</v>
      </c>
      <c r="C1356" t="s">
        <v>144</v>
      </c>
      <c r="D1356" t="s">
        <v>74</v>
      </c>
      <c r="E1356" s="8">
        <v>6682.57</v>
      </c>
      <c r="F1356" s="9">
        <v>45220.666684444448</v>
      </c>
      <c r="G1356" t="s">
        <v>93</v>
      </c>
      <c r="H1356" t="s">
        <v>145</v>
      </c>
      <c r="I1356" t="s">
        <v>119</v>
      </c>
      <c r="J1356" t="str">
        <f t="shared" si="168"/>
        <v/>
      </c>
      <c r="K1356" t="str">
        <f t="shared" si="169"/>
        <v/>
      </c>
      <c r="L1356" t="str">
        <f t="shared" si="170"/>
        <v/>
      </c>
      <c r="M1356" t="str">
        <f t="shared" si="171"/>
        <v/>
      </c>
      <c r="N1356" t="str">
        <f t="shared" si="172"/>
        <v/>
      </c>
      <c r="O1356" t="str">
        <f t="shared" ca="1" si="173"/>
        <v>Outdated</v>
      </c>
      <c r="P1356" t="str">
        <f t="shared" si="174"/>
        <v>Wrong Item</v>
      </c>
      <c r="Q1356" t="str">
        <f t="shared" si="175"/>
        <v/>
      </c>
    </row>
    <row r="1357" spans="1:17" x14ac:dyDescent="0.45">
      <c r="A1357" t="s">
        <v>2115</v>
      </c>
      <c r="B1357" t="s">
        <v>104</v>
      </c>
      <c r="C1357" t="s">
        <v>1030</v>
      </c>
      <c r="D1357" t="s">
        <v>101</v>
      </c>
      <c r="E1357" s="8">
        <v>4782.79</v>
      </c>
      <c r="F1357" s="9">
        <v>45532.666684444448</v>
      </c>
      <c r="H1357" t="s">
        <v>145</v>
      </c>
      <c r="I1357" t="s">
        <v>77</v>
      </c>
      <c r="J1357" t="str">
        <f t="shared" si="168"/>
        <v/>
      </c>
      <c r="K1357" t="str">
        <f t="shared" si="169"/>
        <v/>
      </c>
      <c r="L1357" t="str">
        <f t="shared" si="170"/>
        <v/>
      </c>
      <c r="M1357" t="str">
        <f t="shared" si="171"/>
        <v>Invalid</v>
      </c>
      <c r="N1357" t="str">
        <f t="shared" si="172"/>
        <v/>
      </c>
      <c r="O1357" t="str">
        <f t="shared" ca="1" si="173"/>
        <v>Outdated</v>
      </c>
      <c r="P1357" t="str">
        <f t="shared" si="174"/>
        <v>Damaged</v>
      </c>
      <c r="Q1357" t="str">
        <f t="shared" si="175"/>
        <v/>
      </c>
    </row>
    <row r="1358" spans="1:17" x14ac:dyDescent="0.45">
      <c r="A1358" t="s">
        <v>2116</v>
      </c>
      <c r="B1358" t="s">
        <v>90</v>
      </c>
      <c r="C1358" t="s">
        <v>2117</v>
      </c>
      <c r="D1358" t="s">
        <v>92</v>
      </c>
      <c r="E1358" s="8">
        <v>9142.65</v>
      </c>
      <c r="F1358" s="9">
        <v>45142.666684444448</v>
      </c>
      <c r="G1358" t="s">
        <v>93</v>
      </c>
      <c r="H1358" t="s">
        <v>128</v>
      </c>
      <c r="I1358" t="s">
        <v>163</v>
      </c>
      <c r="J1358" t="str">
        <f t="shared" si="168"/>
        <v/>
      </c>
      <c r="K1358" t="str">
        <f t="shared" si="169"/>
        <v/>
      </c>
      <c r="L1358" t="str">
        <f t="shared" si="170"/>
        <v/>
      </c>
      <c r="M1358" t="str">
        <f t="shared" si="171"/>
        <v/>
      </c>
      <c r="N1358" t="str">
        <f t="shared" si="172"/>
        <v>Invalid</v>
      </c>
      <c r="O1358" t="str">
        <f t="shared" ca="1" si="173"/>
        <v>Outdated</v>
      </c>
      <c r="P1358" t="str">
        <f t="shared" si="174"/>
        <v>Not As Described</v>
      </c>
      <c r="Q1358" t="str">
        <f t="shared" si="175"/>
        <v/>
      </c>
    </row>
    <row r="1359" spans="1:17" x14ac:dyDescent="0.45">
      <c r="A1359" t="s">
        <v>2118</v>
      </c>
      <c r="B1359" t="s">
        <v>99</v>
      </c>
      <c r="C1359" t="s">
        <v>872</v>
      </c>
      <c r="D1359" t="s">
        <v>74</v>
      </c>
      <c r="E1359" s="8">
        <v>10501.45</v>
      </c>
      <c r="F1359" s="9">
        <v>45398.666684444448</v>
      </c>
      <c r="G1359" t="s">
        <v>102</v>
      </c>
      <c r="H1359" t="s">
        <v>87</v>
      </c>
      <c r="I1359" t="s">
        <v>88</v>
      </c>
      <c r="J1359" t="str">
        <f t="shared" si="168"/>
        <v/>
      </c>
      <c r="K1359" t="str">
        <f t="shared" si="169"/>
        <v/>
      </c>
      <c r="L1359" t="str">
        <f t="shared" si="170"/>
        <v>Unusual</v>
      </c>
      <c r="M1359" t="str">
        <f t="shared" si="171"/>
        <v/>
      </c>
      <c r="N1359" t="str">
        <f t="shared" si="172"/>
        <v>Invalid</v>
      </c>
      <c r="O1359" t="str">
        <f t="shared" ca="1" si="173"/>
        <v>Outdated</v>
      </c>
      <c r="P1359" t="str">
        <f t="shared" si="174"/>
        <v>Wrong Item</v>
      </c>
      <c r="Q1359" t="str">
        <f t="shared" si="175"/>
        <v/>
      </c>
    </row>
    <row r="1360" spans="1:17" x14ac:dyDescent="0.45">
      <c r="A1360" t="s">
        <v>2119</v>
      </c>
      <c r="B1360" t="s">
        <v>99</v>
      </c>
      <c r="C1360" t="s">
        <v>1330</v>
      </c>
      <c r="D1360" t="s">
        <v>101</v>
      </c>
      <c r="E1360" s="8">
        <v>0</v>
      </c>
      <c r="F1360" s="9">
        <v>45677.666684444448</v>
      </c>
      <c r="G1360" t="s">
        <v>102</v>
      </c>
      <c r="H1360" t="s">
        <v>118</v>
      </c>
      <c r="I1360" t="s">
        <v>88</v>
      </c>
      <c r="J1360" t="str">
        <f t="shared" si="168"/>
        <v/>
      </c>
      <c r="K1360" t="str">
        <f t="shared" si="169"/>
        <v/>
      </c>
      <c r="L1360" t="str">
        <f t="shared" si="170"/>
        <v>Unusual</v>
      </c>
      <c r="M1360" t="str">
        <f t="shared" si="171"/>
        <v/>
      </c>
      <c r="N1360" t="str">
        <f t="shared" si="172"/>
        <v>Invalid</v>
      </c>
      <c r="O1360" t="str">
        <f t="shared" ca="1" si="173"/>
        <v>Outdated</v>
      </c>
      <c r="P1360" t="str">
        <f t="shared" si="174"/>
        <v>Damaged</v>
      </c>
      <c r="Q1360" t="str">
        <f t="shared" si="175"/>
        <v/>
      </c>
    </row>
    <row r="1361" spans="1:17" x14ac:dyDescent="0.45">
      <c r="A1361" t="s">
        <v>2120</v>
      </c>
      <c r="B1361" t="s">
        <v>109</v>
      </c>
      <c r="C1361" t="s">
        <v>2121</v>
      </c>
      <c r="D1361" t="s">
        <v>85</v>
      </c>
      <c r="E1361" s="8">
        <v>2571.0700000000002</v>
      </c>
      <c r="F1361" s="9">
        <v>45254.666684444448</v>
      </c>
      <c r="G1361" t="s">
        <v>111</v>
      </c>
      <c r="H1361" t="s">
        <v>118</v>
      </c>
      <c r="I1361" t="s">
        <v>119</v>
      </c>
      <c r="J1361" t="str">
        <f t="shared" si="168"/>
        <v/>
      </c>
      <c r="K1361" t="str">
        <f t="shared" si="169"/>
        <v/>
      </c>
      <c r="L1361" t="str">
        <f t="shared" si="170"/>
        <v/>
      </c>
      <c r="M1361" t="str">
        <f t="shared" si="171"/>
        <v/>
      </c>
      <c r="N1361" t="str">
        <f t="shared" si="172"/>
        <v>Invalid</v>
      </c>
      <c r="O1361" t="str">
        <f t="shared" ca="1" si="173"/>
        <v>Outdated</v>
      </c>
      <c r="P1361" t="str">
        <f t="shared" si="174"/>
        <v>Late Delivery</v>
      </c>
      <c r="Q1361" t="str">
        <f t="shared" si="175"/>
        <v/>
      </c>
    </row>
    <row r="1362" spans="1:17" x14ac:dyDescent="0.45">
      <c r="A1362" t="s">
        <v>2122</v>
      </c>
      <c r="B1362" t="s">
        <v>138</v>
      </c>
      <c r="C1362" t="s">
        <v>715</v>
      </c>
      <c r="D1362" t="s">
        <v>101</v>
      </c>
      <c r="E1362" s="8">
        <v>9419.4699999999993</v>
      </c>
      <c r="F1362" s="9">
        <v>45593.666684444448</v>
      </c>
      <c r="G1362" t="s">
        <v>140</v>
      </c>
      <c r="I1362" t="s">
        <v>77</v>
      </c>
      <c r="J1362" t="str">
        <f t="shared" si="168"/>
        <v/>
      </c>
      <c r="K1362" t="str">
        <f t="shared" si="169"/>
        <v/>
      </c>
      <c r="L1362" t="str">
        <f t="shared" si="170"/>
        <v/>
      </c>
      <c r="M1362" t="str">
        <f t="shared" si="171"/>
        <v/>
      </c>
      <c r="N1362" t="str">
        <f t="shared" si="172"/>
        <v>Invalid</v>
      </c>
      <c r="O1362" t="str">
        <f t="shared" ca="1" si="173"/>
        <v>Outdated</v>
      </c>
      <c r="P1362" t="str">
        <f t="shared" si="174"/>
        <v>Damaged</v>
      </c>
      <c r="Q1362" t="str">
        <f t="shared" si="175"/>
        <v/>
      </c>
    </row>
    <row r="1363" spans="1:17" x14ac:dyDescent="0.45">
      <c r="A1363" t="s">
        <v>2123</v>
      </c>
      <c r="B1363" t="s">
        <v>172</v>
      </c>
      <c r="C1363" t="s">
        <v>568</v>
      </c>
      <c r="D1363" t="s">
        <v>155</v>
      </c>
      <c r="E1363" s="8">
        <v>7660.1</v>
      </c>
      <c r="F1363" s="9">
        <v>45505.666684444448</v>
      </c>
      <c r="H1363" t="s">
        <v>87</v>
      </c>
      <c r="I1363" t="s">
        <v>82</v>
      </c>
      <c r="J1363" t="str">
        <f t="shared" si="168"/>
        <v/>
      </c>
      <c r="K1363" t="str">
        <f t="shared" si="169"/>
        <v/>
      </c>
      <c r="L1363" t="str">
        <f t="shared" si="170"/>
        <v/>
      </c>
      <c r="M1363" t="str">
        <f t="shared" si="171"/>
        <v>Invalid</v>
      </c>
      <c r="N1363" t="str">
        <f t="shared" si="172"/>
        <v>Invalid</v>
      </c>
      <c r="O1363" t="str">
        <f t="shared" ca="1" si="173"/>
        <v>Outdated</v>
      </c>
      <c r="P1363" t="str">
        <f t="shared" si="174"/>
        <v>Damaged</v>
      </c>
      <c r="Q1363" t="str">
        <f t="shared" si="175"/>
        <v>Inconsistent</v>
      </c>
    </row>
    <row r="1364" spans="1:17" x14ac:dyDescent="0.45">
      <c r="A1364" t="s">
        <v>2124</v>
      </c>
      <c r="B1364" t="s">
        <v>138</v>
      </c>
      <c r="C1364" t="s">
        <v>2125</v>
      </c>
      <c r="D1364" t="s">
        <v>74</v>
      </c>
      <c r="E1364" s="8">
        <v>11449.13</v>
      </c>
      <c r="F1364" s="9">
        <v>45816.666684444448</v>
      </c>
      <c r="G1364" t="s">
        <v>140</v>
      </c>
      <c r="H1364" t="s">
        <v>136</v>
      </c>
      <c r="I1364" t="s">
        <v>163</v>
      </c>
      <c r="J1364" t="str">
        <f t="shared" si="168"/>
        <v/>
      </c>
      <c r="K1364" t="str">
        <f t="shared" si="169"/>
        <v/>
      </c>
      <c r="L1364" t="str">
        <f t="shared" si="170"/>
        <v>Unusual</v>
      </c>
      <c r="M1364" t="str">
        <f t="shared" si="171"/>
        <v/>
      </c>
      <c r="N1364" t="str">
        <f t="shared" si="172"/>
        <v>Invalid</v>
      </c>
      <c r="O1364" t="str">
        <f t="shared" ca="1" si="173"/>
        <v>Outdated</v>
      </c>
      <c r="P1364" t="str">
        <f t="shared" si="174"/>
        <v>Wrong Item</v>
      </c>
      <c r="Q1364" t="str">
        <f t="shared" si="175"/>
        <v/>
      </c>
    </row>
    <row r="1365" spans="1:17" x14ac:dyDescent="0.45">
      <c r="A1365" t="s">
        <v>1448</v>
      </c>
      <c r="B1365" t="s">
        <v>99</v>
      </c>
      <c r="C1365" t="s">
        <v>201</v>
      </c>
      <c r="D1365" t="s">
        <v>92</v>
      </c>
      <c r="E1365" s="8">
        <v>9643.6200000000008</v>
      </c>
      <c r="F1365" s="9">
        <v>45816.666684444448</v>
      </c>
      <c r="G1365" t="s">
        <v>102</v>
      </c>
      <c r="H1365" t="s">
        <v>145</v>
      </c>
      <c r="I1365" t="s">
        <v>112</v>
      </c>
      <c r="J1365" t="str">
        <f t="shared" si="168"/>
        <v/>
      </c>
      <c r="K1365" t="str">
        <f t="shared" si="169"/>
        <v>Duplicate</v>
      </c>
      <c r="L1365" t="str">
        <f t="shared" si="170"/>
        <v/>
      </c>
      <c r="M1365" t="str">
        <f t="shared" si="171"/>
        <v/>
      </c>
      <c r="N1365" t="str">
        <f t="shared" si="172"/>
        <v/>
      </c>
      <c r="O1365" t="str">
        <f t="shared" ca="1" si="173"/>
        <v>Outdated</v>
      </c>
      <c r="P1365" t="str">
        <f t="shared" si="174"/>
        <v>Not As Described</v>
      </c>
      <c r="Q1365" t="str">
        <f t="shared" si="175"/>
        <v/>
      </c>
    </row>
    <row r="1366" spans="1:17" x14ac:dyDescent="0.45">
      <c r="A1366" t="s">
        <v>2126</v>
      </c>
      <c r="B1366" t="s">
        <v>99</v>
      </c>
      <c r="D1366" t="s">
        <v>85</v>
      </c>
      <c r="E1366" s="8">
        <v>2241.37</v>
      </c>
      <c r="F1366" s="9">
        <v>45396.666684444448</v>
      </c>
      <c r="G1366" t="s">
        <v>102</v>
      </c>
      <c r="H1366" t="s">
        <v>81</v>
      </c>
      <c r="I1366" t="s">
        <v>112</v>
      </c>
      <c r="J1366" t="str">
        <f t="shared" si="168"/>
        <v>Missing</v>
      </c>
      <c r="K1366" t="str">
        <f t="shared" si="169"/>
        <v>Duplicate</v>
      </c>
      <c r="L1366" t="str">
        <f t="shared" si="170"/>
        <v/>
      </c>
      <c r="M1366" t="str">
        <f t="shared" si="171"/>
        <v/>
      </c>
      <c r="N1366" t="str">
        <f t="shared" si="172"/>
        <v/>
      </c>
      <c r="O1366" t="str">
        <f t="shared" ca="1" si="173"/>
        <v>Outdated</v>
      </c>
      <c r="P1366" t="str">
        <f t="shared" si="174"/>
        <v>Late Delivery</v>
      </c>
      <c r="Q1366" t="str">
        <f t="shared" si="175"/>
        <v/>
      </c>
    </row>
    <row r="1367" spans="1:17" x14ac:dyDescent="0.45">
      <c r="A1367" t="s">
        <v>2127</v>
      </c>
      <c r="B1367" t="s">
        <v>95</v>
      </c>
      <c r="C1367" t="s">
        <v>414</v>
      </c>
      <c r="D1367" t="s">
        <v>92</v>
      </c>
      <c r="E1367" s="8">
        <v>6593.87</v>
      </c>
      <c r="F1367" s="9">
        <v>45726.666684444448</v>
      </c>
      <c r="G1367" t="s">
        <v>97</v>
      </c>
      <c r="I1367" t="s">
        <v>163</v>
      </c>
      <c r="J1367" t="str">
        <f t="shared" si="168"/>
        <v/>
      </c>
      <c r="K1367" t="str">
        <f t="shared" si="169"/>
        <v/>
      </c>
      <c r="L1367" t="str">
        <f t="shared" si="170"/>
        <v/>
      </c>
      <c r="M1367" t="str">
        <f t="shared" si="171"/>
        <v/>
      </c>
      <c r="N1367" t="str">
        <f t="shared" si="172"/>
        <v>Invalid</v>
      </c>
      <c r="O1367" t="str">
        <f t="shared" ca="1" si="173"/>
        <v>Outdated</v>
      </c>
      <c r="P1367" t="str">
        <f t="shared" si="174"/>
        <v>Not As Described</v>
      </c>
      <c r="Q1367" t="str">
        <f t="shared" si="175"/>
        <v/>
      </c>
    </row>
    <row r="1368" spans="1:17" x14ac:dyDescent="0.45">
      <c r="A1368" t="s">
        <v>2128</v>
      </c>
      <c r="B1368" t="s">
        <v>172</v>
      </c>
      <c r="C1368" t="s">
        <v>225</v>
      </c>
      <c r="D1368" t="s">
        <v>101</v>
      </c>
      <c r="E1368" s="8">
        <v>7292.51</v>
      </c>
      <c r="F1368" s="9">
        <v>45518.666684444448</v>
      </c>
      <c r="G1368" t="s">
        <v>174</v>
      </c>
      <c r="I1368" t="s">
        <v>88</v>
      </c>
      <c r="J1368" t="str">
        <f t="shared" si="168"/>
        <v/>
      </c>
      <c r="K1368" t="str">
        <f t="shared" si="169"/>
        <v/>
      </c>
      <c r="L1368" t="str">
        <f t="shared" si="170"/>
        <v/>
      </c>
      <c r="M1368" t="str">
        <f t="shared" si="171"/>
        <v/>
      </c>
      <c r="N1368" t="str">
        <f t="shared" si="172"/>
        <v>Invalid</v>
      </c>
      <c r="O1368" t="str">
        <f t="shared" ca="1" si="173"/>
        <v>Outdated</v>
      </c>
      <c r="P1368" t="str">
        <f t="shared" si="174"/>
        <v>Damaged</v>
      </c>
      <c r="Q1368" t="str">
        <f t="shared" si="175"/>
        <v/>
      </c>
    </row>
    <row r="1369" spans="1:17" x14ac:dyDescent="0.45">
      <c r="A1369" t="s">
        <v>2129</v>
      </c>
      <c r="B1369" t="s">
        <v>99</v>
      </c>
      <c r="C1369" t="s">
        <v>1294</v>
      </c>
      <c r="D1369" t="s">
        <v>85</v>
      </c>
      <c r="E1369" s="8">
        <v>3183.76</v>
      </c>
      <c r="F1369" s="9">
        <v>45781.666684444448</v>
      </c>
      <c r="G1369" t="s">
        <v>102</v>
      </c>
      <c r="H1369" t="s">
        <v>145</v>
      </c>
      <c r="I1369" t="s">
        <v>163</v>
      </c>
      <c r="J1369" t="str">
        <f t="shared" si="168"/>
        <v/>
      </c>
      <c r="K1369" t="str">
        <f t="shared" si="169"/>
        <v/>
      </c>
      <c r="L1369" t="str">
        <f t="shared" si="170"/>
        <v/>
      </c>
      <c r="M1369" t="str">
        <f t="shared" si="171"/>
        <v/>
      </c>
      <c r="N1369" t="str">
        <f t="shared" si="172"/>
        <v/>
      </c>
      <c r="O1369" t="str">
        <f t="shared" ca="1" si="173"/>
        <v>Outdated</v>
      </c>
      <c r="P1369" t="str">
        <f t="shared" si="174"/>
        <v>Late Delivery</v>
      </c>
      <c r="Q1369" t="str">
        <f t="shared" si="175"/>
        <v/>
      </c>
    </row>
    <row r="1370" spans="1:17" x14ac:dyDescent="0.45">
      <c r="A1370" t="s">
        <v>2130</v>
      </c>
      <c r="B1370" t="s">
        <v>172</v>
      </c>
      <c r="C1370" t="s">
        <v>1452</v>
      </c>
      <c r="D1370" t="s">
        <v>148</v>
      </c>
      <c r="E1370" s="8">
        <v>8326.14</v>
      </c>
      <c r="F1370" s="9">
        <v>45508.666684444448</v>
      </c>
      <c r="G1370" t="s">
        <v>174</v>
      </c>
      <c r="H1370" t="s">
        <v>128</v>
      </c>
      <c r="I1370" t="s">
        <v>119</v>
      </c>
      <c r="J1370" t="str">
        <f t="shared" si="168"/>
        <v/>
      </c>
      <c r="K1370" t="str">
        <f t="shared" si="169"/>
        <v/>
      </c>
      <c r="L1370" t="str">
        <f t="shared" si="170"/>
        <v/>
      </c>
      <c r="M1370" t="str">
        <f t="shared" si="171"/>
        <v/>
      </c>
      <c r="N1370" t="str">
        <f t="shared" si="172"/>
        <v>Invalid</v>
      </c>
      <c r="O1370" t="str">
        <f t="shared" ca="1" si="173"/>
        <v>Outdated</v>
      </c>
      <c r="P1370" t="str">
        <f t="shared" si="174"/>
        <v>Wrong Item</v>
      </c>
      <c r="Q1370" t="str">
        <f t="shared" si="175"/>
        <v>Inconsistent</v>
      </c>
    </row>
    <row r="1371" spans="1:17" x14ac:dyDescent="0.45">
      <c r="A1371" t="s">
        <v>1922</v>
      </c>
      <c r="B1371" t="s">
        <v>72</v>
      </c>
      <c r="C1371" t="s">
        <v>1025</v>
      </c>
      <c r="D1371" t="s">
        <v>85</v>
      </c>
      <c r="E1371" s="8">
        <v>8248.4699999999993</v>
      </c>
      <c r="F1371" s="9">
        <v>45238.666684444448</v>
      </c>
      <c r="G1371" t="s">
        <v>75</v>
      </c>
      <c r="H1371" t="s">
        <v>107</v>
      </c>
      <c r="I1371" t="s">
        <v>112</v>
      </c>
      <c r="J1371" t="str">
        <f t="shared" si="168"/>
        <v/>
      </c>
      <c r="K1371" t="str">
        <f t="shared" si="169"/>
        <v>Duplicate</v>
      </c>
      <c r="L1371" t="str">
        <f t="shared" si="170"/>
        <v/>
      </c>
      <c r="M1371" t="str">
        <f t="shared" si="171"/>
        <v/>
      </c>
      <c r="N1371" t="str">
        <f t="shared" si="172"/>
        <v/>
      </c>
      <c r="O1371" t="str">
        <f t="shared" ca="1" si="173"/>
        <v>Outdated</v>
      </c>
      <c r="P1371" t="str">
        <f t="shared" si="174"/>
        <v>Late Delivery</v>
      </c>
      <c r="Q1371" t="str">
        <f t="shared" si="175"/>
        <v/>
      </c>
    </row>
    <row r="1372" spans="1:17" x14ac:dyDescent="0.45">
      <c r="A1372" t="s">
        <v>2131</v>
      </c>
      <c r="B1372" t="s">
        <v>104</v>
      </c>
      <c r="C1372" t="s">
        <v>201</v>
      </c>
      <c r="D1372" t="s">
        <v>101</v>
      </c>
      <c r="E1372" s="8">
        <v>3148.89</v>
      </c>
      <c r="F1372" s="9">
        <v>45819.666684444448</v>
      </c>
      <c r="G1372" t="s">
        <v>115</v>
      </c>
      <c r="H1372" t="s">
        <v>76</v>
      </c>
      <c r="I1372" t="s">
        <v>163</v>
      </c>
      <c r="J1372" t="str">
        <f t="shared" si="168"/>
        <v/>
      </c>
      <c r="K1372" t="str">
        <f t="shared" si="169"/>
        <v/>
      </c>
      <c r="L1372" t="str">
        <f t="shared" si="170"/>
        <v/>
      </c>
      <c r="M1372" t="str">
        <f t="shared" si="171"/>
        <v/>
      </c>
      <c r="N1372" t="str">
        <f t="shared" si="172"/>
        <v/>
      </c>
      <c r="O1372" t="str">
        <f t="shared" ca="1" si="173"/>
        <v>Outdated</v>
      </c>
      <c r="P1372" t="str">
        <f t="shared" si="174"/>
        <v>Damaged</v>
      </c>
      <c r="Q1372" t="str">
        <f t="shared" si="175"/>
        <v/>
      </c>
    </row>
    <row r="1373" spans="1:17" x14ac:dyDescent="0.45">
      <c r="A1373" t="s">
        <v>2132</v>
      </c>
      <c r="B1373" t="s">
        <v>109</v>
      </c>
      <c r="C1373" t="s">
        <v>2133</v>
      </c>
      <c r="D1373" t="s">
        <v>85</v>
      </c>
      <c r="E1373" s="8">
        <v>9283.77</v>
      </c>
      <c r="F1373" s="9">
        <v>45367.666684444448</v>
      </c>
      <c r="G1373" t="s">
        <v>111</v>
      </c>
      <c r="H1373" t="s">
        <v>118</v>
      </c>
      <c r="I1373" t="s">
        <v>119</v>
      </c>
      <c r="J1373" t="str">
        <f t="shared" si="168"/>
        <v/>
      </c>
      <c r="K1373" t="str">
        <f t="shared" si="169"/>
        <v/>
      </c>
      <c r="L1373" t="str">
        <f t="shared" si="170"/>
        <v/>
      </c>
      <c r="M1373" t="str">
        <f t="shared" si="171"/>
        <v/>
      </c>
      <c r="N1373" t="str">
        <f t="shared" si="172"/>
        <v>Invalid</v>
      </c>
      <c r="O1373" t="str">
        <f t="shared" ca="1" si="173"/>
        <v>Outdated</v>
      </c>
      <c r="P1373" t="str">
        <f t="shared" si="174"/>
        <v>Late Delivery</v>
      </c>
      <c r="Q1373" t="str">
        <f t="shared" si="175"/>
        <v/>
      </c>
    </row>
    <row r="1374" spans="1:17" x14ac:dyDescent="0.45">
      <c r="A1374" t="s">
        <v>2134</v>
      </c>
      <c r="B1374" t="s">
        <v>99</v>
      </c>
      <c r="C1374" t="s">
        <v>484</v>
      </c>
      <c r="D1374" t="s">
        <v>92</v>
      </c>
      <c r="E1374" s="8">
        <v>7342.85</v>
      </c>
      <c r="F1374" s="9">
        <v>45610.666684444448</v>
      </c>
      <c r="G1374" t="s">
        <v>102</v>
      </c>
      <c r="H1374" t="s">
        <v>145</v>
      </c>
      <c r="I1374" t="s">
        <v>82</v>
      </c>
      <c r="J1374" t="str">
        <f t="shared" si="168"/>
        <v/>
      </c>
      <c r="K1374" t="str">
        <f t="shared" si="169"/>
        <v/>
      </c>
      <c r="L1374" t="str">
        <f t="shared" si="170"/>
        <v/>
      </c>
      <c r="M1374" t="str">
        <f t="shared" si="171"/>
        <v/>
      </c>
      <c r="N1374" t="str">
        <f t="shared" si="172"/>
        <v/>
      </c>
      <c r="O1374" t="str">
        <f t="shared" ca="1" si="173"/>
        <v>Outdated</v>
      </c>
      <c r="P1374" t="str">
        <f t="shared" si="174"/>
        <v>Not As Described</v>
      </c>
      <c r="Q1374" t="str">
        <f t="shared" si="175"/>
        <v/>
      </c>
    </row>
    <row r="1375" spans="1:17" x14ac:dyDescent="0.45">
      <c r="A1375" t="s">
        <v>2135</v>
      </c>
      <c r="B1375" t="s">
        <v>72</v>
      </c>
      <c r="C1375" t="s">
        <v>2136</v>
      </c>
      <c r="D1375" t="s">
        <v>101</v>
      </c>
      <c r="E1375" s="8">
        <v>8423.3700000000008</v>
      </c>
      <c r="F1375" s="9">
        <v>45153.666684444448</v>
      </c>
      <c r="G1375" t="s">
        <v>75</v>
      </c>
      <c r="H1375" t="s">
        <v>81</v>
      </c>
      <c r="I1375" t="s">
        <v>163</v>
      </c>
      <c r="J1375" t="str">
        <f t="shared" si="168"/>
        <v/>
      </c>
      <c r="K1375" t="str">
        <f t="shared" si="169"/>
        <v/>
      </c>
      <c r="L1375" t="str">
        <f t="shared" si="170"/>
        <v/>
      </c>
      <c r="M1375" t="str">
        <f t="shared" si="171"/>
        <v/>
      </c>
      <c r="N1375" t="str">
        <f t="shared" si="172"/>
        <v/>
      </c>
      <c r="O1375" t="str">
        <f t="shared" ca="1" si="173"/>
        <v>Outdated</v>
      </c>
      <c r="P1375" t="str">
        <f t="shared" si="174"/>
        <v>Damaged</v>
      </c>
      <c r="Q1375" t="str">
        <f t="shared" si="175"/>
        <v/>
      </c>
    </row>
    <row r="1376" spans="1:17" x14ac:dyDescent="0.45">
      <c r="A1376" t="s">
        <v>2137</v>
      </c>
      <c r="B1376" t="s">
        <v>138</v>
      </c>
      <c r="C1376" t="s">
        <v>601</v>
      </c>
      <c r="D1376" t="s">
        <v>155</v>
      </c>
      <c r="E1376" s="8">
        <v>8258.7999999999993</v>
      </c>
      <c r="F1376" s="9">
        <v>45762.666684444448</v>
      </c>
      <c r="G1376" t="s">
        <v>194</v>
      </c>
      <c r="H1376" t="s">
        <v>136</v>
      </c>
      <c r="I1376" t="s">
        <v>163</v>
      </c>
      <c r="J1376" t="str">
        <f t="shared" si="168"/>
        <v/>
      </c>
      <c r="K1376" t="str">
        <f t="shared" si="169"/>
        <v/>
      </c>
      <c r="L1376" t="str">
        <f t="shared" si="170"/>
        <v/>
      </c>
      <c r="M1376" t="str">
        <f t="shared" si="171"/>
        <v>Invalid</v>
      </c>
      <c r="N1376" t="str">
        <f t="shared" si="172"/>
        <v>Invalid</v>
      </c>
      <c r="O1376" t="str">
        <f t="shared" ca="1" si="173"/>
        <v>Outdated</v>
      </c>
      <c r="P1376" t="str">
        <f t="shared" si="174"/>
        <v>Damaged</v>
      </c>
      <c r="Q1376" t="str">
        <f t="shared" si="175"/>
        <v>Inconsistent</v>
      </c>
    </row>
    <row r="1377" spans="1:17" x14ac:dyDescent="0.45">
      <c r="A1377" t="s">
        <v>2138</v>
      </c>
      <c r="B1377" t="s">
        <v>109</v>
      </c>
      <c r="C1377" t="s">
        <v>2139</v>
      </c>
      <c r="D1377" t="s">
        <v>101</v>
      </c>
      <c r="E1377" s="8">
        <v>5503.9</v>
      </c>
      <c r="F1377" s="9">
        <v>45702.666684444448</v>
      </c>
      <c r="G1377" t="s">
        <v>111</v>
      </c>
      <c r="H1377" t="s">
        <v>107</v>
      </c>
      <c r="I1377" t="s">
        <v>77</v>
      </c>
      <c r="J1377" t="str">
        <f t="shared" si="168"/>
        <v/>
      </c>
      <c r="K1377" t="str">
        <f t="shared" si="169"/>
        <v/>
      </c>
      <c r="L1377" t="str">
        <f t="shared" si="170"/>
        <v/>
      </c>
      <c r="M1377" t="str">
        <f t="shared" si="171"/>
        <v/>
      </c>
      <c r="N1377" t="str">
        <f t="shared" si="172"/>
        <v/>
      </c>
      <c r="O1377" t="str">
        <f t="shared" ca="1" si="173"/>
        <v>Outdated</v>
      </c>
      <c r="P1377" t="str">
        <f t="shared" si="174"/>
        <v>Damaged</v>
      </c>
      <c r="Q1377" t="str">
        <f t="shared" si="175"/>
        <v/>
      </c>
    </row>
    <row r="1378" spans="1:17" x14ac:dyDescent="0.45">
      <c r="A1378" t="s">
        <v>435</v>
      </c>
      <c r="B1378" t="s">
        <v>172</v>
      </c>
      <c r="C1378" t="s">
        <v>2140</v>
      </c>
      <c r="D1378" t="s">
        <v>85</v>
      </c>
      <c r="E1378" s="8">
        <v>8157.73</v>
      </c>
      <c r="F1378" s="9">
        <v>45463.666684444448</v>
      </c>
      <c r="G1378" t="s">
        <v>174</v>
      </c>
      <c r="H1378" t="s">
        <v>76</v>
      </c>
      <c r="I1378" t="s">
        <v>77</v>
      </c>
      <c r="J1378" t="str">
        <f t="shared" si="168"/>
        <v/>
      </c>
      <c r="K1378" t="str">
        <f t="shared" si="169"/>
        <v>Duplicate</v>
      </c>
      <c r="L1378" t="str">
        <f t="shared" si="170"/>
        <v/>
      </c>
      <c r="M1378" t="str">
        <f t="shared" si="171"/>
        <v/>
      </c>
      <c r="N1378" t="str">
        <f t="shared" si="172"/>
        <v/>
      </c>
      <c r="O1378" t="str">
        <f t="shared" ca="1" si="173"/>
        <v>Outdated</v>
      </c>
      <c r="P1378" t="str">
        <f t="shared" si="174"/>
        <v>Late Delivery</v>
      </c>
      <c r="Q1378" t="str">
        <f t="shared" si="175"/>
        <v/>
      </c>
    </row>
    <row r="1379" spans="1:17" x14ac:dyDescent="0.45">
      <c r="A1379" t="s">
        <v>2141</v>
      </c>
      <c r="B1379" t="s">
        <v>109</v>
      </c>
      <c r="C1379" t="s">
        <v>2142</v>
      </c>
      <c r="D1379" t="s">
        <v>92</v>
      </c>
      <c r="E1379" s="8">
        <v>7499.31</v>
      </c>
      <c r="F1379" s="9">
        <v>45752.666684444448</v>
      </c>
      <c r="H1379" t="s">
        <v>128</v>
      </c>
      <c r="I1379" t="s">
        <v>77</v>
      </c>
      <c r="J1379" t="str">
        <f t="shared" si="168"/>
        <v/>
      </c>
      <c r="K1379" t="str">
        <f t="shared" si="169"/>
        <v/>
      </c>
      <c r="L1379" t="str">
        <f t="shared" si="170"/>
        <v/>
      </c>
      <c r="M1379" t="str">
        <f t="shared" si="171"/>
        <v>Invalid</v>
      </c>
      <c r="N1379" t="str">
        <f t="shared" si="172"/>
        <v>Invalid</v>
      </c>
      <c r="O1379" t="str">
        <f t="shared" ca="1" si="173"/>
        <v>Outdated</v>
      </c>
      <c r="P1379" t="str">
        <f t="shared" si="174"/>
        <v>Not As Described</v>
      </c>
      <c r="Q1379" t="str">
        <f t="shared" si="175"/>
        <v/>
      </c>
    </row>
    <row r="1380" spans="1:17" x14ac:dyDescent="0.45">
      <c r="A1380" t="s">
        <v>2143</v>
      </c>
      <c r="B1380" t="s">
        <v>90</v>
      </c>
      <c r="D1380" t="s">
        <v>92</v>
      </c>
      <c r="E1380" s="8">
        <v>0</v>
      </c>
      <c r="F1380" s="9">
        <v>45354.666684444448</v>
      </c>
      <c r="G1380" t="s">
        <v>93</v>
      </c>
      <c r="I1380" t="s">
        <v>163</v>
      </c>
      <c r="J1380" t="str">
        <f t="shared" si="168"/>
        <v>Missing</v>
      </c>
      <c r="K1380" t="str">
        <f t="shared" si="169"/>
        <v/>
      </c>
      <c r="L1380" t="str">
        <f t="shared" si="170"/>
        <v>Unusual</v>
      </c>
      <c r="M1380" t="str">
        <f t="shared" si="171"/>
        <v/>
      </c>
      <c r="N1380" t="str">
        <f t="shared" si="172"/>
        <v>Invalid</v>
      </c>
      <c r="O1380" t="str">
        <f t="shared" ca="1" si="173"/>
        <v>Outdated</v>
      </c>
      <c r="P1380" t="str">
        <f t="shared" si="174"/>
        <v>Not As Described</v>
      </c>
      <c r="Q1380" t="str">
        <f t="shared" si="175"/>
        <v/>
      </c>
    </row>
    <row r="1381" spans="1:17" x14ac:dyDescent="0.45">
      <c r="A1381" t="s">
        <v>2144</v>
      </c>
      <c r="B1381" t="s">
        <v>95</v>
      </c>
      <c r="C1381" t="s">
        <v>840</v>
      </c>
      <c r="D1381" t="s">
        <v>148</v>
      </c>
      <c r="E1381" s="8">
        <v>9489.2800000000007</v>
      </c>
      <c r="F1381" s="9">
        <v>45791.666684444448</v>
      </c>
      <c r="G1381" t="s">
        <v>336</v>
      </c>
      <c r="H1381" t="s">
        <v>133</v>
      </c>
      <c r="I1381" t="s">
        <v>119</v>
      </c>
      <c r="J1381" t="str">
        <f t="shared" si="168"/>
        <v/>
      </c>
      <c r="K1381" t="str">
        <f t="shared" si="169"/>
        <v/>
      </c>
      <c r="L1381" t="str">
        <f t="shared" si="170"/>
        <v/>
      </c>
      <c r="M1381" t="str">
        <f t="shared" si="171"/>
        <v>Invalid</v>
      </c>
      <c r="N1381" t="str">
        <f t="shared" si="172"/>
        <v>Invalid</v>
      </c>
      <c r="O1381" t="str">
        <f t="shared" ca="1" si="173"/>
        <v>Outdated</v>
      </c>
      <c r="P1381" t="str">
        <f t="shared" si="174"/>
        <v>Wrong Item</v>
      </c>
      <c r="Q1381" t="str">
        <f t="shared" si="175"/>
        <v>Inconsistent</v>
      </c>
    </row>
    <row r="1382" spans="1:17" x14ac:dyDescent="0.45">
      <c r="A1382" t="s">
        <v>2145</v>
      </c>
      <c r="B1382" t="s">
        <v>172</v>
      </c>
      <c r="C1382" t="s">
        <v>2146</v>
      </c>
      <c r="D1382" t="s">
        <v>106</v>
      </c>
      <c r="E1382" s="8">
        <v>6753.75</v>
      </c>
      <c r="F1382" s="9">
        <v>45192.666684444448</v>
      </c>
      <c r="G1382" t="s">
        <v>174</v>
      </c>
      <c r="H1382" t="s">
        <v>145</v>
      </c>
      <c r="I1382" t="s">
        <v>82</v>
      </c>
      <c r="J1382" t="str">
        <f t="shared" si="168"/>
        <v/>
      </c>
      <c r="K1382" t="str">
        <f t="shared" si="169"/>
        <v/>
      </c>
      <c r="L1382" t="str">
        <f t="shared" si="170"/>
        <v/>
      </c>
      <c r="M1382" t="str">
        <f t="shared" si="171"/>
        <v/>
      </c>
      <c r="N1382" t="str">
        <f t="shared" si="172"/>
        <v/>
      </c>
      <c r="O1382" t="str">
        <f t="shared" ca="1" si="173"/>
        <v>Outdated</v>
      </c>
      <c r="P1382" t="str">
        <f t="shared" si="174"/>
        <v>Damaged</v>
      </c>
      <c r="Q1382" t="str">
        <f t="shared" si="175"/>
        <v>Inconsistent</v>
      </c>
    </row>
    <row r="1383" spans="1:17" x14ac:dyDescent="0.45">
      <c r="A1383" t="s">
        <v>2147</v>
      </c>
      <c r="B1383" t="s">
        <v>72</v>
      </c>
      <c r="C1383" t="s">
        <v>130</v>
      </c>
      <c r="D1383" t="s">
        <v>101</v>
      </c>
      <c r="E1383" s="8">
        <v>0</v>
      </c>
      <c r="F1383" s="9">
        <v>45778.666684444448</v>
      </c>
      <c r="G1383" t="s">
        <v>521</v>
      </c>
      <c r="H1383" t="s">
        <v>116</v>
      </c>
      <c r="I1383" t="s">
        <v>112</v>
      </c>
      <c r="J1383" t="str">
        <f t="shared" si="168"/>
        <v/>
      </c>
      <c r="K1383" t="str">
        <f t="shared" si="169"/>
        <v/>
      </c>
      <c r="L1383" t="str">
        <f t="shared" si="170"/>
        <v>Unusual</v>
      </c>
      <c r="M1383" t="str">
        <f t="shared" si="171"/>
        <v>Invalid</v>
      </c>
      <c r="N1383" t="str">
        <f t="shared" si="172"/>
        <v/>
      </c>
      <c r="O1383" t="str">
        <f t="shared" ca="1" si="173"/>
        <v>Outdated</v>
      </c>
      <c r="P1383" t="str">
        <f t="shared" si="174"/>
        <v>Damaged</v>
      </c>
      <c r="Q1383" t="str">
        <f t="shared" si="175"/>
        <v/>
      </c>
    </row>
    <row r="1384" spans="1:17" x14ac:dyDescent="0.45">
      <c r="A1384" t="s">
        <v>2148</v>
      </c>
      <c r="B1384" t="s">
        <v>99</v>
      </c>
      <c r="C1384" t="s">
        <v>1231</v>
      </c>
      <c r="D1384" t="s">
        <v>74</v>
      </c>
      <c r="E1384" s="8">
        <v>0</v>
      </c>
      <c r="F1384" s="9">
        <v>45603.666684444448</v>
      </c>
      <c r="G1384" t="s">
        <v>102</v>
      </c>
      <c r="H1384" t="s">
        <v>133</v>
      </c>
      <c r="I1384" t="s">
        <v>88</v>
      </c>
      <c r="J1384" t="str">
        <f t="shared" si="168"/>
        <v/>
      </c>
      <c r="K1384" t="str">
        <f t="shared" si="169"/>
        <v/>
      </c>
      <c r="L1384" t="str">
        <f t="shared" si="170"/>
        <v>Unusual</v>
      </c>
      <c r="M1384" t="str">
        <f t="shared" si="171"/>
        <v/>
      </c>
      <c r="N1384" t="str">
        <f t="shared" si="172"/>
        <v>Invalid</v>
      </c>
      <c r="O1384" t="str">
        <f t="shared" ca="1" si="173"/>
        <v>Outdated</v>
      </c>
      <c r="P1384" t="str">
        <f t="shared" si="174"/>
        <v>Wrong Item</v>
      </c>
      <c r="Q1384" t="str">
        <f t="shared" si="175"/>
        <v/>
      </c>
    </row>
    <row r="1385" spans="1:17" x14ac:dyDescent="0.45">
      <c r="A1385" t="s">
        <v>2149</v>
      </c>
      <c r="B1385" t="s">
        <v>172</v>
      </c>
      <c r="C1385" t="s">
        <v>259</v>
      </c>
      <c r="D1385" t="s">
        <v>74</v>
      </c>
      <c r="E1385" s="8">
        <v>8276.42</v>
      </c>
      <c r="F1385" s="9">
        <v>45845.666684444448</v>
      </c>
      <c r="G1385" t="s">
        <v>174</v>
      </c>
      <c r="H1385" t="s">
        <v>136</v>
      </c>
      <c r="I1385" t="s">
        <v>82</v>
      </c>
      <c r="J1385" t="str">
        <f t="shared" si="168"/>
        <v/>
      </c>
      <c r="K1385" t="str">
        <f t="shared" si="169"/>
        <v/>
      </c>
      <c r="L1385" t="str">
        <f t="shared" si="170"/>
        <v/>
      </c>
      <c r="M1385" t="str">
        <f t="shared" si="171"/>
        <v/>
      </c>
      <c r="N1385" t="str">
        <f t="shared" si="172"/>
        <v>Invalid</v>
      </c>
      <c r="O1385" t="str">
        <f t="shared" ca="1" si="173"/>
        <v/>
      </c>
      <c r="P1385" t="str">
        <f t="shared" si="174"/>
        <v>Wrong Item</v>
      </c>
      <c r="Q1385" t="str">
        <f t="shared" si="175"/>
        <v/>
      </c>
    </row>
    <row r="1386" spans="1:17" x14ac:dyDescent="0.45">
      <c r="A1386" t="s">
        <v>2150</v>
      </c>
      <c r="B1386" t="s">
        <v>79</v>
      </c>
      <c r="C1386" t="s">
        <v>271</v>
      </c>
      <c r="D1386" t="s">
        <v>92</v>
      </c>
      <c r="E1386" s="8">
        <v>6710.23</v>
      </c>
      <c r="F1386" s="9">
        <v>45437.666684444448</v>
      </c>
      <c r="G1386" t="s">
        <v>86</v>
      </c>
      <c r="I1386" t="s">
        <v>82</v>
      </c>
      <c r="J1386" t="str">
        <f t="shared" si="168"/>
        <v/>
      </c>
      <c r="K1386" t="str">
        <f t="shared" si="169"/>
        <v/>
      </c>
      <c r="L1386" t="str">
        <f t="shared" si="170"/>
        <v/>
      </c>
      <c r="M1386" t="str">
        <f t="shared" si="171"/>
        <v/>
      </c>
      <c r="N1386" t="str">
        <f t="shared" si="172"/>
        <v>Invalid</v>
      </c>
      <c r="O1386" t="str">
        <f t="shared" ca="1" si="173"/>
        <v>Outdated</v>
      </c>
      <c r="P1386" t="str">
        <f t="shared" si="174"/>
        <v>Not As Described</v>
      </c>
      <c r="Q1386" t="str">
        <f t="shared" si="175"/>
        <v/>
      </c>
    </row>
    <row r="1387" spans="1:17" x14ac:dyDescent="0.45">
      <c r="A1387" t="s">
        <v>2151</v>
      </c>
      <c r="B1387" t="s">
        <v>90</v>
      </c>
      <c r="C1387" t="s">
        <v>1658</v>
      </c>
      <c r="D1387" t="s">
        <v>148</v>
      </c>
      <c r="E1387" s="8">
        <v>4827.71</v>
      </c>
      <c r="F1387" s="9">
        <v>45792.666684444448</v>
      </c>
      <c r="G1387" t="s">
        <v>93</v>
      </c>
      <c r="H1387" t="s">
        <v>116</v>
      </c>
      <c r="I1387" t="s">
        <v>77</v>
      </c>
      <c r="J1387" t="str">
        <f t="shared" si="168"/>
        <v/>
      </c>
      <c r="K1387" t="str">
        <f t="shared" si="169"/>
        <v/>
      </c>
      <c r="L1387" t="str">
        <f t="shared" si="170"/>
        <v/>
      </c>
      <c r="M1387" t="str">
        <f t="shared" si="171"/>
        <v/>
      </c>
      <c r="N1387" t="str">
        <f t="shared" si="172"/>
        <v/>
      </c>
      <c r="O1387" t="str">
        <f t="shared" ca="1" si="173"/>
        <v>Outdated</v>
      </c>
      <c r="P1387" t="str">
        <f t="shared" si="174"/>
        <v>Wrong Item</v>
      </c>
      <c r="Q1387" t="str">
        <f t="shared" si="175"/>
        <v>Inconsistent</v>
      </c>
    </row>
    <row r="1388" spans="1:17" x14ac:dyDescent="0.45">
      <c r="A1388" t="s">
        <v>2152</v>
      </c>
      <c r="B1388" t="s">
        <v>72</v>
      </c>
      <c r="C1388" t="s">
        <v>1514</v>
      </c>
      <c r="D1388" t="s">
        <v>74</v>
      </c>
      <c r="E1388" s="8">
        <v>1420.25</v>
      </c>
      <c r="F1388" s="9">
        <v>45546.666684444448</v>
      </c>
      <c r="G1388" t="s">
        <v>75</v>
      </c>
      <c r="H1388" t="s">
        <v>76</v>
      </c>
      <c r="I1388" t="s">
        <v>82</v>
      </c>
      <c r="J1388" t="str">
        <f t="shared" si="168"/>
        <v/>
      </c>
      <c r="K1388" t="str">
        <f t="shared" si="169"/>
        <v/>
      </c>
      <c r="L1388" t="str">
        <f t="shared" si="170"/>
        <v/>
      </c>
      <c r="M1388" t="str">
        <f t="shared" si="171"/>
        <v/>
      </c>
      <c r="N1388" t="str">
        <f t="shared" si="172"/>
        <v/>
      </c>
      <c r="O1388" t="str">
        <f t="shared" ca="1" si="173"/>
        <v>Outdated</v>
      </c>
      <c r="P1388" t="str">
        <f t="shared" si="174"/>
        <v>Wrong Item</v>
      </c>
      <c r="Q1388" t="str">
        <f t="shared" si="175"/>
        <v/>
      </c>
    </row>
    <row r="1389" spans="1:17" x14ac:dyDescent="0.45">
      <c r="A1389" t="s">
        <v>2153</v>
      </c>
      <c r="B1389" t="s">
        <v>138</v>
      </c>
      <c r="C1389" t="s">
        <v>361</v>
      </c>
      <c r="D1389" t="s">
        <v>74</v>
      </c>
      <c r="E1389" s="8">
        <v>11130.04</v>
      </c>
      <c r="F1389" s="9">
        <v>45247.666684444448</v>
      </c>
      <c r="G1389" t="s">
        <v>140</v>
      </c>
      <c r="H1389" t="s">
        <v>128</v>
      </c>
      <c r="I1389" t="s">
        <v>82</v>
      </c>
      <c r="J1389" t="str">
        <f t="shared" si="168"/>
        <v/>
      </c>
      <c r="K1389" t="str">
        <f t="shared" si="169"/>
        <v/>
      </c>
      <c r="L1389" t="str">
        <f t="shared" si="170"/>
        <v>Unusual</v>
      </c>
      <c r="M1389" t="str">
        <f t="shared" si="171"/>
        <v/>
      </c>
      <c r="N1389" t="str">
        <f t="shared" si="172"/>
        <v>Invalid</v>
      </c>
      <c r="O1389" t="str">
        <f t="shared" ca="1" si="173"/>
        <v>Outdated</v>
      </c>
      <c r="P1389" t="str">
        <f t="shared" si="174"/>
        <v>Wrong Item</v>
      </c>
      <c r="Q1389" t="str">
        <f t="shared" si="175"/>
        <v/>
      </c>
    </row>
    <row r="1390" spans="1:17" x14ac:dyDescent="0.45">
      <c r="A1390" t="s">
        <v>2154</v>
      </c>
      <c r="B1390" t="s">
        <v>79</v>
      </c>
      <c r="C1390" t="s">
        <v>263</v>
      </c>
      <c r="D1390" t="s">
        <v>74</v>
      </c>
      <c r="E1390" s="8">
        <v>7913.35</v>
      </c>
      <c r="F1390" s="9">
        <v>45271.666684444448</v>
      </c>
      <c r="G1390" t="s">
        <v>86</v>
      </c>
      <c r="H1390" t="s">
        <v>87</v>
      </c>
      <c r="I1390" t="s">
        <v>163</v>
      </c>
      <c r="J1390" t="str">
        <f t="shared" si="168"/>
        <v/>
      </c>
      <c r="K1390" t="str">
        <f t="shared" si="169"/>
        <v/>
      </c>
      <c r="L1390" t="str">
        <f t="shared" si="170"/>
        <v/>
      </c>
      <c r="M1390" t="str">
        <f t="shared" si="171"/>
        <v/>
      </c>
      <c r="N1390" t="str">
        <f t="shared" si="172"/>
        <v>Invalid</v>
      </c>
      <c r="O1390" t="str">
        <f t="shared" ca="1" si="173"/>
        <v>Outdated</v>
      </c>
      <c r="P1390" t="str">
        <f t="shared" si="174"/>
        <v>Wrong Item</v>
      </c>
      <c r="Q1390" t="str">
        <f t="shared" si="175"/>
        <v/>
      </c>
    </row>
    <row r="1391" spans="1:17" x14ac:dyDescent="0.45">
      <c r="A1391" t="s">
        <v>2155</v>
      </c>
      <c r="B1391" t="s">
        <v>172</v>
      </c>
      <c r="C1391" t="s">
        <v>397</v>
      </c>
      <c r="E1391" s="8">
        <v>1081.3599999999999</v>
      </c>
      <c r="F1391" s="9">
        <v>45174.666684444448</v>
      </c>
      <c r="G1391" t="s">
        <v>174</v>
      </c>
      <c r="H1391" t="s">
        <v>136</v>
      </c>
      <c r="I1391" t="s">
        <v>77</v>
      </c>
      <c r="J1391" t="str">
        <f t="shared" si="168"/>
        <v>Missing</v>
      </c>
      <c r="K1391" t="str">
        <f t="shared" si="169"/>
        <v/>
      </c>
      <c r="L1391" t="str">
        <f t="shared" si="170"/>
        <v/>
      </c>
      <c r="M1391" t="str">
        <f t="shared" si="171"/>
        <v/>
      </c>
      <c r="N1391" t="str">
        <f t="shared" si="172"/>
        <v>Invalid</v>
      </c>
      <c r="O1391" t="str">
        <f t="shared" ca="1" si="173"/>
        <v>Outdated</v>
      </c>
      <c r="P1391" t="str">
        <f t="shared" si="174"/>
        <v/>
      </c>
      <c r="Q1391" t="str">
        <f t="shared" si="175"/>
        <v/>
      </c>
    </row>
    <row r="1392" spans="1:17" x14ac:dyDescent="0.45">
      <c r="A1392" t="s">
        <v>2156</v>
      </c>
      <c r="B1392" t="s">
        <v>95</v>
      </c>
      <c r="C1392" t="s">
        <v>229</v>
      </c>
      <c r="D1392" t="s">
        <v>101</v>
      </c>
      <c r="E1392" s="8">
        <v>7401.8</v>
      </c>
      <c r="F1392" s="9">
        <v>45166.666684444448</v>
      </c>
      <c r="G1392" t="s">
        <v>97</v>
      </c>
      <c r="H1392" t="s">
        <v>128</v>
      </c>
      <c r="I1392" t="s">
        <v>112</v>
      </c>
      <c r="J1392" t="str">
        <f t="shared" si="168"/>
        <v/>
      </c>
      <c r="K1392" t="str">
        <f t="shared" si="169"/>
        <v>Duplicate</v>
      </c>
      <c r="L1392" t="str">
        <f t="shared" si="170"/>
        <v/>
      </c>
      <c r="M1392" t="str">
        <f t="shared" si="171"/>
        <v/>
      </c>
      <c r="N1392" t="str">
        <f t="shared" si="172"/>
        <v>Invalid</v>
      </c>
      <c r="O1392" t="str">
        <f t="shared" ca="1" si="173"/>
        <v>Outdated</v>
      </c>
      <c r="P1392" t="str">
        <f t="shared" si="174"/>
        <v>Damaged</v>
      </c>
      <c r="Q1392" t="str">
        <f t="shared" si="175"/>
        <v/>
      </c>
    </row>
    <row r="1393" spans="1:17" x14ac:dyDescent="0.45">
      <c r="A1393" t="s">
        <v>2157</v>
      </c>
      <c r="B1393" t="s">
        <v>79</v>
      </c>
      <c r="C1393" t="s">
        <v>1367</v>
      </c>
      <c r="D1393" t="s">
        <v>101</v>
      </c>
      <c r="E1393" s="8">
        <v>3510.49</v>
      </c>
      <c r="F1393" s="9">
        <v>45439.666684444448</v>
      </c>
      <c r="G1393" t="s">
        <v>86</v>
      </c>
      <c r="H1393" t="s">
        <v>118</v>
      </c>
      <c r="I1393" t="s">
        <v>119</v>
      </c>
      <c r="J1393" t="str">
        <f t="shared" si="168"/>
        <v/>
      </c>
      <c r="K1393" t="str">
        <f t="shared" si="169"/>
        <v/>
      </c>
      <c r="L1393" t="str">
        <f t="shared" si="170"/>
        <v/>
      </c>
      <c r="M1393" t="str">
        <f t="shared" si="171"/>
        <v/>
      </c>
      <c r="N1393" t="str">
        <f t="shared" si="172"/>
        <v>Invalid</v>
      </c>
      <c r="O1393" t="str">
        <f t="shared" ca="1" si="173"/>
        <v>Outdated</v>
      </c>
      <c r="P1393" t="str">
        <f t="shared" si="174"/>
        <v>Damaged</v>
      </c>
      <c r="Q1393" t="str">
        <f t="shared" si="175"/>
        <v/>
      </c>
    </row>
    <row r="1394" spans="1:17" x14ac:dyDescent="0.45">
      <c r="A1394" t="s">
        <v>2158</v>
      </c>
      <c r="B1394" t="s">
        <v>109</v>
      </c>
      <c r="C1394" t="s">
        <v>212</v>
      </c>
      <c r="D1394" t="s">
        <v>85</v>
      </c>
      <c r="E1394" s="8">
        <v>9537.57</v>
      </c>
      <c r="F1394" s="9">
        <v>45632.666684444448</v>
      </c>
      <c r="G1394" t="s">
        <v>111</v>
      </c>
      <c r="H1394" t="s">
        <v>133</v>
      </c>
      <c r="I1394" t="s">
        <v>163</v>
      </c>
      <c r="J1394" t="str">
        <f t="shared" si="168"/>
        <v/>
      </c>
      <c r="K1394" t="str">
        <f t="shared" si="169"/>
        <v/>
      </c>
      <c r="L1394" t="str">
        <f t="shared" si="170"/>
        <v/>
      </c>
      <c r="M1394" t="str">
        <f t="shared" si="171"/>
        <v/>
      </c>
      <c r="N1394" t="str">
        <f t="shared" si="172"/>
        <v>Invalid</v>
      </c>
      <c r="O1394" t="str">
        <f t="shared" ca="1" si="173"/>
        <v>Outdated</v>
      </c>
      <c r="P1394" t="str">
        <f t="shared" si="174"/>
        <v>Late Delivery</v>
      </c>
      <c r="Q1394" t="str">
        <f t="shared" si="175"/>
        <v/>
      </c>
    </row>
    <row r="1395" spans="1:17" x14ac:dyDescent="0.45">
      <c r="A1395" t="s">
        <v>2159</v>
      </c>
      <c r="B1395" t="s">
        <v>172</v>
      </c>
      <c r="C1395" t="s">
        <v>2160</v>
      </c>
      <c r="E1395" s="8">
        <v>6402.26</v>
      </c>
      <c r="F1395" s="9">
        <v>45246.666684444448</v>
      </c>
      <c r="G1395" t="s">
        <v>174</v>
      </c>
      <c r="H1395" t="s">
        <v>128</v>
      </c>
      <c r="I1395" t="s">
        <v>119</v>
      </c>
      <c r="J1395" t="str">
        <f t="shared" si="168"/>
        <v>Missing</v>
      </c>
      <c r="K1395" t="str">
        <f t="shared" si="169"/>
        <v/>
      </c>
      <c r="L1395" t="str">
        <f t="shared" si="170"/>
        <v/>
      </c>
      <c r="M1395" t="str">
        <f t="shared" si="171"/>
        <v/>
      </c>
      <c r="N1395" t="str">
        <f t="shared" si="172"/>
        <v>Invalid</v>
      </c>
      <c r="O1395" t="str">
        <f t="shared" ca="1" si="173"/>
        <v>Outdated</v>
      </c>
      <c r="P1395" t="str">
        <f t="shared" si="174"/>
        <v/>
      </c>
      <c r="Q1395" t="str">
        <f t="shared" si="175"/>
        <v/>
      </c>
    </row>
    <row r="1396" spans="1:17" x14ac:dyDescent="0.45">
      <c r="A1396" t="s">
        <v>2161</v>
      </c>
      <c r="B1396" t="s">
        <v>72</v>
      </c>
      <c r="C1396" t="s">
        <v>1634</v>
      </c>
      <c r="D1396" t="s">
        <v>92</v>
      </c>
      <c r="E1396" s="8">
        <v>10470.89</v>
      </c>
      <c r="F1396" s="9">
        <v>45227.666684444448</v>
      </c>
      <c r="G1396" t="s">
        <v>75</v>
      </c>
      <c r="H1396" t="s">
        <v>133</v>
      </c>
      <c r="I1396" t="s">
        <v>119</v>
      </c>
      <c r="J1396" t="str">
        <f t="shared" si="168"/>
        <v/>
      </c>
      <c r="K1396" t="str">
        <f t="shared" si="169"/>
        <v/>
      </c>
      <c r="L1396" t="str">
        <f t="shared" si="170"/>
        <v>Unusual</v>
      </c>
      <c r="M1396" t="str">
        <f t="shared" si="171"/>
        <v/>
      </c>
      <c r="N1396" t="str">
        <f t="shared" si="172"/>
        <v>Invalid</v>
      </c>
      <c r="O1396" t="str">
        <f t="shared" ca="1" si="173"/>
        <v>Outdated</v>
      </c>
      <c r="P1396" t="str">
        <f t="shared" si="174"/>
        <v>Not As Described</v>
      </c>
      <c r="Q1396" t="str">
        <f t="shared" si="175"/>
        <v/>
      </c>
    </row>
    <row r="1397" spans="1:17" x14ac:dyDescent="0.45">
      <c r="A1397" t="s">
        <v>2162</v>
      </c>
      <c r="B1397" t="s">
        <v>172</v>
      </c>
      <c r="C1397" t="s">
        <v>105</v>
      </c>
      <c r="D1397" t="s">
        <v>85</v>
      </c>
      <c r="E1397" s="8">
        <v>9695.59</v>
      </c>
      <c r="F1397" s="9">
        <v>45368.666684444448</v>
      </c>
      <c r="G1397" t="s">
        <v>236</v>
      </c>
      <c r="H1397" t="s">
        <v>76</v>
      </c>
      <c r="I1397" t="s">
        <v>119</v>
      </c>
      <c r="J1397" t="str">
        <f t="shared" si="168"/>
        <v/>
      </c>
      <c r="K1397" t="str">
        <f t="shared" si="169"/>
        <v/>
      </c>
      <c r="L1397" t="str">
        <f t="shared" si="170"/>
        <v/>
      </c>
      <c r="M1397" t="str">
        <f t="shared" si="171"/>
        <v>Invalid</v>
      </c>
      <c r="N1397" t="str">
        <f t="shared" si="172"/>
        <v/>
      </c>
      <c r="O1397" t="str">
        <f t="shared" ca="1" si="173"/>
        <v>Outdated</v>
      </c>
      <c r="P1397" t="str">
        <f t="shared" si="174"/>
        <v>Late Delivery</v>
      </c>
      <c r="Q1397" t="str">
        <f t="shared" si="175"/>
        <v/>
      </c>
    </row>
    <row r="1398" spans="1:17" x14ac:dyDescent="0.45">
      <c r="A1398" t="s">
        <v>2163</v>
      </c>
      <c r="B1398" t="s">
        <v>95</v>
      </c>
      <c r="C1398" t="s">
        <v>261</v>
      </c>
      <c r="D1398" t="s">
        <v>74</v>
      </c>
      <c r="E1398" s="8">
        <v>1500.94</v>
      </c>
      <c r="F1398" s="9">
        <v>45678.666684444448</v>
      </c>
      <c r="H1398" t="s">
        <v>118</v>
      </c>
      <c r="I1398" t="s">
        <v>112</v>
      </c>
      <c r="J1398" t="str">
        <f t="shared" si="168"/>
        <v/>
      </c>
      <c r="K1398" t="str">
        <f t="shared" si="169"/>
        <v/>
      </c>
      <c r="L1398" t="str">
        <f t="shared" si="170"/>
        <v/>
      </c>
      <c r="M1398" t="str">
        <f t="shared" si="171"/>
        <v>Invalid</v>
      </c>
      <c r="N1398" t="str">
        <f t="shared" si="172"/>
        <v>Invalid</v>
      </c>
      <c r="O1398" t="str">
        <f t="shared" ca="1" si="173"/>
        <v>Outdated</v>
      </c>
      <c r="P1398" t="str">
        <f t="shared" si="174"/>
        <v>Wrong Item</v>
      </c>
      <c r="Q1398" t="str">
        <f t="shared" si="175"/>
        <v/>
      </c>
    </row>
    <row r="1399" spans="1:17" x14ac:dyDescent="0.45">
      <c r="A1399" t="s">
        <v>2164</v>
      </c>
      <c r="B1399" t="s">
        <v>104</v>
      </c>
      <c r="C1399" t="s">
        <v>132</v>
      </c>
      <c r="D1399" t="s">
        <v>85</v>
      </c>
      <c r="E1399" s="8">
        <v>0</v>
      </c>
      <c r="F1399" s="9">
        <v>45266.666684444448</v>
      </c>
      <c r="G1399" t="s">
        <v>115</v>
      </c>
      <c r="H1399" t="s">
        <v>118</v>
      </c>
      <c r="I1399" t="s">
        <v>82</v>
      </c>
      <c r="J1399" t="str">
        <f t="shared" si="168"/>
        <v/>
      </c>
      <c r="K1399" t="str">
        <f t="shared" si="169"/>
        <v/>
      </c>
      <c r="L1399" t="str">
        <f t="shared" si="170"/>
        <v>Unusual</v>
      </c>
      <c r="M1399" t="str">
        <f t="shared" si="171"/>
        <v/>
      </c>
      <c r="N1399" t="str">
        <f t="shared" si="172"/>
        <v>Invalid</v>
      </c>
      <c r="O1399" t="str">
        <f t="shared" ca="1" si="173"/>
        <v>Outdated</v>
      </c>
      <c r="P1399" t="str">
        <f t="shared" si="174"/>
        <v>Late Delivery</v>
      </c>
      <c r="Q1399" t="str">
        <f t="shared" si="175"/>
        <v/>
      </c>
    </row>
    <row r="1400" spans="1:17" x14ac:dyDescent="0.45">
      <c r="A1400" t="s">
        <v>2165</v>
      </c>
      <c r="B1400" t="s">
        <v>109</v>
      </c>
      <c r="C1400" t="s">
        <v>208</v>
      </c>
      <c r="D1400" t="s">
        <v>92</v>
      </c>
      <c r="E1400" s="8">
        <v>2930.8</v>
      </c>
      <c r="F1400" s="9">
        <v>45525.666684444448</v>
      </c>
      <c r="G1400" t="s">
        <v>111</v>
      </c>
      <c r="H1400" t="s">
        <v>128</v>
      </c>
      <c r="I1400" t="s">
        <v>88</v>
      </c>
      <c r="J1400" t="str">
        <f t="shared" si="168"/>
        <v/>
      </c>
      <c r="K1400" t="str">
        <f t="shared" si="169"/>
        <v/>
      </c>
      <c r="L1400" t="str">
        <f t="shared" si="170"/>
        <v/>
      </c>
      <c r="M1400" t="str">
        <f t="shared" si="171"/>
        <v/>
      </c>
      <c r="N1400" t="str">
        <f t="shared" si="172"/>
        <v>Invalid</v>
      </c>
      <c r="O1400" t="str">
        <f t="shared" ca="1" si="173"/>
        <v>Outdated</v>
      </c>
      <c r="P1400" t="str">
        <f t="shared" si="174"/>
        <v>Not As Described</v>
      </c>
      <c r="Q1400" t="str">
        <f t="shared" si="175"/>
        <v/>
      </c>
    </row>
    <row r="1401" spans="1:17" x14ac:dyDescent="0.45">
      <c r="A1401" t="s">
        <v>2166</v>
      </c>
      <c r="B1401" t="s">
        <v>99</v>
      </c>
      <c r="C1401" t="s">
        <v>503</v>
      </c>
      <c r="D1401" t="s">
        <v>106</v>
      </c>
      <c r="E1401" s="8">
        <v>260.87</v>
      </c>
      <c r="F1401" s="9">
        <v>45592.666684444448</v>
      </c>
      <c r="G1401" t="s">
        <v>102</v>
      </c>
      <c r="H1401" t="s">
        <v>133</v>
      </c>
      <c r="I1401" t="s">
        <v>77</v>
      </c>
      <c r="J1401" t="str">
        <f t="shared" si="168"/>
        <v/>
      </c>
      <c r="K1401" t="str">
        <f t="shared" si="169"/>
        <v/>
      </c>
      <c r="L1401" t="str">
        <f t="shared" si="170"/>
        <v/>
      </c>
      <c r="M1401" t="str">
        <f t="shared" si="171"/>
        <v/>
      </c>
      <c r="N1401" t="str">
        <f t="shared" si="172"/>
        <v>Invalid</v>
      </c>
      <c r="O1401" t="str">
        <f t="shared" ca="1" si="173"/>
        <v>Outdated</v>
      </c>
      <c r="P1401" t="str">
        <f t="shared" si="174"/>
        <v>Damaged</v>
      </c>
      <c r="Q1401" t="str">
        <f t="shared" si="175"/>
        <v>Inconsistent</v>
      </c>
    </row>
    <row r="1402" spans="1:17" x14ac:dyDescent="0.45">
      <c r="A1402" t="s">
        <v>2167</v>
      </c>
      <c r="B1402" t="s">
        <v>172</v>
      </c>
      <c r="C1402" t="s">
        <v>1804</v>
      </c>
      <c r="D1402" t="s">
        <v>74</v>
      </c>
      <c r="E1402" s="8">
        <v>4701.26</v>
      </c>
      <c r="F1402" s="9">
        <v>45507.666684444448</v>
      </c>
      <c r="G1402" t="s">
        <v>174</v>
      </c>
      <c r="H1402" t="s">
        <v>133</v>
      </c>
      <c r="I1402" t="s">
        <v>88</v>
      </c>
      <c r="J1402" t="str">
        <f t="shared" si="168"/>
        <v/>
      </c>
      <c r="K1402" t="str">
        <f t="shared" si="169"/>
        <v/>
      </c>
      <c r="L1402" t="str">
        <f t="shared" si="170"/>
        <v/>
      </c>
      <c r="M1402" t="str">
        <f t="shared" si="171"/>
        <v/>
      </c>
      <c r="N1402" t="str">
        <f t="shared" si="172"/>
        <v>Invalid</v>
      </c>
      <c r="O1402" t="str">
        <f t="shared" ca="1" si="173"/>
        <v>Outdated</v>
      </c>
      <c r="P1402" t="str">
        <f t="shared" si="174"/>
        <v>Wrong Item</v>
      </c>
      <c r="Q1402" t="str">
        <f t="shared" si="175"/>
        <v/>
      </c>
    </row>
    <row r="1403" spans="1:17" x14ac:dyDescent="0.45">
      <c r="A1403" t="s">
        <v>2168</v>
      </c>
      <c r="B1403" t="s">
        <v>95</v>
      </c>
      <c r="C1403" t="s">
        <v>1672</v>
      </c>
      <c r="D1403" t="s">
        <v>74</v>
      </c>
      <c r="E1403" s="8">
        <v>8429.01</v>
      </c>
      <c r="F1403" s="9">
        <v>45814.666684444448</v>
      </c>
      <c r="G1403" t="s">
        <v>97</v>
      </c>
      <c r="H1403" t="s">
        <v>133</v>
      </c>
      <c r="I1403" t="s">
        <v>82</v>
      </c>
      <c r="J1403" t="str">
        <f t="shared" si="168"/>
        <v/>
      </c>
      <c r="K1403" t="str">
        <f t="shared" si="169"/>
        <v/>
      </c>
      <c r="L1403" t="str">
        <f t="shared" si="170"/>
        <v/>
      </c>
      <c r="M1403" t="str">
        <f t="shared" si="171"/>
        <v/>
      </c>
      <c r="N1403" t="str">
        <f t="shared" si="172"/>
        <v>Invalid</v>
      </c>
      <c r="O1403" t="str">
        <f t="shared" ca="1" si="173"/>
        <v>Outdated</v>
      </c>
      <c r="P1403" t="str">
        <f t="shared" si="174"/>
        <v>Wrong Item</v>
      </c>
      <c r="Q1403" t="str">
        <f t="shared" si="175"/>
        <v/>
      </c>
    </row>
    <row r="1404" spans="1:17" x14ac:dyDescent="0.45">
      <c r="A1404" t="s">
        <v>2169</v>
      </c>
      <c r="B1404" t="s">
        <v>79</v>
      </c>
      <c r="C1404" t="s">
        <v>1330</v>
      </c>
      <c r="D1404" t="s">
        <v>74</v>
      </c>
      <c r="E1404" s="8">
        <v>11815.73</v>
      </c>
      <c r="F1404" s="9">
        <v>45841.666684444448</v>
      </c>
      <c r="G1404" t="s">
        <v>86</v>
      </c>
      <c r="H1404" t="s">
        <v>107</v>
      </c>
      <c r="I1404" t="s">
        <v>82</v>
      </c>
      <c r="J1404" t="str">
        <f t="shared" si="168"/>
        <v/>
      </c>
      <c r="K1404" t="str">
        <f t="shared" si="169"/>
        <v/>
      </c>
      <c r="L1404" t="str">
        <f t="shared" si="170"/>
        <v>Unusual</v>
      </c>
      <c r="M1404" t="str">
        <f t="shared" si="171"/>
        <v/>
      </c>
      <c r="N1404" t="str">
        <f t="shared" si="172"/>
        <v/>
      </c>
      <c r="O1404" t="str">
        <f t="shared" ca="1" si="173"/>
        <v>Outdated</v>
      </c>
      <c r="P1404" t="str">
        <f t="shared" si="174"/>
        <v>Wrong Item</v>
      </c>
      <c r="Q1404" t="str">
        <f t="shared" si="175"/>
        <v/>
      </c>
    </row>
    <row r="1405" spans="1:17" x14ac:dyDescent="0.45">
      <c r="A1405" t="s">
        <v>2170</v>
      </c>
      <c r="B1405" t="s">
        <v>79</v>
      </c>
      <c r="C1405" t="s">
        <v>1325</v>
      </c>
      <c r="D1405" t="s">
        <v>101</v>
      </c>
      <c r="E1405" s="8">
        <v>5156.84</v>
      </c>
      <c r="F1405" s="9">
        <v>45681.666684444448</v>
      </c>
      <c r="G1405" t="s">
        <v>86</v>
      </c>
      <c r="I1405" t="s">
        <v>112</v>
      </c>
      <c r="J1405" t="str">
        <f t="shared" si="168"/>
        <v/>
      </c>
      <c r="K1405" t="str">
        <f t="shared" si="169"/>
        <v/>
      </c>
      <c r="L1405" t="str">
        <f t="shared" si="170"/>
        <v/>
      </c>
      <c r="M1405" t="str">
        <f t="shared" si="171"/>
        <v/>
      </c>
      <c r="N1405" t="str">
        <f t="shared" si="172"/>
        <v>Invalid</v>
      </c>
      <c r="O1405" t="str">
        <f t="shared" ca="1" si="173"/>
        <v>Outdated</v>
      </c>
      <c r="P1405" t="str">
        <f t="shared" si="174"/>
        <v>Damaged</v>
      </c>
      <c r="Q1405" t="str">
        <f t="shared" si="175"/>
        <v/>
      </c>
    </row>
    <row r="1406" spans="1:17" x14ac:dyDescent="0.45">
      <c r="A1406" t="s">
        <v>2171</v>
      </c>
      <c r="B1406" t="s">
        <v>72</v>
      </c>
      <c r="C1406" t="s">
        <v>442</v>
      </c>
      <c r="E1406" s="8">
        <v>5004.6400000000003</v>
      </c>
      <c r="F1406" s="9">
        <v>45557.666684444448</v>
      </c>
      <c r="G1406" t="s">
        <v>75</v>
      </c>
      <c r="H1406" t="s">
        <v>87</v>
      </c>
      <c r="I1406" t="s">
        <v>88</v>
      </c>
      <c r="J1406" t="str">
        <f t="shared" si="168"/>
        <v>Missing</v>
      </c>
      <c r="K1406" t="str">
        <f t="shared" si="169"/>
        <v/>
      </c>
      <c r="L1406" t="str">
        <f t="shared" si="170"/>
        <v/>
      </c>
      <c r="M1406" t="str">
        <f t="shared" si="171"/>
        <v/>
      </c>
      <c r="N1406" t="str">
        <f t="shared" si="172"/>
        <v>Invalid</v>
      </c>
      <c r="O1406" t="str">
        <f t="shared" ca="1" si="173"/>
        <v>Outdated</v>
      </c>
      <c r="P1406" t="str">
        <f t="shared" si="174"/>
        <v/>
      </c>
      <c r="Q1406" t="str">
        <f t="shared" si="175"/>
        <v/>
      </c>
    </row>
    <row r="1407" spans="1:17" x14ac:dyDescent="0.45">
      <c r="A1407" t="s">
        <v>2172</v>
      </c>
      <c r="B1407" t="s">
        <v>109</v>
      </c>
      <c r="C1407" t="s">
        <v>661</v>
      </c>
      <c r="D1407" t="s">
        <v>74</v>
      </c>
      <c r="E1407" s="8">
        <v>5877.94</v>
      </c>
      <c r="F1407" s="9">
        <v>45729.666684444448</v>
      </c>
      <c r="G1407" t="s">
        <v>111</v>
      </c>
      <c r="H1407" t="s">
        <v>136</v>
      </c>
      <c r="I1407" t="s">
        <v>163</v>
      </c>
      <c r="J1407" t="str">
        <f t="shared" si="168"/>
        <v/>
      </c>
      <c r="K1407" t="str">
        <f t="shared" si="169"/>
        <v>Duplicate</v>
      </c>
      <c r="L1407" t="str">
        <f t="shared" si="170"/>
        <v/>
      </c>
      <c r="M1407" t="str">
        <f t="shared" si="171"/>
        <v/>
      </c>
      <c r="N1407" t="str">
        <f t="shared" si="172"/>
        <v>Invalid</v>
      </c>
      <c r="O1407" t="str">
        <f t="shared" ca="1" si="173"/>
        <v>Outdated</v>
      </c>
      <c r="P1407" t="str">
        <f t="shared" si="174"/>
        <v>Wrong Item</v>
      </c>
      <c r="Q1407" t="str">
        <f t="shared" si="175"/>
        <v/>
      </c>
    </row>
    <row r="1408" spans="1:17" x14ac:dyDescent="0.45">
      <c r="A1408" t="s">
        <v>2173</v>
      </c>
      <c r="B1408" t="s">
        <v>79</v>
      </c>
      <c r="C1408" t="s">
        <v>1148</v>
      </c>
      <c r="D1408" t="s">
        <v>85</v>
      </c>
      <c r="E1408" s="8">
        <v>5188.2700000000004</v>
      </c>
      <c r="F1408" s="9">
        <v>45286.666684444448</v>
      </c>
      <c r="I1408" t="s">
        <v>112</v>
      </c>
      <c r="J1408" t="str">
        <f t="shared" si="168"/>
        <v/>
      </c>
      <c r="K1408" t="str">
        <f t="shared" si="169"/>
        <v/>
      </c>
      <c r="L1408" t="str">
        <f t="shared" si="170"/>
        <v/>
      </c>
      <c r="M1408" t="str">
        <f t="shared" si="171"/>
        <v>Invalid</v>
      </c>
      <c r="N1408" t="str">
        <f t="shared" si="172"/>
        <v>Invalid</v>
      </c>
      <c r="O1408" t="str">
        <f t="shared" ca="1" si="173"/>
        <v>Outdated</v>
      </c>
      <c r="P1408" t="str">
        <f t="shared" si="174"/>
        <v>Late Delivery</v>
      </c>
      <c r="Q1408" t="str">
        <f t="shared" si="175"/>
        <v/>
      </c>
    </row>
    <row r="1409" spans="1:17" x14ac:dyDescent="0.45">
      <c r="A1409" t="s">
        <v>2174</v>
      </c>
      <c r="B1409" t="s">
        <v>99</v>
      </c>
      <c r="C1409" t="s">
        <v>114</v>
      </c>
      <c r="D1409" t="s">
        <v>101</v>
      </c>
      <c r="E1409" s="8">
        <v>11130.74</v>
      </c>
      <c r="F1409" s="9">
        <v>45552.666684444448</v>
      </c>
      <c r="G1409" t="s">
        <v>285</v>
      </c>
      <c r="H1409" t="s">
        <v>136</v>
      </c>
      <c r="I1409" t="s">
        <v>88</v>
      </c>
      <c r="J1409" t="str">
        <f t="shared" si="168"/>
        <v/>
      </c>
      <c r="K1409" t="str">
        <f t="shared" si="169"/>
        <v/>
      </c>
      <c r="L1409" t="str">
        <f t="shared" si="170"/>
        <v>Unusual</v>
      </c>
      <c r="M1409" t="str">
        <f t="shared" si="171"/>
        <v>Invalid</v>
      </c>
      <c r="N1409" t="str">
        <f t="shared" si="172"/>
        <v>Invalid</v>
      </c>
      <c r="O1409" t="str">
        <f t="shared" ca="1" si="173"/>
        <v>Outdated</v>
      </c>
      <c r="P1409" t="str">
        <f t="shared" si="174"/>
        <v>Damaged</v>
      </c>
      <c r="Q1409" t="str">
        <f t="shared" si="175"/>
        <v/>
      </c>
    </row>
    <row r="1410" spans="1:17" x14ac:dyDescent="0.45">
      <c r="A1410" t="s">
        <v>2175</v>
      </c>
      <c r="B1410" t="s">
        <v>104</v>
      </c>
      <c r="C1410" t="s">
        <v>2050</v>
      </c>
      <c r="D1410" t="s">
        <v>74</v>
      </c>
      <c r="E1410" s="8">
        <v>1339.13</v>
      </c>
      <c r="F1410" s="9">
        <v>45798.666684444448</v>
      </c>
      <c r="G1410" t="s">
        <v>115</v>
      </c>
      <c r="H1410" t="s">
        <v>81</v>
      </c>
      <c r="I1410" t="s">
        <v>163</v>
      </c>
      <c r="J1410" t="str">
        <f t="shared" ref="J1410:J1473" si="176">IF(OR(ISBLANK(C1410),ISBLANK(D1410)),"Missing","")</f>
        <v/>
      </c>
      <c r="K1410" t="str">
        <f t="shared" ref="K1410:K1473" si="177">IF(COUNTIF($A$2:$A$2501,A1410)&gt;1,"Duplicate","")</f>
        <v/>
      </c>
      <c r="L1410" t="str">
        <f t="shared" ref="L1410:L1473" si="178">IF(OR(E1410=0,E1410&gt;10000),"Unusual","")</f>
        <v/>
      </c>
      <c r="M1410" t="str">
        <f t="shared" ref="M1410:M1473" si="179">IF(OR(ISBLANK(G1410),ISERROR(FIND("@",G1410)),ISERROR(FIND(".",G1410,FIND("@",G1410)+1))),"Invalid","")</f>
        <v/>
      </c>
      <c r="N1410" t="str">
        <f t="shared" ref="N1410:N1473" si="180">IF(COUNTIF($S$2:$S$6,H1410)=0,"Invalid","")</f>
        <v/>
      </c>
      <c r="O1410" t="str">
        <f t="shared" ref="O1410:O1473" ca="1" si="181">IF(F1410&lt;EDATE(TODAY(),-12),"Outdated","")</f>
        <v>Outdated</v>
      </c>
      <c r="P1410" t="str">
        <f t="shared" ref="P1410:P1473" si="182">IF(ISBLANK(D1410),"",PROPER(TRIM(D1410)))</f>
        <v>Wrong Item</v>
      </c>
      <c r="Q1410" t="str">
        <f t="shared" ref="Q1410:Q1473" si="183">IF(ISBLANK(D1410),"",IF(EXACT(D1410,P1410),"","Inconsistent"))</f>
        <v/>
      </c>
    </row>
    <row r="1411" spans="1:17" x14ac:dyDescent="0.45">
      <c r="A1411" t="s">
        <v>2176</v>
      </c>
      <c r="B1411" t="s">
        <v>104</v>
      </c>
      <c r="D1411" t="s">
        <v>85</v>
      </c>
      <c r="E1411" s="8">
        <v>11966.04</v>
      </c>
      <c r="F1411" s="9">
        <v>45229.666684444448</v>
      </c>
      <c r="G1411" t="s">
        <v>115</v>
      </c>
      <c r="H1411" t="s">
        <v>145</v>
      </c>
      <c r="I1411" t="s">
        <v>112</v>
      </c>
      <c r="J1411" t="str">
        <f t="shared" si="176"/>
        <v>Missing</v>
      </c>
      <c r="K1411" t="str">
        <f t="shared" si="177"/>
        <v/>
      </c>
      <c r="L1411" t="str">
        <f t="shared" si="178"/>
        <v>Unusual</v>
      </c>
      <c r="M1411" t="str">
        <f t="shared" si="179"/>
        <v/>
      </c>
      <c r="N1411" t="str">
        <f t="shared" si="180"/>
        <v/>
      </c>
      <c r="O1411" t="str">
        <f t="shared" ca="1" si="181"/>
        <v>Outdated</v>
      </c>
      <c r="P1411" t="str">
        <f t="shared" si="182"/>
        <v>Late Delivery</v>
      </c>
      <c r="Q1411" t="str">
        <f t="shared" si="183"/>
        <v/>
      </c>
    </row>
    <row r="1412" spans="1:17" x14ac:dyDescent="0.45">
      <c r="A1412" t="s">
        <v>2177</v>
      </c>
      <c r="B1412" t="s">
        <v>72</v>
      </c>
      <c r="C1412" t="s">
        <v>556</v>
      </c>
      <c r="D1412" t="s">
        <v>101</v>
      </c>
      <c r="E1412" s="8">
        <v>4293.42</v>
      </c>
      <c r="F1412" s="9">
        <v>45629.666684444448</v>
      </c>
      <c r="G1412" t="s">
        <v>75</v>
      </c>
      <c r="H1412" t="s">
        <v>145</v>
      </c>
      <c r="I1412" t="s">
        <v>88</v>
      </c>
      <c r="J1412" t="str">
        <f t="shared" si="176"/>
        <v/>
      </c>
      <c r="K1412" t="str">
        <f t="shared" si="177"/>
        <v/>
      </c>
      <c r="L1412" t="str">
        <f t="shared" si="178"/>
        <v/>
      </c>
      <c r="M1412" t="str">
        <f t="shared" si="179"/>
        <v/>
      </c>
      <c r="N1412" t="str">
        <f t="shared" si="180"/>
        <v/>
      </c>
      <c r="O1412" t="str">
        <f t="shared" ca="1" si="181"/>
        <v>Outdated</v>
      </c>
      <c r="P1412" t="str">
        <f t="shared" si="182"/>
        <v>Damaged</v>
      </c>
      <c r="Q1412" t="str">
        <f t="shared" si="183"/>
        <v/>
      </c>
    </row>
    <row r="1413" spans="1:17" x14ac:dyDescent="0.45">
      <c r="A1413" t="s">
        <v>2178</v>
      </c>
      <c r="B1413" t="s">
        <v>172</v>
      </c>
      <c r="C1413" t="s">
        <v>1389</v>
      </c>
      <c r="D1413" t="s">
        <v>101</v>
      </c>
      <c r="E1413" s="8">
        <v>8533.5499999999993</v>
      </c>
      <c r="F1413" s="9">
        <v>45758.666684444448</v>
      </c>
      <c r="G1413" t="s">
        <v>174</v>
      </c>
      <c r="H1413" t="s">
        <v>145</v>
      </c>
      <c r="I1413" t="s">
        <v>77</v>
      </c>
      <c r="J1413" t="str">
        <f t="shared" si="176"/>
        <v/>
      </c>
      <c r="K1413" t="str">
        <f t="shared" si="177"/>
        <v/>
      </c>
      <c r="L1413" t="str">
        <f t="shared" si="178"/>
        <v/>
      </c>
      <c r="M1413" t="str">
        <f t="shared" si="179"/>
        <v/>
      </c>
      <c r="N1413" t="str">
        <f t="shared" si="180"/>
        <v/>
      </c>
      <c r="O1413" t="str">
        <f t="shared" ca="1" si="181"/>
        <v>Outdated</v>
      </c>
      <c r="P1413" t="str">
        <f t="shared" si="182"/>
        <v>Damaged</v>
      </c>
      <c r="Q1413" t="str">
        <f t="shared" si="183"/>
        <v/>
      </c>
    </row>
    <row r="1414" spans="1:17" x14ac:dyDescent="0.45">
      <c r="A1414" t="s">
        <v>2179</v>
      </c>
      <c r="B1414" t="s">
        <v>79</v>
      </c>
      <c r="C1414" t="s">
        <v>233</v>
      </c>
      <c r="D1414" t="s">
        <v>92</v>
      </c>
      <c r="E1414" s="8">
        <v>6972.56</v>
      </c>
      <c r="F1414" s="9">
        <v>45545.666684444448</v>
      </c>
      <c r="G1414" t="s">
        <v>86</v>
      </c>
      <c r="H1414" t="s">
        <v>133</v>
      </c>
      <c r="I1414" t="s">
        <v>163</v>
      </c>
      <c r="J1414" t="str">
        <f t="shared" si="176"/>
        <v/>
      </c>
      <c r="K1414" t="str">
        <f t="shared" si="177"/>
        <v/>
      </c>
      <c r="L1414" t="str">
        <f t="shared" si="178"/>
        <v/>
      </c>
      <c r="M1414" t="str">
        <f t="shared" si="179"/>
        <v/>
      </c>
      <c r="N1414" t="str">
        <f t="shared" si="180"/>
        <v>Invalid</v>
      </c>
      <c r="O1414" t="str">
        <f t="shared" ca="1" si="181"/>
        <v>Outdated</v>
      </c>
      <c r="P1414" t="str">
        <f t="shared" si="182"/>
        <v>Not As Described</v>
      </c>
      <c r="Q1414" t="str">
        <f t="shared" si="183"/>
        <v/>
      </c>
    </row>
    <row r="1415" spans="1:17" x14ac:dyDescent="0.45">
      <c r="A1415" t="s">
        <v>2180</v>
      </c>
      <c r="B1415" t="s">
        <v>95</v>
      </c>
      <c r="C1415" t="s">
        <v>1286</v>
      </c>
      <c r="D1415" t="s">
        <v>85</v>
      </c>
      <c r="E1415" s="8">
        <v>9741.76</v>
      </c>
      <c r="F1415" s="9">
        <v>45414.666684444448</v>
      </c>
      <c r="G1415" t="s">
        <v>336</v>
      </c>
      <c r="H1415" t="s">
        <v>145</v>
      </c>
      <c r="I1415" t="s">
        <v>119</v>
      </c>
      <c r="J1415" t="str">
        <f t="shared" si="176"/>
        <v/>
      </c>
      <c r="K1415" t="str">
        <f t="shared" si="177"/>
        <v/>
      </c>
      <c r="L1415" t="str">
        <f t="shared" si="178"/>
        <v/>
      </c>
      <c r="M1415" t="str">
        <f t="shared" si="179"/>
        <v>Invalid</v>
      </c>
      <c r="N1415" t="str">
        <f t="shared" si="180"/>
        <v/>
      </c>
      <c r="O1415" t="str">
        <f t="shared" ca="1" si="181"/>
        <v>Outdated</v>
      </c>
      <c r="P1415" t="str">
        <f t="shared" si="182"/>
        <v>Late Delivery</v>
      </c>
      <c r="Q1415" t="str">
        <f t="shared" si="183"/>
        <v/>
      </c>
    </row>
    <row r="1416" spans="1:17" x14ac:dyDescent="0.45">
      <c r="A1416" t="s">
        <v>2181</v>
      </c>
      <c r="B1416" t="s">
        <v>138</v>
      </c>
      <c r="C1416" t="s">
        <v>565</v>
      </c>
      <c r="D1416" t="s">
        <v>74</v>
      </c>
      <c r="E1416" s="8">
        <v>8843.9599999999991</v>
      </c>
      <c r="F1416" s="9">
        <v>45161.666684444448</v>
      </c>
      <c r="G1416" t="s">
        <v>140</v>
      </c>
      <c r="H1416" t="s">
        <v>87</v>
      </c>
      <c r="I1416" t="s">
        <v>88</v>
      </c>
      <c r="J1416" t="str">
        <f t="shared" si="176"/>
        <v/>
      </c>
      <c r="K1416" t="str">
        <f t="shared" si="177"/>
        <v/>
      </c>
      <c r="L1416" t="str">
        <f t="shared" si="178"/>
        <v/>
      </c>
      <c r="M1416" t="str">
        <f t="shared" si="179"/>
        <v/>
      </c>
      <c r="N1416" t="str">
        <f t="shared" si="180"/>
        <v>Invalid</v>
      </c>
      <c r="O1416" t="str">
        <f t="shared" ca="1" si="181"/>
        <v>Outdated</v>
      </c>
      <c r="P1416" t="str">
        <f t="shared" si="182"/>
        <v>Wrong Item</v>
      </c>
      <c r="Q1416" t="str">
        <f t="shared" si="183"/>
        <v/>
      </c>
    </row>
    <row r="1417" spans="1:17" x14ac:dyDescent="0.45">
      <c r="A1417" t="s">
        <v>2182</v>
      </c>
      <c r="B1417" t="s">
        <v>104</v>
      </c>
      <c r="C1417" t="s">
        <v>1579</v>
      </c>
      <c r="D1417" t="s">
        <v>106</v>
      </c>
      <c r="E1417" s="8">
        <v>9896.17</v>
      </c>
      <c r="F1417" s="9">
        <v>45834.666684444448</v>
      </c>
      <c r="G1417" t="s">
        <v>115</v>
      </c>
      <c r="H1417" t="s">
        <v>145</v>
      </c>
      <c r="I1417" t="s">
        <v>163</v>
      </c>
      <c r="J1417" t="str">
        <f t="shared" si="176"/>
        <v/>
      </c>
      <c r="K1417" t="str">
        <f t="shared" si="177"/>
        <v/>
      </c>
      <c r="L1417" t="str">
        <f t="shared" si="178"/>
        <v/>
      </c>
      <c r="M1417" t="str">
        <f t="shared" si="179"/>
        <v/>
      </c>
      <c r="N1417" t="str">
        <f t="shared" si="180"/>
        <v/>
      </c>
      <c r="O1417" t="str">
        <f t="shared" ca="1" si="181"/>
        <v>Outdated</v>
      </c>
      <c r="P1417" t="str">
        <f t="shared" si="182"/>
        <v>Damaged</v>
      </c>
      <c r="Q1417" t="str">
        <f t="shared" si="183"/>
        <v>Inconsistent</v>
      </c>
    </row>
    <row r="1418" spans="1:17" x14ac:dyDescent="0.45">
      <c r="A1418" t="s">
        <v>2183</v>
      </c>
      <c r="B1418" t="s">
        <v>72</v>
      </c>
      <c r="D1418" t="s">
        <v>85</v>
      </c>
      <c r="E1418" s="8">
        <v>11164.4</v>
      </c>
      <c r="F1418" s="9">
        <v>45507.666684444448</v>
      </c>
      <c r="G1418" t="s">
        <v>75</v>
      </c>
      <c r="H1418" t="s">
        <v>107</v>
      </c>
      <c r="I1418" t="s">
        <v>112</v>
      </c>
      <c r="J1418" t="str">
        <f t="shared" si="176"/>
        <v>Missing</v>
      </c>
      <c r="K1418" t="str">
        <f t="shared" si="177"/>
        <v/>
      </c>
      <c r="L1418" t="str">
        <f t="shared" si="178"/>
        <v>Unusual</v>
      </c>
      <c r="M1418" t="str">
        <f t="shared" si="179"/>
        <v/>
      </c>
      <c r="N1418" t="str">
        <f t="shared" si="180"/>
        <v/>
      </c>
      <c r="O1418" t="str">
        <f t="shared" ca="1" si="181"/>
        <v>Outdated</v>
      </c>
      <c r="P1418" t="str">
        <f t="shared" si="182"/>
        <v>Late Delivery</v>
      </c>
      <c r="Q1418" t="str">
        <f t="shared" si="183"/>
        <v/>
      </c>
    </row>
    <row r="1419" spans="1:17" x14ac:dyDescent="0.45">
      <c r="A1419" t="s">
        <v>2184</v>
      </c>
      <c r="B1419" t="s">
        <v>172</v>
      </c>
      <c r="C1419" t="s">
        <v>1746</v>
      </c>
      <c r="D1419" t="s">
        <v>92</v>
      </c>
      <c r="E1419" s="8">
        <v>10291.92</v>
      </c>
      <c r="F1419" s="9">
        <v>45350.666684444448</v>
      </c>
      <c r="G1419" t="s">
        <v>174</v>
      </c>
      <c r="H1419" t="s">
        <v>87</v>
      </c>
      <c r="I1419" t="s">
        <v>77</v>
      </c>
      <c r="J1419" t="str">
        <f t="shared" si="176"/>
        <v/>
      </c>
      <c r="K1419" t="str">
        <f t="shared" si="177"/>
        <v/>
      </c>
      <c r="L1419" t="str">
        <f t="shared" si="178"/>
        <v>Unusual</v>
      </c>
      <c r="M1419" t="str">
        <f t="shared" si="179"/>
        <v/>
      </c>
      <c r="N1419" t="str">
        <f t="shared" si="180"/>
        <v>Invalid</v>
      </c>
      <c r="O1419" t="str">
        <f t="shared" ca="1" si="181"/>
        <v>Outdated</v>
      </c>
      <c r="P1419" t="str">
        <f t="shared" si="182"/>
        <v>Not As Described</v>
      </c>
      <c r="Q1419" t="str">
        <f t="shared" si="183"/>
        <v/>
      </c>
    </row>
    <row r="1420" spans="1:17" x14ac:dyDescent="0.45">
      <c r="A1420" t="s">
        <v>2185</v>
      </c>
      <c r="B1420" t="s">
        <v>90</v>
      </c>
      <c r="C1420" t="s">
        <v>932</v>
      </c>
      <c r="D1420" t="s">
        <v>74</v>
      </c>
      <c r="E1420" s="8">
        <v>6174.32</v>
      </c>
      <c r="F1420" s="9">
        <v>45582.666684444448</v>
      </c>
      <c r="G1420" t="s">
        <v>296</v>
      </c>
      <c r="H1420" t="s">
        <v>87</v>
      </c>
      <c r="I1420" t="s">
        <v>163</v>
      </c>
      <c r="J1420" t="str">
        <f t="shared" si="176"/>
        <v/>
      </c>
      <c r="K1420" t="str">
        <f t="shared" si="177"/>
        <v/>
      </c>
      <c r="L1420" t="str">
        <f t="shared" si="178"/>
        <v/>
      </c>
      <c r="M1420" t="str">
        <f t="shared" si="179"/>
        <v>Invalid</v>
      </c>
      <c r="N1420" t="str">
        <f t="shared" si="180"/>
        <v>Invalid</v>
      </c>
      <c r="O1420" t="str">
        <f t="shared" ca="1" si="181"/>
        <v>Outdated</v>
      </c>
      <c r="P1420" t="str">
        <f t="shared" si="182"/>
        <v>Wrong Item</v>
      </c>
      <c r="Q1420" t="str">
        <f t="shared" si="183"/>
        <v/>
      </c>
    </row>
    <row r="1421" spans="1:17" x14ac:dyDescent="0.45">
      <c r="A1421" t="s">
        <v>2186</v>
      </c>
      <c r="B1421" t="s">
        <v>72</v>
      </c>
      <c r="C1421" t="s">
        <v>1443</v>
      </c>
      <c r="D1421" t="s">
        <v>74</v>
      </c>
      <c r="E1421" s="8">
        <v>7921.43</v>
      </c>
      <c r="F1421" s="9">
        <v>45583.666684444448</v>
      </c>
      <c r="G1421" t="s">
        <v>75</v>
      </c>
      <c r="I1421" t="s">
        <v>77</v>
      </c>
      <c r="J1421" t="str">
        <f t="shared" si="176"/>
        <v/>
      </c>
      <c r="K1421" t="str">
        <f t="shared" si="177"/>
        <v/>
      </c>
      <c r="L1421" t="str">
        <f t="shared" si="178"/>
        <v/>
      </c>
      <c r="M1421" t="str">
        <f t="shared" si="179"/>
        <v/>
      </c>
      <c r="N1421" t="str">
        <f t="shared" si="180"/>
        <v>Invalid</v>
      </c>
      <c r="O1421" t="str">
        <f t="shared" ca="1" si="181"/>
        <v>Outdated</v>
      </c>
      <c r="P1421" t="str">
        <f t="shared" si="182"/>
        <v>Wrong Item</v>
      </c>
      <c r="Q1421" t="str">
        <f t="shared" si="183"/>
        <v/>
      </c>
    </row>
    <row r="1422" spans="1:17" x14ac:dyDescent="0.45">
      <c r="A1422" t="s">
        <v>2187</v>
      </c>
      <c r="B1422" t="s">
        <v>95</v>
      </c>
      <c r="C1422" t="s">
        <v>223</v>
      </c>
      <c r="D1422" t="s">
        <v>74</v>
      </c>
      <c r="E1422" s="8">
        <v>8621.3700000000008</v>
      </c>
      <c r="F1422" s="9">
        <v>45369.666684444448</v>
      </c>
      <c r="G1422" t="s">
        <v>97</v>
      </c>
      <c r="H1422" t="s">
        <v>76</v>
      </c>
      <c r="I1422" t="s">
        <v>112</v>
      </c>
      <c r="J1422" t="str">
        <f t="shared" si="176"/>
        <v/>
      </c>
      <c r="K1422" t="str">
        <f t="shared" si="177"/>
        <v/>
      </c>
      <c r="L1422" t="str">
        <f t="shared" si="178"/>
        <v/>
      </c>
      <c r="M1422" t="str">
        <f t="shared" si="179"/>
        <v/>
      </c>
      <c r="N1422" t="str">
        <f t="shared" si="180"/>
        <v/>
      </c>
      <c r="O1422" t="str">
        <f t="shared" ca="1" si="181"/>
        <v>Outdated</v>
      </c>
      <c r="P1422" t="str">
        <f t="shared" si="182"/>
        <v>Wrong Item</v>
      </c>
      <c r="Q1422" t="str">
        <f t="shared" si="183"/>
        <v/>
      </c>
    </row>
    <row r="1423" spans="1:17" x14ac:dyDescent="0.45">
      <c r="A1423" t="s">
        <v>2188</v>
      </c>
      <c r="B1423" t="s">
        <v>138</v>
      </c>
      <c r="C1423" t="s">
        <v>1813</v>
      </c>
      <c r="D1423" t="s">
        <v>74</v>
      </c>
      <c r="E1423" s="8">
        <v>541.39</v>
      </c>
      <c r="F1423" s="9">
        <v>45499.666684444448</v>
      </c>
      <c r="G1423" t="s">
        <v>140</v>
      </c>
      <c r="H1423" t="s">
        <v>118</v>
      </c>
      <c r="I1423" t="s">
        <v>163</v>
      </c>
      <c r="J1423" t="str">
        <f t="shared" si="176"/>
        <v/>
      </c>
      <c r="K1423" t="str">
        <f t="shared" si="177"/>
        <v/>
      </c>
      <c r="L1423" t="str">
        <f t="shared" si="178"/>
        <v/>
      </c>
      <c r="M1423" t="str">
        <f t="shared" si="179"/>
        <v/>
      </c>
      <c r="N1423" t="str">
        <f t="shared" si="180"/>
        <v>Invalid</v>
      </c>
      <c r="O1423" t="str">
        <f t="shared" ca="1" si="181"/>
        <v>Outdated</v>
      </c>
      <c r="P1423" t="str">
        <f t="shared" si="182"/>
        <v>Wrong Item</v>
      </c>
      <c r="Q1423" t="str">
        <f t="shared" si="183"/>
        <v/>
      </c>
    </row>
    <row r="1424" spans="1:17" x14ac:dyDescent="0.45">
      <c r="A1424" t="s">
        <v>1714</v>
      </c>
      <c r="B1424" t="s">
        <v>104</v>
      </c>
      <c r="C1424" t="s">
        <v>2100</v>
      </c>
      <c r="D1424" t="s">
        <v>101</v>
      </c>
      <c r="E1424" s="8">
        <v>8465.8700000000008</v>
      </c>
      <c r="F1424" s="9">
        <v>45229.666684444448</v>
      </c>
      <c r="G1424" t="s">
        <v>115</v>
      </c>
      <c r="H1424" t="s">
        <v>107</v>
      </c>
      <c r="I1424" t="s">
        <v>82</v>
      </c>
      <c r="J1424" t="str">
        <f t="shared" si="176"/>
        <v/>
      </c>
      <c r="K1424" t="str">
        <f t="shared" si="177"/>
        <v>Duplicate</v>
      </c>
      <c r="L1424" t="str">
        <f t="shared" si="178"/>
        <v/>
      </c>
      <c r="M1424" t="str">
        <f t="shared" si="179"/>
        <v/>
      </c>
      <c r="N1424" t="str">
        <f t="shared" si="180"/>
        <v/>
      </c>
      <c r="O1424" t="str">
        <f t="shared" ca="1" si="181"/>
        <v>Outdated</v>
      </c>
      <c r="P1424" t="str">
        <f t="shared" si="182"/>
        <v>Damaged</v>
      </c>
      <c r="Q1424" t="str">
        <f t="shared" si="183"/>
        <v/>
      </c>
    </row>
    <row r="1425" spans="1:17" x14ac:dyDescent="0.45">
      <c r="A1425" t="s">
        <v>2189</v>
      </c>
      <c r="B1425" t="s">
        <v>109</v>
      </c>
      <c r="D1425" t="s">
        <v>155</v>
      </c>
      <c r="E1425" s="8">
        <v>9536.17</v>
      </c>
      <c r="F1425" s="9">
        <v>45830.666684444448</v>
      </c>
      <c r="G1425" t="s">
        <v>111</v>
      </c>
      <c r="H1425" t="s">
        <v>128</v>
      </c>
      <c r="I1425" t="s">
        <v>88</v>
      </c>
      <c r="J1425" t="str">
        <f t="shared" si="176"/>
        <v>Missing</v>
      </c>
      <c r="K1425" t="str">
        <f t="shared" si="177"/>
        <v/>
      </c>
      <c r="L1425" t="str">
        <f t="shared" si="178"/>
        <v/>
      </c>
      <c r="M1425" t="str">
        <f t="shared" si="179"/>
        <v/>
      </c>
      <c r="N1425" t="str">
        <f t="shared" si="180"/>
        <v>Invalid</v>
      </c>
      <c r="O1425" t="str">
        <f t="shared" ca="1" si="181"/>
        <v>Outdated</v>
      </c>
      <c r="P1425" t="str">
        <f t="shared" si="182"/>
        <v>Damaged</v>
      </c>
      <c r="Q1425" t="str">
        <f t="shared" si="183"/>
        <v>Inconsistent</v>
      </c>
    </row>
    <row r="1426" spans="1:17" x14ac:dyDescent="0.45">
      <c r="A1426" t="s">
        <v>649</v>
      </c>
      <c r="B1426" t="s">
        <v>104</v>
      </c>
      <c r="C1426" t="s">
        <v>1977</v>
      </c>
      <c r="D1426" t="s">
        <v>85</v>
      </c>
      <c r="E1426" s="8">
        <v>5293.39</v>
      </c>
      <c r="F1426" s="9">
        <v>45504.666684444448</v>
      </c>
      <c r="G1426" t="s">
        <v>115</v>
      </c>
      <c r="H1426" t="s">
        <v>116</v>
      </c>
      <c r="I1426" t="s">
        <v>112</v>
      </c>
      <c r="J1426" t="str">
        <f t="shared" si="176"/>
        <v/>
      </c>
      <c r="K1426" t="str">
        <f t="shared" si="177"/>
        <v>Duplicate</v>
      </c>
      <c r="L1426" t="str">
        <f t="shared" si="178"/>
        <v/>
      </c>
      <c r="M1426" t="str">
        <f t="shared" si="179"/>
        <v/>
      </c>
      <c r="N1426" t="str">
        <f t="shared" si="180"/>
        <v/>
      </c>
      <c r="O1426" t="str">
        <f t="shared" ca="1" si="181"/>
        <v>Outdated</v>
      </c>
      <c r="P1426" t="str">
        <f t="shared" si="182"/>
        <v>Late Delivery</v>
      </c>
      <c r="Q1426" t="str">
        <f t="shared" si="183"/>
        <v/>
      </c>
    </row>
    <row r="1427" spans="1:17" x14ac:dyDescent="0.45">
      <c r="A1427" t="s">
        <v>2190</v>
      </c>
      <c r="B1427" t="s">
        <v>90</v>
      </c>
      <c r="C1427" t="s">
        <v>105</v>
      </c>
      <c r="D1427" t="s">
        <v>101</v>
      </c>
      <c r="E1427" s="8">
        <v>7500.32</v>
      </c>
      <c r="F1427" s="9">
        <v>45685.666684444448</v>
      </c>
      <c r="G1427" t="s">
        <v>93</v>
      </c>
      <c r="H1427" t="s">
        <v>76</v>
      </c>
      <c r="I1427" t="s">
        <v>163</v>
      </c>
      <c r="J1427" t="str">
        <f t="shared" si="176"/>
        <v/>
      </c>
      <c r="K1427" t="str">
        <f t="shared" si="177"/>
        <v/>
      </c>
      <c r="L1427" t="str">
        <f t="shared" si="178"/>
        <v/>
      </c>
      <c r="M1427" t="str">
        <f t="shared" si="179"/>
        <v/>
      </c>
      <c r="N1427" t="str">
        <f t="shared" si="180"/>
        <v/>
      </c>
      <c r="O1427" t="str">
        <f t="shared" ca="1" si="181"/>
        <v>Outdated</v>
      </c>
      <c r="P1427" t="str">
        <f t="shared" si="182"/>
        <v>Damaged</v>
      </c>
      <c r="Q1427" t="str">
        <f t="shared" si="183"/>
        <v/>
      </c>
    </row>
    <row r="1428" spans="1:17" x14ac:dyDescent="0.45">
      <c r="A1428" t="s">
        <v>2191</v>
      </c>
      <c r="B1428" t="s">
        <v>90</v>
      </c>
      <c r="C1428" t="s">
        <v>743</v>
      </c>
      <c r="D1428" t="s">
        <v>85</v>
      </c>
      <c r="E1428" s="8">
        <v>9629.52</v>
      </c>
      <c r="F1428" s="9">
        <v>45788.666684444448</v>
      </c>
      <c r="G1428" t="s">
        <v>296</v>
      </c>
      <c r="H1428" t="s">
        <v>116</v>
      </c>
      <c r="I1428" t="s">
        <v>112</v>
      </c>
      <c r="J1428" t="str">
        <f t="shared" si="176"/>
        <v/>
      </c>
      <c r="K1428" t="str">
        <f t="shared" si="177"/>
        <v/>
      </c>
      <c r="L1428" t="str">
        <f t="shared" si="178"/>
        <v/>
      </c>
      <c r="M1428" t="str">
        <f t="shared" si="179"/>
        <v>Invalid</v>
      </c>
      <c r="N1428" t="str">
        <f t="shared" si="180"/>
        <v/>
      </c>
      <c r="O1428" t="str">
        <f t="shared" ca="1" si="181"/>
        <v>Outdated</v>
      </c>
      <c r="P1428" t="str">
        <f t="shared" si="182"/>
        <v>Late Delivery</v>
      </c>
      <c r="Q1428" t="str">
        <f t="shared" si="183"/>
        <v/>
      </c>
    </row>
    <row r="1429" spans="1:17" x14ac:dyDescent="0.45">
      <c r="A1429" t="s">
        <v>2192</v>
      </c>
      <c r="B1429" t="s">
        <v>104</v>
      </c>
      <c r="C1429" t="s">
        <v>890</v>
      </c>
      <c r="D1429" t="s">
        <v>74</v>
      </c>
      <c r="E1429" s="8">
        <v>0</v>
      </c>
      <c r="F1429" s="9">
        <v>45495.666684444448</v>
      </c>
      <c r="H1429" t="s">
        <v>107</v>
      </c>
      <c r="I1429" t="s">
        <v>119</v>
      </c>
      <c r="J1429" t="str">
        <f t="shared" si="176"/>
        <v/>
      </c>
      <c r="K1429" t="str">
        <f t="shared" si="177"/>
        <v/>
      </c>
      <c r="L1429" t="str">
        <f t="shared" si="178"/>
        <v>Unusual</v>
      </c>
      <c r="M1429" t="str">
        <f t="shared" si="179"/>
        <v>Invalid</v>
      </c>
      <c r="N1429" t="str">
        <f t="shared" si="180"/>
        <v/>
      </c>
      <c r="O1429" t="str">
        <f t="shared" ca="1" si="181"/>
        <v>Outdated</v>
      </c>
      <c r="P1429" t="str">
        <f t="shared" si="182"/>
        <v>Wrong Item</v>
      </c>
      <c r="Q1429" t="str">
        <f t="shared" si="183"/>
        <v/>
      </c>
    </row>
    <row r="1430" spans="1:17" x14ac:dyDescent="0.45">
      <c r="A1430" t="s">
        <v>2193</v>
      </c>
      <c r="B1430" t="s">
        <v>109</v>
      </c>
      <c r="C1430" t="s">
        <v>1191</v>
      </c>
      <c r="D1430" t="s">
        <v>85</v>
      </c>
      <c r="E1430" s="8">
        <v>416.59</v>
      </c>
      <c r="F1430" s="9">
        <v>45190.666684444448</v>
      </c>
      <c r="G1430" t="s">
        <v>111</v>
      </c>
      <c r="H1430" t="s">
        <v>133</v>
      </c>
      <c r="I1430" t="s">
        <v>77</v>
      </c>
      <c r="J1430" t="str">
        <f t="shared" si="176"/>
        <v/>
      </c>
      <c r="K1430" t="str">
        <f t="shared" si="177"/>
        <v/>
      </c>
      <c r="L1430" t="str">
        <f t="shared" si="178"/>
        <v/>
      </c>
      <c r="M1430" t="str">
        <f t="shared" si="179"/>
        <v/>
      </c>
      <c r="N1430" t="str">
        <f t="shared" si="180"/>
        <v>Invalid</v>
      </c>
      <c r="O1430" t="str">
        <f t="shared" ca="1" si="181"/>
        <v>Outdated</v>
      </c>
      <c r="P1430" t="str">
        <f t="shared" si="182"/>
        <v>Late Delivery</v>
      </c>
      <c r="Q1430" t="str">
        <f t="shared" si="183"/>
        <v/>
      </c>
    </row>
    <row r="1431" spans="1:17" x14ac:dyDescent="0.45">
      <c r="A1431" t="s">
        <v>2194</v>
      </c>
      <c r="B1431" t="s">
        <v>72</v>
      </c>
      <c r="C1431" t="s">
        <v>668</v>
      </c>
      <c r="D1431" t="s">
        <v>85</v>
      </c>
      <c r="E1431" s="8">
        <v>7216.93</v>
      </c>
      <c r="F1431" s="9">
        <v>45535.666684444448</v>
      </c>
      <c r="G1431" t="s">
        <v>75</v>
      </c>
      <c r="H1431" t="s">
        <v>128</v>
      </c>
      <c r="I1431" t="s">
        <v>112</v>
      </c>
      <c r="J1431" t="str">
        <f t="shared" si="176"/>
        <v/>
      </c>
      <c r="K1431" t="str">
        <f t="shared" si="177"/>
        <v/>
      </c>
      <c r="L1431" t="str">
        <f t="shared" si="178"/>
        <v/>
      </c>
      <c r="M1431" t="str">
        <f t="shared" si="179"/>
        <v/>
      </c>
      <c r="N1431" t="str">
        <f t="shared" si="180"/>
        <v>Invalid</v>
      </c>
      <c r="O1431" t="str">
        <f t="shared" ca="1" si="181"/>
        <v>Outdated</v>
      </c>
      <c r="P1431" t="str">
        <f t="shared" si="182"/>
        <v>Late Delivery</v>
      </c>
      <c r="Q1431" t="str">
        <f t="shared" si="183"/>
        <v/>
      </c>
    </row>
    <row r="1432" spans="1:17" x14ac:dyDescent="0.45">
      <c r="A1432" t="s">
        <v>2195</v>
      </c>
      <c r="B1432" t="s">
        <v>109</v>
      </c>
      <c r="C1432" t="s">
        <v>1838</v>
      </c>
      <c r="D1432" t="s">
        <v>92</v>
      </c>
      <c r="E1432" s="8">
        <v>1437.9</v>
      </c>
      <c r="F1432" s="9">
        <v>45410.666684444448</v>
      </c>
      <c r="H1432" t="s">
        <v>118</v>
      </c>
      <c r="I1432" t="s">
        <v>88</v>
      </c>
      <c r="J1432" t="str">
        <f t="shared" si="176"/>
        <v/>
      </c>
      <c r="K1432" t="str">
        <f t="shared" si="177"/>
        <v/>
      </c>
      <c r="L1432" t="str">
        <f t="shared" si="178"/>
        <v/>
      </c>
      <c r="M1432" t="str">
        <f t="shared" si="179"/>
        <v>Invalid</v>
      </c>
      <c r="N1432" t="str">
        <f t="shared" si="180"/>
        <v>Invalid</v>
      </c>
      <c r="O1432" t="str">
        <f t="shared" ca="1" si="181"/>
        <v>Outdated</v>
      </c>
      <c r="P1432" t="str">
        <f t="shared" si="182"/>
        <v>Not As Described</v>
      </c>
      <c r="Q1432" t="str">
        <f t="shared" si="183"/>
        <v/>
      </c>
    </row>
    <row r="1433" spans="1:17" x14ac:dyDescent="0.45">
      <c r="A1433" t="s">
        <v>2196</v>
      </c>
      <c r="B1433" t="s">
        <v>79</v>
      </c>
      <c r="C1433" t="s">
        <v>2197</v>
      </c>
      <c r="D1433" t="s">
        <v>106</v>
      </c>
      <c r="E1433" s="8">
        <v>10930.55</v>
      </c>
      <c r="F1433" s="9">
        <v>45322.666684444448</v>
      </c>
      <c r="G1433" t="s">
        <v>278</v>
      </c>
      <c r="H1433" t="s">
        <v>145</v>
      </c>
      <c r="I1433" t="s">
        <v>119</v>
      </c>
      <c r="J1433" t="str">
        <f t="shared" si="176"/>
        <v/>
      </c>
      <c r="K1433" t="str">
        <f t="shared" si="177"/>
        <v/>
      </c>
      <c r="L1433" t="str">
        <f t="shared" si="178"/>
        <v>Unusual</v>
      </c>
      <c r="M1433" t="str">
        <f t="shared" si="179"/>
        <v>Invalid</v>
      </c>
      <c r="N1433" t="str">
        <f t="shared" si="180"/>
        <v/>
      </c>
      <c r="O1433" t="str">
        <f t="shared" ca="1" si="181"/>
        <v>Outdated</v>
      </c>
      <c r="P1433" t="str">
        <f t="shared" si="182"/>
        <v>Damaged</v>
      </c>
      <c r="Q1433" t="str">
        <f t="shared" si="183"/>
        <v>Inconsistent</v>
      </c>
    </row>
    <row r="1434" spans="1:17" x14ac:dyDescent="0.45">
      <c r="A1434" t="s">
        <v>2198</v>
      </c>
      <c r="B1434" t="s">
        <v>104</v>
      </c>
      <c r="C1434" t="s">
        <v>847</v>
      </c>
      <c r="D1434" t="s">
        <v>101</v>
      </c>
      <c r="E1434" s="8">
        <v>6236.01</v>
      </c>
      <c r="F1434" s="9">
        <v>45253.666684444448</v>
      </c>
      <c r="G1434" t="s">
        <v>115</v>
      </c>
      <c r="I1434" t="s">
        <v>77</v>
      </c>
      <c r="J1434" t="str">
        <f t="shared" si="176"/>
        <v/>
      </c>
      <c r="K1434" t="str">
        <f t="shared" si="177"/>
        <v/>
      </c>
      <c r="L1434" t="str">
        <f t="shared" si="178"/>
        <v/>
      </c>
      <c r="M1434" t="str">
        <f t="shared" si="179"/>
        <v/>
      </c>
      <c r="N1434" t="str">
        <f t="shared" si="180"/>
        <v>Invalid</v>
      </c>
      <c r="O1434" t="str">
        <f t="shared" ca="1" si="181"/>
        <v>Outdated</v>
      </c>
      <c r="P1434" t="str">
        <f t="shared" si="182"/>
        <v>Damaged</v>
      </c>
      <c r="Q1434" t="str">
        <f t="shared" si="183"/>
        <v/>
      </c>
    </row>
    <row r="1435" spans="1:17" x14ac:dyDescent="0.45">
      <c r="A1435" t="s">
        <v>2199</v>
      </c>
      <c r="B1435" t="s">
        <v>104</v>
      </c>
      <c r="C1435" t="s">
        <v>231</v>
      </c>
      <c r="D1435" t="s">
        <v>85</v>
      </c>
      <c r="E1435" s="8">
        <v>6272.33</v>
      </c>
      <c r="F1435" s="9">
        <v>45593.666684444448</v>
      </c>
      <c r="G1435" t="s">
        <v>115</v>
      </c>
      <c r="H1435" t="s">
        <v>81</v>
      </c>
      <c r="I1435" t="s">
        <v>88</v>
      </c>
      <c r="J1435" t="str">
        <f t="shared" si="176"/>
        <v/>
      </c>
      <c r="K1435" t="str">
        <f t="shared" si="177"/>
        <v/>
      </c>
      <c r="L1435" t="str">
        <f t="shared" si="178"/>
        <v/>
      </c>
      <c r="M1435" t="str">
        <f t="shared" si="179"/>
        <v/>
      </c>
      <c r="N1435" t="str">
        <f t="shared" si="180"/>
        <v/>
      </c>
      <c r="O1435" t="str">
        <f t="shared" ca="1" si="181"/>
        <v>Outdated</v>
      </c>
      <c r="P1435" t="str">
        <f t="shared" si="182"/>
        <v>Late Delivery</v>
      </c>
      <c r="Q1435" t="str">
        <f t="shared" si="183"/>
        <v/>
      </c>
    </row>
    <row r="1436" spans="1:17" x14ac:dyDescent="0.45">
      <c r="A1436" t="s">
        <v>2200</v>
      </c>
      <c r="B1436" t="s">
        <v>109</v>
      </c>
      <c r="C1436" t="s">
        <v>880</v>
      </c>
      <c r="D1436" t="s">
        <v>155</v>
      </c>
      <c r="E1436" s="8">
        <v>1496.83</v>
      </c>
      <c r="F1436" s="9">
        <v>45221.666684444448</v>
      </c>
      <c r="H1436" t="s">
        <v>133</v>
      </c>
      <c r="I1436" t="s">
        <v>163</v>
      </c>
      <c r="J1436" t="str">
        <f t="shared" si="176"/>
        <v/>
      </c>
      <c r="K1436" t="str">
        <f t="shared" si="177"/>
        <v/>
      </c>
      <c r="L1436" t="str">
        <f t="shared" si="178"/>
        <v/>
      </c>
      <c r="M1436" t="str">
        <f t="shared" si="179"/>
        <v>Invalid</v>
      </c>
      <c r="N1436" t="str">
        <f t="shared" si="180"/>
        <v>Invalid</v>
      </c>
      <c r="O1436" t="str">
        <f t="shared" ca="1" si="181"/>
        <v>Outdated</v>
      </c>
      <c r="P1436" t="str">
        <f t="shared" si="182"/>
        <v>Damaged</v>
      </c>
      <c r="Q1436" t="str">
        <f t="shared" si="183"/>
        <v>Inconsistent</v>
      </c>
    </row>
    <row r="1437" spans="1:17" x14ac:dyDescent="0.45">
      <c r="A1437" t="s">
        <v>2201</v>
      </c>
      <c r="B1437" t="s">
        <v>99</v>
      </c>
      <c r="C1437" t="s">
        <v>2202</v>
      </c>
      <c r="D1437" t="s">
        <v>92</v>
      </c>
      <c r="E1437" s="8">
        <v>4211.07</v>
      </c>
      <c r="F1437" s="9">
        <v>45806.666684444448</v>
      </c>
      <c r="G1437" t="s">
        <v>102</v>
      </c>
      <c r="H1437" t="s">
        <v>128</v>
      </c>
      <c r="I1437" t="s">
        <v>77</v>
      </c>
      <c r="J1437" t="str">
        <f t="shared" si="176"/>
        <v/>
      </c>
      <c r="K1437" t="str">
        <f t="shared" si="177"/>
        <v/>
      </c>
      <c r="L1437" t="str">
        <f t="shared" si="178"/>
        <v/>
      </c>
      <c r="M1437" t="str">
        <f t="shared" si="179"/>
        <v/>
      </c>
      <c r="N1437" t="str">
        <f t="shared" si="180"/>
        <v>Invalid</v>
      </c>
      <c r="O1437" t="str">
        <f t="shared" ca="1" si="181"/>
        <v>Outdated</v>
      </c>
      <c r="P1437" t="str">
        <f t="shared" si="182"/>
        <v>Not As Described</v>
      </c>
      <c r="Q1437" t="str">
        <f t="shared" si="183"/>
        <v/>
      </c>
    </row>
    <row r="1438" spans="1:17" x14ac:dyDescent="0.45">
      <c r="A1438" t="s">
        <v>2203</v>
      </c>
      <c r="B1438" t="s">
        <v>99</v>
      </c>
      <c r="C1438" t="s">
        <v>875</v>
      </c>
      <c r="D1438" t="s">
        <v>85</v>
      </c>
      <c r="E1438" s="8">
        <v>9596.14</v>
      </c>
      <c r="F1438" s="9">
        <v>45345.666684444448</v>
      </c>
      <c r="G1438" t="s">
        <v>102</v>
      </c>
      <c r="I1438" t="s">
        <v>82</v>
      </c>
      <c r="J1438" t="str">
        <f t="shared" si="176"/>
        <v/>
      </c>
      <c r="K1438" t="str">
        <f t="shared" si="177"/>
        <v/>
      </c>
      <c r="L1438" t="str">
        <f t="shared" si="178"/>
        <v/>
      </c>
      <c r="M1438" t="str">
        <f t="shared" si="179"/>
        <v/>
      </c>
      <c r="N1438" t="str">
        <f t="shared" si="180"/>
        <v>Invalid</v>
      </c>
      <c r="O1438" t="str">
        <f t="shared" ca="1" si="181"/>
        <v>Outdated</v>
      </c>
      <c r="P1438" t="str">
        <f t="shared" si="182"/>
        <v>Late Delivery</v>
      </c>
      <c r="Q1438" t="str">
        <f t="shared" si="183"/>
        <v/>
      </c>
    </row>
    <row r="1439" spans="1:17" x14ac:dyDescent="0.45">
      <c r="A1439" t="s">
        <v>2204</v>
      </c>
      <c r="B1439" t="s">
        <v>95</v>
      </c>
      <c r="C1439" t="s">
        <v>480</v>
      </c>
      <c r="D1439" t="s">
        <v>155</v>
      </c>
      <c r="E1439" s="8">
        <v>5916.92</v>
      </c>
      <c r="F1439" s="9">
        <v>45785.666684444448</v>
      </c>
      <c r="G1439" t="s">
        <v>97</v>
      </c>
      <c r="H1439" t="s">
        <v>118</v>
      </c>
      <c r="I1439" t="s">
        <v>88</v>
      </c>
      <c r="J1439" t="str">
        <f t="shared" si="176"/>
        <v/>
      </c>
      <c r="K1439" t="str">
        <f t="shared" si="177"/>
        <v/>
      </c>
      <c r="L1439" t="str">
        <f t="shared" si="178"/>
        <v/>
      </c>
      <c r="M1439" t="str">
        <f t="shared" si="179"/>
        <v/>
      </c>
      <c r="N1439" t="str">
        <f t="shared" si="180"/>
        <v>Invalid</v>
      </c>
      <c r="O1439" t="str">
        <f t="shared" ca="1" si="181"/>
        <v>Outdated</v>
      </c>
      <c r="P1439" t="str">
        <f t="shared" si="182"/>
        <v>Damaged</v>
      </c>
      <c r="Q1439" t="str">
        <f t="shared" si="183"/>
        <v>Inconsistent</v>
      </c>
    </row>
    <row r="1440" spans="1:17" x14ac:dyDescent="0.45">
      <c r="A1440" t="s">
        <v>2205</v>
      </c>
      <c r="B1440" t="s">
        <v>99</v>
      </c>
      <c r="C1440" t="s">
        <v>2206</v>
      </c>
      <c r="D1440" t="s">
        <v>74</v>
      </c>
      <c r="E1440" s="8">
        <v>8452.24</v>
      </c>
      <c r="F1440" s="9">
        <v>45782.666684444448</v>
      </c>
      <c r="G1440" t="s">
        <v>102</v>
      </c>
      <c r="H1440" t="s">
        <v>87</v>
      </c>
      <c r="I1440" t="s">
        <v>112</v>
      </c>
      <c r="J1440" t="str">
        <f t="shared" si="176"/>
        <v/>
      </c>
      <c r="K1440" t="str">
        <f t="shared" si="177"/>
        <v/>
      </c>
      <c r="L1440" t="str">
        <f t="shared" si="178"/>
        <v/>
      </c>
      <c r="M1440" t="str">
        <f t="shared" si="179"/>
        <v/>
      </c>
      <c r="N1440" t="str">
        <f t="shared" si="180"/>
        <v>Invalid</v>
      </c>
      <c r="O1440" t="str">
        <f t="shared" ca="1" si="181"/>
        <v>Outdated</v>
      </c>
      <c r="P1440" t="str">
        <f t="shared" si="182"/>
        <v>Wrong Item</v>
      </c>
      <c r="Q1440" t="str">
        <f t="shared" si="183"/>
        <v/>
      </c>
    </row>
    <row r="1441" spans="1:17" x14ac:dyDescent="0.45">
      <c r="A1441" t="s">
        <v>2207</v>
      </c>
      <c r="B1441" t="s">
        <v>90</v>
      </c>
      <c r="C1441" t="s">
        <v>2208</v>
      </c>
      <c r="D1441" t="s">
        <v>155</v>
      </c>
      <c r="E1441" s="8">
        <v>2866.86</v>
      </c>
      <c r="F1441" s="9">
        <v>45739.666684444448</v>
      </c>
      <c r="G1441" t="s">
        <v>93</v>
      </c>
      <c r="H1441" t="s">
        <v>133</v>
      </c>
      <c r="I1441" t="s">
        <v>82</v>
      </c>
      <c r="J1441" t="str">
        <f t="shared" si="176"/>
        <v/>
      </c>
      <c r="K1441" t="str">
        <f t="shared" si="177"/>
        <v/>
      </c>
      <c r="L1441" t="str">
        <f t="shared" si="178"/>
        <v/>
      </c>
      <c r="M1441" t="str">
        <f t="shared" si="179"/>
        <v/>
      </c>
      <c r="N1441" t="str">
        <f t="shared" si="180"/>
        <v>Invalid</v>
      </c>
      <c r="O1441" t="str">
        <f t="shared" ca="1" si="181"/>
        <v>Outdated</v>
      </c>
      <c r="P1441" t="str">
        <f t="shared" si="182"/>
        <v>Damaged</v>
      </c>
      <c r="Q1441" t="str">
        <f t="shared" si="183"/>
        <v>Inconsistent</v>
      </c>
    </row>
    <row r="1442" spans="1:17" x14ac:dyDescent="0.45">
      <c r="A1442" t="s">
        <v>2209</v>
      </c>
      <c r="B1442" t="s">
        <v>79</v>
      </c>
      <c r="C1442" t="s">
        <v>1733</v>
      </c>
      <c r="D1442" t="s">
        <v>74</v>
      </c>
      <c r="E1442" s="8">
        <v>0</v>
      </c>
      <c r="F1442" s="9">
        <v>45149.666684444448</v>
      </c>
      <c r="G1442" t="s">
        <v>86</v>
      </c>
      <c r="H1442" t="s">
        <v>133</v>
      </c>
      <c r="I1442" t="s">
        <v>112</v>
      </c>
      <c r="J1442" t="str">
        <f t="shared" si="176"/>
        <v/>
      </c>
      <c r="K1442" t="str">
        <f t="shared" si="177"/>
        <v/>
      </c>
      <c r="L1442" t="str">
        <f t="shared" si="178"/>
        <v>Unusual</v>
      </c>
      <c r="M1442" t="str">
        <f t="shared" si="179"/>
        <v/>
      </c>
      <c r="N1442" t="str">
        <f t="shared" si="180"/>
        <v>Invalid</v>
      </c>
      <c r="O1442" t="str">
        <f t="shared" ca="1" si="181"/>
        <v>Outdated</v>
      </c>
      <c r="P1442" t="str">
        <f t="shared" si="182"/>
        <v>Wrong Item</v>
      </c>
      <c r="Q1442" t="str">
        <f t="shared" si="183"/>
        <v/>
      </c>
    </row>
    <row r="1443" spans="1:17" x14ac:dyDescent="0.45">
      <c r="A1443" t="s">
        <v>2210</v>
      </c>
      <c r="B1443" t="s">
        <v>104</v>
      </c>
      <c r="C1443" t="s">
        <v>162</v>
      </c>
      <c r="D1443" t="s">
        <v>85</v>
      </c>
      <c r="E1443" s="8">
        <v>6750.15</v>
      </c>
      <c r="F1443" s="9">
        <v>45179.666684444448</v>
      </c>
      <c r="G1443" t="s">
        <v>115</v>
      </c>
      <c r="H1443" t="s">
        <v>87</v>
      </c>
      <c r="I1443" t="s">
        <v>119</v>
      </c>
      <c r="J1443" t="str">
        <f t="shared" si="176"/>
        <v/>
      </c>
      <c r="K1443" t="str">
        <f t="shared" si="177"/>
        <v>Duplicate</v>
      </c>
      <c r="L1443" t="str">
        <f t="shared" si="178"/>
        <v/>
      </c>
      <c r="M1443" t="str">
        <f t="shared" si="179"/>
        <v/>
      </c>
      <c r="N1443" t="str">
        <f t="shared" si="180"/>
        <v>Invalid</v>
      </c>
      <c r="O1443" t="str">
        <f t="shared" ca="1" si="181"/>
        <v>Outdated</v>
      </c>
      <c r="P1443" t="str">
        <f t="shared" si="182"/>
        <v>Late Delivery</v>
      </c>
      <c r="Q1443" t="str">
        <f t="shared" si="183"/>
        <v/>
      </c>
    </row>
    <row r="1444" spans="1:17" x14ac:dyDescent="0.45">
      <c r="A1444" t="s">
        <v>2211</v>
      </c>
      <c r="B1444" t="s">
        <v>90</v>
      </c>
      <c r="C1444" t="s">
        <v>2212</v>
      </c>
      <c r="D1444" t="s">
        <v>148</v>
      </c>
      <c r="E1444" s="8">
        <v>7726.73</v>
      </c>
      <c r="F1444" s="9">
        <v>45469.666684444448</v>
      </c>
      <c r="G1444" t="s">
        <v>93</v>
      </c>
      <c r="H1444" t="s">
        <v>87</v>
      </c>
      <c r="I1444" t="s">
        <v>119</v>
      </c>
      <c r="J1444" t="str">
        <f t="shared" si="176"/>
        <v/>
      </c>
      <c r="K1444" t="str">
        <f t="shared" si="177"/>
        <v/>
      </c>
      <c r="L1444" t="str">
        <f t="shared" si="178"/>
        <v/>
      </c>
      <c r="M1444" t="str">
        <f t="shared" si="179"/>
        <v/>
      </c>
      <c r="N1444" t="str">
        <f t="shared" si="180"/>
        <v>Invalid</v>
      </c>
      <c r="O1444" t="str">
        <f t="shared" ca="1" si="181"/>
        <v>Outdated</v>
      </c>
      <c r="P1444" t="str">
        <f t="shared" si="182"/>
        <v>Wrong Item</v>
      </c>
      <c r="Q1444" t="str">
        <f t="shared" si="183"/>
        <v>Inconsistent</v>
      </c>
    </row>
    <row r="1445" spans="1:17" x14ac:dyDescent="0.45">
      <c r="A1445" t="s">
        <v>2213</v>
      </c>
      <c r="B1445" t="s">
        <v>95</v>
      </c>
      <c r="C1445" t="s">
        <v>1134</v>
      </c>
      <c r="D1445" t="s">
        <v>101</v>
      </c>
      <c r="E1445" s="8">
        <v>3006.98</v>
      </c>
      <c r="F1445" s="9">
        <v>45377.666684444448</v>
      </c>
      <c r="G1445" t="s">
        <v>97</v>
      </c>
      <c r="H1445" t="s">
        <v>118</v>
      </c>
      <c r="I1445" t="s">
        <v>119</v>
      </c>
      <c r="J1445" t="str">
        <f t="shared" si="176"/>
        <v/>
      </c>
      <c r="K1445" t="str">
        <f t="shared" si="177"/>
        <v/>
      </c>
      <c r="L1445" t="str">
        <f t="shared" si="178"/>
        <v/>
      </c>
      <c r="M1445" t="str">
        <f t="shared" si="179"/>
        <v/>
      </c>
      <c r="N1445" t="str">
        <f t="shared" si="180"/>
        <v>Invalid</v>
      </c>
      <c r="O1445" t="str">
        <f t="shared" ca="1" si="181"/>
        <v>Outdated</v>
      </c>
      <c r="P1445" t="str">
        <f t="shared" si="182"/>
        <v>Damaged</v>
      </c>
      <c r="Q1445" t="str">
        <f t="shared" si="183"/>
        <v/>
      </c>
    </row>
    <row r="1446" spans="1:17" x14ac:dyDescent="0.45">
      <c r="A1446" t="s">
        <v>2214</v>
      </c>
      <c r="B1446" t="s">
        <v>138</v>
      </c>
      <c r="C1446" t="s">
        <v>1500</v>
      </c>
      <c r="D1446" t="s">
        <v>85</v>
      </c>
      <c r="E1446" s="8">
        <v>5137.3599999999997</v>
      </c>
      <c r="F1446" s="9">
        <v>45256.666684444448</v>
      </c>
      <c r="G1446" t="s">
        <v>140</v>
      </c>
      <c r="H1446" t="s">
        <v>133</v>
      </c>
      <c r="I1446" t="s">
        <v>163</v>
      </c>
      <c r="J1446" t="str">
        <f t="shared" si="176"/>
        <v/>
      </c>
      <c r="K1446" t="str">
        <f t="shared" si="177"/>
        <v/>
      </c>
      <c r="L1446" t="str">
        <f t="shared" si="178"/>
        <v/>
      </c>
      <c r="M1446" t="str">
        <f t="shared" si="179"/>
        <v/>
      </c>
      <c r="N1446" t="str">
        <f t="shared" si="180"/>
        <v>Invalid</v>
      </c>
      <c r="O1446" t="str">
        <f t="shared" ca="1" si="181"/>
        <v>Outdated</v>
      </c>
      <c r="P1446" t="str">
        <f t="shared" si="182"/>
        <v>Late Delivery</v>
      </c>
      <c r="Q1446" t="str">
        <f t="shared" si="183"/>
        <v/>
      </c>
    </row>
    <row r="1447" spans="1:17" x14ac:dyDescent="0.45">
      <c r="A1447" t="s">
        <v>2215</v>
      </c>
      <c r="B1447" t="s">
        <v>79</v>
      </c>
      <c r="C1447" t="s">
        <v>2216</v>
      </c>
      <c r="D1447" t="s">
        <v>101</v>
      </c>
      <c r="E1447" s="8">
        <v>11530.85</v>
      </c>
      <c r="F1447" s="9">
        <v>45706.666684444448</v>
      </c>
      <c r="G1447" t="s">
        <v>86</v>
      </c>
      <c r="H1447" t="s">
        <v>118</v>
      </c>
      <c r="I1447" t="s">
        <v>119</v>
      </c>
      <c r="J1447" t="str">
        <f t="shared" si="176"/>
        <v/>
      </c>
      <c r="K1447" t="str">
        <f t="shared" si="177"/>
        <v/>
      </c>
      <c r="L1447" t="str">
        <f t="shared" si="178"/>
        <v>Unusual</v>
      </c>
      <c r="M1447" t="str">
        <f t="shared" si="179"/>
        <v/>
      </c>
      <c r="N1447" t="str">
        <f t="shared" si="180"/>
        <v>Invalid</v>
      </c>
      <c r="O1447" t="str">
        <f t="shared" ca="1" si="181"/>
        <v>Outdated</v>
      </c>
      <c r="P1447" t="str">
        <f t="shared" si="182"/>
        <v>Damaged</v>
      </c>
      <c r="Q1447" t="str">
        <f t="shared" si="183"/>
        <v/>
      </c>
    </row>
    <row r="1448" spans="1:17" x14ac:dyDescent="0.45">
      <c r="A1448" t="s">
        <v>2031</v>
      </c>
      <c r="B1448" t="s">
        <v>99</v>
      </c>
      <c r="C1448" t="s">
        <v>484</v>
      </c>
      <c r="D1448" t="s">
        <v>106</v>
      </c>
      <c r="E1448" s="8">
        <v>8630.14</v>
      </c>
      <c r="F1448" s="9">
        <v>45338.666684444448</v>
      </c>
      <c r="G1448" t="s">
        <v>102</v>
      </c>
      <c r="H1448" t="s">
        <v>107</v>
      </c>
      <c r="I1448" t="s">
        <v>77</v>
      </c>
      <c r="J1448" t="str">
        <f t="shared" si="176"/>
        <v/>
      </c>
      <c r="K1448" t="str">
        <f t="shared" si="177"/>
        <v>Duplicate</v>
      </c>
      <c r="L1448" t="str">
        <f t="shared" si="178"/>
        <v/>
      </c>
      <c r="M1448" t="str">
        <f t="shared" si="179"/>
        <v/>
      </c>
      <c r="N1448" t="str">
        <f t="shared" si="180"/>
        <v/>
      </c>
      <c r="O1448" t="str">
        <f t="shared" ca="1" si="181"/>
        <v>Outdated</v>
      </c>
      <c r="P1448" t="str">
        <f t="shared" si="182"/>
        <v>Damaged</v>
      </c>
      <c r="Q1448" t="str">
        <f t="shared" si="183"/>
        <v>Inconsistent</v>
      </c>
    </row>
    <row r="1449" spans="1:17" x14ac:dyDescent="0.45">
      <c r="A1449" t="s">
        <v>2217</v>
      </c>
      <c r="B1449" t="s">
        <v>172</v>
      </c>
      <c r="C1449" t="s">
        <v>944</v>
      </c>
      <c r="E1449" s="8">
        <v>8271.14</v>
      </c>
      <c r="F1449" s="9">
        <v>45198.666684444448</v>
      </c>
      <c r="G1449" t="s">
        <v>174</v>
      </c>
      <c r="H1449" t="s">
        <v>87</v>
      </c>
      <c r="I1449" t="s">
        <v>88</v>
      </c>
      <c r="J1449" t="str">
        <f t="shared" si="176"/>
        <v>Missing</v>
      </c>
      <c r="K1449" t="str">
        <f t="shared" si="177"/>
        <v/>
      </c>
      <c r="L1449" t="str">
        <f t="shared" si="178"/>
        <v/>
      </c>
      <c r="M1449" t="str">
        <f t="shared" si="179"/>
        <v/>
      </c>
      <c r="N1449" t="str">
        <f t="shared" si="180"/>
        <v>Invalid</v>
      </c>
      <c r="O1449" t="str">
        <f t="shared" ca="1" si="181"/>
        <v>Outdated</v>
      </c>
      <c r="P1449" t="str">
        <f t="shared" si="182"/>
        <v/>
      </c>
      <c r="Q1449" t="str">
        <f t="shared" si="183"/>
        <v/>
      </c>
    </row>
    <row r="1450" spans="1:17" x14ac:dyDescent="0.45">
      <c r="A1450" t="s">
        <v>2218</v>
      </c>
      <c r="B1450" t="s">
        <v>72</v>
      </c>
      <c r="C1450" t="s">
        <v>166</v>
      </c>
      <c r="D1450" t="s">
        <v>92</v>
      </c>
      <c r="E1450" s="8">
        <v>2999.98</v>
      </c>
      <c r="F1450" s="9">
        <v>45695.666684444448</v>
      </c>
      <c r="G1450" t="s">
        <v>521</v>
      </c>
      <c r="H1450" t="s">
        <v>81</v>
      </c>
      <c r="I1450" t="s">
        <v>112</v>
      </c>
      <c r="J1450" t="str">
        <f t="shared" si="176"/>
        <v/>
      </c>
      <c r="K1450" t="str">
        <f t="shared" si="177"/>
        <v/>
      </c>
      <c r="L1450" t="str">
        <f t="shared" si="178"/>
        <v/>
      </c>
      <c r="M1450" t="str">
        <f t="shared" si="179"/>
        <v>Invalid</v>
      </c>
      <c r="N1450" t="str">
        <f t="shared" si="180"/>
        <v/>
      </c>
      <c r="O1450" t="str">
        <f t="shared" ca="1" si="181"/>
        <v>Outdated</v>
      </c>
      <c r="P1450" t="str">
        <f t="shared" si="182"/>
        <v>Not As Described</v>
      </c>
      <c r="Q1450" t="str">
        <f t="shared" si="183"/>
        <v/>
      </c>
    </row>
    <row r="1451" spans="1:17" x14ac:dyDescent="0.45">
      <c r="A1451" t="s">
        <v>2219</v>
      </c>
      <c r="B1451" t="s">
        <v>104</v>
      </c>
      <c r="C1451" t="s">
        <v>1032</v>
      </c>
      <c r="D1451" t="s">
        <v>85</v>
      </c>
      <c r="E1451" s="8">
        <v>8275.2999999999993</v>
      </c>
      <c r="F1451" s="9">
        <v>45340.666684444448</v>
      </c>
      <c r="G1451" t="s">
        <v>115</v>
      </c>
      <c r="H1451" t="s">
        <v>76</v>
      </c>
      <c r="I1451" t="s">
        <v>119</v>
      </c>
      <c r="J1451" t="str">
        <f t="shared" si="176"/>
        <v/>
      </c>
      <c r="K1451" t="str">
        <f t="shared" si="177"/>
        <v/>
      </c>
      <c r="L1451" t="str">
        <f t="shared" si="178"/>
        <v/>
      </c>
      <c r="M1451" t="str">
        <f t="shared" si="179"/>
        <v/>
      </c>
      <c r="N1451" t="str">
        <f t="shared" si="180"/>
        <v/>
      </c>
      <c r="O1451" t="str">
        <f t="shared" ca="1" si="181"/>
        <v>Outdated</v>
      </c>
      <c r="P1451" t="str">
        <f t="shared" si="182"/>
        <v>Late Delivery</v>
      </c>
      <c r="Q1451" t="str">
        <f t="shared" si="183"/>
        <v/>
      </c>
    </row>
    <row r="1452" spans="1:17" x14ac:dyDescent="0.45">
      <c r="A1452" t="s">
        <v>2220</v>
      </c>
      <c r="B1452" t="s">
        <v>138</v>
      </c>
      <c r="C1452" t="s">
        <v>2221</v>
      </c>
      <c r="E1452" s="8">
        <v>3027.35</v>
      </c>
      <c r="F1452" s="9">
        <v>45728.666684444448</v>
      </c>
      <c r="G1452" t="s">
        <v>140</v>
      </c>
      <c r="H1452" t="s">
        <v>133</v>
      </c>
      <c r="I1452" t="s">
        <v>88</v>
      </c>
      <c r="J1452" t="str">
        <f t="shared" si="176"/>
        <v>Missing</v>
      </c>
      <c r="K1452" t="str">
        <f t="shared" si="177"/>
        <v/>
      </c>
      <c r="L1452" t="str">
        <f t="shared" si="178"/>
        <v/>
      </c>
      <c r="M1452" t="str">
        <f t="shared" si="179"/>
        <v/>
      </c>
      <c r="N1452" t="str">
        <f t="shared" si="180"/>
        <v>Invalid</v>
      </c>
      <c r="O1452" t="str">
        <f t="shared" ca="1" si="181"/>
        <v>Outdated</v>
      </c>
      <c r="P1452" t="str">
        <f t="shared" si="182"/>
        <v/>
      </c>
      <c r="Q1452" t="str">
        <f t="shared" si="183"/>
        <v/>
      </c>
    </row>
    <row r="1453" spans="1:17" x14ac:dyDescent="0.45">
      <c r="A1453" t="s">
        <v>2222</v>
      </c>
      <c r="B1453" t="s">
        <v>72</v>
      </c>
      <c r="C1453" t="s">
        <v>284</v>
      </c>
      <c r="D1453" t="s">
        <v>101</v>
      </c>
      <c r="E1453" s="8">
        <v>9550.9599999999991</v>
      </c>
      <c r="F1453" s="9">
        <v>45349.666684444448</v>
      </c>
      <c r="H1453" t="s">
        <v>145</v>
      </c>
      <c r="I1453" t="s">
        <v>77</v>
      </c>
      <c r="J1453" t="str">
        <f t="shared" si="176"/>
        <v/>
      </c>
      <c r="K1453" t="str">
        <f t="shared" si="177"/>
        <v/>
      </c>
      <c r="L1453" t="str">
        <f t="shared" si="178"/>
        <v/>
      </c>
      <c r="M1453" t="str">
        <f t="shared" si="179"/>
        <v>Invalid</v>
      </c>
      <c r="N1453" t="str">
        <f t="shared" si="180"/>
        <v/>
      </c>
      <c r="O1453" t="str">
        <f t="shared" ca="1" si="181"/>
        <v>Outdated</v>
      </c>
      <c r="P1453" t="str">
        <f t="shared" si="182"/>
        <v>Damaged</v>
      </c>
      <c r="Q1453" t="str">
        <f t="shared" si="183"/>
        <v/>
      </c>
    </row>
    <row r="1454" spans="1:17" x14ac:dyDescent="0.45">
      <c r="A1454" t="s">
        <v>2210</v>
      </c>
      <c r="B1454" t="s">
        <v>109</v>
      </c>
      <c r="C1454" t="s">
        <v>214</v>
      </c>
      <c r="D1454" t="s">
        <v>101</v>
      </c>
      <c r="E1454" s="8">
        <v>9519.58</v>
      </c>
      <c r="F1454" s="9">
        <v>45366.666684444448</v>
      </c>
      <c r="G1454" t="s">
        <v>111</v>
      </c>
      <c r="H1454" t="s">
        <v>107</v>
      </c>
      <c r="I1454" t="s">
        <v>88</v>
      </c>
      <c r="J1454" t="str">
        <f t="shared" si="176"/>
        <v/>
      </c>
      <c r="K1454" t="str">
        <f t="shared" si="177"/>
        <v>Duplicate</v>
      </c>
      <c r="L1454" t="str">
        <f t="shared" si="178"/>
        <v/>
      </c>
      <c r="M1454" t="str">
        <f t="shared" si="179"/>
        <v/>
      </c>
      <c r="N1454" t="str">
        <f t="shared" si="180"/>
        <v/>
      </c>
      <c r="O1454" t="str">
        <f t="shared" ca="1" si="181"/>
        <v>Outdated</v>
      </c>
      <c r="P1454" t="str">
        <f t="shared" si="182"/>
        <v>Damaged</v>
      </c>
      <c r="Q1454" t="str">
        <f t="shared" si="183"/>
        <v/>
      </c>
    </row>
    <row r="1455" spans="1:17" x14ac:dyDescent="0.45">
      <c r="A1455" t="s">
        <v>2223</v>
      </c>
      <c r="B1455" t="s">
        <v>109</v>
      </c>
      <c r="C1455" t="s">
        <v>1269</v>
      </c>
      <c r="D1455" t="s">
        <v>92</v>
      </c>
      <c r="E1455" s="8">
        <v>11265.12</v>
      </c>
      <c r="F1455" s="9">
        <v>45464.666684444448</v>
      </c>
      <c r="G1455" t="s">
        <v>307</v>
      </c>
      <c r="H1455" t="s">
        <v>136</v>
      </c>
      <c r="I1455" t="s">
        <v>119</v>
      </c>
      <c r="J1455" t="str">
        <f t="shared" si="176"/>
        <v/>
      </c>
      <c r="K1455" t="str">
        <f t="shared" si="177"/>
        <v/>
      </c>
      <c r="L1455" t="str">
        <f t="shared" si="178"/>
        <v>Unusual</v>
      </c>
      <c r="M1455" t="str">
        <f t="shared" si="179"/>
        <v>Invalid</v>
      </c>
      <c r="N1455" t="str">
        <f t="shared" si="180"/>
        <v>Invalid</v>
      </c>
      <c r="O1455" t="str">
        <f t="shared" ca="1" si="181"/>
        <v>Outdated</v>
      </c>
      <c r="P1455" t="str">
        <f t="shared" si="182"/>
        <v>Not As Described</v>
      </c>
      <c r="Q1455" t="str">
        <f t="shared" si="183"/>
        <v/>
      </c>
    </row>
    <row r="1456" spans="1:17" x14ac:dyDescent="0.45">
      <c r="A1456" t="s">
        <v>2224</v>
      </c>
      <c r="B1456" t="s">
        <v>79</v>
      </c>
      <c r="C1456" t="s">
        <v>1188</v>
      </c>
      <c r="D1456" t="s">
        <v>101</v>
      </c>
      <c r="E1456" s="8">
        <v>7151.38</v>
      </c>
      <c r="F1456" s="9">
        <v>45279.666684444448</v>
      </c>
      <c r="G1456" t="s">
        <v>86</v>
      </c>
      <c r="H1456" t="s">
        <v>116</v>
      </c>
      <c r="I1456" t="s">
        <v>88</v>
      </c>
      <c r="J1456" t="str">
        <f t="shared" si="176"/>
        <v/>
      </c>
      <c r="K1456" t="str">
        <f t="shared" si="177"/>
        <v/>
      </c>
      <c r="L1456" t="str">
        <f t="shared" si="178"/>
        <v/>
      </c>
      <c r="M1456" t="str">
        <f t="shared" si="179"/>
        <v/>
      </c>
      <c r="N1456" t="str">
        <f t="shared" si="180"/>
        <v/>
      </c>
      <c r="O1456" t="str">
        <f t="shared" ca="1" si="181"/>
        <v>Outdated</v>
      </c>
      <c r="P1456" t="str">
        <f t="shared" si="182"/>
        <v>Damaged</v>
      </c>
      <c r="Q1456" t="str">
        <f t="shared" si="183"/>
        <v/>
      </c>
    </row>
    <row r="1457" spans="1:17" x14ac:dyDescent="0.45">
      <c r="A1457" t="s">
        <v>2225</v>
      </c>
      <c r="B1457" t="s">
        <v>79</v>
      </c>
      <c r="C1457" t="s">
        <v>198</v>
      </c>
      <c r="D1457" t="s">
        <v>74</v>
      </c>
      <c r="E1457" s="8">
        <v>0</v>
      </c>
      <c r="F1457" s="9">
        <v>45738.666684444448</v>
      </c>
      <c r="G1457" t="s">
        <v>86</v>
      </c>
      <c r="H1457" t="s">
        <v>118</v>
      </c>
      <c r="I1457" t="s">
        <v>163</v>
      </c>
      <c r="J1457" t="str">
        <f t="shared" si="176"/>
        <v/>
      </c>
      <c r="K1457" t="str">
        <f t="shared" si="177"/>
        <v/>
      </c>
      <c r="L1457" t="str">
        <f t="shared" si="178"/>
        <v>Unusual</v>
      </c>
      <c r="M1457" t="str">
        <f t="shared" si="179"/>
        <v/>
      </c>
      <c r="N1457" t="str">
        <f t="shared" si="180"/>
        <v>Invalid</v>
      </c>
      <c r="O1457" t="str">
        <f t="shared" ca="1" si="181"/>
        <v>Outdated</v>
      </c>
      <c r="P1457" t="str">
        <f t="shared" si="182"/>
        <v>Wrong Item</v>
      </c>
      <c r="Q1457" t="str">
        <f t="shared" si="183"/>
        <v/>
      </c>
    </row>
    <row r="1458" spans="1:17" x14ac:dyDescent="0.45">
      <c r="A1458" t="s">
        <v>2226</v>
      </c>
      <c r="B1458" t="s">
        <v>79</v>
      </c>
      <c r="D1458" t="s">
        <v>74</v>
      </c>
      <c r="E1458" s="8">
        <v>7595.21</v>
      </c>
      <c r="F1458" s="9">
        <v>45130.666684444448</v>
      </c>
      <c r="G1458" t="s">
        <v>86</v>
      </c>
      <c r="H1458" t="s">
        <v>116</v>
      </c>
      <c r="I1458" t="s">
        <v>119</v>
      </c>
      <c r="J1458" t="str">
        <f t="shared" si="176"/>
        <v>Missing</v>
      </c>
      <c r="K1458" t="str">
        <f t="shared" si="177"/>
        <v/>
      </c>
      <c r="L1458" t="str">
        <f t="shared" si="178"/>
        <v/>
      </c>
      <c r="M1458" t="str">
        <f t="shared" si="179"/>
        <v/>
      </c>
      <c r="N1458" t="str">
        <f t="shared" si="180"/>
        <v/>
      </c>
      <c r="O1458" t="str">
        <f t="shared" ca="1" si="181"/>
        <v>Outdated</v>
      </c>
      <c r="P1458" t="str">
        <f t="shared" si="182"/>
        <v>Wrong Item</v>
      </c>
      <c r="Q1458" t="str">
        <f t="shared" si="183"/>
        <v/>
      </c>
    </row>
    <row r="1459" spans="1:17" x14ac:dyDescent="0.45">
      <c r="A1459" t="s">
        <v>2227</v>
      </c>
      <c r="B1459" t="s">
        <v>90</v>
      </c>
      <c r="C1459" t="s">
        <v>1557</v>
      </c>
      <c r="D1459" t="s">
        <v>74</v>
      </c>
      <c r="E1459" s="8">
        <v>6097.97</v>
      </c>
      <c r="F1459" s="9">
        <v>45411.666684444448</v>
      </c>
      <c r="G1459" t="s">
        <v>93</v>
      </c>
      <c r="H1459" t="s">
        <v>107</v>
      </c>
      <c r="I1459" t="s">
        <v>77</v>
      </c>
      <c r="J1459" t="str">
        <f t="shared" si="176"/>
        <v/>
      </c>
      <c r="K1459" t="str">
        <f t="shared" si="177"/>
        <v/>
      </c>
      <c r="L1459" t="str">
        <f t="shared" si="178"/>
        <v/>
      </c>
      <c r="M1459" t="str">
        <f t="shared" si="179"/>
        <v/>
      </c>
      <c r="N1459" t="str">
        <f t="shared" si="180"/>
        <v/>
      </c>
      <c r="O1459" t="str">
        <f t="shared" ca="1" si="181"/>
        <v>Outdated</v>
      </c>
      <c r="P1459" t="str">
        <f t="shared" si="182"/>
        <v>Wrong Item</v>
      </c>
      <c r="Q1459" t="str">
        <f t="shared" si="183"/>
        <v/>
      </c>
    </row>
    <row r="1460" spans="1:17" x14ac:dyDescent="0.45">
      <c r="A1460" t="s">
        <v>2228</v>
      </c>
      <c r="B1460" t="s">
        <v>90</v>
      </c>
      <c r="C1460" t="s">
        <v>1157</v>
      </c>
      <c r="D1460" t="s">
        <v>148</v>
      </c>
      <c r="E1460" s="8">
        <v>0</v>
      </c>
      <c r="F1460" s="9">
        <v>45276.666684444448</v>
      </c>
      <c r="G1460" t="s">
        <v>93</v>
      </c>
      <c r="H1460" t="s">
        <v>128</v>
      </c>
      <c r="I1460" t="s">
        <v>77</v>
      </c>
      <c r="J1460" t="str">
        <f t="shared" si="176"/>
        <v/>
      </c>
      <c r="K1460" t="str">
        <f t="shared" si="177"/>
        <v/>
      </c>
      <c r="L1460" t="str">
        <f t="shared" si="178"/>
        <v>Unusual</v>
      </c>
      <c r="M1460" t="str">
        <f t="shared" si="179"/>
        <v/>
      </c>
      <c r="N1460" t="str">
        <f t="shared" si="180"/>
        <v>Invalid</v>
      </c>
      <c r="O1460" t="str">
        <f t="shared" ca="1" si="181"/>
        <v>Outdated</v>
      </c>
      <c r="P1460" t="str">
        <f t="shared" si="182"/>
        <v>Wrong Item</v>
      </c>
      <c r="Q1460" t="str">
        <f t="shared" si="183"/>
        <v>Inconsistent</v>
      </c>
    </row>
    <row r="1461" spans="1:17" x14ac:dyDescent="0.45">
      <c r="A1461" t="s">
        <v>2229</v>
      </c>
      <c r="B1461" t="s">
        <v>109</v>
      </c>
      <c r="C1461" t="s">
        <v>1418</v>
      </c>
      <c r="D1461" t="s">
        <v>85</v>
      </c>
      <c r="E1461" s="8">
        <v>9414.07</v>
      </c>
      <c r="F1461" s="9">
        <v>45261.666684444448</v>
      </c>
      <c r="G1461" t="s">
        <v>111</v>
      </c>
      <c r="H1461" t="s">
        <v>128</v>
      </c>
      <c r="I1461" t="s">
        <v>112</v>
      </c>
      <c r="J1461" t="str">
        <f t="shared" si="176"/>
        <v/>
      </c>
      <c r="K1461" t="str">
        <f t="shared" si="177"/>
        <v>Duplicate</v>
      </c>
      <c r="L1461" t="str">
        <f t="shared" si="178"/>
        <v/>
      </c>
      <c r="M1461" t="str">
        <f t="shared" si="179"/>
        <v/>
      </c>
      <c r="N1461" t="str">
        <f t="shared" si="180"/>
        <v>Invalid</v>
      </c>
      <c r="O1461" t="str">
        <f t="shared" ca="1" si="181"/>
        <v>Outdated</v>
      </c>
      <c r="P1461" t="str">
        <f t="shared" si="182"/>
        <v>Late Delivery</v>
      </c>
      <c r="Q1461" t="str">
        <f t="shared" si="183"/>
        <v/>
      </c>
    </row>
    <row r="1462" spans="1:17" x14ac:dyDescent="0.45">
      <c r="A1462" t="s">
        <v>2230</v>
      </c>
      <c r="B1462" t="s">
        <v>79</v>
      </c>
      <c r="C1462" t="s">
        <v>906</v>
      </c>
      <c r="D1462" t="s">
        <v>92</v>
      </c>
      <c r="E1462" s="8">
        <v>7611.95</v>
      </c>
      <c r="F1462" s="9">
        <v>45681.666684444448</v>
      </c>
      <c r="G1462" t="s">
        <v>86</v>
      </c>
      <c r="H1462" t="s">
        <v>128</v>
      </c>
      <c r="I1462" t="s">
        <v>163</v>
      </c>
      <c r="J1462" t="str">
        <f t="shared" si="176"/>
        <v/>
      </c>
      <c r="K1462" t="str">
        <f t="shared" si="177"/>
        <v/>
      </c>
      <c r="L1462" t="str">
        <f t="shared" si="178"/>
        <v/>
      </c>
      <c r="M1462" t="str">
        <f t="shared" si="179"/>
        <v/>
      </c>
      <c r="N1462" t="str">
        <f t="shared" si="180"/>
        <v>Invalid</v>
      </c>
      <c r="O1462" t="str">
        <f t="shared" ca="1" si="181"/>
        <v>Outdated</v>
      </c>
      <c r="P1462" t="str">
        <f t="shared" si="182"/>
        <v>Not As Described</v>
      </c>
      <c r="Q1462" t="str">
        <f t="shared" si="183"/>
        <v/>
      </c>
    </row>
    <row r="1463" spans="1:17" x14ac:dyDescent="0.45">
      <c r="A1463" t="s">
        <v>2231</v>
      </c>
      <c r="B1463" t="s">
        <v>95</v>
      </c>
      <c r="C1463" t="s">
        <v>1996</v>
      </c>
      <c r="D1463" t="s">
        <v>101</v>
      </c>
      <c r="E1463" s="8">
        <v>7690.25</v>
      </c>
      <c r="F1463" s="9">
        <v>45384.666684444448</v>
      </c>
      <c r="G1463" t="s">
        <v>336</v>
      </c>
      <c r="H1463" t="s">
        <v>136</v>
      </c>
      <c r="I1463" t="s">
        <v>77</v>
      </c>
      <c r="J1463" t="str">
        <f t="shared" si="176"/>
        <v/>
      </c>
      <c r="K1463" t="str">
        <f t="shared" si="177"/>
        <v/>
      </c>
      <c r="L1463" t="str">
        <f t="shared" si="178"/>
        <v/>
      </c>
      <c r="M1463" t="str">
        <f t="shared" si="179"/>
        <v>Invalid</v>
      </c>
      <c r="N1463" t="str">
        <f t="shared" si="180"/>
        <v>Invalid</v>
      </c>
      <c r="O1463" t="str">
        <f t="shared" ca="1" si="181"/>
        <v>Outdated</v>
      </c>
      <c r="P1463" t="str">
        <f t="shared" si="182"/>
        <v>Damaged</v>
      </c>
      <c r="Q1463" t="str">
        <f t="shared" si="183"/>
        <v/>
      </c>
    </row>
    <row r="1464" spans="1:17" x14ac:dyDescent="0.45">
      <c r="A1464" t="s">
        <v>2232</v>
      </c>
      <c r="B1464" t="s">
        <v>79</v>
      </c>
      <c r="C1464" t="s">
        <v>2233</v>
      </c>
      <c r="D1464" t="s">
        <v>101</v>
      </c>
      <c r="E1464" s="8">
        <v>7873.33</v>
      </c>
      <c r="F1464" s="9">
        <v>45306.666684444448</v>
      </c>
      <c r="G1464" t="s">
        <v>86</v>
      </c>
      <c r="H1464" t="s">
        <v>116</v>
      </c>
      <c r="I1464" t="s">
        <v>77</v>
      </c>
      <c r="J1464" t="str">
        <f t="shared" si="176"/>
        <v/>
      </c>
      <c r="K1464" t="str">
        <f t="shared" si="177"/>
        <v/>
      </c>
      <c r="L1464" t="str">
        <f t="shared" si="178"/>
        <v/>
      </c>
      <c r="M1464" t="str">
        <f t="shared" si="179"/>
        <v/>
      </c>
      <c r="N1464" t="str">
        <f t="shared" si="180"/>
        <v/>
      </c>
      <c r="O1464" t="str">
        <f t="shared" ca="1" si="181"/>
        <v>Outdated</v>
      </c>
      <c r="P1464" t="str">
        <f t="shared" si="182"/>
        <v>Damaged</v>
      </c>
      <c r="Q1464" t="str">
        <f t="shared" si="183"/>
        <v/>
      </c>
    </row>
    <row r="1465" spans="1:17" x14ac:dyDescent="0.45">
      <c r="A1465" t="s">
        <v>2234</v>
      </c>
      <c r="B1465" t="s">
        <v>104</v>
      </c>
      <c r="C1465" t="s">
        <v>2235</v>
      </c>
      <c r="D1465" t="s">
        <v>101</v>
      </c>
      <c r="E1465" s="8">
        <v>3819.06</v>
      </c>
      <c r="F1465" s="9">
        <v>45240.666684444448</v>
      </c>
      <c r="G1465" t="s">
        <v>115</v>
      </c>
      <c r="H1465" t="s">
        <v>107</v>
      </c>
      <c r="I1465" t="s">
        <v>82</v>
      </c>
      <c r="J1465" t="str">
        <f t="shared" si="176"/>
        <v/>
      </c>
      <c r="K1465" t="str">
        <f t="shared" si="177"/>
        <v/>
      </c>
      <c r="L1465" t="str">
        <f t="shared" si="178"/>
        <v/>
      </c>
      <c r="M1465" t="str">
        <f t="shared" si="179"/>
        <v/>
      </c>
      <c r="N1465" t="str">
        <f t="shared" si="180"/>
        <v/>
      </c>
      <c r="O1465" t="str">
        <f t="shared" ca="1" si="181"/>
        <v>Outdated</v>
      </c>
      <c r="P1465" t="str">
        <f t="shared" si="182"/>
        <v>Damaged</v>
      </c>
      <c r="Q1465" t="str">
        <f t="shared" si="183"/>
        <v/>
      </c>
    </row>
    <row r="1466" spans="1:17" x14ac:dyDescent="0.45">
      <c r="A1466" t="s">
        <v>2236</v>
      </c>
      <c r="B1466" t="s">
        <v>104</v>
      </c>
      <c r="C1466" t="s">
        <v>641</v>
      </c>
      <c r="D1466" t="s">
        <v>92</v>
      </c>
      <c r="E1466" s="8">
        <v>6683.1</v>
      </c>
      <c r="F1466" s="9">
        <v>45804.666684444448</v>
      </c>
      <c r="G1466" t="s">
        <v>247</v>
      </c>
      <c r="H1466" t="s">
        <v>145</v>
      </c>
      <c r="I1466" t="s">
        <v>112</v>
      </c>
      <c r="J1466" t="str">
        <f t="shared" si="176"/>
        <v/>
      </c>
      <c r="K1466" t="str">
        <f t="shared" si="177"/>
        <v/>
      </c>
      <c r="L1466" t="str">
        <f t="shared" si="178"/>
        <v/>
      </c>
      <c r="M1466" t="str">
        <f t="shared" si="179"/>
        <v>Invalid</v>
      </c>
      <c r="N1466" t="str">
        <f t="shared" si="180"/>
        <v/>
      </c>
      <c r="O1466" t="str">
        <f t="shared" ca="1" si="181"/>
        <v>Outdated</v>
      </c>
      <c r="P1466" t="str">
        <f t="shared" si="182"/>
        <v>Not As Described</v>
      </c>
      <c r="Q1466" t="str">
        <f t="shared" si="183"/>
        <v/>
      </c>
    </row>
    <row r="1467" spans="1:17" x14ac:dyDescent="0.45">
      <c r="A1467" t="s">
        <v>2237</v>
      </c>
      <c r="B1467" t="s">
        <v>172</v>
      </c>
      <c r="C1467" t="s">
        <v>267</v>
      </c>
      <c r="D1467" t="s">
        <v>85</v>
      </c>
      <c r="E1467" s="8">
        <v>11199.72</v>
      </c>
      <c r="F1467" s="9">
        <v>45154.666684444448</v>
      </c>
      <c r="G1467" t="s">
        <v>174</v>
      </c>
      <c r="H1467" t="s">
        <v>116</v>
      </c>
      <c r="I1467" t="s">
        <v>112</v>
      </c>
      <c r="J1467" t="str">
        <f t="shared" si="176"/>
        <v/>
      </c>
      <c r="K1467" t="str">
        <f t="shared" si="177"/>
        <v/>
      </c>
      <c r="L1467" t="str">
        <f t="shared" si="178"/>
        <v>Unusual</v>
      </c>
      <c r="M1467" t="str">
        <f t="shared" si="179"/>
        <v/>
      </c>
      <c r="N1467" t="str">
        <f t="shared" si="180"/>
        <v/>
      </c>
      <c r="O1467" t="str">
        <f t="shared" ca="1" si="181"/>
        <v>Outdated</v>
      </c>
      <c r="P1467" t="str">
        <f t="shared" si="182"/>
        <v>Late Delivery</v>
      </c>
      <c r="Q1467" t="str">
        <f t="shared" si="183"/>
        <v/>
      </c>
    </row>
    <row r="1468" spans="1:17" x14ac:dyDescent="0.45">
      <c r="A1468" t="s">
        <v>2238</v>
      </c>
      <c r="B1468" t="s">
        <v>109</v>
      </c>
      <c r="C1468" t="s">
        <v>1996</v>
      </c>
      <c r="D1468" t="s">
        <v>155</v>
      </c>
      <c r="E1468" s="8">
        <v>2627.64</v>
      </c>
      <c r="F1468" s="9">
        <v>45262.666684444448</v>
      </c>
      <c r="G1468" t="s">
        <v>111</v>
      </c>
      <c r="H1468" t="s">
        <v>116</v>
      </c>
      <c r="I1468" t="s">
        <v>77</v>
      </c>
      <c r="J1468" t="str">
        <f t="shared" si="176"/>
        <v/>
      </c>
      <c r="K1468" t="str">
        <f t="shared" si="177"/>
        <v>Duplicate</v>
      </c>
      <c r="L1468" t="str">
        <f t="shared" si="178"/>
        <v/>
      </c>
      <c r="M1468" t="str">
        <f t="shared" si="179"/>
        <v/>
      </c>
      <c r="N1468" t="str">
        <f t="shared" si="180"/>
        <v/>
      </c>
      <c r="O1468" t="str">
        <f t="shared" ca="1" si="181"/>
        <v>Outdated</v>
      </c>
      <c r="P1468" t="str">
        <f t="shared" si="182"/>
        <v>Damaged</v>
      </c>
      <c r="Q1468" t="str">
        <f t="shared" si="183"/>
        <v>Inconsistent</v>
      </c>
    </row>
    <row r="1469" spans="1:17" x14ac:dyDescent="0.45">
      <c r="A1469" t="s">
        <v>2239</v>
      </c>
      <c r="B1469" t="s">
        <v>79</v>
      </c>
      <c r="C1469" t="s">
        <v>2240</v>
      </c>
      <c r="D1469" t="s">
        <v>92</v>
      </c>
      <c r="E1469" s="8">
        <v>3323.97</v>
      </c>
      <c r="F1469" s="9">
        <v>45143.666684444448</v>
      </c>
      <c r="G1469" t="s">
        <v>86</v>
      </c>
      <c r="H1469" t="s">
        <v>116</v>
      </c>
      <c r="I1469" t="s">
        <v>112</v>
      </c>
      <c r="J1469" t="str">
        <f t="shared" si="176"/>
        <v/>
      </c>
      <c r="K1469" t="str">
        <f t="shared" si="177"/>
        <v/>
      </c>
      <c r="L1469" t="str">
        <f t="shared" si="178"/>
        <v/>
      </c>
      <c r="M1469" t="str">
        <f t="shared" si="179"/>
        <v/>
      </c>
      <c r="N1469" t="str">
        <f t="shared" si="180"/>
        <v/>
      </c>
      <c r="O1469" t="str">
        <f t="shared" ca="1" si="181"/>
        <v>Outdated</v>
      </c>
      <c r="P1469" t="str">
        <f t="shared" si="182"/>
        <v>Not As Described</v>
      </c>
      <c r="Q1469" t="str">
        <f t="shared" si="183"/>
        <v/>
      </c>
    </row>
    <row r="1470" spans="1:17" x14ac:dyDescent="0.45">
      <c r="A1470" t="s">
        <v>2241</v>
      </c>
      <c r="B1470" t="s">
        <v>99</v>
      </c>
      <c r="C1470" t="s">
        <v>1076</v>
      </c>
      <c r="D1470" t="s">
        <v>85</v>
      </c>
      <c r="E1470" s="8">
        <v>4182.1099999999997</v>
      </c>
      <c r="F1470" s="9">
        <v>45494.666684444448</v>
      </c>
      <c r="G1470" t="s">
        <v>102</v>
      </c>
      <c r="H1470" t="s">
        <v>118</v>
      </c>
      <c r="I1470" t="s">
        <v>82</v>
      </c>
      <c r="J1470" t="str">
        <f t="shared" si="176"/>
        <v/>
      </c>
      <c r="K1470" t="str">
        <f t="shared" si="177"/>
        <v/>
      </c>
      <c r="L1470" t="str">
        <f t="shared" si="178"/>
        <v/>
      </c>
      <c r="M1470" t="str">
        <f t="shared" si="179"/>
        <v/>
      </c>
      <c r="N1470" t="str">
        <f t="shared" si="180"/>
        <v>Invalid</v>
      </c>
      <c r="O1470" t="str">
        <f t="shared" ca="1" si="181"/>
        <v>Outdated</v>
      </c>
      <c r="P1470" t="str">
        <f t="shared" si="182"/>
        <v>Late Delivery</v>
      </c>
      <c r="Q1470" t="str">
        <f t="shared" si="183"/>
        <v/>
      </c>
    </row>
    <row r="1471" spans="1:17" x14ac:dyDescent="0.45">
      <c r="A1471" t="s">
        <v>2242</v>
      </c>
      <c r="B1471" t="s">
        <v>72</v>
      </c>
      <c r="C1471" t="s">
        <v>2243</v>
      </c>
      <c r="D1471" t="s">
        <v>85</v>
      </c>
      <c r="E1471" s="8">
        <v>3190.74</v>
      </c>
      <c r="F1471" s="9">
        <v>45371.666684444448</v>
      </c>
      <c r="H1471" t="s">
        <v>81</v>
      </c>
      <c r="I1471" t="s">
        <v>112</v>
      </c>
      <c r="J1471" t="str">
        <f t="shared" si="176"/>
        <v/>
      </c>
      <c r="K1471" t="str">
        <f t="shared" si="177"/>
        <v>Duplicate</v>
      </c>
      <c r="L1471" t="str">
        <f t="shared" si="178"/>
        <v/>
      </c>
      <c r="M1471" t="str">
        <f t="shared" si="179"/>
        <v>Invalid</v>
      </c>
      <c r="N1471" t="str">
        <f t="shared" si="180"/>
        <v/>
      </c>
      <c r="O1471" t="str">
        <f t="shared" ca="1" si="181"/>
        <v>Outdated</v>
      </c>
      <c r="P1471" t="str">
        <f t="shared" si="182"/>
        <v>Late Delivery</v>
      </c>
      <c r="Q1471" t="str">
        <f t="shared" si="183"/>
        <v/>
      </c>
    </row>
    <row r="1472" spans="1:17" x14ac:dyDescent="0.45">
      <c r="A1472" t="s">
        <v>2244</v>
      </c>
      <c r="B1472" t="s">
        <v>79</v>
      </c>
      <c r="C1472" t="s">
        <v>2245</v>
      </c>
      <c r="D1472" t="s">
        <v>155</v>
      </c>
      <c r="E1472" s="8">
        <v>363.52</v>
      </c>
      <c r="F1472" s="9">
        <v>45730.666684444448</v>
      </c>
      <c r="G1472" t="s">
        <v>86</v>
      </c>
      <c r="H1472" t="s">
        <v>128</v>
      </c>
      <c r="I1472" t="s">
        <v>88</v>
      </c>
      <c r="J1472" t="str">
        <f t="shared" si="176"/>
        <v/>
      </c>
      <c r="K1472" t="str">
        <f t="shared" si="177"/>
        <v/>
      </c>
      <c r="L1472" t="str">
        <f t="shared" si="178"/>
        <v/>
      </c>
      <c r="M1472" t="str">
        <f t="shared" si="179"/>
        <v/>
      </c>
      <c r="N1472" t="str">
        <f t="shared" si="180"/>
        <v>Invalid</v>
      </c>
      <c r="O1472" t="str">
        <f t="shared" ca="1" si="181"/>
        <v>Outdated</v>
      </c>
      <c r="P1472" t="str">
        <f t="shared" si="182"/>
        <v>Damaged</v>
      </c>
      <c r="Q1472" t="str">
        <f t="shared" si="183"/>
        <v>Inconsistent</v>
      </c>
    </row>
    <row r="1473" spans="1:17" x14ac:dyDescent="0.45">
      <c r="A1473" t="s">
        <v>2246</v>
      </c>
      <c r="B1473" t="s">
        <v>95</v>
      </c>
      <c r="C1473" t="s">
        <v>1780</v>
      </c>
      <c r="D1473" t="s">
        <v>92</v>
      </c>
      <c r="E1473" s="8">
        <v>7461.89</v>
      </c>
      <c r="F1473" s="9">
        <v>45459.666684444448</v>
      </c>
      <c r="G1473" t="s">
        <v>97</v>
      </c>
      <c r="H1473" t="s">
        <v>145</v>
      </c>
      <c r="I1473" t="s">
        <v>112</v>
      </c>
      <c r="J1473" t="str">
        <f t="shared" si="176"/>
        <v/>
      </c>
      <c r="K1473" t="str">
        <f t="shared" si="177"/>
        <v/>
      </c>
      <c r="L1473" t="str">
        <f t="shared" si="178"/>
        <v/>
      </c>
      <c r="M1473" t="str">
        <f t="shared" si="179"/>
        <v/>
      </c>
      <c r="N1473" t="str">
        <f t="shared" si="180"/>
        <v/>
      </c>
      <c r="O1473" t="str">
        <f t="shared" ca="1" si="181"/>
        <v>Outdated</v>
      </c>
      <c r="P1473" t="str">
        <f t="shared" si="182"/>
        <v>Not As Described</v>
      </c>
      <c r="Q1473" t="str">
        <f t="shared" si="183"/>
        <v/>
      </c>
    </row>
    <row r="1474" spans="1:17" x14ac:dyDescent="0.45">
      <c r="A1474" t="s">
        <v>2247</v>
      </c>
      <c r="B1474" t="s">
        <v>172</v>
      </c>
      <c r="C1474" t="s">
        <v>2248</v>
      </c>
      <c r="D1474" t="s">
        <v>74</v>
      </c>
      <c r="E1474" s="8">
        <v>6552.6</v>
      </c>
      <c r="F1474" s="9">
        <v>45144.666684444448</v>
      </c>
      <c r="H1474" t="s">
        <v>118</v>
      </c>
      <c r="I1474" t="s">
        <v>77</v>
      </c>
      <c r="J1474" t="str">
        <f t="shared" ref="J1474:J1537" si="184">IF(OR(ISBLANK(C1474),ISBLANK(D1474)),"Missing","")</f>
        <v/>
      </c>
      <c r="K1474" t="str">
        <f t="shared" ref="K1474:K1537" si="185">IF(COUNTIF($A$2:$A$2501,A1474)&gt;1,"Duplicate","")</f>
        <v/>
      </c>
      <c r="L1474" t="str">
        <f t="shared" ref="L1474:L1537" si="186">IF(OR(E1474=0,E1474&gt;10000),"Unusual","")</f>
        <v/>
      </c>
      <c r="M1474" t="str">
        <f t="shared" ref="M1474:M1537" si="187">IF(OR(ISBLANK(G1474),ISERROR(FIND("@",G1474)),ISERROR(FIND(".",G1474,FIND("@",G1474)+1))),"Invalid","")</f>
        <v>Invalid</v>
      </c>
      <c r="N1474" t="str">
        <f t="shared" ref="N1474:N1537" si="188">IF(COUNTIF($S$2:$S$6,H1474)=0,"Invalid","")</f>
        <v>Invalid</v>
      </c>
      <c r="O1474" t="str">
        <f t="shared" ref="O1474:O1537" ca="1" si="189">IF(F1474&lt;EDATE(TODAY(),-12),"Outdated","")</f>
        <v>Outdated</v>
      </c>
      <c r="P1474" t="str">
        <f t="shared" ref="P1474:P1537" si="190">IF(ISBLANK(D1474),"",PROPER(TRIM(D1474)))</f>
        <v>Wrong Item</v>
      </c>
      <c r="Q1474" t="str">
        <f t="shared" ref="Q1474:Q1537" si="191">IF(ISBLANK(D1474),"",IF(EXACT(D1474,P1474),"","Inconsistent"))</f>
        <v/>
      </c>
    </row>
    <row r="1475" spans="1:17" x14ac:dyDescent="0.45">
      <c r="A1475" t="s">
        <v>2249</v>
      </c>
      <c r="B1475" t="s">
        <v>79</v>
      </c>
      <c r="C1475" t="s">
        <v>582</v>
      </c>
      <c r="D1475" t="s">
        <v>85</v>
      </c>
      <c r="E1475" s="8">
        <v>11215.82</v>
      </c>
      <c r="F1475" s="9">
        <v>45306.666684444448</v>
      </c>
      <c r="G1475" t="s">
        <v>278</v>
      </c>
      <c r="H1475" t="s">
        <v>145</v>
      </c>
      <c r="I1475" t="s">
        <v>163</v>
      </c>
      <c r="J1475" t="str">
        <f t="shared" si="184"/>
        <v/>
      </c>
      <c r="K1475" t="str">
        <f t="shared" si="185"/>
        <v/>
      </c>
      <c r="L1475" t="str">
        <f t="shared" si="186"/>
        <v>Unusual</v>
      </c>
      <c r="M1475" t="str">
        <f t="shared" si="187"/>
        <v>Invalid</v>
      </c>
      <c r="N1475" t="str">
        <f t="shared" si="188"/>
        <v/>
      </c>
      <c r="O1475" t="str">
        <f t="shared" ca="1" si="189"/>
        <v>Outdated</v>
      </c>
      <c r="P1475" t="str">
        <f t="shared" si="190"/>
        <v>Late Delivery</v>
      </c>
      <c r="Q1475" t="str">
        <f t="shared" si="191"/>
        <v/>
      </c>
    </row>
    <row r="1476" spans="1:17" x14ac:dyDescent="0.45">
      <c r="A1476" t="s">
        <v>2250</v>
      </c>
      <c r="B1476" t="s">
        <v>72</v>
      </c>
      <c r="C1476" t="s">
        <v>395</v>
      </c>
      <c r="D1476" t="s">
        <v>92</v>
      </c>
      <c r="E1476" s="8">
        <v>0</v>
      </c>
      <c r="F1476" s="9">
        <v>45399.666684444448</v>
      </c>
      <c r="G1476" t="s">
        <v>75</v>
      </c>
      <c r="H1476" t="s">
        <v>136</v>
      </c>
      <c r="I1476" t="s">
        <v>82</v>
      </c>
      <c r="J1476" t="str">
        <f t="shared" si="184"/>
        <v/>
      </c>
      <c r="K1476" t="str">
        <f t="shared" si="185"/>
        <v/>
      </c>
      <c r="L1476" t="str">
        <f t="shared" si="186"/>
        <v>Unusual</v>
      </c>
      <c r="M1476" t="str">
        <f t="shared" si="187"/>
        <v/>
      </c>
      <c r="N1476" t="str">
        <f t="shared" si="188"/>
        <v>Invalid</v>
      </c>
      <c r="O1476" t="str">
        <f t="shared" ca="1" si="189"/>
        <v>Outdated</v>
      </c>
      <c r="P1476" t="str">
        <f t="shared" si="190"/>
        <v>Not As Described</v>
      </c>
      <c r="Q1476" t="str">
        <f t="shared" si="191"/>
        <v/>
      </c>
    </row>
    <row r="1477" spans="1:17" x14ac:dyDescent="0.45">
      <c r="A1477" t="s">
        <v>2251</v>
      </c>
      <c r="B1477" t="s">
        <v>72</v>
      </c>
      <c r="C1477" t="s">
        <v>193</v>
      </c>
      <c r="D1477" t="s">
        <v>92</v>
      </c>
      <c r="E1477" s="8">
        <v>0</v>
      </c>
      <c r="F1477" s="9">
        <v>45181.666684444448</v>
      </c>
      <c r="G1477" t="s">
        <v>75</v>
      </c>
      <c r="H1477" t="s">
        <v>118</v>
      </c>
      <c r="I1477" t="s">
        <v>77</v>
      </c>
      <c r="J1477" t="str">
        <f t="shared" si="184"/>
        <v/>
      </c>
      <c r="K1477" t="str">
        <f t="shared" si="185"/>
        <v/>
      </c>
      <c r="L1477" t="str">
        <f t="shared" si="186"/>
        <v>Unusual</v>
      </c>
      <c r="M1477" t="str">
        <f t="shared" si="187"/>
        <v/>
      </c>
      <c r="N1477" t="str">
        <f t="shared" si="188"/>
        <v>Invalid</v>
      </c>
      <c r="O1477" t="str">
        <f t="shared" ca="1" si="189"/>
        <v>Outdated</v>
      </c>
      <c r="P1477" t="str">
        <f t="shared" si="190"/>
        <v>Not As Described</v>
      </c>
      <c r="Q1477" t="str">
        <f t="shared" si="191"/>
        <v/>
      </c>
    </row>
    <row r="1478" spans="1:17" x14ac:dyDescent="0.45">
      <c r="A1478" t="s">
        <v>2252</v>
      </c>
      <c r="B1478" t="s">
        <v>90</v>
      </c>
      <c r="C1478" t="s">
        <v>676</v>
      </c>
      <c r="D1478" t="s">
        <v>74</v>
      </c>
      <c r="E1478" s="8">
        <v>2007.62</v>
      </c>
      <c r="F1478" s="9">
        <v>45257.666684444448</v>
      </c>
      <c r="G1478" t="s">
        <v>93</v>
      </c>
      <c r="H1478" t="s">
        <v>107</v>
      </c>
      <c r="I1478" t="s">
        <v>119</v>
      </c>
      <c r="J1478" t="str">
        <f t="shared" si="184"/>
        <v/>
      </c>
      <c r="K1478" t="str">
        <f t="shared" si="185"/>
        <v/>
      </c>
      <c r="L1478" t="str">
        <f t="shared" si="186"/>
        <v/>
      </c>
      <c r="M1478" t="str">
        <f t="shared" si="187"/>
        <v/>
      </c>
      <c r="N1478" t="str">
        <f t="shared" si="188"/>
        <v/>
      </c>
      <c r="O1478" t="str">
        <f t="shared" ca="1" si="189"/>
        <v>Outdated</v>
      </c>
      <c r="P1478" t="str">
        <f t="shared" si="190"/>
        <v>Wrong Item</v>
      </c>
      <c r="Q1478" t="str">
        <f t="shared" si="191"/>
        <v/>
      </c>
    </row>
    <row r="1479" spans="1:17" x14ac:dyDescent="0.45">
      <c r="A1479" t="s">
        <v>2253</v>
      </c>
      <c r="B1479" t="s">
        <v>95</v>
      </c>
      <c r="C1479" t="s">
        <v>1297</v>
      </c>
      <c r="D1479" t="s">
        <v>148</v>
      </c>
      <c r="E1479" s="8">
        <v>8063.33</v>
      </c>
      <c r="F1479" s="9">
        <v>45559.666684444448</v>
      </c>
      <c r="G1479" t="s">
        <v>336</v>
      </c>
      <c r="H1479" t="s">
        <v>107</v>
      </c>
      <c r="I1479" t="s">
        <v>82</v>
      </c>
      <c r="J1479" t="str">
        <f t="shared" si="184"/>
        <v/>
      </c>
      <c r="K1479" t="str">
        <f t="shared" si="185"/>
        <v/>
      </c>
      <c r="L1479" t="str">
        <f t="shared" si="186"/>
        <v/>
      </c>
      <c r="M1479" t="str">
        <f t="shared" si="187"/>
        <v>Invalid</v>
      </c>
      <c r="N1479" t="str">
        <f t="shared" si="188"/>
        <v/>
      </c>
      <c r="O1479" t="str">
        <f t="shared" ca="1" si="189"/>
        <v>Outdated</v>
      </c>
      <c r="P1479" t="str">
        <f t="shared" si="190"/>
        <v>Wrong Item</v>
      </c>
      <c r="Q1479" t="str">
        <f t="shared" si="191"/>
        <v>Inconsistent</v>
      </c>
    </row>
    <row r="1480" spans="1:17" x14ac:dyDescent="0.45">
      <c r="A1480" t="s">
        <v>2254</v>
      </c>
      <c r="B1480" t="s">
        <v>95</v>
      </c>
      <c r="C1480" t="s">
        <v>2255</v>
      </c>
      <c r="D1480" t="s">
        <v>106</v>
      </c>
      <c r="E1480" s="8">
        <v>11901.35</v>
      </c>
      <c r="F1480" s="9">
        <v>45666.666684444448</v>
      </c>
      <c r="H1480" t="s">
        <v>136</v>
      </c>
      <c r="I1480" t="s">
        <v>119</v>
      </c>
      <c r="J1480" t="str">
        <f t="shared" si="184"/>
        <v/>
      </c>
      <c r="K1480" t="str">
        <f t="shared" si="185"/>
        <v/>
      </c>
      <c r="L1480" t="str">
        <f t="shared" si="186"/>
        <v>Unusual</v>
      </c>
      <c r="M1480" t="str">
        <f t="shared" si="187"/>
        <v>Invalid</v>
      </c>
      <c r="N1480" t="str">
        <f t="shared" si="188"/>
        <v>Invalid</v>
      </c>
      <c r="O1480" t="str">
        <f t="shared" ca="1" si="189"/>
        <v>Outdated</v>
      </c>
      <c r="P1480" t="str">
        <f t="shared" si="190"/>
        <v>Damaged</v>
      </c>
      <c r="Q1480" t="str">
        <f t="shared" si="191"/>
        <v>Inconsistent</v>
      </c>
    </row>
    <row r="1481" spans="1:17" x14ac:dyDescent="0.45">
      <c r="A1481" t="s">
        <v>2256</v>
      </c>
      <c r="B1481" t="s">
        <v>99</v>
      </c>
      <c r="C1481" t="s">
        <v>246</v>
      </c>
      <c r="D1481" t="s">
        <v>74</v>
      </c>
      <c r="E1481" s="8">
        <v>3729.96</v>
      </c>
      <c r="F1481" s="9">
        <v>45244.666684444448</v>
      </c>
      <c r="G1481" t="s">
        <v>102</v>
      </c>
      <c r="H1481" t="s">
        <v>107</v>
      </c>
      <c r="I1481" t="s">
        <v>112</v>
      </c>
      <c r="J1481" t="str">
        <f t="shared" si="184"/>
        <v/>
      </c>
      <c r="K1481" t="str">
        <f t="shared" si="185"/>
        <v/>
      </c>
      <c r="L1481" t="str">
        <f t="shared" si="186"/>
        <v/>
      </c>
      <c r="M1481" t="str">
        <f t="shared" si="187"/>
        <v/>
      </c>
      <c r="N1481" t="str">
        <f t="shared" si="188"/>
        <v/>
      </c>
      <c r="O1481" t="str">
        <f t="shared" ca="1" si="189"/>
        <v>Outdated</v>
      </c>
      <c r="P1481" t="str">
        <f t="shared" si="190"/>
        <v>Wrong Item</v>
      </c>
      <c r="Q1481" t="str">
        <f t="shared" si="191"/>
        <v/>
      </c>
    </row>
    <row r="1482" spans="1:17" x14ac:dyDescent="0.45">
      <c r="A1482" t="s">
        <v>2257</v>
      </c>
      <c r="B1482" t="s">
        <v>95</v>
      </c>
      <c r="C1482" t="s">
        <v>726</v>
      </c>
      <c r="D1482" t="s">
        <v>148</v>
      </c>
      <c r="E1482" s="8">
        <v>9981.1</v>
      </c>
      <c r="F1482" s="9">
        <v>45193.666684444448</v>
      </c>
      <c r="G1482" t="s">
        <v>336</v>
      </c>
      <c r="H1482" t="s">
        <v>145</v>
      </c>
      <c r="I1482" t="s">
        <v>77</v>
      </c>
      <c r="J1482" t="str">
        <f t="shared" si="184"/>
        <v/>
      </c>
      <c r="K1482" t="str">
        <f t="shared" si="185"/>
        <v/>
      </c>
      <c r="L1482" t="str">
        <f t="shared" si="186"/>
        <v/>
      </c>
      <c r="M1482" t="str">
        <f t="shared" si="187"/>
        <v>Invalid</v>
      </c>
      <c r="N1482" t="str">
        <f t="shared" si="188"/>
        <v/>
      </c>
      <c r="O1482" t="str">
        <f t="shared" ca="1" si="189"/>
        <v>Outdated</v>
      </c>
      <c r="P1482" t="str">
        <f t="shared" si="190"/>
        <v>Wrong Item</v>
      </c>
      <c r="Q1482" t="str">
        <f t="shared" si="191"/>
        <v>Inconsistent</v>
      </c>
    </row>
    <row r="1483" spans="1:17" x14ac:dyDescent="0.45">
      <c r="A1483" t="s">
        <v>2258</v>
      </c>
      <c r="B1483" t="s">
        <v>172</v>
      </c>
      <c r="C1483" t="s">
        <v>1696</v>
      </c>
      <c r="D1483" t="s">
        <v>74</v>
      </c>
      <c r="E1483" s="8">
        <v>6655.16</v>
      </c>
      <c r="F1483" s="9">
        <v>45615.666684444448</v>
      </c>
      <c r="G1483" t="s">
        <v>174</v>
      </c>
      <c r="I1483" t="s">
        <v>119</v>
      </c>
      <c r="J1483" t="str">
        <f t="shared" si="184"/>
        <v/>
      </c>
      <c r="K1483" t="str">
        <f t="shared" si="185"/>
        <v/>
      </c>
      <c r="L1483" t="str">
        <f t="shared" si="186"/>
        <v/>
      </c>
      <c r="M1483" t="str">
        <f t="shared" si="187"/>
        <v/>
      </c>
      <c r="N1483" t="str">
        <f t="shared" si="188"/>
        <v>Invalid</v>
      </c>
      <c r="O1483" t="str">
        <f t="shared" ca="1" si="189"/>
        <v>Outdated</v>
      </c>
      <c r="P1483" t="str">
        <f t="shared" si="190"/>
        <v>Wrong Item</v>
      </c>
      <c r="Q1483" t="str">
        <f t="shared" si="191"/>
        <v/>
      </c>
    </row>
    <row r="1484" spans="1:17" x14ac:dyDescent="0.45">
      <c r="A1484" t="s">
        <v>2259</v>
      </c>
      <c r="B1484" t="s">
        <v>99</v>
      </c>
      <c r="D1484" t="s">
        <v>74</v>
      </c>
      <c r="E1484" s="8">
        <v>5771.76</v>
      </c>
      <c r="F1484" s="9">
        <v>45587.666684444448</v>
      </c>
      <c r="G1484" t="s">
        <v>102</v>
      </c>
      <c r="H1484" t="s">
        <v>76</v>
      </c>
      <c r="I1484" t="s">
        <v>77</v>
      </c>
      <c r="J1484" t="str">
        <f t="shared" si="184"/>
        <v>Missing</v>
      </c>
      <c r="K1484" t="str">
        <f t="shared" si="185"/>
        <v/>
      </c>
      <c r="L1484" t="str">
        <f t="shared" si="186"/>
        <v/>
      </c>
      <c r="M1484" t="str">
        <f t="shared" si="187"/>
        <v/>
      </c>
      <c r="N1484" t="str">
        <f t="shared" si="188"/>
        <v/>
      </c>
      <c r="O1484" t="str">
        <f t="shared" ca="1" si="189"/>
        <v>Outdated</v>
      </c>
      <c r="P1484" t="str">
        <f t="shared" si="190"/>
        <v>Wrong Item</v>
      </c>
      <c r="Q1484" t="str">
        <f t="shared" si="191"/>
        <v/>
      </c>
    </row>
    <row r="1485" spans="1:17" x14ac:dyDescent="0.45">
      <c r="A1485" t="s">
        <v>2260</v>
      </c>
      <c r="B1485" t="s">
        <v>90</v>
      </c>
      <c r="C1485" t="s">
        <v>2261</v>
      </c>
      <c r="D1485" t="s">
        <v>74</v>
      </c>
      <c r="E1485" s="8">
        <v>9941.33</v>
      </c>
      <c r="F1485" s="9">
        <v>45498.666684444448</v>
      </c>
      <c r="G1485" t="s">
        <v>93</v>
      </c>
      <c r="H1485" t="s">
        <v>128</v>
      </c>
      <c r="I1485" t="s">
        <v>88</v>
      </c>
      <c r="J1485" t="str">
        <f t="shared" si="184"/>
        <v/>
      </c>
      <c r="K1485" t="str">
        <f t="shared" si="185"/>
        <v/>
      </c>
      <c r="L1485" t="str">
        <f t="shared" si="186"/>
        <v/>
      </c>
      <c r="M1485" t="str">
        <f t="shared" si="187"/>
        <v/>
      </c>
      <c r="N1485" t="str">
        <f t="shared" si="188"/>
        <v>Invalid</v>
      </c>
      <c r="O1485" t="str">
        <f t="shared" ca="1" si="189"/>
        <v>Outdated</v>
      </c>
      <c r="P1485" t="str">
        <f t="shared" si="190"/>
        <v>Wrong Item</v>
      </c>
      <c r="Q1485" t="str">
        <f t="shared" si="191"/>
        <v/>
      </c>
    </row>
    <row r="1486" spans="1:17" x14ac:dyDescent="0.45">
      <c r="A1486" t="s">
        <v>2262</v>
      </c>
      <c r="B1486" t="s">
        <v>95</v>
      </c>
      <c r="C1486" t="s">
        <v>959</v>
      </c>
      <c r="D1486" t="s">
        <v>74</v>
      </c>
      <c r="E1486" s="8">
        <v>1836.51</v>
      </c>
      <c r="F1486" s="9">
        <v>45653.666684444448</v>
      </c>
      <c r="G1486" t="s">
        <v>97</v>
      </c>
      <c r="H1486" t="s">
        <v>107</v>
      </c>
      <c r="I1486" t="s">
        <v>119</v>
      </c>
      <c r="J1486" t="str">
        <f t="shared" si="184"/>
        <v/>
      </c>
      <c r="K1486" t="str">
        <f t="shared" si="185"/>
        <v/>
      </c>
      <c r="L1486" t="str">
        <f t="shared" si="186"/>
        <v/>
      </c>
      <c r="M1486" t="str">
        <f t="shared" si="187"/>
        <v/>
      </c>
      <c r="N1486" t="str">
        <f t="shared" si="188"/>
        <v/>
      </c>
      <c r="O1486" t="str">
        <f t="shared" ca="1" si="189"/>
        <v>Outdated</v>
      </c>
      <c r="P1486" t="str">
        <f t="shared" si="190"/>
        <v>Wrong Item</v>
      </c>
      <c r="Q1486" t="str">
        <f t="shared" si="191"/>
        <v/>
      </c>
    </row>
    <row r="1487" spans="1:17" x14ac:dyDescent="0.45">
      <c r="A1487" t="s">
        <v>2263</v>
      </c>
      <c r="B1487" t="s">
        <v>90</v>
      </c>
      <c r="C1487" t="s">
        <v>523</v>
      </c>
      <c r="E1487" s="8">
        <v>4958.4399999999996</v>
      </c>
      <c r="F1487" s="9">
        <v>45735.666684444448</v>
      </c>
      <c r="G1487" t="s">
        <v>93</v>
      </c>
      <c r="H1487" t="s">
        <v>81</v>
      </c>
      <c r="I1487" t="s">
        <v>119</v>
      </c>
      <c r="J1487" t="str">
        <f t="shared" si="184"/>
        <v>Missing</v>
      </c>
      <c r="K1487" t="str">
        <f t="shared" si="185"/>
        <v/>
      </c>
      <c r="L1487" t="str">
        <f t="shared" si="186"/>
        <v/>
      </c>
      <c r="M1487" t="str">
        <f t="shared" si="187"/>
        <v/>
      </c>
      <c r="N1487" t="str">
        <f t="shared" si="188"/>
        <v/>
      </c>
      <c r="O1487" t="str">
        <f t="shared" ca="1" si="189"/>
        <v>Outdated</v>
      </c>
      <c r="P1487" t="str">
        <f t="shared" si="190"/>
        <v/>
      </c>
      <c r="Q1487" t="str">
        <f t="shared" si="191"/>
        <v/>
      </c>
    </row>
    <row r="1488" spans="1:17" x14ac:dyDescent="0.45">
      <c r="A1488" t="s">
        <v>2264</v>
      </c>
      <c r="B1488" t="s">
        <v>72</v>
      </c>
      <c r="C1488" t="s">
        <v>505</v>
      </c>
      <c r="D1488" t="s">
        <v>74</v>
      </c>
      <c r="E1488" s="8">
        <v>1512.67</v>
      </c>
      <c r="F1488" s="9">
        <v>45239.666684444448</v>
      </c>
      <c r="G1488" t="s">
        <v>75</v>
      </c>
      <c r="H1488" t="s">
        <v>107</v>
      </c>
      <c r="I1488" t="s">
        <v>163</v>
      </c>
      <c r="J1488" t="str">
        <f t="shared" si="184"/>
        <v/>
      </c>
      <c r="K1488" t="str">
        <f t="shared" si="185"/>
        <v/>
      </c>
      <c r="L1488" t="str">
        <f t="shared" si="186"/>
        <v/>
      </c>
      <c r="M1488" t="str">
        <f t="shared" si="187"/>
        <v/>
      </c>
      <c r="N1488" t="str">
        <f t="shared" si="188"/>
        <v/>
      </c>
      <c r="O1488" t="str">
        <f t="shared" ca="1" si="189"/>
        <v>Outdated</v>
      </c>
      <c r="P1488" t="str">
        <f t="shared" si="190"/>
        <v>Wrong Item</v>
      </c>
      <c r="Q1488" t="str">
        <f t="shared" si="191"/>
        <v/>
      </c>
    </row>
    <row r="1489" spans="1:17" x14ac:dyDescent="0.45">
      <c r="A1489" t="s">
        <v>2265</v>
      </c>
      <c r="B1489" t="s">
        <v>79</v>
      </c>
      <c r="C1489" t="s">
        <v>1169</v>
      </c>
      <c r="D1489" t="s">
        <v>101</v>
      </c>
      <c r="E1489" s="8">
        <v>6146.53</v>
      </c>
      <c r="F1489" s="9">
        <v>45590.666684444448</v>
      </c>
      <c r="G1489" t="s">
        <v>86</v>
      </c>
      <c r="H1489" t="s">
        <v>107</v>
      </c>
      <c r="I1489" t="s">
        <v>88</v>
      </c>
      <c r="J1489" t="str">
        <f t="shared" si="184"/>
        <v/>
      </c>
      <c r="K1489" t="str">
        <f t="shared" si="185"/>
        <v/>
      </c>
      <c r="L1489" t="str">
        <f t="shared" si="186"/>
        <v/>
      </c>
      <c r="M1489" t="str">
        <f t="shared" si="187"/>
        <v/>
      </c>
      <c r="N1489" t="str">
        <f t="shared" si="188"/>
        <v/>
      </c>
      <c r="O1489" t="str">
        <f t="shared" ca="1" si="189"/>
        <v>Outdated</v>
      </c>
      <c r="P1489" t="str">
        <f t="shared" si="190"/>
        <v>Damaged</v>
      </c>
      <c r="Q1489" t="str">
        <f t="shared" si="191"/>
        <v/>
      </c>
    </row>
    <row r="1490" spans="1:17" x14ac:dyDescent="0.45">
      <c r="A1490" t="s">
        <v>1342</v>
      </c>
      <c r="B1490" t="s">
        <v>95</v>
      </c>
      <c r="D1490" t="s">
        <v>74</v>
      </c>
      <c r="E1490" s="8">
        <v>1943.61</v>
      </c>
      <c r="F1490" s="9">
        <v>45643.666684444448</v>
      </c>
      <c r="G1490" t="s">
        <v>97</v>
      </c>
      <c r="H1490" t="s">
        <v>118</v>
      </c>
      <c r="I1490" t="s">
        <v>119</v>
      </c>
      <c r="J1490" t="str">
        <f t="shared" si="184"/>
        <v>Missing</v>
      </c>
      <c r="K1490" t="str">
        <f t="shared" si="185"/>
        <v>Duplicate</v>
      </c>
      <c r="L1490" t="str">
        <f t="shared" si="186"/>
        <v/>
      </c>
      <c r="M1490" t="str">
        <f t="shared" si="187"/>
        <v/>
      </c>
      <c r="N1490" t="str">
        <f t="shared" si="188"/>
        <v>Invalid</v>
      </c>
      <c r="O1490" t="str">
        <f t="shared" ca="1" si="189"/>
        <v>Outdated</v>
      </c>
      <c r="P1490" t="str">
        <f t="shared" si="190"/>
        <v>Wrong Item</v>
      </c>
      <c r="Q1490" t="str">
        <f t="shared" si="191"/>
        <v/>
      </c>
    </row>
    <row r="1491" spans="1:17" x14ac:dyDescent="0.45">
      <c r="A1491" t="s">
        <v>2266</v>
      </c>
      <c r="B1491" t="s">
        <v>72</v>
      </c>
      <c r="C1491" t="s">
        <v>110</v>
      </c>
      <c r="D1491" t="s">
        <v>101</v>
      </c>
      <c r="E1491" s="8">
        <v>11121.68</v>
      </c>
      <c r="F1491" s="9">
        <v>45354.666684444448</v>
      </c>
      <c r="G1491" t="s">
        <v>75</v>
      </c>
      <c r="H1491" t="s">
        <v>87</v>
      </c>
      <c r="I1491" t="s">
        <v>119</v>
      </c>
      <c r="J1491" t="str">
        <f t="shared" si="184"/>
        <v/>
      </c>
      <c r="K1491" t="str">
        <f t="shared" si="185"/>
        <v/>
      </c>
      <c r="L1491" t="str">
        <f t="shared" si="186"/>
        <v>Unusual</v>
      </c>
      <c r="M1491" t="str">
        <f t="shared" si="187"/>
        <v/>
      </c>
      <c r="N1491" t="str">
        <f t="shared" si="188"/>
        <v>Invalid</v>
      </c>
      <c r="O1491" t="str">
        <f t="shared" ca="1" si="189"/>
        <v>Outdated</v>
      </c>
      <c r="P1491" t="str">
        <f t="shared" si="190"/>
        <v>Damaged</v>
      </c>
      <c r="Q1491" t="str">
        <f t="shared" si="191"/>
        <v/>
      </c>
    </row>
    <row r="1492" spans="1:17" x14ac:dyDescent="0.45">
      <c r="A1492" t="s">
        <v>2267</v>
      </c>
      <c r="B1492" t="s">
        <v>79</v>
      </c>
      <c r="C1492" t="s">
        <v>1483</v>
      </c>
      <c r="D1492" t="s">
        <v>74</v>
      </c>
      <c r="E1492" s="8">
        <v>2899.02</v>
      </c>
      <c r="F1492" s="9">
        <v>45757.666684444448</v>
      </c>
      <c r="G1492" t="s">
        <v>86</v>
      </c>
      <c r="H1492" t="s">
        <v>87</v>
      </c>
      <c r="I1492" t="s">
        <v>112</v>
      </c>
      <c r="J1492" t="str">
        <f t="shared" si="184"/>
        <v/>
      </c>
      <c r="K1492" t="str">
        <f t="shared" si="185"/>
        <v/>
      </c>
      <c r="L1492" t="str">
        <f t="shared" si="186"/>
        <v/>
      </c>
      <c r="M1492" t="str">
        <f t="shared" si="187"/>
        <v/>
      </c>
      <c r="N1492" t="str">
        <f t="shared" si="188"/>
        <v>Invalid</v>
      </c>
      <c r="O1492" t="str">
        <f t="shared" ca="1" si="189"/>
        <v>Outdated</v>
      </c>
      <c r="P1492" t="str">
        <f t="shared" si="190"/>
        <v>Wrong Item</v>
      </c>
      <c r="Q1492" t="str">
        <f t="shared" si="191"/>
        <v/>
      </c>
    </row>
    <row r="1493" spans="1:17" x14ac:dyDescent="0.45">
      <c r="A1493" t="s">
        <v>2268</v>
      </c>
      <c r="B1493" t="s">
        <v>79</v>
      </c>
      <c r="C1493" t="s">
        <v>807</v>
      </c>
      <c r="D1493" t="s">
        <v>92</v>
      </c>
      <c r="E1493" s="8">
        <v>9554.23</v>
      </c>
      <c r="F1493" s="9">
        <v>45172.666684444448</v>
      </c>
      <c r="G1493" t="s">
        <v>86</v>
      </c>
      <c r="I1493" t="s">
        <v>82</v>
      </c>
      <c r="J1493" t="str">
        <f t="shared" si="184"/>
        <v/>
      </c>
      <c r="K1493" t="str">
        <f t="shared" si="185"/>
        <v/>
      </c>
      <c r="L1493" t="str">
        <f t="shared" si="186"/>
        <v/>
      </c>
      <c r="M1493" t="str">
        <f t="shared" si="187"/>
        <v/>
      </c>
      <c r="N1493" t="str">
        <f t="shared" si="188"/>
        <v>Invalid</v>
      </c>
      <c r="O1493" t="str">
        <f t="shared" ca="1" si="189"/>
        <v>Outdated</v>
      </c>
      <c r="P1493" t="str">
        <f t="shared" si="190"/>
        <v>Not As Described</v>
      </c>
      <c r="Q1493" t="str">
        <f t="shared" si="191"/>
        <v/>
      </c>
    </row>
    <row r="1494" spans="1:17" x14ac:dyDescent="0.45">
      <c r="A1494" t="s">
        <v>2269</v>
      </c>
      <c r="B1494" t="s">
        <v>72</v>
      </c>
      <c r="C1494" t="s">
        <v>796</v>
      </c>
      <c r="D1494" t="s">
        <v>74</v>
      </c>
      <c r="E1494" s="8">
        <v>0</v>
      </c>
      <c r="F1494" s="9">
        <v>45802.666684444448</v>
      </c>
      <c r="G1494" t="s">
        <v>75</v>
      </c>
      <c r="H1494" t="s">
        <v>136</v>
      </c>
      <c r="I1494" t="s">
        <v>82</v>
      </c>
      <c r="J1494" t="str">
        <f t="shared" si="184"/>
        <v/>
      </c>
      <c r="K1494" t="str">
        <f t="shared" si="185"/>
        <v/>
      </c>
      <c r="L1494" t="str">
        <f t="shared" si="186"/>
        <v>Unusual</v>
      </c>
      <c r="M1494" t="str">
        <f t="shared" si="187"/>
        <v/>
      </c>
      <c r="N1494" t="str">
        <f t="shared" si="188"/>
        <v>Invalid</v>
      </c>
      <c r="O1494" t="str">
        <f t="shared" ca="1" si="189"/>
        <v>Outdated</v>
      </c>
      <c r="P1494" t="str">
        <f t="shared" si="190"/>
        <v>Wrong Item</v>
      </c>
      <c r="Q1494" t="str">
        <f t="shared" si="191"/>
        <v/>
      </c>
    </row>
    <row r="1495" spans="1:17" x14ac:dyDescent="0.45">
      <c r="A1495" t="s">
        <v>2270</v>
      </c>
      <c r="B1495" t="s">
        <v>104</v>
      </c>
      <c r="C1495" t="s">
        <v>554</v>
      </c>
      <c r="D1495" t="s">
        <v>148</v>
      </c>
      <c r="E1495" s="8">
        <v>7158.19</v>
      </c>
      <c r="F1495" s="9">
        <v>45661.666684444448</v>
      </c>
      <c r="G1495" t="s">
        <v>115</v>
      </c>
      <c r="H1495" t="s">
        <v>81</v>
      </c>
      <c r="I1495" t="s">
        <v>112</v>
      </c>
      <c r="J1495" t="str">
        <f t="shared" si="184"/>
        <v/>
      </c>
      <c r="K1495" t="str">
        <f t="shared" si="185"/>
        <v/>
      </c>
      <c r="L1495" t="str">
        <f t="shared" si="186"/>
        <v/>
      </c>
      <c r="M1495" t="str">
        <f t="shared" si="187"/>
        <v/>
      </c>
      <c r="N1495" t="str">
        <f t="shared" si="188"/>
        <v/>
      </c>
      <c r="O1495" t="str">
        <f t="shared" ca="1" si="189"/>
        <v>Outdated</v>
      </c>
      <c r="P1495" t="str">
        <f t="shared" si="190"/>
        <v>Wrong Item</v>
      </c>
      <c r="Q1495" t="str">
        <f t="shared" si="191"/>
        <v>Inconsistent</v>
      </c>
    </row>
    <row r="1496" spans="1:17" x14ac:dyDescent="0.45">
      <c r="A1496" t="s">
        <v>2271</v>
      </c>
      <c r="B1496" t="s">
        <v>99</v>
      </c>
      <c r="C1496" t="s">
        <v>1146</v>
      </c>
      <c r="E1496" s="8">
        <v>5417.08</v>
      </c>
      <c r="F1496" s="9">
        <v>45436.666684444448</v>
      </c>
      <c r="G1496" t="s">
        <v>102</v>
      </c>
      <c r="H1496" t="s">
        <v>133</v>
      </c>
      <c r="I1496" t="s">
        <v>119</v>
      </c>
      <c r="J1496" t="str">
        <f t="shared" si="184"/>
        <v>Missing</v>
      </c>
      <c r="K1496" t="str">
        <f t="shared" si="185"/>
        <v/>
      </c>
      <c r="L1496" t="str">
        <f t="shared" si="186"/>
        <v/>
      </c>
      <c r="M1496" t="str">
        <f t="shared" si="187"/>
        <v/>
      </c>
      <c r="N1496" t="str">
        <f t="shared" si="188"/>
        <v>Invalid</v>
      </c>
      <c r="O1496" t="str">
        <f t="shared" ca="1" si="189"/>
        <v>Outdated</v>
      </c>
      <c r="P1496" t="str">
        <f t="shared" si="190"/>
        <v/>
      </c>
      <c r="Q1496" t="str">
        <f t="shared" si="191"/>
        <v/>
      </c>
    </row>
    <row r="1497" spans="1:17" x14ac:dyDescent="0.45">
      <c r="A1497" t="s">
        <v>2272</v>
      </c>
      <c r="B1497" t="s">
        <v>104</v>
      </c>
      <c r="C1497" t="s">
        <v>2273</v>
      </c>
      <c r="D1497" t="s">
        <v>74</v>
      </c>
      <c r="E1497" s="8">
        <v>9478.6299999999992</v>
      </c>
      <c r="F1497" s="9">
        <v>45597.666684444448</v>
      </c>
      <c r="G1497" t="s">
        <v>115</v>
      </c>
      <c r="H1497" t="s">
        <v>136</v>
      </c>
      <c r="I1497" t="s">
        <v>119</v>
      </c>
      <c r="J1497" t="str">
        <f t="shared" si="184"/>
        <v/>
      </c>
      <c r="K1497" t="str">
        <f t="shared" si="185"/>
        <v>Duplicate</v>
      </c>
      <c r="L1497" t="str">
        <f t="shared" si="186"/>
        <v/>
      </c>
      <c r="M1497" t="str">
        <f t="shared" si="187"/>
        <v/>
      </c>
      <c r="N1497" t="str">
        <f t="shared" si="188"/>
        <v>Invalid</v>
      </c>
      <c r="O1497" t="str">
        <f t="shared" ca="1" si="189"/>
        <v>Outdated</v>
      </c>
      <c r="P1497" t="str">
        <f t="shared" si="190"/>
        <v>Wrong Item</v>
      </c>
      <c r="Q1497" t="str">
        <f t="shared" si="191"/>
        <v/>
      </c>
    </row>
    <row r="1498" spans="1:17" x14ac:dyDescent="0.45">
      <c r="A1498" t="s">
        <v>2274</v>
      </c>
      <c r="B1498" t="s">
        <v>109</v>
      </c>
      <c r="C1498" t="s">
        <v>1346</v>
      </c>
      <c r="D1498" t="s">
        <v>148</v>
      </c>
      <c r="E1498" s="8">
        <v>6392.54</v>
      </c>
      <c r="F1498" s="9">
        <v>45786.666684444448</v>
      </c>
      <c r="G1498" t="s">
        <v>111</v>
      </c>
      <c r="H1498" t="s">
        <v>128</v>
      </c>
      <c r="I1498" t="s">
        <v>163</v>
      </c>
      <c r="J1498" t="str">
        <f t="shared" si="184"/>
        <v/>
      </c>
      <c r="K1498" t="str">
        <f t="shared" si="185"/>
        <v/>
      </c>
      <c r="L1498" t="str">
        <f t="shared" si="186"/>
        <v/>
      </c>
      <c r="M1498" t="str">
        <f t="shared" si="187"/>
        <v/>
      </c>
      <c r="N1498" t="str">
        <f t="shared" si="188"/>
        <v>Invalid</v>
      </c>
      <c r="O1498" t="str">
        <f t="shared" ca="1" si="189"/>
        <v>Outdated</v>
      </c>
      <c r="P1498" t="str">
        <f t="shared" si="190"/>
        <v>Wrong Item</v>
      </c>
      <c r="Q1498" t="str">
        <f t="shared" si="191"/>
        <v>Inconsistent</v>
      </c>
    </row>
    <row r="1499" spans="1:17" x14ac:dyDescent="0.45">
      <c r="A1499" t="s">
        <v>2275</v>
      </c>
      <c r="B1499" t="s">
        <v>138</v>
      </c>
      <c r="C1499" t="s">
        <v>261</v>
      </c>
      <c r="D1499" t="s">
        <v>74</v>
      </c>
      <c r="E1499" s="8">
        <v>3496.61</v>
      </c>
      <c r="F1499" s="9">
        <v>45159.666684444448</v>
      </c>
      <c r="G1499" t="s">
        <v>140</v>
      </c>
      <c r="H1499" t="s">
        <v>76</v>
      </c>
      <c r="I1499" t="s">
        <v>82</v>
      </c>
      <c r="J1499" t="str">
        <f t="shared" si="184"/>
        <v/>
      </c>
      <c r="K1499" t="str">
        <f t="shared" si="185"/>
        <v/>
      </c>
      <c r="L1499" t="str">
        <f t="shared" si="186"/>
        <v/>
      </c>
      <c r="M1499" t="str">
        <f t="shared" si="187"/>
        <v/>
      </c>
      <c r="N1499" t="str">
        <f t="shared" si="188"/>
        <v/>
      </c>
      <c r="O1499" t="str">
        <f t="shared" ca="1" si="189"/>
        <v>Outdated</v>
      </c>
      <c r="P1499" t="str">
        <f t="shared" si="190"/>
        <v>Wrong Item</v>
      </c>
      <c r="Q1499" t="str">
        <f t="shared" si="191"/>
        <v/>
      </c>
    </row>
    <row r="1500" spans="1:17" x14ac:dyDescent="0.45">
      <c r="A1500" t="s">
        <v>2276</v>
      </c>
      <c r="B1500" t="s">
        <v>79</v>
      </c>
      <c r="C1500" t="s">
        <v>1425</v>
      </c>
      <c r="D1500" t="s">
        <v>74</v>
      </c>
      <c r="E1500" s="8">
        <v>5416.89</v>
      </c>
      <c r="F1500" s="9">
        <v>45190.666684444448</v>
      </c>
      <c r="G1500" t="s">
        <v>86</v>
      </c>
      <c r="H1500" t="s">
        <v>87</v>
      </c>
      <c r="I1500" t="s">
        <v>112</v>
      </c>
      <c r="J1500" t="str">
        <f t="shared" si="184"/>
        <v/>
      </c>
      <c r="K1500" t="str">
        <f t="shared" si="185"/>
        <v/>
      </c>
      <c r="L1500" t="str">
        <f t="shared" si="186"/>
        <v/>
      </c>
      <c r="M1500" t="str">
        <f t="shared" si="187"/>
        <v/>
      </c>
      <c r="N1500" t="str">
        <f t="shared" si="188"/>
        <v>Invalid</v>
      </c>
      <c r="O1500" t="str">
        <f t="shared" ca="1" si="189"/>
        <v>Outdated</v>
      </c>
      <c r="P1500" t="str">
        <f t="shared" si="190"/>
        <v>Wrong Item</v>
      </c>
      <c r="Q1500" t="str">
        <f t="shared" si="191"/>
        <v/>
      </c>
    </row>
    <row r="1501" spans="1:17" x14ac:dyDescent="0.45">
      <c r="A1501" t="s">
        <v>2277</v>
      </c>
      <c r="B1501" t="s">
        <v>99</v>
      </c>
      <c r="C1501" t="s">
        <v>864</v>
      </c>
      <c r="D1501" t="s">
        <v>74</v>
      </c>
      <c r="E1501" s="8">
        <v>6249.94</v>
      </c>
      <c r="F1501" s="9">
        <v>45618.666684444448</v>
      </c>
      <c r="G1501" t="s">
        <v>102</v>
      </c>
      <c r="H1501" t="s">
        <v>145</v>
      </c>
      <c r="I1501" t="s">
        <v>163</v>
      </c>
      <c r="J1501" t="str">
        <f t="shared" si="184"/>
        <v/>
      </c>
      <c r="K1501" t="str">
        <f t="shared" si="185"/>
        <v/>
      </c>
      <c r="L1501" t="str">
        <f t="shared" si="186"/>
        <v/>
      </c>
      <c r="M1501" t="str">
        <f t="shared" si="187"/>
        <v/>
      </c>
      <c r="N1501" t="str">
        <f t="shared" si="188"/>
        <v/>
      </c>
      <c r="O1501" t="str">
        <f t="shared" ca="1" si="189"/>
        <v>Outdated</v>
      </c>
      <c r="P1501" t="str">
        <f t="shared" si="190"/>
        <v>Wrong Item</v>
      </c>
      <c r="Q1501" t="str">
        <f t="shared" si="191"/>
        <v/>
      </c>
    </row>
    <row r="1502" spans="1:17" x14ac:dyDescent="0.45">
      <c r="A1502" t="s">
        <v>2278</v>
      </c>
      <c r="B1502" t="s">
        <v>79</v>
      </c>
      <c r="C1502" t="s">
        <v>2279</v>
      </c>
      <c r="D1502" t="s">
        <v>101</v>
      </c>
      <c r="E1502" s="8">
        <v>3073.06</v>
      </c>
      <c r="F1502" s="9">
        <v>45539.666684444448</v>
      </c>
      <c r="G1502" t="s">
        <v>86</v>
      </c>
      <c r="H1502" t="s">
        <v>145</v>
      </c>
      <c r="I1502" t="s">
        <v>119</v>
      </c>
      <c r="J1502" t="str">
        <f t="shared" si="184"/>
        <v/>
      </c>
      <c r="K1502" t="str">
        <f t="shared" si="185"/>
        <v/>
      </c>
      <c r="L1502" t="str">
        <f t="shared" si="186"/>
        <v/>
      </c>
      <c r="M1502" t="str">
        <f t="shared" si="187"/>
        <v/>
      </c>
      <c r="N1502" t="str">
        <f t="shared" si="188"/>
        <v/>
      </c>
      <c r="O1502" t="str">
        <f t="shared" ca="1" si="189"/>
        <v>Outdated</v>
      </c>
      <c r="P1502" t="str">
        <f t="shared" si="190"/>
        <v>Damaged</v>
      </c>
      <c r="Q1502" t="str">
        <f t="shared" si="191"/>
        <v/>
      </c>
    </row>
    <row r="1503" spans="1:17" x14ac:dyDescent="0.45">
      <c r="A1503" t="s">
        <v>2280</v>
      </c>
      <c r="B1503" t="s">
        <v>172</v>
      </c>
      <c r="C1503" t="s">
        <v>563</v>
      </c>
      <c r="D1503" t="s">
        <v>85</v>
      </c>
      <c r="E1503" s="8">
        <v>1182.45</v>
      </c>
      <c r="F1503" s="9">
        <v>45564.666684444448</v>
      </c>
      <c r="G1503" t="s">
        <v>174</v>
      </c>
      <c r="H1503" t="s">
        <v>145</v>
      </c>
      <c r="I1503" t="s">
        <v>163</v>
      </c>
      <c r="J1503" t="str">
        <f t="shared" si="184"/>
        <v/>
      </c>
      <c r="K1503" t="str">
        <f t="shared" si="185"/>
        <v/>
      </c>
      <c r="L1503" t="str">
        <f t="shared" si="186"/>
        <v/>
      </c>
      <c r="M1503" t="str">
        <f t="shared" si="187"/>
        <v/>
      </c>
      <c r="N1503" t="str">
        <f t="shared" si="188"/>
        <v/>
      </c>
      <c r="O1503" t="str">
        <f t="shared" ca="1" si="189"/>
        <v>Outdated</v>
      </c>
      <c r="P1503" t="str">
        <f t="shared" si="190"/>
        <v>Late Delivery</v>
      </c>
      <c r="Q1503" t="str">
        <f t="shared" si="191"/>
        <v/>
      </c>
    </row>
    <row r="1504" spans="1:17" x14ac:dyDescent="0.45">
      <c r="A1504" t="s">
        <v>2281</v>
      </c>
      <c r="B1504" t="s">
        <v>109</v>
      </c>
      <c r="C1504" t="s">
        <v>1524</v>
      </c>
      <c r="D1504" t="s">
        <v>92</v>
      </c>
      <c r="E1504" s="8">
        <v>2682.33</v>
      </c>
      <c r="F1504" s="9">
        <v>45830.666684444448</v>
      </c>
      <c r="G1504" t="s">
        <v>111</v>
      </c>
      <c r="H1504" t="s">
        <v>133</v>
      </c>
      <c r="I1504" t="s">
        <v>119</v>
      </c>
      <c r="J1504" t="str">
        <f t="shared" si="184"/>
        <v/>
      </c>
      <c r="K1504" t="str">
        <f t="shared" si="185"/>
        <v/>
      </c>
      <c r="L1504" t="str">
        <f t="shared" si="186"/>
        <v/>
      </c>
      <c r="M1504" t="str">
        <f t="shared" si="187"/>
        <v/>
      </c>
      <c r="N1504" t="str">
        <f t="shared" si="188"/>
        <v>Invalid</v>
      </c>
      <c r="O1504" t="str">
        <f t="shared" ca="1" si="189"/>
        <v>Outdated</v>
      </c>
      <c r="P1504" t="str">
        <f t="shared" si="190"/>
        <v>Not As Described</v>
      </c>
      <c r="Q1504" t="str">
        <f t="shared" si="191"/>
        <v/>
      </c>
    </row>
    <row r="1505" spans="1:17" x14ac:dyDescent="0.45">
      <c r="A1505" t="s">
        <v>2282</v>
      </c>
      <c r="B1505" t="s">
        <v>109</v>
      </c>
      <c r="C1505" t="s">
        <v>1155</v>
      </c>
      <c r="D1505" t="s">
        <v>101</v>
      </c>
      <c r="E1505" s="8">
        <v>0</v>
      </c>
      <c r="F1505" s="9">
        <v>45238.666684444448</v>
      </c>
      <c r="G1505" t="s">
        <v>111</v>
      </c>
      <c r="H1505" t="s">
        <v>145</v>
      </c>
      <c r="I1505" t="s">
        <v>163</v>
      </c>
      <c r="J1505" t="str">
        <f t="shared" si="184"/>
        <v/>
      </c>
      <c r="K1505" t="str">
        <f t="shared" si="185"/>
        <v/>
      </c>
      <c r="L1505" t="str">
        <f t="shared" si="186"/>
        <v>Unusual</v>
      </c>
      <c r="M1505" t="str">
        <f t="shared" si="187"/>
        <v/>
      </c>
      <c r="N1505" t="str">
        <f t="shared" si="188"/>
        <v/>
      </c>
      <c r="O1505" t="str">
        <f t="shared" ca="1" si="189"/>
        <v>Outdated</v>
      </c>
      <c r="P1505" t="str">
        <f t="shared" si="190"/>
        <v>Damaged</v>
      </c>
      <c r="Q1505" t="str">
        <f t="shared" si="191"/>
        <v/>
      </c>
    </row>
    <row r="1506" spans="1:17" x14ac:dyDescent="0.45">
      <c r="A1506" t="s">
        <v>2283</v>
      </c>
      <c r="B1506" t="s">
        <v>172</v>
      </c>
      <c r="C1506" t="s">
        <v>2284</v>
      </c>
      <c r="D1506" t="s">
        <v>92</v>
      </c>
      <c r="E1506" s="8">
        <v>1848.74</v>
      </c>
      <c r="F1506" s="9">
        <v>45630.666684444448</v>
      </c>
      <c r="G1506" t="s">
        <v>174</v>
      </c>
      <c r="H1506" t="s">
        <v>128</v>
      </c>
      <c r="I1506" t="s">
        <v>119</v>
      </c>
      <c r="J1506" t="str">
        <f t="shared" si="184"/>
        <v/>
      </c>
      <c r="K1506" t="str">
        <f t="shared" si="185"/>
        <v/>
      </c>
      <c r="L1506" t="str">
        <f t="shared" si="186"/>
        <v/>
      </c>
      <c r="M1506" t="str">
        <f t="shared" si="187"/>
        <v/>
      </c>
      <c r="N1506" t="str">
        <f t="shared" si="188"/>
        <v>Invalid</v>
      </c>
      <c r="O1506" t="str">
        <f t="shared" ca="1" si="189"/>
        <v>Outdated</v>
      </c>
      <c r="P1506" t="str">
        <f t="shared" si="190"/>
        <v>Not As Described</v>
      </c>
      <c r="Q1506" t="str">
        <f t="shared" si="191"/>
        <v/>
      </c>
    </row>
    <row r="1507" spans="1:17" x14ac:dyDescent="0.45">
      <c r="A1507" t="s">
        <v>2285</v>
      </c>
      <c r="B1507" t="s">
        <v>72</v>
      </c>
      <c r="C1507" t="s">
        <v>2286</v>
      </c>
      <c r="D1507" t="s">
        <v>74</v>
      </c>
      <c r="E1507" s="8">
        <v>4063.72</v>
      </c>
      <c r="F1507" s="9">
        <v>45857.666684444448</v>
      </c>
      <c r="I1507" t="s">
        <v>163</v>
      </c>
      <c r="J1507" t="str">
        <f t="shared" si="184"/>
        <v/>
      </c>
      <c r="K1507" t="str">
        <f t="shared" si="185"/>
        <v/>
      </c>
      <c r="L1507" t="str">
        <f t="shared" si="186"/>
        <v/>
      </c>
      <c r="M1507" t="str">
        <f t="shared" si="187"/>
        <v>Invalid</v>
      </c>
      <c r="N1507" t="str">
        <f t="shared" si="188"/>
        <v>Invalid</v>
      </c>
      <c r="O1507" t="str">
        <f t="shared" ca="1" si="189"/>
        <v/>
      </c>
      <c r="P1507" t="str">
        <f t="shared" si="190"/>
        <v>Wrong Item</v>
      </c>
      <c r="Q1507" t="str">
        <f t="shared" si="191"/>
        <v/>
      </c>
    </row>
    <row r="1508" spans="1:17" x14ac:dyDescent="0.45">
      <c r="A1508" t="s">
        <v>2287</v>
      </c>
      <c r="B1508" t="s">
        <v>99</v>
      </c>
      <c r="C1508" t="s">
        <v>135</v>
      </c>
      <c r="D1508" t="s">
        <v>92</v>
      </c>
      <c r="E1508" s="8">
        <v>4973.7700000000004</v>
      </c>
      <c r="F1508" s="9">
        <v>45582.666684444448</v>
      </c>
      <c r="G1508" t="s">
        <v>102</v>
      </c>
      <c r="H1508" t="s">
        <v>128</v>
      </c>
      <c r="I1508" t="s">
        <v>77</v>
      </c>
      <c r="J1508" t="str">
        <f t="shared" si="184"/>
        <v/>
      </c>
      <c r="K1508" t="str">
        <f t="shared" si="185"/>
        <v/>
      </c>
      <c r="L1508" t="str">
        <f t="shared" si="186"/>
        <v/>
      </c>
      <c r="M1508" t="str">
        <f t="shared" si="187"/>
        <v/>
      </c>
      <c r="N1508" t="str">
        <f t="shared" si="188"/>
        <v>Invalid</v>
      </c>
      <c r="O1508" t="str">
        <f t="shared" ca="1" si="189"/>
        <v>Outdated</v>
      </c>
      <c r="P1508" t="str">
        <f t="shared" si="190"/>
        <v>Not As Described</v>
      </c>
      <c r="Q1508" t="str">
        <f t="shared" si="191"/>
        <v/>
      </c>
    </row>
    <row r="1509" spans="1:17" x14ac:dyDescent="0.45">
      <c r="A1509" t="s">
        <v>709</v>
      </c>
      <c r="B1509" t="s">
        <v>90</v>
      </c>
      <c r="C1509" t="s">
        <v>619</v>
      </c>
      <c r="D1509" t="s">
        <v>74</v>
      </c>
      <c r="E1509" s="8">
        <v>0</v>
      </c>
      <c r="F1509" s="9">
        <v>45203.666684444448</v>
      </c>
      <c r="G1509" t="s">
        <v>93</v>
      </c>
      <c r="H1509" t="s">
        <v>133</v>
      </c>
      <c r="I1509" t="s">
        <v>119</v>
      </c>
      <c r="J1509" t="str">
        <f t="shared" si="184"/>
        <v/>
      </c>
      <c r="K1509" t="str">
        <f t="shared" si="185"/>
        <v>Duplicate</v>
      </c>
      <c r="L1509" t="str">
        <f t="shared" si="186"/>
        <v>Unusual</v>
      </c>
      <c r="M1509" t="str">
        <f t="shared" si="187"/>
        <v/>
      </c>
      <c r="N1509" t="str">
        <f t="shared" si="188"/>
        <v>Invalid</v>
      </c>
      <c r="O1509" t="str">
        <f t="shared" ca="1" si="189"/>
        <v>Outdated</v>
      </c>
      <c r="P1509" t="str">
        <f t="shared" si="190"/>
        <v>Wrong Item</v>
      </c>
      <c r="Q1509" t="str">
        <f t="shared" si="191"/>
        <v/>
      </c>
    </row>
    <row r="1510" spans="1:17" x14ac:dyDescent="0.45">
      <c r="A1510" t="s">
        <v>125</v>
      </c>
      <c r="B1510" t="s">
        <v>99</v>
      </c>
      <c r="C1510" t="s">
        <v>1112</v>
      </c>
      <c r="D1510" t="s">
        <v>74</v>
      </c>
      <c r="E1510" s="8">
        <v>6161.98</v>
      </c>
      <c r="F1510" s="9">
        <v>45210.666684444448</v>
      </c>
      <c r="G1510" t="s">
        <v>102</v>
      </c>
      <c r="H1510" t="s">
        <v>133</v>
      </c>
      <c r="I1510" t="s">
        <v>112</v>
      </c>
      <c r="J1510" t="str">
        <f t="shared" si="184"/>
        <v/>
      </c>
      <c r="K1510" t="str">
        <f t="shared" si="185"/>
        <v>Duplicate</v>
      </c>
      <c r="L1510" t="str">
        <f t="shared" si="186"/>
        <v/>
      </c>
      <c r="M1510" t="str">
        <f t="shared" si="187"/>
        <v/>
      </c>
      <c r="N1510" t="str">
        <f t="shared" si="188"/>
        <v>Invalid</v>
      </c>
      <c r="O1510" t="str">
        <f t="shared" ca="1" si="189"/>
        <v>Outdated</v>
      </c>
      <c r="P1510" t="str">
        <f t="shared" si="190"/>
        <v>Wrong Item</v>
      </c>
      <c r="Q1510" t="str">
        <f t="shared" si="191"/>
        <v/>
      </c>
    </row>
    <row r="1511" spans="1:17" x14ac:dyDescent="0.45">
      <c r="A1511" t="s">
        <v>2288</v>
      </c>
      <c r="B1511" t="s">
        <v>104</v>
      </c>
      <c r="C1511" t="s">
        <v>1230</v>
      </c>
      <c r="D1511" t="s">
        <v>74</v>
      </c>
      <c r="E1511" s="8">
        <v>2843.76</v>
      </c>
      <c r="F1511" s="9">
        <v>45457.666684444448</v>
      </c>
      <c r="G1511" t="s">
        <v>247</v>
      </c>
      <c r="H1511" t="s">
        <v>118</v>
      </c>
      <c r="I1511" t="s">
        <v>77</v>
      </c>
      <c r="J1511" t="str">
        <f t="shared" si="184"/>
        <v/>
      </c>
      <c r="K1511" t="str">
        <f t="shared" si="185"/>
        <v/>
      </c>
      <c r="L1511" t="str">
        <f t="shared" si="186"/>
        <v/>
      </c>
      <c r="M1511" t="str">
        <f t="shared" si="187"/>
        <v>Invalid</v>
      </c>
      <c r="N1511" t="str">
        <f t="shared" si="188"/>
        <v>Invalid</v>
      </c>
      <c r="O1511" t="str">
        <f t="shared" ca="1" si="189"/>
        <v>Outdated</v>
      </c>
      <c r="P1511" t="str">
        <f t="shared" si="190"/>
        <v>Wrong Item</v>
      </c>
      <c r="Q1511" t="str">
        <f t="shared" si="191"/>
        <v/>
      </c>
    </row>
    <row r="1512" spans="1:17" x14ac:dyDescent="0.45">
      <c r="A1512" t="s">
        <v>2289</v>
      </c>
      <c r="B1512" t="s">
        <v>90</v>
      </c>
      <c r="C1512" t="s">
        <v>2290</v>
      </c>
      <c r="D1512" t="s">
        <v>74</v>
      </c>
      <c r="E1512" s="8">
        <v>2266.4299999999998</v>
      </c>
      <c r="F1512" s="9">
        <v>45750.666684444448</v>
      </c>
      <c r="G1512" t="s">
        <v>93</v>
      </c>
      <c r="H1512" t="s">
        <v>116</v>
      </c>
      <c r="I1512" t="s">
        <v>163</v>
      </c>
      <c r="J1512" t="str">
        <f t="shared" si="184"/>
        <v/>
      </c>
      <c r="K1512" t="str">
        <f t="shared" si="185"/>
        <v/>
      </c>
      <c r="L1512" t="str">
        <f t="shared" si="186"/>
        <v/>
      </c>
      <c r="M1512" t="str">
        <f t="shared" si="187"/>
        <v/>
      </c>
      <c r="N1512" t="str">
        <f t="shared" si="188"/>
        <v/>
      </c>
      <c r="O1512" t="str">
        <f t="shared" ca="1" si="189"/>
        <v>Outdated</v>
      </c>
      <c r="P1512" t="str">
        <f t="shared" si="190"/>
        <v>Wrong Item</v>
      </c>
      <c r="Q1512" t="str">
        <f t="shared" si="191"/>
        <v/>
      </c>
    </row>
    <row r="1513" spans="1:17" x14ac:dyDescent="0.45">
      <c r="A1513" t="s">
        <v>2291</v>
      </c>
      <c r="B1513" t="s">
        <v>109</v>
      </c>
      <c r="C1513" t="s">
        <v>1413</v>
      </c>
      <c r="D1513" t="s">
        <v>85</v>
      </c>
      <c r="E1513" s="8">
        <v>6412.63</v>
      </c>
      <c r="F1513" s="9">
        <v>45279.666684444448</v>
      </c>
      <c r="G1513" t="s">
        <v>111</v>
      </c>
      <c r="H1513" t="s">
        <v>118</v>
      </c>
      <c r="I1513" t="s">
        <v>163</v>
      </c>
      <c r="J1513" t="str">
        <f t="shared" si="184"/>
        <v/>
      </c>
      <c r="K1513" t="str">
        <f t="shared" si="185"/>
        <v/>
      </c>
      <c r="L1513" t="str">
        <f t="shared" si="186"/>
        <v/>
      </c>
      <c r="M1513" t="str">
        <f t="shared" si="187"/>
        <v/>
      </c>
      <c r="N1513" t="str">
        <f t="shared" si="188"/>
        <v>Invalid</v>
      </c>
      <c r="O1513" t="str">
        <f t="shared" ca="1" si="189"/>
        <v>Outdated</v>
      </c>
      <c r="P1513" t="str">
        <f t="shared" si="190"/>
        <v>Late Delivery</v>
      </c>
      <c r="Q1513" t="str">
        <f t="shared" si="191"/>
        <v/>
      </c>
    </row>
    <row r="1514" spans="1:17" x14ac:dyDescent="0.45">
      <c r="A1514" t="s">
        <v>2292</v>
      </c>
      <c r="B1514" t="s">
        <v>109</v>
      </c>
      <c r="C1514" t="s">
        <v>1512</v>
      </c>
      <c r="E1514" s="8">
        <v>4822.08</v>
      </c>
      <c r="F1514" s="9">
        <v>45195.666684444448</v>
      </c>
      <c r="G1514" t="s">
        <v>111</v>
      </c>
      <c r="H1514" t="s">
        <v>145</v>
      </c>
      <c r="I1514" t="s">
        <v>82</v>
      </c>
      <c r="J1514" t="str">
        <f t="shared" si="184"/>
        <v>Missing</v>
      </c>
      <c r="K1514" t="str">
        <f t="shared" si="185"/>
        <v/>
      </c>
      <c r="L1514" t="str">
        <f t="shared" si="186"/>
        <v/>
      </c>
      <c r="M1514" t="str">
        <f t="shared" si="187"/>
        <v/>
      </c>
      <c r="N1514" t="str">
        <f t="shared" si="188"/>
        <v/>
      </c>
      <c r="O1514" t="str">
        <f t="shared" ca="1" si="189"/>
        <v>Outdated</v>
      </c>
      <c r="P1514" t="str">
        <f t="shared" si="190"/>
        <v/>
      </c>
      <c r="Q1514" t="str">
        <f t="shared" si="191"/>
        <v/>
      </c>
    </row>
    <row r="1515" spans="1:17" x14ac:dyDescent="0.45">
      <c r="A1515" t="s">
        <v>2293</v>
      </c>
      <c r="B1515" t="s">
        <v>72</v>
      </c>
      <c r="C1515" t="s">
        <v>1215</v>
      </c>
      <c r="D1515" t="s">
        <v>74</v>
      </c>
      <c r="E1515" s="8">
        <v>10520.21</v>
      </c>
      <c r="F1515" s="9">
        <v>45257.666684444448</v>
      </c>
      <c r="H1515" t="s">
        <v>87</v>
      </c>
      <c r="I1515" t="s">
        <v>77</v>
      </c>
      <c r="J1515" t="str">
        <f t="shared" si="184"/>
        <v/>
      </c>
      <c r="K1515" t="str">
        <f t="shared" si="185"/>
        <v/>
      </c>
      <c r="L1515" t="str">
        <f t="shared" si="186"/>
        <v>Unusual</v>
      </c>
      <c r="M1515" t="str">
        <f t="shared" si="187"/>
        <v>Invalid</v>
      </c>
      <c r="N1515" t="str">
        <f t="shared" si="188"/>
        <v>Invalid</v>
      </c>
      <c r="O1515" t="str">
        <f t="shared" ca="1" si="189"/>
        <v>Outdated</v>
      </c>
      <c r="P1515" t="str">
        <f t="shared" si="190"/>
        <v>Wrong Item</v>
      </c>
      <c r="Q1515" t="str">
        <f t="shared" si="191"/>
        <v/>
      </c>
    </row>
    <row r="1516" spans="1:17" x14ac:dyDescent="0.45">
      <c r="A1516" t="s">
        <v>2294</v>
      </c>
      <c r="B1516" t="s">
        <v>138</v>
      </c>
      <c r="C1516" t="s">
        <v>1938</v>
      </c>
      <c r="D1516" t="s">
        <v>92</v>
      </c>
      <c r="E1516" s="8">
        <v>9686.2999999999993</v>
      </c>
      <c r="F1516" s="9">
        <v>45409.666684444448</v>
      </c>
      <c r="G1516" t="s">
        <v>140</v>
      </c>
      <c r="H1516" t="s">
        <v>87</v>
      </c>
      <c r="I1516" t="s">
        <v>163</v>
      </c>
      <c r="J1516" t="str">
        <f t="shared" si="184"/>
        <v/>
      </c>
      <c r="K1516" t="str">
        <f t="shared" si="185"/>
        <v/>
      </c>
      <c r="L1516" t="str">
        <f t="shared" si="186"/>
        <v/>
      </c>
      <c r="M1516" t="str">
        <f t="shared" si="187"/>
        <v/>
      </c>
      <c r="N1516" t="str">
        <f t="shared" si="188"/>
        <v>Invalid</v>
      </c>
      <c r="O1516" t="str">
        <f t="shared" ca="1" si="189"/>
        <v>Outdated</v>
      </c>
      <c r="P1516" t="str">
        <f t="shared" si="190"/>
        <v>Not As Described</v>
      </c>
      <c r="Q1516" t="str">
        <f t="shared" si="191"/>
        <v/>
      </c>
    </row>
    <row r="1517" spans="1:17" x14ac:dyDescent="0.45">
      <c r="A1517" t="s">
        <v>2295</v>
      </c>
      <c r="B1517" t="s">
        <v>99</v>
      </c>
      <c r="C1517" t="s">
        <v>2296</v>
      </c>
      <c r="D1517" t="s">
        <v>92</v>
      </c>
      <c r="E1517" s="8">
        <v>4283.25</v>
      </c>
      <c r="F1517" s="9">
        <v>45767.666684444448</v>
      </c>
      <c r="G1517" t="s">
        <v>102</v>
      </c>
      <c r="H1517" t="s">
        <v>145</v>
      </c>
      <c r="I1517" t="s">
        <v>112</v>
      </c>
      <c r="J1517" t="str">
        <f t="shared" si="184"/>
        <v/>
      </c>
      <c r="K1517" t="str">
        <f t="shared" si="185"/>
        <v/>
      </c>
      <c r="L1517" t="str">
        <f t="shared" si="186"/>
        <v/>
      </c>
      <c r="M1517" t="str">
        <f t="shared" si="187"/>
        <v/>
      </c>
      <c r="N1517" t="str">
        <f t="shared" si="188"/>
        <v/>
      </c>
      <c r="O1517" t="str">
        <f t="shared" ca="1" si="189"/>
        <v>Outdated</v>
      </c>
      <c r="P1517" t="str">
        <f t="shared" si="190"/>
        <v>Not As Described</v>
      </c>
      <c r="Q1517" t="str">
        <f t="shared" si="191"/>
        <v/>
      </c>
    </row>
    <row r="1518" spans="1:17" x14ac:dyDescent="0.45">
      <c r="A1518" t="s">
        <v>2297</v>
      </c>
      <c r="B1518" t="s">
        <v>72</v>
      </c>
      <c r="C1518" t="s">
        <v>2233</v>
      </c>
      <c r="D1518" t="s">
        <v>148</v>
      </c>
      <c r="E1518" s="8">
        <v>3150.87</v>
      </c>
      <c r="F1518" s="9">
        <v>45776.666684444448</v>
      </c>
      <c r="G1518" t="s">
        <v>75</v>
      </c>
      <c r="H1518" t="s">
        <v>133</v>
      </c>
      <c r="I1518" t="s">
        <v>112</v>
      </c>
      <c r="J1518" t="str">
        <f t="shared" si="184"/>
        <v/>
      </c>
      <c r="K1518" t="str">
        <f t="shared" si="185"/>
        <v/>
      </c>
      <c r="L1518" t="str">
        <f t="shared" si="186"/>
        <v/>
      </c>
      <c r="M1518" t="str">
        <f t="shared" si="187"/>
        <v/>
      </c>
      <c r="N1518" t="str">
        <f t="shared" si="188"/>
        <v>Invalid</v>
      </c>
      <c r="O1518" t="str">
        <f t="shared" ca="1" si="189"/>
        <v>Outdated</v>
      </c>
      <c r="P1518" t="str">
        <f t="shared" si="190"/>
        <v>Wrong Item</v>
      </c>
      <c r="Q1518" t="str">
        <f t="shared" si="191"/>
        <v>Inconsistent</v>
      </c>
    </row>
    <row r="1519" spans="1:17" x14ac:dyDescent="0.45">
      <c r="A1519" t="s">
        <v>2298</v>
      </c>
      <c r="B1519" t="s">
        <v>90</v>
      </c>
      <c r="C1519" t="s">
        <v>2299</v>
      </c>
      <c r="D1519" t="s">
        <v>74</v>
      </c>
      <c r="E1519" s="8">
        <v>9267.11</v>
      </c>
      <c r="F1519" s="9">
        <v>45727.666684444448</v>
      </c>
      <c r="G1519" t="s">
        <v>93</v>
      </c>
      <c r="H1519" t="s">
        <v>133</v>
      </c>
      <c r="I1519" t="s">
        <v>82</v>
      </c>
      <c r="J1519" t="str">
        <f t="shared" si="184"/>
        <v/>
      </c>
      <c r="K1519" t="str">
        <f t="shared" si="185"/>
        <v/>
      </c>
      <c r="L1519" t="str">
        <f t="shared" si="186"/>
        <v/>
      </c>
      <c r="M1519" t="str">
        <f t="shared" si="187"/>
        <v/>
      </c>
      <c r="N1519" t="str">
        <f t="shared" si="188"/>
        <v>Invalid</v>
      </c>
      <c r="O1519" t="str">
        <f t="shared" ca="1" si="189"/>
        <v>Outdated</v>
      </c>
      <c r="P1519" t="str">
        <f t="shared" si="190"/>
        <v>Wrong Item</v>
      </c>
      <c r="Q1519" t="str">
        <f t="shared" si="191"/>
        <v/>
      </c>
    </row>
    <row r="1520" spans="1:17" x14ac:dyDescent="0.45">
      <c r="A1520" t="s">
        <v>2300</v>
      </c>
      <c r="B1520" t="s">
        <v>172</v>
      </c>
      <c r="C1520" t="s">
        <v>393</v>
      </c>
      <c r="D1520" t="s">
        <v>85</v>
      </c>
      <c r="E1520" s="8">
        <v>3969.54</v>
      </c>
      <c r="F1520" s="9">
        <v>45689.666684444448</v>
      </c>
      <c r="G1520" t="s">
        <v>174</v>
      </c>
      <c r="H1520" t="s">
        <v>128</v>
      </c>
      <c r="I1520" t="s">
        <v>119</v>
      </c>
      <c r="J1520" t="str">
        <f t="shared" si="184"/>
        <v/>
      </c>
      <c r="K1520" t="str">
        <f t="shared" si="185"/>
        <v/>
      </c>
      <c r="L1520" t="str">
        <f t="shared" si="186"/>
        <v/>
      </c>
      <c r="M1520" t="str">
        <f t="shared" si="187"/>
        <v/>
      </c>
      <c r="N1520" t="str">
        <f t="shared" si="188"/>
        <v>Invalid</v>
      </c>
      <c r="O1520" t="str">
        <f t="shared" ca="1" si="189"/>
        <v>Outdated</v>
      </c>
      <c r="P1520" t="str">
        <f t="shared" si="190"/>
        <v>Late Delivery</v>
      </c>
      <c r="Q1520" t="str">
        <f t="shared" si="191"/>
        <v/>
      </c>
    </row>
    <row r="1521" spans="1:17" x14ac:dyDescent="0.45">
      <c r="A1521" t="s">
        <v>2301</v>
      </c>
      <c r="B1521" t="s">
        <v>79</v>
      </c>
      <c r="C1521" t="s">
        <v>271</v>
      </c>
      <c r="D1521" t="s">
        <v>155</v>
      </c>
      <c r="E1521" s="8">
        <v>9183.99</v>
      </c>
      <c r="F1521" s="9">
        <v>45857.666684444448</v>
      </c>
      <c r="G1521" t="s">
        <v>86</v>
      </c>
      <c r="H1521" t="s">
        <v>81</v>
      </c>
      <c r="I1521" t="s">
        <v>112</v>
      </c>
      <c r="J1521" t="str">
        <f t="shared" si="184"/>
        <v/>
      </c>
      <c r="K1521" t="str">
        <f t="shared" si="185"/>
        <v/>
      </c>
      <c r="L1521" t="str">
        <f t="shared" si="186"/>
        <v/>
      </c>
      <c r="M1521" t="str">
        <f t="shared" si="187"/>
        <v/>
      </c>
      <c r="N1521" t="str">
        <f t="shared" si="188"/>
        <v/>
      </c>
      <c r="O1521" t="str">
        <f t="shared" ca="1" si="189"/>
        <v/>
      </c>
      <c r="P1521" t="str">
        <f t="shared" si="190"/>
        <v>Damaged</v>
      </c>
      <c r="Q1521" t="str">
        <f t="shared" si="191"/>
        <v>Inconsistent</v>
      </c>
    </row>
    <row r="1522" spans="1:17" x14ac:dyDescent="0.45">
      <c r="A1522" t="s">
        <v>2302</v>
      </c>
      <c r="B1522" t="s">
        <v>104</v>
      </c>
      <c r="C1522" t="s">
        <v>757</v>
      </c>
      <c r="D1522" t="s">
        <v>92</v>
      </c>
      <c r="E1522" s="8">
        <v>6798.77</v>
      </c>
      <c r="F1522" s="9">
        <v>45460.666684444448</v>
      </c>
      <c r="G1522" t="s">
        <v>115</v>
      </c>
      <c r="H1522" t="s">
        <v>118</v>
      </c>
      <c r="I1522" t="s">
        <v>77</v>
      </c>
      <c r="J1522" t="str">
        <f t="shared" si="184"/>
        <v/>
      </c>
      <c r="K1522" t="str">
        <f t="shared" si="185"/>
        <v>Duplicate</v>
      </c>
      <c r="L1522" t="str">
        <f t="shared" si="186"/>
        <v/>
      </c>
      <c r="M1522" t="str">
        <f t="shared" si="187"/>
        <v/>
      </c>
      <c r="N1522" t="str">
        <f t="shared" si="188"/>
        <v>Invalid</v>
      </c>
      <c r="O1522" t="str">
        <f t="shared" ca="1" si="189"/>
        <v>Outdated</v>
      </c>
      <c r="P1522" t="str">
        <f t="shared" si="190"/>
        <v>Not As Described</v>
      </c>
      <c r="Q1522" t="str">
        <f t="shared" si="191"/>
        <v/>
      </c>
    </row>
    <row r="1523" spans="1:17" x14ac:dyDescent="0.45">
      <c r="A1523" t="s">
        <v>2303</v>
      </c>
      <c r="B1523" t="s">
        <v>79</v>
      </c>
      <c r="C1523" t="s">
        <v>1349</v>
      </c>
      <c r="D1523" t="s">
        <v>101</v>
      </c>
      <c r="E1523" s="8">
        <v>3817.96</v>
      </c>
      <c r="F1523" s="9">
        <v>45518.666684444448</v>
      </c>
      <c r="H1523" t="s">
        <v>76</v>
      </c>
      <c r="I1523" t="s">
        <v>88</v>
      </c>
      <c r="J1523" t="str">
        <f t="shared" si="184"/>
        <v/>
      </c>
      <c r="K1523" t="str">
        <f t="shared" si="185"/>
        <v/>
      </c>
      <c r="L1523" t="str">
        <f t="shared" si="186"/>
        <v/>
      </c>
      <c r="M1523" t="str">
        <f t="shared" si="187"/>
        <v>Invalid</v>
      </c>
      <c r="N1523" t="str">
        <f t="shared" si="188"/>
        <v/>
      </c>
      <c r="O1523" t="str">
        <f t="shared" ca="1" si="189"/>
        <v>Outdated</v>
      </c>
      <c r="P1523" t="str">
        <f t="shared" si="190"/>
        <v>Damaged</v>
      </c>
      <c r="Q1523" t="str">
        <f t="shared" si="191"/>
        <v/>
      </c>
    </row>
    <row r="1524" spans="1:17" x14ac:dyDescent="0.45">
      <c r="A1524" t="s">
        <v>2304</v>
      </c>
      <c r="B1524" t="s">
        <v>99</v>
      </c>
      <c r="C1524" t="s">
        <v>1563</v>
      </c>
      <c r="D1524" t="s">
        <v>74</v>
      </c>
      <c r="E1524" s="8">
        <v>8129.6</v>
      </c>
      <c r="F1524" s="9">
        <v>45739.666684444448</v>
      </c>
      <c r="I1524" t="s">
        <v>77</v>
      </c>
      <c r="J1524" t="str">
        <f t="shared" si="184"/>
        <v/>
      </c>
      <c r="K1524" t="str">
        <f t="shared" si="185"/>
        <v/>
      </c>
      <c r="L1524" t="str">
        <f t="shared" si="186"/>
        <v/>
      </c>
      <c r="M1524" t="str">
        <f t="shared" si="187"/>
        <v>Invalid</v>
      </c>
      <c r="N1524" t="str">
        <f t="shared" si="188"/>
        <v>Invalid</v>
      </c>
      <c r="O1524" t="str">
        <f t="shared" ca="1" si="189"/>
        <v>Outdated</v>
      </c>
      <c r="P1524" t="str">
        <f t="shared" si="190"/>
        <v>Wrong Item</v>
      </c>
      <c r="Q1524" t="str">
        <f t="shared" si="191"/>
        <v/>
      </c>
    </row>
    <row r="1525" spans="1:17" x14ac:dyDescent="0.45">
      <c r="A1525" t="s">
        <v>2305</v>
      </c>
      <c r="B1525" t="s">
        <v>172</v>
      </c>
      <c r="C1525" t="s">
        <v>886</v>
      </c>
      <c r="D1525" t="s">
        <v>101</v>
      </c>
      <c r="E1525" s="8">
        <v>2698.87</v>
      </c>
      <c r="F1525" s="9">
        <v>45671.666684444448</v>
      </c>
      <c r="G1525" t="s">
        <v>174</v>
      </c>
      <c r="H1525" t="s">
        <v>76</v>
      </c>
      <c r="I1525" t="s">
        <v>88</v>
      </c>
      <c r="J1525" t="str">
        <f t="shared" si="184"/>
        <v/>
      </c>
      <c r="K1525" t="str">
        <f t="shared" si="185"/>
        <v/>
      </c>
      <c r="L1525" t="str">
        <f t="shared" si="186"/>
        <v/>
      </c>
      <c r="M1525" t="str">
        <f t="shared" si="187"/>
        <v/>
      </c>
      <c r="N1525" t="str">
        <f t="shared" si="188"/>
        <v/>
      </c>
      <c r="O1525" t="str">
        <f t="shared" ca="1" si="189"/>
        <v>Outdated</v>
      </c>
      <c r="P1525" t="str">
        <f t="shared" si="190"/>
        <v>Damaged</v>
      </c>
      <c r="Q1525" t="str">
        <f t="shared" si="191"/>
        <v/>
      </c>
    </row>
    <row r="1526" spans="1:17" x14ac:dyDescent="0.45">
      <c r="A1526" t="s">
        <v>2306</v>
      </c>
      <c r="B1526" t="s">
        <v>109</v>
      </c>
      <c r="C1526" t="s">
        <v>301</v>
      </c>
      <c r="D1526" t="s">
        <v>85</v>
      </c>
      <c r="E1526" s="8">
        <v>0</v>
      </c>
      <c r="F1526" s="9">
        <v>45429.666684444448</v>
      </c>
      <c r="G1526" t="s">
        <v>111</v>
      </c>
      <c r="H1526" t="s">
        <v>107</v>
      </c>
      <c r="I1526" t="s">
        <v>119</v>
      </c>
      <c r="J1526" t="str">
        <f t="shared" si="184"/>
        <v/>
      </c>
      <c r="K1526" t="str">
        <f t="shared" si="185"/>
        <v/>
      </c>
      <c r="L1526" t="str">
        <f t="shared" si="186"/>
        <v>Unusual</v>
      </c>
      <c r="M1526" t="str">
        <f t="shared" si="187"/>
        <v/>
      </c>
      <c r="N1526" t="str">
        <f t="shared" si="188"/>
        <v/>
      </c>
      <c r="O1526" t="str">
        <f t="shared" ca="1" si="189"/>
        <v>Outdated</v>
      </c>
      <c r="P1526" t="str">
        <f t="shared" si="190"/>
        <v>Late Delivery</v>
      </c>
      <c r="Q1526" t="str">
        <f t="shared" si="191"/>
        <v/>
      </c>
    </row>
    <row r="1527" spans="1:17" x14ac:dyDescent="0.45">
      <c r="A1527" t="s">
        <v>2307</v>
      </c>
      <c r="B1527" t="s">
        <v>72</v>
      </c>
      <c r="C1527" t="s">
        <v>295</v>
      </c>
      <c r="D1527" t="s">
        <v>92</v>
      </c>
      <c r="E1527" s="8">
        <v>11718.02</v>
      </c>
      <c r="F1527" s="9">
        <v>45592.666684444448</v>
      </c>
      <c r="G1527" t="s">
        <v>75</v>
      </c>
      <c r="H1527" t="s">
        <v>81</v>
      </c>
      <c r="I1527" t="s">
        <v>119</v>
      </c>
      <c r="J1527" t="str">
        <f t="shared" si="184"/>
        <v/>
      </c>
      <c r="K1527" t="str">
        <f t="shared" si="185"/>
        <v/>
      </c>
      <c r="L1527" t="str">
        <f t="shared" si="186"/>
        <v>Unusual</v>
      </c>
      <c r="M1527" t="str">
        <f t="shared" si="187"/>
        <v/>
      </c>
      <c r="N1527" t="str">
        <f t="shared" si="188"/>
        <v/>
      </c>
      <c r="O1527" t="str">
        <f t="shared" ca="1" si="189"/>
        <v>Outdated</v>
      </c>
      <c r="P1527" t="str">
        <f t="shared" si="190"/>
        <v>Not As Described</v>
      </c>
      <c r="Q1527" t="str">
        <f t="shared" si="191"/>
        <v/>
      </c>
    </row>
    <row r="1528" spans="1:17" x14ac:dyDescent="0.45">
      <c r="A1528" t="s">
        <v>2308</v>
      </c>
      <c r="B1528" t="s">
        <v>90</v>
      </c>
      <c r="C1528" t="s">
        <v>2309</v>
      </c>
      <c r="D1528" t="s">
        <v>74</v>
      </c>
      <c r="E1528" s="8">
        <v>3334.4</v>
      </c>
      <c r="F1528" s="9">
        <v>45645.666684444448</v>
      </c>
      <c r="G1528" t="s">
        <v>93</v>
      </c>
      <c r="H1528" t="s">
        <v>133</v>
      </c>
      <c r="I1528" t="s">
        <v>82</v>
      </c>
      <c r="J1528" t="str">
        <f t="shared" si="184"/>
        <v/>
      </c>
      <c r="K1528" t="str">
        <f t="shared" si="185"/>
        <v/>
      </c>
      <c r="L1528" t="str">
        <f t="shared" si="186"/>
        <v/>
      </c>
      <c r="M1528" t="str">
        <f t="shared" si="187"/>
        <v/>
      </c>
      <c r="N1528" t="str">
        <f t="shared" si="188"/>
        <v>Invalid</v>
      </c>
      <c r="O1528" t="str">
        <f t="shared" ca="1" si="189"/>
        <v>Outdated</v>
      </c>
      <c r="P1528" t="str">
        <f t="shared" si="190"/>
        <v>Wrong Item</v>
      </c>
      <c r="Q1528" t="str">
        <f t="shared" si="191"/>
        <v/>
      </c>
    </row>
    <row r="1529" spans="1:17" x14ac:dyDescent="0.45">
      <c r="A1529" t="s">
        <v>2310</v>
      </c>
      <c r="B1529" t="s">
        <v>72</v>
      </c>
      <c r="C1529" t="s">
        <v>526</v>
      </c>
      <c r="D1529" t="s">
        <v>85</v>
      </c>
      <c r="E1529" s="8">
        <v>10719.2</v>
      </c>
      <c r="F1529" s="9">
        <v>45747.666684444448</v>
      </c>
      <c r="G1529" t="s">
        <v>521</v>
      </c>
      <c r="H1529" t="s">
        <v>136</v>
      </c>
      <c r="I1529" t="s">
        <v>82</v>
      </c>
      <c r="J1529" t="str">
        <f t="shared" si="184"/>
        <v/>
      </c>
      <c r="K1529" t="str">
        <f t="shared" si="185"/>
        <v/>
      </c>
      <c r="L1529" t="str">
        <f t="shared" si="186"/>
        <v>Unusual</v>
      </c>
      <c r="M1529" t="str">
        <f t="shared" si="187"/>
        <v>Invalid</v>
      </c>
      <c r="N1529" t="str">
        <f t="shared" si="188"/>
        <v>Invalid</v>
      </c>
      <c r="O1529" t="str">
        <f t="shared" ca="1" si="189"/>
        <v>Outdated</v>
      </c>
      <c r="P1529" t="str">
        <f t="shared" si="190"/>
        <v>Late Delivery</v>
      </c>
      <c r="Q1529" t="str">
        <f t="shared" si="191"/>
        <v/>
      </c>
    </row>
    <row r="1530" spans="1:17" x14ac:dyDescent="0.45">
      <c r="A1530" t="s">
        <v>2311</v>
      </c>
      <c r="B1530" t="s">
        <v>90</v>
      </c>
      <c r="C1530" t="s">
        <v>1696</v>
      </c>
      <c r="D1530" t="s">
        <v>85</v>
      </c>
      <c r="E1530" s="8">
        <v>9903.86</v>
      </c>
      <c r="F1530" s="9">
        <v>45568.666684444448</v>
      </c>
      <c r="G1530" t="s">
        <v>93</v>
      </c>
      <c r="H1530" t="s">
        <v>118</v>
      </c>
      <c r="I1530" t="s">
        <v>163</v>
      </c>
      <c r="J1530" t="str">
        <f t="shared" si="184"/>
        <v/>
      </c>
      <c r="K1530" t="str">
        <f t="shared" si="185"/>
        <v/>
      </c>
      <c r="L1530" t="str">
        <f t="shared" si="186"/>
        <v/>
      </c>
      <c r="M1530" t="str">
        <f t="shared" si="187"/>
        <v/>
      </c>
      <c r="N1530" t="str">
        <f t="shared" si="188"/>
        <v>Invalid</v>
      </c>
      <c r="O1530" t="str">
        <f t="shared" ca="1" si="189"/>
        <v>Outdated</v>
      </c>
      <c r="P1530" t="str">
        <f t="shared" si="190"/>
        <v>Late Delivery</v>
      </c>
      <c r="Q1530" t="str">
        <f t="shared" si="191"/>
        <v/>
      </c>
    </row>
    <row r="1531" spans="1:17" x14ac:dyDescent="0.45">
      <c r="A1531" t="s">
        <v>2312</v>
      </c>
      <c r="B1531" t="s">
        <v>138</v>
      </c>
      <c r="C1531" t="s">
        <v>1634</v>
      </c>
      <c r="D1531" t="s">
        <v>85</v>
      </c>
      <c r="E1531" s="8">
        <v>11217.59</v>
      </c>
      <c r="F1531" s="9">
        <v>45229.666684444448</v>
      </c>
      <c r="G1531" t="s">
        <v>194</v>
      </c>
      <c r="H1531" t="s">
        <v>118</v>
      </c>
      <c r="I1531" t="s">
        <v>88</v>
      </c>
      <c r="J1531" t="str">
        <f t="shared" si="184"/>
        <v/>
      </c>
      <c r="K1531" t="str">
        <f t="shared" si="185"/>
        <v/>
      </c>
      <c r="L1531" t="str">
        <f t="shared" si="186"/>
        <v>Unusual</v>
      </c>
      <c r="M1531" t="str">
        <f t="shared" si="187"/>
        <v>Invalid</v>
      </c>
      <c r="N1531" t="str">
        <f t="shared" si="188"/>
        <v>Invalid</v>
      </c>
      <c r="O1531" t="str">
        <f t="shared" ca="1" si="189"/>
        <v>Outdated</v>
      </c>
      <c r="P1531" t="str">
        <f t="shared" si="190"/>
        <v>Late Delivery</v>
      </c>
      <c r="Q1531" t="str">
        <f t="shared" si="191"/>
        <v/>
      </c>
    </row>
    <row r="1532" spans="1:17" x14ac:dyDescent="0.45">
      <c r="A1532" t="s">
        <v>2313</v>
      </c>
      <c r="B1532" t="s">
        <v>138</v>
      </c>
      <c r="C1532" t="s">
        <v>319</v>
      </c>
      <c r="D1532" t="s">
        <v>92</v>
      </c>
      <c r="E1532" s="8">
        <v>7724.15</v>
      </c>
      <c r="F1532" s="9">
        <v>45846.666684444448</v>
      </c>
      <c r="G1532" t="s">
        <v>140</v>
      </c>
      <c r="H1532" t="s">
        <v>145</v>
      </c>
      <c r="I1532" t="s">
        <v>88</v>
      </c>
      <c r="J1532" t="str">
        <f t="shared" si="184"/>
        <v/>
      </c>
      <c r="K1532" t="str">
        <f t="shared" si="185"/>
        <v/>
      </c>
      <c r="L1532" t="str">
        <f t="shared" si="186"/>
        <v/>
      </c>
      <c r="M1532" t="str">
        <f t="shared" si="187"/>
        <v/>
      </c>
      <c r="N1532" t="str">
        <f t="shared" si="188"/>
        <v/>
      </c>
      <c r="O1532" t="str">
        <f t="shared" ca="1" si="189"/>
        <v/>
      </c>
      <c r="P1532" t="str">
        <f t="shared" si="190"/>
        <v>Not As Described</v>
      </c>
      <c r="Q1532" t="str">
        <f t="shared" si="191"/>
        <v/>
      </c>
    </row>
    <row r="1533" spans="1:17" x14ac:dyDescent="0.45">
      <c r="A1533" t="s">
        <v>2314</v>
      </c>
      <c r="B1533" t="s">
        <v>72</v>
      </c>
      <c r="C1533" t="s">
        <v>2315</v>
      </c>
      <c r="E1533" s="8">
        <v>5608.29</v>
      </c>
      <c r="F1533" s="9">
        <v>45245.666684444448</v>
      </c>
      <c r="G1533" t="s">
        <v>75</v>
      </c>
      <c r="H1533" t="s">
        <v>87</v>
      </c>
      <c r="I1533" t="s">
        <v>88</v>
      </c>
      <c r="J1533" t="str">
        <f t="shared" si="184"/>
        <v>Missing</v>
      </c>
      <c r="K1533" t="str">
        <f t="shared" si="185"/>
        <v/>
      </c>
      <c r="L1533" t="str">
        <f t="shared" si="186"/>
        <v/>
      </c>
      <c r="M1533" t="str">
        <f t="shared" si="187"/>
        <v/>
      </c>
      <c r="N1533" t="str">
        <f t="shared" si="188"/>
        <v>Invalid</v>
      </c>
      <c r="O1533" t="str">
        <f t="shared" ca="1" si="189"/>
        <v>Outdated</v>
      </c>
      <c r="P1533" t="str">
        <f t="shared" si="190"/>
        <v/>
      </c>
      <c r="Q1533" t="str">
        <f t="shared" si="191"/>
        <v/>
      </c>
    </row>
    <row r="1534" spans="1:17" x14ac:dyDescent="0.45">
      <c r="A1534" t="s">
        <v>2316</v>
      </c>
      <c r="B1534" t="s">
        <v>90</v>
      </c>
      <c r="C1534" t="s">
        <v>367</v>
      </c>
      <c r="D1534" t="s">
        <v>101</v>
      </c>
      <c r="E1534" s="8">
        <v>9542.6</v>
      </c>
      <c r="F1534" s="9">
        <v>45798.666684444448</v>
      </c>
      <c r="H1534" t="s">
        <v>87</v>
      </c>
      <c r="I1534" t="s">
        <v>119</v>
      </c>
      <c r="J1534" t="str">
        <f t="shared" si="184"/>
        <v/>
      </c>
      <c r="K1534" t="str">
        <f t="shared" si="185"/>
        <v/>
      </c>
      <c r="L1534" t="str">
        <f t="shared" si="186"/>
        <v/>
      </c>
      <c r="M1534" t="str">
        <f t="shared" si="187"/>
        <v>Invalid</v>
      </c>
      <c r="N1534" t="str">
        <f t="shared" si="188"/>
        <v>Invalid</v>
      </c>
      <c r="O1534" t="str">
        <f t="shared" ca="1" si="189"/>
        <v>Outdated</v>
      </c>
      <c r="P1534" t="str">
        <f t="shared" si="190"/>
        <v>Damaged</v>
      </c>
      <c r="Q1534" t="str">
        <f t="shared" si="191"/>
        <v/>
      </c>
    </row>
    <row r="1535" spans="1:17" x14ac:dyDescent="0.45">
      <c r="A1535" t="s">
        <v>2317</v>
      </c>
      <c r="B1535" t="s">
        <v>90</v>
      </c>
      <c r="C1535" t="s">
        <v>1542</v>
      </c>
      <c r="D1535" t="s">
        <v>148</v>
      </c>
      <c r="E1535" s="8">
        <v>5607.45</v>
      </c>
      <c r="F1535" s="9">
        <v>45794.666684444448</v>
      </c>
      <c r="G1535" t="s">
        <v>93</v>
      </c>
      <c r="H1535" t="s">
        <v>136</v>
      </c>
      <c r="I1535" t="s">
        <v>112</v>
      </c>
      <c r="J1535" t="str">
        <f t="shared" si="184"/>
        <v/>
      </c>
      <c r="K1535" t="str">
        <f t="shared" si="185"/>
        <v/>
      </c>
      <c r="L1535" t="str">
        <f t="shared" si="186"/>
        <v/>
      </c>
      <c r="M1535" t="str">
        <f t="shared" si="187"/>
        <v/>
      </c>
      <c r="N1535" t="str">
        <f t="shared" si="188"/>
        <v>Invalid</v>
      </c>
      <c r="O1535" t="str">
        <f t="shared" ca="1" si="189"/>
        <v>Outdated</v>
      </c>
      <c r="P1535" t="str">
        <f t="shared" si="190"/>
        <v>Wrong Item</v>
      </c>
      <c r="Q1535" t="str">
        <f t="shared" si="191"/>
        <v>Inconsistent</v>
      </c>
    </row>
    <row r="1536" spans="1:17" x14ac:dyDescent="0.45">
      <c r="A1536" t="s">
        <v>2318</v>
      </c>
      <c r="B1536" t="s">
        <v>79</v>
      </c>
      <c r="C1536" t="s">
        <v>629</v>
      </c>
      <c r="D1536" t="s">
        <v>74</v>
      </c>
      <c r="E1536" s="8">
        <v>5337.67</v>
      </c>
      <c r="F1536" s="9">
        <v>45692.666684444448</v>
      </c>
      <c r="G1536" t="s">
        <v>86</v>
      </c>
      <c r="H1536" t="s">
        <v>87</v>
      </c>
      <c r="I1536" t="s">
        <v>88</v>
      </c>
      <c r="J1536" t="str">
        <f t="shared" si="184"/>
        <v/>
      </c>
      <c r="K1536" t="str">
        <f t="shared" si="185"/>
        <v/>
      </c>
      <c r="L1536" t="str">
        <f t="shared" si="186"/>
        <v/>
      </c>
      <c r="M1536" t="str">
        <f t="shared" si="187"/>
        <v/>
      </c>
      <c r="N1536" t="str">
        <f t="shared" si="188"/>
        <v>Invalid</v>
      </c>
      <c r="O1536" t="str">
        <f t="shared" ca="1" si="189"/>
        <v>Outdated</v>
      </c>
      <c r="P1536" t="str">
        <f t="shared" si="190"/>
        <v>Wrong Item</v>
      </c>
      <c r="Q1536" t="str">
        <f t="shared" si="191"/>
        <v/>
      </c>
    </row>
    <row r="1537" spans="1:17" x14ac:dyDescent="0.45">
      <c r="A1537" t="s">
        <v>2319</v>
      </c>
      <c r="B1537" t="s">
        <v>72</v>
      </c>
      <c r="C1537" t="s">
        <v>1658</v>
      </c>
      <c r="D1537" t="s">
        <v>74</v>
      </c>
      <c r="E1537" s="8">
        <v>7559.05</v>
      </c>
      <c r="F1537" s="9">
        <v>45348.666684444448</v>
      </c>
      <c r="G1537" t="s">
        <v>75</v>
      </c>
      <c r="H1537" t="s">
        <v>128</v>
      </c>
      <c r="I1537" t="s">
        <v>77</v>
      </c>
      <c r="J1537" t="str">
        <f t="shared" si="184"/>
        <v/>
      </c>
      <c r="K1537" t="str">
        <f t="shared" si="185"/>
        <v/>
      </c>
      <c r="L1537" t="str">
        <f t="shared" si="186"/>
        <v/>
      </c>
      <c r="M1537" t="str">
        <f t="shared" si="187"/>
        <v/>
      </c>
      <c r="N1537" t="str">
        <f t="shared" si="188"/>
        <v>Invalid</v>
      </c>
      <c r="O1537" t="str">
        <f t="shared" ca="1" si="189"/>
        <v>Outdated</v>
      </c>
      <c r="P1537" t="str">
        <f t="shared" si="190"/>
        <v>Wrong Item</v>
      </c>
      <c r="Q1537" t="str">
        <f t="shared" si="191"/>
        <v/>
      </c>
    </row>
    <row r="1538" spans="1:17" x14ac:dyDescent="0.45">
      <c r="A1538" t="s">
        <v>2320</v>
      </c>
      <c r="B1538" t="s">
        <v>95</v>
      </c>
      <c r="C1538" t="s">
        <v>2321</v>
      </c>
      <c r="D1538" t="s">
        <v>101</v>
      </c>
      <c r="E1538" s="8">
        <v>0</v>
      </c>
      <c r="F1538" s="9">
        <v>45568.666684444448</v>
      </c>
      <c r="G1538" t="s">
        <v>97</v>
      </c>
      <c r="H1538" t="s">
        <v>107</v>
      </c>
      <c r="I1538" t="s">
        <v>82</v>
      </c>
      <c r="J1538" t="str">
        <f t="shared" ref="J1538:J1601" si="192">IF(OR(ISBLANK(C1538),ISBLANK(D1538)),"Missing","")</f>
        <v/>
      </c>
      <c r="K1538" t="str">
        <f t="shared" ref="K1538:K1601" si="193">IF(COUNTIF($A$2:$A$2501,A1538)&gt;1,"Duplicate","")</f>
        <v/>
      </c>
      <c r="L1538" t="str">
        <f t="shared" ref="L1538:L1601" si="194">IF(OR(E1538=0,E1538&gt;10000),"Unusual","")</f>
        <v>Unusual</v>
      </c>
      <c r="M1538" t="str">
        <f t="shared" ref="M1538:M1601" si="195">IF(OR(ISBLANK(G1538),ISERROR(FIND("@",G1538)),ISERROR(FIND(".",G1538,FIND("@",G1538)+1))),"Invalid","")</f>
        <v/>
      </c>
      <c r="N1538" t="str">
        <f t="shared" ref="N1538:N1601" si="196">IF(COUNTIF($S$2:$S$6,H1538)=0,"Invalid","")</f>
        <v/>
      </c>
      <c r="O1538" t="str">
        <f t="shared" ref="O1538:O1601" ca="1" si="197">IF(F1538&lt;EDATE(TODAY(),-12),"Outdated","")</f>
        <v>Outdated</v>
      </c>
      <c r="P1538" t="str">
        <f t="shared" ref="P1538:P1601" si="198">IF(ISBLANK(D1538),"",PROPER(TRIM(D1538)))</f>
        <v>Damaged</v>
      </c>
      <c r="Q1538" t="str">
        <f t="shared" ref="Q1538:Q1601" si="199">IF(ISBLANK(D1538),"",IF(EXACT(D1538,P1538),"","Inconsistent"))</f>
        <v/>
      </c>
    </row>
    <row r="1539" spans="1:17" x14ac:dyDescent="0.45">
      <c r="A1539" t="s">
        <v>2322</v>
      </c>
      <c r="B1539" t="s">
        <v>99</v>
      </c>
      <c r="C1539" t="s">
        <v>924</v>
      </c>
      <c r="D1539" t="s">
        <v>74</v>
      </c>
      <c r="E1539" s="8">
        <v>1061.8399999999999</v>
      </c>
      <c r="F1539" s="9">
        <v>45590.666684444448</v>
      </c>
      <c r="G1539" t="s">
        <v>285</v>
      </c>
      <c r="H1539" t="s">
        <v>118</v>
      </c>
      <c r="I1539" t="s">
        <v>119</v>
      </c>
      <c r="J1539" t="str">
        <f t="shared" si="192"/>
        <v/>
      </c>
      <c r="K1539" t="str">
        <f t="shared" si="193"/>
        <v/>
      </c>
      <c r="L1539" t="str">
        <f t="shared" si="194"/>
        <v/>
      </c>
      <c r="M1539" t="str">
        <f t="shared" si="195"/>
        <v>Invalid</v>
      </c>
      <c r="N1539" t="str">
        <f t="shared" si="196"/>
        <v>Invalid</v>
      </c>
      <c r="O1539" t="str">
        <f t="shared" ca="1" si="197"/>
        <v>Outdated</v>
      </c>
      <c r="P1539" t="str">
        <f t="shared" si="198"/>
        <v>Wrong Item</v>
      </c>
      <c r="Q1539" t="str">
        <f t="shared" si="199"/>
        <v/>
      </c>
    </row>
    <row r="1540" spans="1:17" x14ac:dyDescent="0.45">
      <c r="A1540" t="s">
        <v>2323</v>
      </c>
      <c r="B1540" t="s">
        <v>109</v>
      </c>
      <c r="C1540" t="s">
        <v>1838</v>
      </c>
      <c r="D1540" t="s">
        <v>74</v>
      </c>
      <c r="E1540" s="8">
        <v>0</v>
      </c>
      <c r="F1540" s="9">
        <v>45361.666684444448</v>
      </c>
      <c r="G1540" t="s">
        <v>307</v>
      </c>
      <c r="I1540" t="s">
        <v>112</v>
      </c>
      <c r="J1540" t="str">
        <f t="shared" si="192"/>
        <v/>
      </c>
      <c r="K1540" t="str">
        <f t="shared" si="193"/>
        <v/>
      </c>
      <c r="L1540" t="str">
        <f t="shared" si="194"/>
        <v>Unusual</v>
      </c>
      <c r="M1540" t="str">
        <f t="shared" si="195"/>
        <v>Invalid</v>
      </c>
      <c r="N1540" t="str">
        <f t="shared" si="196"/>
        <v>Invalid</v>
      </c>
      <c r="O1540" t="str">
        <f t="shared" ca="1" si="197"/>
        <v>Outdated</v>
      </c>
      <c r="P1540" t="str">
        <f t="shared" si="198"/>
        <v>Wrong Item</v>
      </c>
      <c r="Q1540" t="str">
        <f t="shared" si="199"/>
        <v/>
      </c>
    </row>
    <row r="1541" spans="1:17" x14ac:dyDescent="0.45">
      <c r="A1541" t="s">
        <v>2324</v>
      </c>
      <c r="B1541" t="s">
        <v>138</v>
      </c>
      <c r="C1541" t="s">
        <v>1150</v>
      </c>
      <c r="D1541" t="s">
        <v>74</v>
      </c>
      <c r="E1541" s="8">
        <v>3103.8</v>
      </c>
      <c r="F1541" s="9">
        <v>45551.666684444448</v>
      </c>
      <c r="G1541" t="s">
        <v>194</v>
      </c>
      <c r="H1541" t="s">
        <v>81</v>
      </c>
      <c r="I1541" t="s">
        <v>88</v>
      </c>
      <c r="J1541" t="str">
        <f t="shared" si="192"/>
        <v/>
      </c>
      <c r="K1541" t="str">
        <f t="shared" si="193"/>
        <v/>
      </c>
      <c r="L1541" t="str">
        <f t="shared" si="194"/>
        <v/>
      </c>
      <c r="M1541" t="str">
        <f t="shared" si="195"/>
        <v>Invalid</v>
      </c>
      <c r="N1541" t="str">
        <f t="shared" si="196"/>
        <v/>
      </c>
      <c r="O1541" t="str">
        <f t="shared" ca="1" si="197"/>
        <v>Outdated</v>
      </c>
      <c r="P1541" t="str">
        <f t="shared" si="198"/>
        <v>Wrong Item</v>
      </c>
      <c r="Q1541" t="str">
        <f t="shared" si="199"/>
        <v/>
      </c>
    </row>
    <row r="1542" spans="1:17" x14ac:dyDescent="0.45">
      <c r="A1542" t="s">
        <v>2325</v>
      </c>
      <c r="B1542" t="s">
        <v>95</v>
      </c>
      <c r="C1542" t="s">
        <v>448</v>
      </c>
      <c r="E1542" s="8">
        <v>769.02</v>
      </c>
      <c r="F1542" s="9">
        <v>45475.666684444448</v>
      </c>
      <c r="G1542" t="s">
        <v>97</v>
      </c>
      <c r="I1542" t="s">
        <v>119</v>
      </c>
      <c r="J1542" t="str">
        <f t="shared" si="192"/>
        <v>Missing</v>
      </c>
      <c r="K1542" t="str">
        <f t="shared" si="193"/>
        <v/>
      </c>
      <c r="L1542" t="str">
        <f t="shared" si="194"/>
        <v/>
      </c>
      <c r="M1542" t="str">
        <f t="shared" si="195"/>
        <v/>
      </c>
      <c r="N1542" t="str">
        <f t="shared" si="196"/>
        <v>Invalid</v>
      </c>
      <c r="O1542" t="str">
        <f t="shared" ca="1" si="197"/>
        <v>Outdated</v>
      </c>
      <c r="P1542" t="str">
        <f t="shared" si="198"/>
        <v/>
      </c>
      <c r="Q1542" t="str">
        <f t="shared" si="199"/>
        <v/>
      </c>
    </row>
    <row r="1543" spans="1:17" x14ac:dyDescent="0.45">
      <c r="A1543" t="s">
        <v>2326</v>
      </c>
      <c r="B1543" t="s">
        <v>138</v>
      </c>
      <c r="D1543" t="s">
        <v>74</v>
      </c>
      <c r="E1543" s="8">
        <v>9187.26</v>
      </c>
      <c r="F1543" s="9">
        <v>45592.666684444448</v>
      </c>
      <c r="G1543" t="s">
        <v>140</v>
      </c>
      <c r="H1543" t="s">
        <v>81</v>
      </c>
      <c r="I1543" t="s">
        <v>88</v>
      </c>
      <c r="J1543" t="str">
        <f t="shared" si="192"/>
        <v>Missing</v>
      </c>
      <c r="K1543" t="str">
        <f t="shared" si="193"/>
        <v/>
      </c>
      <c r="L1543" t="str">
        <f t="shared" si="194"/>
        <v/>
      </c>
      <c r="M1543" t="str">
        <f t="shared" si="195"/>
        <v/>
      </c>
      <c r="N1543" t="str">
        <f t="shared" si="196"/>
        <v/>
      </c>
      <c r="O1543" t="str">
        <f t="shared" ca="1" si="197"/>
        <v>Outdated</v>
      </c>
      <c r="P1543" t="str">
        <f t="shared" si="198"/>
        <v>Wrong Item</v>
      </c>
      <c r="Q1543" t="str">
        <f t="shared" si="199"/>
        <v/>
      </c>
    </row>
    <row r="1544" spans="1:17" x14ac:dyDescent="0.45">
      <c r="A1544" t="s">
        <v>2327</v>
      </c>
      <c r="B1544" t="s">
        <v>172</v>
      </c>
      <c r="C1544" t="s">
        <v>2081</v>
      </c>
      <c r="D1544" t="s">
        <v>92</v>
      </c>
      <c r="E1544" s="8">
        <v>10568.02</v>
      </c>
      <c r="F1544" s="9">
        <v>45536.666684444448</v>
      </c>
      <c r="G1544" t="s">
        <v>174</v>
      </c>
      <c r="H1544" t="s">
        <v>76</v>
      </c>
      <c r="I1544" t="s">
        <v>119</v>
      </c>
      <c r="J1544" t="str">
        <f t="shared" si="192"/>
        <v/>
      </c>
      <c r="K1544" t="str">
        <f t="shared" si="193"/>
        <v/>
      </c>
      <c r="L1544" t="str">
        <f t="shared" si="194"/>
        <v>Unusual</v>
      </c>
      <c r="M1544" t="str">
        <f t="shared" si="195"/>
        <v/>
      </c>
      <c r="N1544" t="str">
        <f t="shared" si="196"/>
        <v/>
      </c>
      <c r="O1544" t="str">
        <f t="shared" ca="1" si="197"/>
        <v>Outdated</v>
      </c>
      <c r="P1544" t="str">
        <f t="shared" si="198"/>
        <v>Not As Described</v>
      </c>
      <c r="Q1544" t="str">
        <f t="shared" si="199"/>
        <v/>
      </c>
    </row>
    <row r="1545" spans="1:17" x14ac:dyDescent="0.45">
      <c r="A1545" t="s">
        <v>2328</v>
      </c>
      <c r="B1545" t="s">
        <v>138</v>
      </c>
      <c r="C1545" t="s">
        <v>2329</v>
      </c>
      <c r="D1545" t="s">
        <v>74</v>
      </c>
      <c r="E1545" s="8">
        <v>3224.41</v>
      </c>
      <c r="F1545" s="9">
        <v>45553.666684444448</v>
      </c>
      <c r="G1545" t="s">
        <v>140</v>
      </c>
      <c r="H1545" t="s">
        <v>76</v>
      </c>
      <c r="I1545" t="s">
        <v>88</v>
      </c>
      <c r="J1545" t="str">
        <f t="shared" si="192"/>
        <v/>
      </c>
      <c r="K1545" t="str">
        <f t="shared" si="193"/>
        <v/>
      </c>
      <c r="L1545" t="str">
        <f t="shared" si="194"/>
        <v/>
      </c>
      <c r="M1545" t="str">
        <f t="shared" si="195"/>
        <v/>
      </c>
      <c r="N1545" t="str">
        <f t="shared" si="196"/>
        <v/>
      </c>
      <c r="O1545" t="str">
        <f t="shared" ca="1" si="197"/>
        <v>Outdated</v>
      </c>
      <c r="P1545" t="str">
        <f t="shared" si="198"/>
        <v>Wrong Item</v>
      </c>
      <c r="Q1545" t="str">
        <f t="shared" si="199"/>
        <v/>
      </c>
    </row>
    <row r="1546" spans="1:17" x14ac:dyDescent="0.45">
      <c r="A1546" t="s">
        <v>2330</v>
      </c>
      <c r="B1546" t="s">
        <v>138</v>
      </c>
      <c r="C1546" t="s">
        <v>475</v>
      </c>
      <c r="D1546" t="s">
        <v>155</v>
      </c>
      <c r="E1546" s="8">
        <v>8553.26</v>
      </c>
      <c r="F1546" s="9">
        <v>45225.666684444448</v>
      </c>
      <c r="G1546" t="s">
        <v>140</v>
      </c>
      <c r="H1546" t="s">
        <v>118</v>
      </c>
      <c r="I1546" t="s">
        <v>88</v>
      </c>
      <c r="J1546" t="str">
        <f t="shared" si="192"/>
        <v/>
      </c>
      <c r="K1546" t="str">
        <f t="shared" si="193"/>
        <v/>
      </c>
      <c r="L1546" t="str">
        <f t="shared" si="194"/>
        <v/>
      </c>
      <c r="M1546" t="str">
        <f t="shared" si="195"/>
        <v/>
      </c>
      <c r="N1546" t="str">
        <f t="shared" si="196"/>
        <v>Invalid</v>
      </c>
      <c r="O1546" t="str">
        <f t="shared" ca="1" si="197"/>
        <v>Outdated</v>
      </c>
      <c r="P1546" t="str">
        <f t="shared" si="198"/>
        <v>Damaged</v>
      </c>
      <c r="Q1546" t="str">
        <f t="shared" si="199"/>
        <v>Inconsistent</v>
      </c>
    </row>
    <row r="1547" spans="1:17" x14ac:dyDescent="0.45">
      <c r="A1547" t="s">
        <v>2331</v>
      </c>
      <c r="B1547" t="s">
        <v>79</v>
      </c>
      <c r="D1547" t="s">
        <v>92</v>
      </c>
      <c r="E1547" s="8">
        <v>10850.29</v>
      </c>
      <c r="F1547" s="9">
        <v>45448.666684444448</v>
      </c>
      <c r="G1547" t="s">
        <v>278</v>
      </c>
      <c r="I1547" t="s">
        <v>112</v>
      </c>
      <c r="J1547" t="str">
        <f t="shared" si="192"/>
        <v>Missing</v>
      </c>
      <c r="K1547" t="str">
        <f t="shared" si="193"/>
        <v/>
      </c>
      <c r="L1547" t="str">
        <f t="shared" si="194"/>
        <v>Unusual</v>
      </c>
      <c r="M1547" t="str">
        <f t="shared" si="195"/>
        <v>Invalid</v>
      </c>
      <c r="N1547" t="str">
        <f t="shared" si="196"/>
        <v>Invalid</v>
      </c>
      <c r="O1547" t="str">
        <f t="shared" ca="1" si="197"/>
        <v>Outdated</v>
      </c>
      <c r="P1547" t="str">
        <f t="shared" si="198"/>
        <v>Not As Described</v>
      </c>
      <c r="Q1547" t="str">
        <f t="shared" si="199"/>
        <v/>
      </c>
    </row>
    <row r="1548" spans="1:17" x14ac:dyDescent="0.45">
      <c r="A1548" t="s">
        <v>2332</v>
      </c>
      <c r="B1548" t="s">
        <v>95</v>
      </c>
      <c r="C1548" t="s">
        <v>915</v>
      </c>
      <c r="D1548" t="s">
        <v>74</v>
      </c>
      <c r="E1548" s="8">
        <v>5916.22</v>
      </c>
      <c r="F1548" s="9">
        <v>45565.666684444448</v>
      </c>
      <c r="G1548" t="s">
        <v>97</v>
      </c>
      <c r="H1548" t="s">
        <v>136</v>
      </c>
      <c r="I1548" t="s">
        <v>112</v>
      </c>
      <c r="J1548" t="str">
        <f t="shared" si="192"/>
        <v/>
      </c>
      <c r="K1548" t="str">
        <f t="shared" si="193"/>
        <v/>
      </c>
      <c r="L1548" t="str">
        <f t="shared" si="194"/>
        <v/>
      </c>
      <c r="M1548" t="str">
        <f t="shared" si="195"/>
        <v/>
      </c>
      <c r="N1548" t="str">
        <f t="shared" si="196"/>
        <v>Invalid</v>
      </c>
      <c r="O1548" t="str">
        <f t="shared" ca="1" si="197"/>
        <v>Outdated</v>
      </c>
      <c r="P1548" t="str">
        <f t="shared" si="198"/>
        <v>Wrong Item</v>
      </c>
      <c r="Q1548" t="str">
        <f t="shared" si="199"/>
        <v/>
      </c>
    </row>
    <row r="1549" spans="1:17" x14ac:dyDescent="0.45">
      <c r="A1549" t="s">
        <v>2333</v>
      </c>
      <c r="B1549" t="s">
        <v>172</v>
      </c>
      <c r="C1549" t="s">
        <v>2334</v>
      </c>
      <c r="D1549" t="s">
        <v>92</v>
      </c>
      <c r="E1549" s="8">
        <v>11370.41</v>
      </c>
      <c r="F1549" s="9">
        <v>45448.666684444448</v>
      </c>
      <c r="G1549" t="s">
        <v>236</v>
      </c>
      <c r="I1549" t="s">
        <v>82</v>
      </c>
      <c r="J1549" t="str">
        <f t="shared" si="192"/>
        <v/>
      </c>
      <c r="K1549" t="str">
        <f t="shared" si="193"/>
        <v/>
      </c>
      <c r="L1549" t="str">
        <f t="shared" si="194"/>
        <v>Unusual</v>
      </c>
      <c r="M1549" t="str">
        <f t="shared" si="195"/>
        <v>Invalid</v>
      </c>
      <c r="N1549" t="str">
        <f t="shared" si="196"/>
        <v>Invalid</v>
      </c>
      <c r="O1549" t="str">
        <f t="shared" ca="1" si="197"/>
        <v>Outdated</v>
      </c>
      <c r="P1549" t="str">
        <f t="shared" si="198"/>
        <v>Not As Described</v>
      </c>
      <c r="Q1549" t="str">
        <f t="shared" si="199"/>
        <v/>
      </c>
    </row>
    <row r="1550" spans="1:17" x14ac:dyDescent="0.45">
      <c r="A1550" t="s">
        <v>2335</v>
      </c>
      <c r="B1550" t="s">
        <v>90</v>
      </c>
      <c r="C1550" t="s">
        <v>2336</v>
      </c>
      <c r="D1550" t="s">
        <v>85</v>
      </c>
      <c r="E1550" s="8">
        <v>2998.51</v>
      </c>
      <c r="F1550" s="9">
        <v>45809.666684444448</v>
      </c>
      <c r="G1550" t="s">
        <v>93</v>
      </c>
      <c r="I1550" t="s">
        <v>119</v>
      </c>
      <c r="J1550" t="str">
        <f t="shared" si="192"/>
        <v/>
      </c>
      <c r="K1550" t="str">
        <f t="shared" si="193"/>
        <v/>
      </c>
      <c r="L1550" t="str">
        <f t="shared" si="194"/>
        <v/>
      </c>
      <c r="M1550" t="str">
        <f t="shared" si="195"/>
        <v/>
      </c>
      <c r="N1550" t="str">
        <f t="shared" si="196"/>
        <v>Invalid</v>
      </c>
      <c r="O1550" t="str">
        <f t="shared" ca="1" si="197"/>
        <v>Outdated</v>
      </c>
      <c r="P1550" t="str">
        <f t="shared" si="198"/>
        <v>Late Delivery</v>
      </c>
      <c r="Q1550" t="str">
        <f t="shared" si="199"/>
        <v/>
      </c>
    </row>
    <row r="1551" spans="1:17" x14ac:dyDescent="0.45">
      <c r="A1551" t="s">
        <v>2337</v>
      </c>
      <c r="B1551" t="s">
        <v>90</v>
      </c>
      <c r="C1551" t="s">
        <v>2338</v>
      </c>
      <c r="D1551" t="s">
        <v>92</v>
      </c>
      <c r="E1551" s="8">
        <v>5986.47</v>
      </c>
      <c r="F1551" s="9">
        <v>45389.666684444448</v>
      </c>
      <c r="G1551" t="s">
        <v>93</v>
      </c>
      <c r="I1551" t="s">
        <v>112</v>
      </c>
      <c r="J1551" t="str">
        <f t="shared" si="192"/>
        <v/>
      </c>
      <c r="K1551" t="str">
        <f t="shared" si="193"/>
        <v/>
      </c>
      <c r="L1551" t="str">
        <f t="shared" si="194"/>
        <v/>
      </c>
      <c r="M1551" t="str">
        <f t="shared" si="195"/>
        <v/>
      </c>
      <c r="N1551" t="str">
        <f t="shared" si="196"/>
        <v>Invalid</v>
      </c>
      <c r="O1551" t="str">
        <f t="shared" ca="1" si="197"/>
        <v>Outdated</v>
      </c>
      <c r="P1551" t="str">
        <f t="shared" si="198"/>
        <v>Not As Described</v>
      </c>
      <c r="Q1551" t="str">
        <f t="shared" si="199"/>
        <v/>
      </c>
    </row>
    <row r="1552" spans="1:17" x14ac:dyDescent="0.45">
      <c r="A1552" t="s">
        <v>2339</v>
      </c>
      <c r="B1552" t="s">
        <v>172</v>
      </c>
      <c r="C1552" t="s">
        <v>1323</v>
      </c>
      <c r="D1552" t="s">
        <v>85</v>
      </c>
      <c r="E1552" s="8">
        <v>5548.34</v>
      </c>
      <c r="F1552" s="9">
        <v>45511.666684444448</v>
      </c>
      <c r="G1552" t="s">
        <v>236</v>
      </c>
      <c r="H1552" t="s">
        <v>87</v>
      </c>
      <c r="I1552" t="s">
        <v>119</v>
      </c>
      <c r="J1552" t="str">
        <f t="shared" si="192"/>
        <v/>
      </c>
      <c r="K1552" t="str">
        <f t="shared" si="193"/>
        <v/>
      </c>
      <c r="L1552" t="str">
        <f t="shared" si="194"/>
        <v/>
      </c>
      <c r="M1552" t="str">
        <f t="shared" si="195"/>
        <v>Invalid</v>
      </c>
      <c r="N1552" t="str">
        <f t="shared" si="196"/>
        <v>Invalid</v>
      </c>
      <c r="O1552" t="str">
        <f t="shared" ca="1" si="197"/>
        <v>Outdated</v>
      </c>
      <c r="P1552" t="str">
        <f t="shared" si="198"/>
        <v>Late Delivery</v>
      </c>
      <c r="Q1552" t="str">
        <f t="shared" si="199"/>
        <v/>
      </c>
    </row>
    <row r="1553" spans="1:17" x14ac:dyDescent="0.45">
      <c r="A1553" t="s">
        <v>2340</v>
      </c>
      <c r="B1553" t="s">
        <v>104</v>
      </c>
      <c r="C1553" t="s">
        <v>114</v>
      </c>
      <c r="D1553" t="s">
        <v>85</v>
      </c>
      <c r="E1553" s="8">
        <v>0</v>
      </c>
      <c r="F1553" s="9">
        <v>45284.666684444448</v>
      </c>
      <c r="G1553" t="s">
        <v>115</v>
      </c>
      <c r="H1553" t="s">
        <v>87</v>
      </c>
      <c r="I1553" t="s">
        <v>82</v>
      </c>
      <c r="J1553" t="str">
        <f t="shared" si="192"/>
        <v/>
      </c>
      <c r="K1553" t="str">
        <f t="shared" si="193"/>
        <v/>
      </c>
      <c r="L1553" t="str">
        <f t="shared" si="194"/>
        <v>Unusual</v>
      </c>
      <c r="M1553" t="str">
        <f t="shared" si="195"/>
        <v/>
      </c>
      <c r="N1553" t="str">
        <f t="shared" si="196"/>
        <v>Invalid</v>
      </c>
      <c r="O1553" t="str">
        <f t="shared" ca="1" si="197"/>
        <v>Outdated</v>
      </c>
      <c r="P1553" t="str">
        <f t="shared" si="198"/>
        <v>Late Delivery</v>
      </c>
      <c r="Q1553" t="str">
        <f t="shared" si="199"/>
        <v/>
      </c>
    </row>
    <row r="1554" spans="1:17" x14ac:dyDescent="0.45">
      <c r="A1554" t="s">
        <v>2341</v>
      </c>
      <c r="B1554" t="s">
        <v>72</v>
      </c>
      <c r="C1554" t="s">
        <v>206</v>
      </c>
      <c r="D1554" t="s">
        <v>92</v>
      </c>
      <c r="E1554" s="8">
        <v>10123.040000000001</v>
      </c>
      <c r="F1554" s="9">
        <v>45831.666684444448</v>
      </c>
      <c r="G1554" t="s">
        <v>75</v>
      </c>
      <c r="H1554" t="s">
        <v>145</v>
      </c>
      <c r="I1554" t="s">
        <v>112</v>
      </c>
      <c r="J1554" t="str">
        <f t="shared" si="192"/>
        <v/>
      </c>
      <c r="K1554" t="str">
        <f t="shared" si="193"/>
        <v/>
      </c>
      <c r="L1554" t="str">
        <f t="shared" si="194"/>
        <v>Unusual</v>
      </c>
      <c r="M1554" t="str">
        <f t="shared" si="195"/>
        <v/>
      </c>
      <c r="N1554" t="str">
        <f t="shared" si="196"/>
        <v/>
      </c>
      <c r="O1554" t="str">
        <f t="shared" ca="1" si="197"/>
        <v>Outdated</v>
      </c>
      <c r="P1554" t="str">
        <f t="shared" si="198"/>
        <v>Not As Described</v>
      </c>
      <c r="Q1554" t="str">
        <f t="shared" si="199"/>
        <v/>
      </c>
    </row>
    <row r="1555" spans="1:17" x14ac:dyDescent="0.45">
      <c r="A1555" t="s">
        <v>2342</v>
      </c>
      <c r="B1555" t="s">
        <v>104</v>
      </c>
      <c r="C1555" t="s">
        <v>365</v>
      </c>
      <c r="D1555" t="s">
        <v>101</v>
      </c>
      <c r="E1555" s="8">
        <v>10855.26</v>
      </c>
      <c r="F1555" s="9">
        <v>45613.666684444448</v>
      </c>
      <c r="G1555" t="s">
        <v>115</v>
      </c>
      <c r="H1555" t="s">
        <v>87</v>
      </c>
      <c r="I1555" t="s">
        <v>112</v>
      </c>
      <c r="J1555" t="str">
        <f t="shared" si="192"/>
        <v/>
      </c>
      <c r="K1555" t="str">
        <f t="shared" si="193"/>
        <v/>
      </c>
      <c r="L1555" t="str">
        <f t="shared" si="194"/>
        <v>Unusual</v>
      </c>
      <c r="M1555" t="str">
        <f t="shared" si="195"/>
        <v/>
      </c>
      <c r="N1555" t="str">
        <f t="shared" si="196"/>
        <v>Invalid</v>
      </c>
      <c r="O1555" t="str">
        <f t="shared" ca="1" si="197"/>
        <v>Outdated</v>
      </c>
      <c r="P1555" t="str">
        <f t="shared" si="198"/>
        <v>Damaged</v>
      </c>
      <c r="Q1555" t="str">
        <f t="shared" si="199"/>
        <v/>
      </c>
    </row>
    <row r="1556" spans="1:17" x14ac:dyDescent="0.45">
      <c r="A1556" t="s">
        <v>2343</v>
      </c>
      <c r="B1556" t="s">
        <v>95</v>
      </c>
      <c r="C1556" t="s">
        <v>2125</v>
      </c>
      <c r="D1556" t="s">
        <v>74</v>
      </c>
      <c r="E1556" s="8">
        <v>4525.34</v>
      </c>
      <c r="F1556" s="9">
        <v>45196.666684444448</v>
      </c>
      <c r="H1556" t="s">
        <v>116</v>
      </c>
      <c r="I1556" t="s">
        <v>119</v>
      </c>
      <c r="J1556" t="str">
        <f t="shared" si="192"/>
        <v/>
      </c>
      <c r="K1556" t="str">
        <f t="shared" si="193"/>
        <v/>
      </c>
      <c r="L1556" t="str">
        <f t="shared" si="194"/>
        <v/>
      </c>
      <c r="M1556" t="str">
        <f t="shared" si="195"/>
        <v>Invalid</v>
      </c>
      <c r="N1556" t="str">
        <f t="shared" si="196"/>
        <v/>
      </c>
      <c r="O1556" t="str">
        <f t="shared" ca="1" si="197"/>
        <v>Outdated</v>
      </c>
      <c r="P1556" t="str">
        <f t="shared" si="198"/>
        <v>Wrong Item</v>
      </c>
      <c r="Q1556" t="str">
        <f t="shared" si="199"/>
        <v/>
      </c>
    </row>
    <row r="1557" spans="1:17" x14ac:dyDescent="0.45">
      <c r="A1557" t="s">
        <v>2344</v>
      </c>
      <c r="B1557" t="s">
        <v>138</v>
      </c>
      <c r="C1557" t="s">
        <v>2345</v>
      </c>
      <c r="E1557" s="8">
        <v>6361.39</v>
      </c>
      <c r="F1557" s="9">
        <v>45221.666684444448</v>
      </c>
      <c r="G1557" t="s">
        <v>140</v>
      </c>
      <c r="H1557" t="s">
        <v>128</v>
      </c>
      <c r="I1557" t="s">
        <v>77</v>
      </c>
      <c r="J1557" t="str">
        <f t="shared" si="192"/>
        <v>Missing</v>
      </c>
      <c r="K1557" t="str">
        <f t="shared" si="193"/>
        <v/>
      </c>
      <c r="L1557" t="str">
        <f t="shared" si="194"/>
        <v/>
      </c>
      <c r="M1557" t="str">
        <f t="shared" si="195"/>
        <v/>
      </c>
      <c r="N1557" t="str">
        <f t="shared" si="196"/>
        <v>Invalid</v>
      </c>
      <c r="O1557" t="str">
        <f t="shared" ca="1" si="197"/>
        <v>Outdated</v>
      </c>
      <c r="P1557" t="str">
        <f t="shared" si="198"/>
        <v/>
      </c>
      <c r="Q1557" t="str">
        <f t="shared" si="199"/>
        <v/>
      </c>
    </row>
    <row r="1558" spans="1:17" x14ac:dyDescent="0.45">
      <c r="A1558" t="s">
        <v>2346</v>
      </c>
      <c r="B1558" t="s">
        <v>90</v>
      </c>
      <c r="C1558" t="s">
        <v>2347</v>
      </c>
      <c r="D1558" t="s">
        <v>101</v>
      </c>
      <c r="E1558" s="8">
        <v>4428.67</v>
      </c>
      <c r="F1558" s="9">
        <v>45215.666684444448</v>
      </c>
      <c r="G1558" t="s">
        <v>93</v>
      </c>
      <c r="H1558" t="s">
        <v>87</v>
      </c>
      <c r="I1558" t="s">
        <v>77</v>
      </c>
      <c r="J1558" t="str">
        <f t="shared" si="192"/>
        <v/>
      </c>
      <c r="K1558" t="str">
        <f t="shared" si="193"/>
        <v/>
      </c>
      <c r="L1558" t="str">
        <f t="shared" si="194"/>
        <v/>
      </c>
      <c r="M1558" t="str">
        <f t="shared" si="195"/>
        <v/>
      </c>
      <c r="N1558" t="str">
        <f t="shared" si="196"/>
        <v>Invalid</v>
      </c>
      <c r="O1558" t="str">
        <f t="shared" ca="1" si="197"/>
        <v>Outdated</v>
      </c>
      <c r="P1558" t="str">
        <f t="shared" si="198"/>
        <v>Damaged</v>
      </c>
      <c r="Q1558" t="str">
        <f t="shared" si="199"/>
        <v/>
      </c>
    </row>
    <row r="1559" spans="1:17" x14ac:dyDescent="0.45">
      <c r="A1559" t="s">
        <v>2348</v>
      </c>
      <c r="B1559" t="s">
        <v>79</v>
      </c>
      <c r="C1559" t="s">
        <v>1267</v>
      </c>
      <c r="D1559" t="s">
        <v>85</v>
      </c>
      <c r="E1559" s="8">
        <v>2090.21</v>
      </c>
      <c r="F1559" s="9">
        <v>45223.666684444448</v>
      </c>
      <c r="G1559" t="s">
        <v>86</v>
      </c>
      <c r="H1559" t="s">
        <v>145</v>
      </c>
      <c r="I1559" t="s">
        <v>112</v>
      </c>
      <c r="J1559" t="str">
        <f t="shared" si="192"/>
        <v/>
      </c>
      <c r="K1559" t="str">
        <f t="shared" si="193"/>
        <v/>
      </c>
      <c r="L1559" t="str">
        <f t="shared" si="194"/>
        <v/>
      </c>
      <c r="M1559" t="str">
        <f t="shared" si="195"/>
        <v/>
      </c>
      <c r="N1559" t="str">
        <f t="shared" si="196"/>
        <v/>
      </c>
      <c r="O1559" t="str">
        <f t="shared" ca="1" si="197"/>
        <v>Outdated</v>
      </c>
      <c r="P1559" t="str">
        <f t="shared" si="198"/>
        <v>Late Delivery</v>
      </c>
      <c r="Q1559" t="str">
        <f t="shared" si="199"/>
        <v/>
      </c>
    </row>
    <row r="1560" spans="1:17" x14ac:dyDescent="0.45">
      <c r="A1560" t="s">
        <v>2349</v>
      </c>
      <c r="B1560" t="s">
        <v>104</v>
      </c>
      <c r="C1560" t="s">
        <v>2240</v>
      </c>
      <c r="D1560" t="s">
        <v>74</v>
      </c>
      <c r="E1560" s="8">
        <v>8343.2900000000009</v>
      </c>
      <c r="F1560" s="9">
        <v>45570.666684444448</v>
      </c>
      <c r="H1560" t="s">
        <v>133</v>
      </c>
      <c r="I1560" t="s">
        <v>82</v>
      </c>
      <c r="J1560" t="str">
        <f t="shared" si="192"/>
        <v/>
      </c>
      <c r="K1560" t="str">
        <f t="shared" si="193"/>
        <v>Duplicate</v>
      </c>
      <c r="L1560" t="str">
        <f t="shared" si="194"/>
        <v/>
      </c>
      <c r="M1560" t="str">
        <f t="shared" si="195"/>
        <v>Invalid</v>
      </c>
      <c r="N1560" t="str">
        <f t="shared" si="196"/>
        <v>Invalid</v>
      </c>
      <c r="O1560" t="str">
        <f t="shared" ca="1" si="197"/>
        <v>Outdated</v>
      </c>
      <c r="P1560" t="str">
        <f t="shared" si="198"/>
        <v>Wrong Item</v>
      </c>
      <c r="Q1560" t="str">
        <f t="shared" si="199"/>
        <v/>
      </c>
    </row>
    <row r="1561" spans="1:17" x14ac:dyDescent="0.45">
      <c r="A1561" t="s">
        <v>649</v>
      </c>
      <c r="B1561" t="s">
        <v>138</v>
      </c>
      <c r="C1561" t="s">
        <v>1832</v>
      </c>
      <c r="D1561" t="s">
        <v>85</v>
      </c>
      <c r="E1561" s="8">
        <v>8326.57</v>
      </c>
      <c r="F1561" s="9">
        <v>45226.666684444448</v>
      </c>
      <c r="G1561" t="s">
        <v>140</v>
      </c>
      <c r="H1561" t="s">
        <v>116</v>
      </c>
      <c r="I1561" t="s">
        <v>82</v>
      </c>
      <c r="J1561" t="str">
        <f t="shared" si="192"/>
        <v/>
      </c>
      <c r="K1561" t="str">
        <f t="shared" si="193"/>
        <v>Duplicate</v>
      </c>
      <c r="L1561" t="str">
        <f t="shared" si="194"/>
        <v/>
      </c>
      <c r="M1561" t="str">
        <f t="shared" si="195"/>
        <v/>
      </c>
      <c r="N1561" t="str">
        <f t="shared" si="196"/>
        <v/>
      </c>
      <c r="O1561" t="str">
        <f t="shared" ca="1" si="197"/>
        <v>Outdated</v>
      </c>
      <c r="P1561" t="str">
        <f t="shared" si="198"/>
        <v>Late Delivery</v>
      </c>
      <c r="Q1561" t="str">
        <f t="shared" si="199"/>
        <v/>
      </c>
    </row>
    <row r="1562" spans="1:17" x14ac:dyDescent="0.45">
      <c r="A1562" t="s">
        <v>2093</v>
      </c>
      <c r="B1562" t="s">
        <v>109</v>
      </c>
      <c r="C1562" t="s">
        <v>2350</v>
      </c>
      <c r="D1562" t="s">
        <v>106</v>
      </c>
      <c r="E1562" s="8">
        <v>5665.4</v>
      </c>
      <c r="F1562" s="9">
        <v>45509.666684444448</v>
      </c>
      <c r="G1562" t="s">
        <v>111</v>
      </c>
      <c r="H1562" t="s">
        <v>118</v>
      </c>
      <c r="I1562" t="s">
        <v>163</v>
      </c>
      <c r="J1562" t="str">
        <f t="shared" si="192"/>
        <v/>
      </c>
      <c r="K1562" t="str">
        <f t="shared" si="193"/>
        <v>Duplicate</v>
      </c>
      <c r="L1562" t="str">
        <f t="shared" si="194"/>
        <v/>
      </c>
      <c r="M1562" t="str">
        <f t="shared" si="195"/>
        <v/>
      </c>
      <c r="N1562" t="str">
        <f t="shared" si="196"/>
        <v>Invalid</v>
      </c>
      <c r="O1562" t="str">
        <f t="shared" ca="1" si="197"/>
        <v>Outdated</v>
      </c>
      <c r="P1562" t="str">
        <f t="shared" si="198"/>
        <v>Damaged</v>
      </c>
      <c r="Q1562" t="str">
        <f t="shared" si="199"/>
        <v>Inconsistent</v>
      </c>
    </row>
    <row r="1563" spans="1:17" x14ac:dyDescent="0.45">
      <c r="A1563" t="s">
        <v>1679</v>
      </c>
      <c r="B1563" t="s">
        <v>72</v>
      </c>
      <c r="D1563" t="s">
        <v>101</v>
      </c>
      <c r="E1563" s="8">
        <v>3013.9</v>
      </c>
      <c r="F1563" s="9">
        <v>45261.666684444448</v>
      </c>
      <c r="I1563" t="s">
        <v>112</v>
      </c>
      <c r="J1563" t="str">
        <f t="shared" si="192"/>
        <v>Missing</v>
      </c>
      <c r="K1563" t="str">
        <f t="shared" si="193"/>
        <v>Duplicate</v>
      </c>
      <c r="L1563" t="str">
        <f t="shared" si="194"/>
        <v/>
      </c>
      <c r="M1563" t="str">
        <f t="shared" si="195"/>
        <v>Invalid</v>
      </c>
      <c r="N1563" t="str">
        <f t="shared" si="196"/>
        <v>Invalid</v>
      </c>
      <c r="O1563" t="str">
        <f t="shared" ca="1" si="197"/>
        <v>Outdated</v>
      </c>
      <c r="P1563" t="str">
        <f t="shared" si="198"/>
        <v>Damaged</v>
      </c>
      <c r="Q1563" t="str">
        <f t="shared" si="199"/>
        <v/>
      </c>
    </row>
    <row r="1564" spans="1:17" x14ac:dyDescent="0.45">
      <c r="A1564" t="s">
        <v>2351</v>
      </c>
      <c r="B1564" t="s">
        <v>172</v>
      </c>
      <c r="C1564" t="s">
        <v>1965</v>
      </c>
      <c r="D1564" t="s">
        <v>101</v>
      </c>
      <c r="E1564" s="8">
        <v>10558.22</v>
      </c>
      <c r="F1564" s="9">
        <v>45697.666684444448</v>
      </c>
      <c r="G1564" t="s">
        <v>174</v>
      </c>
      <c r="H1564" t="s">
        <v>133</v>
      </c>
      <c r="I1564" t="s">
        <v>119</v>
      </c>
      <c r="J1564" t="str">
        <f t="shared" si="192"/>
        <v/>
      </c>
      <c r="K1564" t="str">
        <f t="shared" si="193"/>
        <v/>
      </c>
      <c r="L1564" t="str">
        <f t="shared" si="194"/>
        <v>Unusual</v>
      </c>
      <c r="M1564" t="str">
        <f t="shared" si="195"/>
        <v/>
      </c>
      <c r="N1564" t="str">
        <f t="shared" si="196"/>
        <v>Invalid</v>
      </c>
      <c r="O1564" t="str">
        <f t="shared" ca="1" si="197"/>
        <v>Outdated</v>
      </c>
      <c r="P1564" t="str">
        <f t="shared" si="198"/>
        <v>Damaged</v>
      </c>
      <c r="Q1564" t="str">
        <f t="shared" si="199"/>
        <v/>
      </c>
    </row>
    <row r="1565" spans="1:17" x14ac:dyDescent="0.45">
      <c r="A1565" t="s">
        <v>2352</v>
      </c>
      <c r="B1565" t="s">
        <v>138</v>
      </c>
      <c r="C1565" t="s">
        <v>1780</v>
      </c>
      <c r="D1565" t="s">
        <v>92</v>
      </c>
      <c r="E1565" s="8">
        <v>4754.83</v>
      </c>
      <c r="F1565" s="9">
        <v>45189.666684444448</v>
      </c>
      <c r="G1565" t="s">
        <v>194</v>
      </c>
      <c r="H1565" t="s">
        <v>136</v>
      </c>
      <c r="I1565" t="s">
        <v>82</v>
      </c>
      <c r="J1565" t="str">
        <f t="shared" si="192"/>
        <v/>
      </c>
      <c r="K1565" t="str">
        <f t="shared" si="193"/>
        <v/>
      </c>
      <c r="L1565" t="str">
        <f t="shared" si="194"/>
        <v/>
      </c>
      <c r="M1565" t="str">
        <f t="shared" si="195"/>
        <v>Invalid</v>
      </c>
      <c r="N1565" t="str">
        <f t="shared" si="196"/>
        <v>Invalid</v>
      </c>
      <c r="O1565" t="str">
        <f t="shared" ca="1" si="197"/>
        <v>Outdated</v>
      </c>
      <c r="P1565" t="str">
        <f t="shared" si="198"/>
        <v>Not As Described</v>
      </c>
      <c r="Q1565" t="str">
        <f t="shared" si="199"/>
        <v/>
      </c>
    </row>
    <row r="1566" spans="1:17" x14ac:dyDescent="0.45">
      <c r="A1566" t="s">
        <v>2353</v>
      </c>
      <c r="B1566" t="s">
        <v>72</v>
      </c>
      <c r="C1566" t="s">
        <v>2354</v>
      </c>
      <c r="E1566" s="8">
        <v>6729.75</v>
      </c>
      <c r="F1566" s="9">
        <v>45728.666684444448</v>
      </c>
      <c r="G1566" t="s">
        <v>75</v>
      </c>
      <c r="H1566" t="s">
        <v>107</v>
      </c>
      <c r="I1566" t="s">
        <v>77</v>
      </c>
      <c r="J1566" t="str">
        <f t="shared" si="192"/>
        <v>Missing</v>
      </c>
      <c r="K1566" t="str">
        <f t="shared" si="193"/>
        <v/>
      </c>
      <c r="L1566" t="str">
        <f t="shared" si="194"/>
        <v/>
      </c>
      <c r="M1566" t="str">
        <f t="shared" si="195"/>
        <v/>
      </c>
      <c r="N1566" t="str">
        <f t="shared" si="196"/>
        <v/>
      </c>
      <c r="O1566" t="str">
        <f t="shared" ca="1" si="197"/>
        <v>Outdated</v>
      </c>
      <c r="P1566" t="str">
        <f t="shared" si="198"/>
        <v/>
      </c>
      <c r="Q1566" t="str">
        <f t="shared" si="199"/>
        <v/>
      </c>
    </row>
    <row r="1567" spans="1:17" x14ac:dyDescent="0.45">
      <c r="A1567" t="s">
        <v>2355</v>
      </c>
      <c r="B1567" t="s">
        <v>72</v>
      </c>
      <c r="C1567" t="s">
        <v>144</v>
      </c>
      <c r="D1567" t="s">
        <v>101</v>
      </c>
      <c r="E1567" s="8">
        <v>9866.5300000000007</v>
      </c>
      <c r="F1567" s="9">
        <v>45703.666684444448</v>
      </c>
      <c r="G1567" t="s">
        <v>75</v>
      </c>
      <c r="H1567" t="s">
        <v>116</v>
      </c>
      <c r="I1567" t="s">
        <v>88</v>
      </c>
      <c r="J1567" t="str">
        <f t="shared" si="192"/>
        <v/>
      </c>
      <c r="K1567" t="str">
        <f t="shared" si="193"/>
        <v>Duplicate</v>
      </c>
      <c r="L1567" t="str">
        <f t="shared" si="194"/>
        <v/>
      </c>
      <c r="M1567" t="str">
        <f t="shared" si="195"/>
        <v/>
      </c>
      <c r="N1567" t="str">
        <f t="shared" si="196"/>
        <v/>
      </c>
      <c r="O1567" t="str">
        <f t="shared" ca="1" si="197"/>
        <v>Outdated</v>
      </c>
      <c r="P1567" t="str">
        <f t="shared" si="198"/>
        <v>Damaged</v>
      </c>
      <c r="Q1567" t="str">
        <f t="shared" si="199"/>
        <v/>
      </c>
    </row>
    <row r="1568" spans="1:17" x14ac:dyDescent="0.45">
      <c r="A1568" t="s">
        <v>2356</v>
      </c>
      <c r="B1568" t="s">
        <v>90</v>
      </c>
      <c r="C1568" t="s">
        <v>2357</v>
      </c>
      <c r="D1568" t="s">
        <v>101</v>
      </c>
      <c r="E1568" s="8">
        <v>8464.35</v>
      </c>
      <c r="F1568" s="9">
        <v>45703.666684444448</v>
      </c>
      <c r="G1568" t="s">
        <v>93</v>
      </c>
      <c r="H1568" t="s">
        <v>76</v>
      </c>
      <c r="I1568" t="s">
        <v>77</v>
      </c>
      <c r="J1568" t="str">
        <f t="shared" si="192"/>
        <v/>
      </c>
      <c r="K1568" t="str">
        <f t="shared" si="193"/>
        <v/>
      </c>
      <c r="L1568" t="str">
        <f t="shared" si="194"/>
        <v/>
      </c>
      <c r="M1568" t="str">
        <f t="shared" si="195"/>
        <v/>
      </c>
      <c r="N1568" t="str">
        <f t="shared" si="196"/>
        <v/>
      </c>
      <c r="O1568" t="str">
        <f t="shared" ca="1" si="197"/>
        <v>Outdated</v>
      </c>
      <c r="P1568" t="str">
        <f t="shared" si="198"/>
        <v>Damaged</v>
      </c>
      <c r="Q1568" t="str">
        <f t="shared" si="199"/>
        <v/>
      </c>
    </row>
    <row r="1569" spans="1:17" x14ac:dyDescent="0.45">
      <c r="A1569" t="s">
        <v>2358</v>
      </c>
      <c r="B1569" t="s">
        <v>90</v>
      </c>
      <c r="C1569" t="s">
        <v>575</v>
      </c>
      <c r="D1569" t="s">
        <v>155</v>
      </c>
      <c r="E1569" s="8">
        <v>7030.77</v>
      </c>
      <c r="F1569" s="9">
        <v>45465.666684444448</v>
      </c>
      <c r="G1569" t="s">
        <v>93</v>
      </c>
      <c r="H1569" t="s">
        <v>116</v>
      </c>
      <c r="I1569" t="s">
        <v>82</v>
      </c>
      <c r="J1569" t="str">
        <f t="shared" si="192"/>
        <v/>
      </c>
      <c r="K1569" t="str">
        <f t="shared" si="193"/>
        <v/>
      </c>
      <c r="L1569" t="str">
        <f t="shared" si="194"/>
        <v/>
      </c>
      <c r="M1569" t="str">
        <f t="shared" si="195"/>
        <v/>
      </c>
      <c r="N1569" t="str">
        <f t="shared" si="196"/>
        <v/>
      </c>
      <c r="O1569" t="str">
        <f t="shared" ca="1" si="197"/>
        <v>Outdated</v>
      </c>
      <c r="P1569" t="str">
        <f t="shared" si="198"/>
        <v>Damaged</v>
      </c>
      <c r="Q1569" t="str">
        <f t="shared" si="199"/>
        <v>Inconsistent</v>
      </c>
    </row>
    <row r="1570" spans="1:17" x14ac:dyDescent="0.45">
      <c r="A1570" t="s">
        <v>2359</v>
      </c>
      <c r="B1570" t="s">
        <v>95</v>
      </c>
      <c r="C1570" t="s">
        <v>259</v>
      </c>
      <c r="D1570" t="s">
        <v>92</v>
      </c>
      <c r="E1570" s="8">
        <v>8820.2800000000007</v>
      </c>
      <c r="F1570" s="9">
        <v>45814.666684444448</v>
      </c>
      <c r="G1570" t="s">
        <v>336</v>
      </c>
      <c r="H1570" t="s">
        <v>136</v>
      </c>
      <c r="I1570" t="s">
        <v>163</v>
      </c>
      <c r="J1570" t="str">
        <f t="shared" si="192"/>
        <v/>
      </c>
      <c r="K1570" t="str">
        <f t="shared" si="193"/>
        <v/>
      </c>
      <c r="L1570" t="str">
        <f t="shared" si="194"/>
        <v/>
      </c>
      <c r="M1570" t="str">
        <f t="shared" si="195"/>
        <v>Invalid</v>
      </c>
      <c r="N1570" t="str">
        <f t="shared" si="196"/>
        <v>Invalid</v>
      </c>
      <c r="O1570" t="str">
        <f t="shared" ca="1" si="197"/>
        <v>Outdated</v>
      </c>
      <c r="P1570" t="str">
        <f t="shared" si="198"/>
        <v>Not As Described</v>
      </c>
      <c r="Q1570" t="str">
        <f t="shared" si="199"/>
        <v/>
      </c>
    </row>
    <row r="1571" spans="1:17" x14ac:dyDescent="0.45">
      <c r="A1571" t="s">
        <v>2360</v>
      </c>
      <c r="B1571" t="s">
        <v>109</v>
      </c>
      <c r="C1571" t="s">
        <v>214</v>
      </c>
      <c r="D1571" t="s">
        <v>74</v>
      </c>
      <c r="E1571" s="8">
        <v>1361.68</v>
      </c>
      <c r="F1571" s="9">
        <v>45253.666684444448</v>
      </c>
      <c r="G1571" t="s">
        <v>111</v>
      </c>
      <c r="H1571" t="s">
        <v>128</v>
      </c>
      <c r="I1571" t="s">
        <v>77</v>
      </c>
      <c r="J1571" t="str">
        <f t="shared" si="192"/>
        <v/>
      </c>
      <c r="K1571" t="str">
        <f t="shared" si="193"/>
        <v/>
      </c>
      <c r="L1571" t="str">
        <f t="shared" si="194"/>
        <v/>
      </c>
      <c r="M1571" t="str">
        <f t="shared" si="195"/>
        <v/>
      </c>
      <c r="N1571" t="str">
        <f t="shared" si="196"/>
        <v>Invalid</v>
      </c>
      <c r="O1571" t="str">
        <f t="shared" ca="1" si="197"/>
        <v>Outdated</v>
      </c>
      <c r="P1571" t="str">
        <f t="shared" si="198"/>
        <v>Wrong Item</v>
      </c>
      <c r="Q1571" t="str">
        <f t="shared" si="199"/>
        <v/>
      </c>
    </row>
    <row r="1572" spans="1:17" x14ac:dyDescent="0.45">
      <c r="A1572" t="s">
        <v>2361</v>
      </c>
      <c r="B1572" t="s">
        <v>172</v>
      </c>
      <c r="C1572" t="s">
        <v>1713</v>
      </c>
      <c r="D1572" t="s">
        <v>74</v>
      </c>
      <c r="E1572" s="8">
        <v>8511.57</v>
      </c>
      <c r="F1572" s="9">
        <v>45548.666684444448</v>
      </c>
      <c r="H1572" t="s">
        <v>76</v>
      </c>
      <c r="I1572" t="s">
        <v>163</v>
      </c>
      <c r="J1572" t="str">
        <f t="shared" si="192"/>
        <v/>
      </c>
      <c r="K1572" t="str">
        <f t="shared" si="193"/>
        <v/>
      </c>
      <c r="L1572" t="str">
        <f t="shared" si="194"/>
        <v/>
      </c>
      <c r="M1572" t="str">
        <f t="shared" si="195"/>
        <v>Invalid</v>
      </c>
      <c r="N1572" t="str">
        <f t="shared" si="196"/>
        <v/>
      </c>
      <c r="O1572" t="str">
        <f t="shared" ca="1" si="197"/>
        <v>Outdated</v>
      </c>
      <c r="P1572" t="str">
        <f t="shared" si="198"/>
        <v>Wrong Item</v>
      </c>
      <c r="Q1572" t="str">
        <f t="shared" si="199"/>
        <v/>
      </c>
    </row>
    <row r="1573" spans="1:17" x14ac:dyDescent="0.45">
      <c r="A1573" t="s">
        <v>2362</v>
      </c>
      <c r="B1573" t="s">
        <v>72</v>
      </c>
      <c r="C1573" t="s">
        <v>653</v>
      </c>
      <c r="D1573" t="s">
        <v>85</v>
      </c>
      <c r="E1573" s="8">
        <v>0</v>
      </c>
      <c r="F1573" s="9">
        <v>45490.666684444448</v>
      </c>
      <c r="G1573" t="s">
        <v>75</v>
      </c>
      <c r="H1573" t="s">
        <v>81</v>
      </c>
      <c r="I1573" t="s">
        <v>163</v>
      </c>
      <c r="J1573" t="str">
        <f t="shared" si="192"/>
        <v/>
      </c>
      <c r="K1573" t="str">
        <f t="shared" si="193"/>
        <v/>
      </c>
      <c r="L1573" t="str">
        <f t="shared" si="194"/>
        <v>Unusual</v>
      </c>
      <c r="M1573" t="str">
        <f t="shared" si="195"/>
        <v/>
      </c>
      <c r="N1573" t="str">
        <f t="shared" si="196"/>
        <v/>
      </c>
      <c r="O1573" t="str">
        <f t="shared" ca="1" si="197"/>
        <v>Outdated</v>
      </c>
      <c r="P1573" t="str">
        <f t="shared" si="198"/>
        <v>Late Delivery</v>
      </c>
      <c r="Q1573" t="str">
        <f t="shared" si="199"/>
        <v/>
      </c>
    </row>
    <row r="1574" spans="1:17" x14ac:dyDescent="0.45">
      <c r="A1574" t="s">
        <v>2363</v>
      </c>
      <c r="B1574" t="s">
        <v>95</v>
      </c>
      <c r="C1574" t="s">
        <v>864</v>
      </c>
      <c r="D1574" t="s">
        <v>74</v>
      </c>
      <c r="E1574" s="8">
        <v>0</v>
      </c>
      <c r="F1574" s="9">
        <v>45809.666684444448</v>
      </c>
      <c r="G1574" t="s">
        <v>97</v>
      </c>
      <c r="I1574" t="s">
        <v>88</v>
      </c>
      <c r="J1574" t="str">
        <f t="shared" si="192"/>
        <v/>
      </c>
      <c r="K1574" t="str">
        <f t="shared" si="193"/>
        <v>Duplicate</v>
      </c>
      <c r="L1574" t="str">
        <f t="shared" si="194"/>
        <v>Unusual</v>
      </c>
      <c r="M1574" t="str">
        <f t="shared" si="195"/>
        <v/>
      </c>
      <c r="N1574" t="str">
        <f t="shared" si="196"/>
        <v>Invalid</v>
      </c>
      <c r="O1574" t="str">
        <f t="shared" ca="1" si="197"/>
        <v>Outdated</v>
      </c>
      <c r="P1574" t="str">
        <f t="shared" si="198"/>
        <v>Wrong Item</v>
      </c>
      <c r="Q1574" t="str">
        <f t="shared" si="199"/>
        <v/>
      </c>
    </row>
    <row r="1575" spans="1:17" x14ac:dyDescent="0.45">
      <c r="A1575" t="s">
        <v>2364</v>
      </c>
      <c r="B1575" t="s">
        <v>104</v>
      </c>
      <c r="C1575" t="s">
        <v>1375</v>
      </c>
      <c r="D1575" t="s">
        <v>101</v>
      </c>
      <c r="E1575" s="8">
        <v>9708.39</v>
      </c>
      <c r="F1575" s="9">
        <v>45561.666684444448</v>
      </c>
      <c r="H1575" t="s">
        <v>133</v>
      </c>
      <c r="I1575" t="s">
        <v>163</v>
      </c>
      <c r="J1575" t="str">
        <f t="shared" si="192"/>
        <v/>
      </c>
      <c r="K1575" t="str">
        <f t="shared" si="193"/>
        <v/>
      </c>
      <c r="L1575" t="str">
        <f t="shared" si="194"/>
        <v/>
      </c>
      <c r="M1575" t="str">
        <f t="shared" si="195"/>
        <v>Invalid</v>
      </c>
      <c r="N1575" t="str">
        <f t="shared" si="196"/>
        <v>Invalid</v>
      </c>
      <c r="O1575" t="str">
        <f t="shared" ca="1" si="197"/>
        <v>Outdated</v>
      </c>
      <c r="P1575" t="str">
        <f t="shared" si="198"/>
        <v>Damaged</v>
      </c>
      <c r="Q1575" t="str">
        <f t="shared" si="199"/>
        <v/>
      </c>
    </row>
    <row r="1576" spans="1:17" x14ac:dyDescent="0.45">
      <c r="A1576" t="s">
        <v>2365</v>
      </c>
      <c r="B1576" t="s">
        <v>99</v>
      </c>
      <c r="C1576" t="s">
        <v>2058</v>
      </c>
      <c r="D1576" t="s">
        <v>148</v>
      </c>
      <c r="E1576" s="8">
        <v>7382.74</v>
      </c>
      <c r="F1576" s="9">
        <v>45180.666684444448</v>
      </c>
      <c r="G1576" t="s">
        <v>285</v>
      </c>
      <c r="H1576" t="s">
        <v>81</v>
      </c>
      <c r="I1576" t="s">
        <v>112</v>
      </c>
      <c r="J1576" t="str">
        <f t="shared" si="192"/>
        <v/>
      </c>
      <c r="K1576" t="str">
        <f t="shared" si="193"/>
        <v/>
      </c>
      <c r="L1576" t="str">
        <f t="shared" si="194"/>
        <v/>
      </c>
      <c r="M1576" t="str">
        <f t="shared" si="195"/>
        <v>Invalid</v>
      </c>
      <c r="N1576" t="str">
        <f t="shared" si="196"/>
        <v/>
      </c>
      <c r="O1576" t="str">
        <f t="shared" ca="1" si="197"/>
        <v>Outdated</v>
      </c>
      <c r="P1576" t="str">
        <f t="shared" si="198"/>
        <v>Wrong Item</v>
      </c>
      <c r="Q1576" t="str">
        <f t="shared" si="199"/>
        <v>Inconsistent</v>
      </c>
    </row>
    <row r="1577" spans="1:17" x14ac:dyDescent="0.45">
      <c r="A1577" t="s">
        <v>2366</v>
      </c>
      <c r="B1577" t="s">
        <v>72</v>
      </c>
      <c r="C1577" t="s">
        <v>755</v>
      </c>
      <c r="D1577" t="s">
        <v>74</v>
      </c>
      <c r="E1577" s="8">
        <v>7592.35</v>
      </c>
      <c r="F1577" s="9">
        <v>45422.666684444448</v>
      </c>
      <c r="G1577" t="s">
        <v>75</v>
      </c>
      <c r="H1577" t="s">
        <v>76</v>
      </c>
      <c r="I1577" t="s">
        <v>82</v>
      </c>
      <c r="J1577" t="str">
        <f t="shared" si="192"/>
        <v/>
      </c>
      <c r="K1577" t="str">
        <f t="shared" si="193"/>
        <v/>
      </c>
      <c r="L1577" t="str">
        <f t="shared" si="194"/>
        <v/>
      </c>
      <c r="M1577" t="str">
        <f t="shared" si="195"/>
        <v/>
      </c>
      <c r="N1577" t="str">
        <f t="shared" si="196"/>
        <v/>
      </c>
      <c r="O1577" t="str">
        <f t="shared" ca="1" si="197"/>
        <v>Outdated</v>
      </c>
      <c r="P1577" t="str">
        <f t="shared" si="198"/>
        <v>Wrong Item</v>
      </c>
      <c r="Q1577" t="str">
        <f t="shared" si="199"/>
        <v/>
      </c>
    </row>
    <row r="1578" spans="1:17" x14ac:dyDescent="0.45">
      <c r="A1578" t="s">
        <v>2367</v>
      </c>
      <c r="B1578" t="s">
        <v>95</v>
      </c>
      <c r="C1578" t="s">
        <v>966</v>
      </c>
      <c r="D1578" t="s">
        <v>92</v>
      </c>
      <c r="E1578" s="8">
        <v>958.28</v>
      </c>
      <c r="F1578" s="9">
        <v>45742.666684444448</v>
      </c>
      <c r="G1578" t="s">
        <v>97</v>
      </c>
      <c r="H1578" t="s">
        <v>145</v>
      </c>
      <c r="I1578" t="s">
        <v>112</v>
      </c>
      <c r="J1578" t="str">
        <f t="shared" si="192"/>
        <v/>
      </c>
      <c r="K1578" t="str">
        <f t="shared" si="193"/>
        <v/>
      </c>
      <c r="L1578" t="str">
        <f t="shared" si="194"/>
        <v/>
      </c>
      <c r="M1578" t="str">
        <f t="shared" si="195"/>
        <v/>
      </c>
      <c r="N1578" t="str">
        <f t="shared" si="196"/>
        <v/>
      </c>
      <c r="O1578" t="str">
        <f t="shared" ca="1" si="197"/>
        <v>Outdated</v>
      </c>
      <c r="P1578" t="str">
        <f t="shared" si="198"/>
        <v>Not As Described</v>
      </c>
      <c r="Q1578" t="str">
        <f t="shared" si="199"/>
        <v/>
      </c>
    </row>
    <row r="1579" spans="1:17" x14ac:dyDescent="0.45">
      <c r="A1579" t="s">
        <v>2368</v>
      </c>
      <c r="B1579" t="s">
        <v>109</v>
      </c>
      <c r="C1579" t="s">
        <v>890</v>
      </c>
      <c r="D1579" t="s">
        <v>101</v>
      </c>
      <c r="E1579" s="8">
        <v>5916.35</v>
      </c>
      <c r="F1579" s="9">
        <v>45447.666684444448</v>
      </c>
      <c r="G1579" t="s">
        <v>307</v>
      </c>
      <c r="H1579" t="s">
        <v>116</v>
      </c>
      <c r="I1579" t="s">
        <v>112</v>
      </c>
      <c r="J1579" t="str">
        <f t="shared" si="192"/>
        <v/>
      </c>
      <c r="K1579" t="str">
        <f t="shared" si="193"/>
        <v/>
      </c>
      <c r="L1579" t="str">
        <f t="shared" si="194"/>
        <v/>
      </c>
      <c r="M1579" t="str">
        <f t="shared" si="195"/>
        <v>Invalid</v>
      </c>
      <c r="N1579" t="str">
        <f t="shared" si="196"/>
        <v/>
      </c>
      <c r="O1579" t="str">
        <f t="shared" ca="1" si="197"/>
        <v>Outdated</v>
      </c>
      <c r="P1579" t="str">
        <f t="shared" si="198"/>
        <v>Damaged</v>
      </c>
      <c r="Q1579" t="str">
        <f t="shared" si="199"/>
        <v/>
      </c>
    </row>
    <row r="1580" spans="1:17" x14ac:dyDescent="0.45">
      <c r="A1580" t="s">
        <v>2369</v>
      </c>
      <c r="B1580" t="s">
        <v>90</v>
      </c>
      <c r="C1580" t="s">
        <v>313</v>
      </c>
      <c r="D1580" t="s">
        <v>92</v>
      </c>
      <c r="E1580" s="8">
        <v>7847.18</v>
      </c>
      <c r="F1580" s="9">
        <v>45488.666684444448</v>
      </c>
      <c r="G1580" t="s">
        <v>93</v>
      </c>
      <c r="H1580" t="s">
        <v>87</v>
      </c>
      <c r="I1580" t="s">
        <v>77</v>
      </c>
      <c r="J1580" t="str">
        <f t="shared" si="192"/>
        <v/>
      </c>
      <c r="K1580" t="str">
        <f t="shared" si="193"/>
        <v/>
      </c>
      <c r="L1580" t="str">
        <f t="shared" si="194"/>
        <v/>
      </c>
      <c r="M1580" t="str">
        <f t="shared" si="195"/>
        <v/>
      </c>
      <c r="N1580" t="str">
        <f t="shared" si="196"/>
        <v>Invalid</v>
      </c>
      <c r="O1580" t="str">
        <f t="shared" ca="1" si="197"/>
        <v>Outdated</v>
      </c>
      <c r="P1580" t="str">
        <f t="shared" si="198"/>
        <v>Not As Described</v>
      </c>
      <c r="Q1580" t="str">
        <f t="shared" si="199"/>
        <v/>
      </c>
    </row>
    <row r="1581" spans="1:17" x14ac:dyDescent="0.45">
      <c r="A1581" t="s">
        <v>2370</v>
      </c>
      <c r="B1581" t="s">
        <v>72</v>
      </c>
      <c r="C1581" t="s">
        <v>533</v>
      </c>
      <c r="D1581" t="s">
        <v>92</v>
      </c>
      <c r="E1581" s="8">
        <v>680.64</v>
      </c>
      <c r="F1581" s="9">
        <v>45234.666684444448</v>
      </c>
      <c r="G1581" t="s">
        <v>75</v>
      </c>
      <c r="H1581" t="s">
        <v>107</v>
      </c>
      <c r="I1581" t="s">
        <v>77</v>
      </c>
      <c r="J1581" t="str">
        <f t="shared" si="192"/>
        <v/>
      </c>
      <c r="K1581" t="str">
        <f t="shared" si="193"/>
        <v/>
      </c>
      <c r="L1581" t="str">
        <f t="shared" si="194"/>
        <v/>
      </c>
      <c r="M1581" t="str">
        <f t="shared" si="195"/>
        <v/>
      </c>
      <c r="N1581" t="str">
        <f t="shared" si="196"/>
        <v/>
      </c>
      <c r="O1581" t="str">
        <f t="shared" ca="1" si="197"/>
        <v>Outdated</v>
      </c>
      <c r="P1581" t="str">
        <f t="shared" si="198"/>
        <v>Not As Described</v>
      </c>
      <c r="Q1581" t="str">
        <f t="shared" si="199"/>
        <v/>
      </c>
    </row>
    <row r="1582" spans="1:17" x14ac:dyDescent="0.45">
      <c r="A1582" t="s">
        <v>2371</v>
      </c>
      <c r="B1582" t="s">
        <v>72</v>
      </c>
      <c r="C1582" t="s">
        <v>1489</v>
      </c>
      <c r="D1582" t="s">
        <v>74</v>
      </c>
      <c r="E1582" s="8">
        <v>0</v>
      </c>
      <c r="F1582" s="9">
        <v>45719.666684444448</v>
      </c>
      <c r="G1582" t="s">
        <v>521</v>
      </c>
      <c r="H1582" t="s">
        <v>145</v>
      </c>
      <c r="I1582" t="s">
        <v>82</v>
      </c>
      <c r="J1582" t="str">
        <f t="shared" si="192"/>
        <v/>
      </c>
      <c r="K1582" t="str">
        <f t="shared" si="193"/>
        <v>Duplicate</v>
      </c>
      <c r="L1582" t="str">
        <f t="shared" si="194"/>
        <v>Unusual</v>
      </c>
      <c r="M1582" t="str">
        <f t="shared" si="195"/>
        <v>Invalid</v>
      </c>
      <c r="N1582" t="str">
        <f t="shared" si="196"/>
        <v/>
      </c>
      <c r="O1582" t="str">
        <f t="shared" ca="1" si="197"/>
        <v>Outdated</v>
      </c>
      <c r="P1582" t="str">
        <f t="shared" si="198"/>
        <v>Wrong Item</v>
      </c>
      <c r="Q1582" t="str">
        <f t="shared" si="199"/>
        <v/>
      </c>
    </row>
    <row r="1583" spans="1:17" x14ac:dyDescent="0.45">
      <c r="A1583" t="s">
        <v>2372</v>
      </c>
      <c r="B1583" t="s">
        <v>138</v>
      </c>
      <c r="C1583" t="s">
        <v>908</v>
      </c>
      <c r="D1583" t="s">
        <v>85</v>
      </c>
      <c r="E1583" s="8">
        <v>11837.37</v>
      </c>
      <c r="F1583" s="9">
        <v>45647.666684444448</v>
      </c>
      <c r="G1583" t="s">
        <v>140</v>
      </c>
      <c r="H1583" t="s">
        <v>145</v>
      </c>
      <c r="I1583" t="s">
        <v>163</v>
      </c>
      <c r="J1583" t="str">
        <f t="shared" si="192"/>
        <v/>
      </c>
      <c r="K1583" t="str">
        <f t="shared" si="193"/>
        <v/>
      </c>
      <c r="L1583" t="str">
        <f t="shared" si="194"/>
        <v>Unusual</v>
      </c>
      <c r="M1583" t="str">
        <f t="shared" si="195"/>
        <v/>
      </c>
      <c r="N1583" t="str">
        <f t="shared" si="196"/>
        <v/>
      </c>
      <c r="O1583" t="str">
        <f t="shared" ca="1" si="197"/>
        <v>Outdated</v>
      </c>
      <c r="P1583" t="str">
        <f t="shared" si="198"/>
        <v>Late Delivery</v>
      </c>
      <c r="Q1583" t="str">
        <f t="shared" si="199"/>
        <v/>
      </c>
    </row>
    <row r="1584" spans="1:17" x14ac:dyDescent="0.45">
      <c r="A1584" t="s">
        <v>2373</v>
      </c>
      <c r="B1584" t="s">
        <v>109</v>
      </c>
      <c r="C1584" t="s">
        <v>1904</v>
      </c>
      <c r="D1584" t="s">
        <v>74</v>
      </c>
      <c r="E1584" s="8">
        <v>7375.69</v>
      </c>
      <c r="F1584" s="9">
        <v>45345.666684444448</v>
      </c>
      <c r="G1584" t="s">
        <v>111</v>
      </c>
      <c r="H1584" t="s">
        <v>107</v>
      </c>
      <c r="I1584" t="s">
        <v>119</v>
      </c>
      <c r="J1584" t="str">
        <f t="shared" si="192"/>
        <v/>
      </c>
      <c r="K1584" t="str">
        <f t="shared" si="193"/>
        <v/>
      </c>
      <c r="L1584" t="str">
        <f t="shared" si="194"/>
        <v/>
      </c>
      <c r="M1584" t="str">
        <f t="shared" si="195"/>
        <v/>
      </c>
      <c r="N1584" t="str">
        <f t="shared" si="196"/>
        <v/>
      </c>
      <c r="O1584" t="str">
        <f t="shared" ca="1" si="197"/>
        <v>Outdated</v>
      </c>
      <c r="P1584" t="str">
        <f t="shared" si="198"/>
        <v>Wrong Item</v>
      </c>
      <c r="Q1584" t="str">
        <f t="shared" si="199"/>
        <v/>
      </c>
    </row>
    <row r="1585" spans="1:17" x14ac:dyDescent="0.45">
      <c r="A1585" t="s">
        <v>2374</v>
      </c>
      <c r="B1585" t="s">
        <v>172</v>
      </c>
      <c r="C1585" t="s">
        <v>809</v>
      </c>
      <c r="D1585" t="s">
        <v>148</v>
      </c>
      <c r="E1585" s="8">
        <v>0</v>
      </c>
      <c r="F1585" s="9">
        <v>45286.666684444448</v>
      </c>
      <c r="G1585" t="s">
        <v>174</v>
      </c>
      <c r="H1585" t="s">
        <v>136</v>
      </c>
      <c r="I1585" t="s">
        <v>88</v>
      </c>
      <c r="J1585" t="str">
        <f t="shared" si="192"/>
        <v/>
      </c>
      <c r="K1585" t="str">
        <f t="shared" si="193"/>
        <v/>
      </c>
      <c r="L1585" t="str">
        <f t="shared" si="194"/>
        <v>Unusual</v>
      </c>
      <c r="M1585" t="str">
        <f t="shared" si="195"/>
        <v/>
      </c>
      <c r="N1585" t="str">
        <f t="shared" si="196"/>
        <v>Invalid</v>
      </c>
      <c r="O1585" t="str">
        <f t="shared" ca="1" si="197"/>
        <v>Outdated</v>
      </c>
      <c r="P1585" t="str">
        <f t="shared" si="198"/>
        <v>Wrong Item</v>
      </c>
      <c r="Q1585" t="str">
        <f t="shared" si="199"/>
        <v>Inconsistent</v>
      </c>
    </row>
    <row r="1586" spans="1:17" x14ac:dyDescent="0.45">
      <c r="A1586" t="s">
        <v>2375</v>
      </c>
      <c r="B1586" t="s">
        <v>90</v>
      </c>
      <c r="C1586" t="s">
        <v>2212</v>
      </c>
      <c r="D1586" t="s">
        <v>148</v>
      </c>
      <c r="E1586" s="8">
        <v>9753.08</v>
      </c>
      <c r="F1586" s="9">
        <v>45800.666684444448</v>
      </c>
      <c r="G1586" t="s">
        <v>296</v>
      </c>
      <c r="H1586" t="s">
        <v>128</v>
      </c>
      <c r="I1586" t="s">
        <v>88</v>
      </c>
      <c r="J1586" t="str">
        <f t="shared" si="192"/>
        <v/>
      </c>
      <c r="K1586" t="str">
        <f t="shared" si="193"/>
        <v/>
      </c>
      <c r="L1586" t="str">
        <f t="shared" si="194"/>
        <v/>
      </c>
      <c r="M1586" t="str">
        <f t="shared" si="195"/>
        <v>Invalid</v>
      </c>
      <c r="N1586" t="str">
        <f t="shared" si="196"/>
        <v>Invalid</v>
      </c>
      <c r="O1586" t="str">
        <f t="shared" ca="1" si="197"/>
        <v>Outdated</v>
      </c>
      <c r="P1586" t="str">
        <f t="shared" si="198"/>
        <v>Wrong Item</v>
      </c>
      <c r="Q1586" t="str">
        <f t="shared" si="199"/>
        <v>Inconsistent</v>
      </c>
    </row>
    <row r="1587" spans="1:17" x14ac:dyDescent="0.45">
      <c r="A1587" t="s">
        <v>2376</v>
      </c>
      <c r="B1587" t="s">
        <v>72</v>
      </c>
      <c r="C1587" t="s">
        <v>794</v>
      </c>
      <c r="D1587" t="s">
        <v>101</v>
      </c>
      <c r="E1587" s="8">
        <v>4069.57</v>
      </c>
      <c r="F1587" s="9">
        <v>45621.666684444448</v>
      </c>
      <c r="G1587" t="s">
        <v>75</v>
      </c>
      <c r="H1587" t="s">
        <v>116</v>
      </c>
      <c r="I1587" t="s">
        <v>82</v>
      </c>
      <c r="J1587" t="str">
        <f t="shared" si="192"/>
        <v/>
      </c>
      <c r="K1587" t="str">
        <f t="shared" si="193"/>
        <v/>
      </c>
      <c r="L1587" t="str">
        <f t="shared" si="194"/>
        <v/>
      </c>
      <c r="M1587" t="str">
        <f t="shared" si="195"/>
        <v/>
      </c>
      <c r="N1587" t="str">
        <f t="shared" si="196"/>
        <v/>
      </c>
      <c r="O1587" t="str">
        <f t="shared" ca="1" si="197"/>
        <v>Outdated</v>
      </c>
      <c r="P1587" t="str">
        <f t="shared" si="198"/>
        <v>Damaged</v>
      </c>
      <c r="Q1587" t="str">
        <f t="shared" si="199"/>
        <v/>
      </c>
    </row>
    <row r="1588" spans="1:17" x14ac:dyDescent="0.45">
      <c r="A1588" t="s">
        <v>2377</v>
      </c>
      <c r="B1588" t="s">
        <v>104</v>
      </c>
      <c r="C1588" t="s">
        <v>511</v>
      </c>
      <c r="D1588" t="s">
        <v>101</v>
      </c>
      <c r="E1588" s="8">
        <v>0</v>
      </c>
      <c r="F1588" s="9">
        <v>45357.666684444448</v>
      </c>
      <c r="G1588" t="s">
        <v>115</v>
      </c>
      <c r="H1588" t="s">
        <v>133</v>
      </c>
      <c r="I1588" t="s">
        <v>112</v>
      </c>
      <c r="J1588" t="str">
        <f t="shared" si="192"/>
        <v/>
      </c>
      <c r="K1588" t="str">
        <f t="shared" si="193"/>
        <v/>
      </c>
      <c r="L1588" t="str">
        <f t="shared" si="194"/>
        <v>Unusual</v>
      </c>
      <c r="M1588" t="str">
        <f t="shared" si="195"/>
        <v/>
      </c>
      <c r="N1588" t="str">
        <f t="shared" si="196"/>
        <v>Invalid</v>
      </c>
      <c r="O1588" t="str">
        <f t="shared" ca="1" si="197"/>
        <v>Outdated</v>
      </c>
      <c r="P1588" t="str">
        <f t="shared" si="198"/>
        <v>Damaged</v>
      </c>
      <c r="Q1588" t="str">
        <f t="shared" si="199"/>
        <v/>
      </c>
    </row>
    <row r="1589" spans="1:17" x14ac:dyDescent="0.45">
      <c r="A1589" t="s">
        <v>2378</v>
      </c>
      <c r="B1589" t="s">
        <v>90</v>
      </c>
      <c r="C1589" t="s">
        <v>373</v>
      </c>
      <c r="D1589" t="s">
        <v>101</v>
      </c>
      <c r="E1589" s="8">
        <v>8636.33</v>
      </c>
      <c r="F1589" s="9">
        <v>45238.666684444448</v>
      </c>
      <c r="G1589" t="s">
        <v>93</v>
      </c>
      <c r="H1589" t="s">
        <v>81</v>
      </c>
      <c r="I1589" t="s">
        <v>112</v>
      </c>
      <c r="J1589" t="str">
        <f t="shared" si="192"/>
        <v/>
      </c>
      <c r="K1589" t="str">
        <f t="shared" si="193"/>
        <v/>
      </c>
      <c r="L1589" t="str">
        <f t="shared" si="194"/>
        <v/>
      </c>
      <c r="M1589" t="str">
        <f t="shared" si="195"/>
        <v/>
      </c>
      <c r="N1589" t="str">
        <f t="shared" si="196"/>
        <v/>
      </c>
      <c r="O1589" t="str">
        <f t="shared" ca="1" si="197"/>
        <v>Outdated</v>
      </c>
      <c r="P1589" t="str">
        <f t="shared" si="198"/>
        <v>Damaged</v>
      </c>
      <c r="Q1589" t="str">
        <f t="shared" si="199"/>
        <v/>
      </c>
    </row>
    <row r="1590" spans="1:17" x14ac:dyDescent="0.45">
      <c r="A1590" t="s">
        <v>2379</v>
      </c>
      <c r="B1590" t="s">
        <v>104</v>
      </c>
      <c r="C1590" t="s">
        <v>436</v>
      </c>
      <c r="D1590" t="s">
        <v>92</v>
      </c>
      <c r="E1590" s="8">
        <v>0</v>
      </c>
      <c r="F1590" s="9">
        <v>45486.666684444448</v>
      </c>
      <c r="G1590" t="s">
        <v>115</v>
      </c>
      <c r="H1590" t="s">
        <v>118</v>
      </c>
      <c r="I1590" t="s">
        <v>77</v>
      </c>
      <c r="J1590" t="str">
        <f t="shared" si="192"/>
        <v/>
      </c>
      <c r="K1590" t="str">
        <f t="shared" si="193"/>
        <v/>
      </c>
      <c r="L1590" t="str">
        <f t="shared" si="194"/>
        <v>Unusual</v>
      </c>
      <c r="M1590" t="str">
        <f t="shared" si="195"/>
        <v/>
      </c>
      <c r="N1590" t="str">
        <f t="shared" si="196"/>
        <v>Invalid</v>
      </c>
      <c r="O1590" t="str">
        <f t="shared" ca="1" si="197"/>
        <v>Outdated</v>
      </c>
      <c r="P1590" t="str">
        <f t="shared" si="198"/>
        <v>Not As Described</v>
      </c>
      <c r="Q1590" t="str">
        <f t="shared" si="199"/>
        <v/>
      </c>
    </row>
    <row r="1591" spans="1:17" x14ac:dyDescent="0.45">
      <c r="A1591" t="s">
        <v>2380</v>
      </c>
      <c r="B1591" t="s">
        <v>99</v>
      </c>
      <c r="C1591" t="s">
        <v>1698</v>
      </c>
      <c r="D1591" t="s">
        <v>101</v>
      </c>
      <c r="E1591" s="8">
        <v>3436.39</v>
      </c>
      <c r="F1591" s="9">
        <v>45697.666684444448</v>
      </c>
      <c r="G1591" t="s">
        <v>102</v>
      </c>
      <c r="H1591" t="s">
        <v>128</v>
      </c>
      <c r="I1591" t="s">
        <v>163</v>
      </c>
      <c r="J1591" t="str">
        <f t="shared" si="192"/>
        <v/>
      </c>
      <c r="K1591" t="str">
        <f t="shared" si="193"/>
        <v/>
      </c>
      <c r="L1591" t="str">
        <f t="shared" si="194"/>
        <v/>
      </c>
      <c r="M1591" t="str">
        <f t="shared" si="195"/>
        <v/>
      </c>
      <c r="N1591" t="str">
        <f t="shared" si="196"/>
        <v>Invalid</v>
      </c>
      <c r="O1591" t="str">
        <f t="shared" ca="1" si="197"/>
        <v>Outdated</v>
      </c>
      <c r="P1591" t="str">
        <f t="shared" si="198"/>
        <v>Damaged</v>
      </c>
      <c r="Q1591" t="str">
        <f t="shared" si="199"/>
        <v/>
      </c>
    </row>
    <row r="1592" spans="1:17" x14ac:dyDescent="0.45">
      <c r="A1592" t="s">
        <v>2381</v>
      </c>
      <c r="B1592" t="s">
        <v>172</v>
      </c>
      <c r="C1592" t="s">
        <v>2058</v>
      </c>
      <c r="D1592" t="s">
        <v>101</v>
      </c>
      <c r="E1592" s="8">
        <v>6475.39</v>
      </c>
      <c r="F1592" s="9">
        <v>45504.666684444448</v>
      </c>
      <c r="G1592" t="s">
        <v>174</v>
      </c>
      <c r="H1592" t="s">
        <v>81</v>
      </c>
      <c r="I1592" t="s">
        <v>163</v>
      </c>
      <c r="J1592" t="str">
        <f t="shared" si="192"/>
        <v/>
      </c>
      <c r="K1592" t="str">
        <f t="shared" si="193"/>
        <v/>
      </c>
      <c r="L1592" t="str">
        <f t="shared" si="194"/>
        <v/>
      </c>
      <c r="M1592" t="str">
        <f t="shared" si="195"/>
        <v/>
      </c>
      <c r="N1592" t="str">
        <f t="shared" si="196"/>
        <v/>
      </c>
      <c r="O1592" t="str">
        <f t="shared" ca="1" si="197"/>
        <v>Outdated</v>
      </c>
      <c r="P1592" t="str">
        <f t="shared" si="198"/>
        <v>Damaged</v>
      </c>
      <c r="Q1592" t="str">
        <f t="shared" si="199"/>
        <v/>
      </c>
    </row>
    <row r="1593" spans="1:17" x14ac:dyDescent="0.45">
      <c r="A1593" t="s">
        <v>2382</v>
      </c>
      <c r="B1593" t="s">
        <v>99</v>
      </c>
      <c r="C1593" t="s">
        <v>1429</v>
      </c>
      <c r="D1593" t="s">
        <v>101</v>
      </c>
      <c r="E1593" s="8">
        <v>6318.23</v>
      </c>
      <c r="F1593" s="9">
        <v>45245.666684444448</v>
      </c>
      <c r="G1593" t="s">
        <v>102</v>
      </c>
      <c r="H1593" t="s">
        <v>76</v>
      </c>
      <c r="I1593" t="s">
        <v>163</v>
      </c>
      <c r="J1593" t="str">
        <f t="shared" si="192"/>
        <v/>
      </c>
      <c r="K1593" t="str">
        <f t="shared" si="193"/>
        <v/>
      </c>
      <c r="L1593" t="str">
        <f t="shared" si="194"/>
        <v/>
      </c>
      <c r="M1593" t="str">
        <f t="shared" si="195"/>
        <v/>
      </c>
      <c r="N1593" t="str">
        <f t="shared" si="196"/>
        <v/>
      </c>
      <c r="O1593" t="str">
        <f t="shared" ca="1" si="197"/>
        <v>Outdated</v>
      </c>
      <c r="P1593" t="str">
        <f t="shared" si="198"/>
        <v>Damaged</v>
      </c>
      <c r="Q1593" t="str">
        <f t="shared" si="199"/>
        <v/>
      </c>
    </row>
    <row r="1594" spans="1:17" x14ac:dyDescent="0.45">
      <c r="A1594" t="s">
        <v>2383</v>
      </c>
      <c r="B1594" t="s">
        <v>72</v>
      </c>
      <c r="D1594" t="s">
        <v>74</v>
      </c>
      <c r="E1594" s="8">
        <v>2164.27</v>
      </c>
      <c r="F1594" s="9">
        <v>45413.666684444448</v>
      </c>
      <c r="G1594" t="s">
        <v>75</v>
      </c>
      <c r="H1594" t="s">
        <v>118</v>
      </c>
      <c r="I1594" t="s">
        <v>163</v>
      </c>
      <c r="J1594" t="str">
        <f t="shared" si="192"/>
        <v>Missing</v>
      </c>
      <c r="K1594" t="str">
        <f t="shared" si="193"/>
        <v/>
      </c>
      <c r="L1594" t="str">
        <f t="shared" si="194"/>
        <v/>
      </c>
      <c r="M1594" t="str">
        <f t="shared" si="195"/>
        <v/>
      </c>
      <c r="N1594" t="str">
        <f t="shared" si="196"/>
        <v>Invalid</v>
      </c>
      <c r="O1594" t="str">
        <f t="shared" ca="1" si="197"/>
        <v>Outdated</v>
      </c>
      <c r="P1594" t="str">
        <f t="shared" si="198"/>
        <v>Wrong Item</v>
      </c>
      <c r="Q1594" t="str">
        <f t="shared" si="199"/>
        <v/>
      </c>
    </row>
    <row r="1595" spans="1:17" x14ac:dyDescent="0.45">
      <c r="A1595" t="s">
        <v>2384</v>
      </c>
      <c r="B1595" t="s">
        <v>138</v>
      </c>
      <c r="C1595" t="s">
        <v>2385</v>
      </c>
      <c r="D1595" t="s">
        <v>92</v>
      </c>
      <c r="E1595" s="8">
        <v>132.34</v>
      </c>
      <c r="F1595" s="9">
        <v>45715.666684444448</v>
      </c>
      <c r="H1595" t="s">
        <v>87</v>
      </c>
      <c r="I1595" t="s">
        <v>88</v>
      </c>
      <c r="J1595" t="str">
        <f t="shared" si="192"/>
        <v/>
      </c>
      <c r="K1595" t="str">
        <f t="shared" si="193"/>
        <v/>
      </c>
      <c r="L1595" t="str">
        <f t="shared" si="194"/>
        <v/>
      </c>
      <c r="M1595" t="str">
        <f t="shared" si="195"/>
        <v>Invalid</v>
      </c>
      <c r="N1595" t="str">
        <f t="shared" si="196"/>
        <v>Invalid</v>
      </c>
      <c r="O1595" t="str">
        <f t="shared" ca="1" si="197"/>
        <v>Outdated</v>
      </c>
      <c r="P1595" t="str">
        <f t="shared" si="198"/>
        <v>Not As Described</v>
      </c>
      <c r="Q1595" t="str">
        <f t="shared" si="199"/>
        <v/>
      </c>
    </row>
    <row r="1596" spans="1:17" x14ac:dyDescent="0.45">
      <c r="A1596" t="s">
        <v>2386</v>
      </c>
      <c r="B1596" t="s">
        <v>172</v>
      </c>
      <c r="C1596" t="s">
        <v>1446</v>
      </c>
      <c r="D1596" t="s">
        <v>74</v>
      </c>
      <c r="E1596" s="8">
        <v>151.13999999999999</v>
      </c>
      <c r="F1596" s="9">
        <v>45359.666684444448</v>
      </c>
      <c r="G1596" t="s">
        <v>174</v>
      </c>
      <c r="H1596" t="s">
        <v>87</v>
      </c>
      <c r="I1596" t="s">
        <v>77</v>
      </c>
      <c r="J1596" t="str">
        <f t="shared" si="192"/>
        <v/>
      </c>
      <c r="K1596" t="str">
        <f t="shared" si="193"/>
        <v/>
      </c>
      <c r="L1596" t="str">
        <f t="shared" si="194"/>
        <v/>
      </c>
      <c r="M1596" t="str">
        <f t="shared" si="195"/>
        <v/>
      </c>
      <c r="N1596" t="str">
        <f t="shared" si="196"/>
        <v>Invalid</v>
      </c>
      <c r="O1596" t="str">
        <f t="shared" ca="1" si="197"/>
        <v>Outdated</v>
      </c>
      <c r="P1596" t="str">
        <f t="shared" si="198"/>
        <v>Wrong Item</v>
      </c>
      <c r="Q1596" t="str">
        <f t="shared" si="199"/>
        <v/>
      </c>
    </row>
    <row r="1597" spans="1:17" x14ac:dyDescent="0.45">
      <c r="A1597" t="s">
        <v>2387</v>
      </c>
      <c r="B1597" t="s">
        <v>138</v>
      </c>
      <c r="C1597" t="s">
        <v>1338</v>
      </c>
      <c r="D1597" t="s">
        <v>85</v>
      </c>
      <c r="E1597" s="8">
        <v>0</v>
      </c>
      <c r="F1597" s="9">
        <v>45567.666684444448</v>
      </c>
      <c r="G1597" t="s">
        <v>140</v>
      </c>
      <c r="H1597" t="s">
        <v>76</v>
      </c>
      <c r="I1597" t="s">
        <v>82</v>
      </c>
      <c r="J1597" t="str">
        <f t="shared" si="192"/>
        <v/>
      </c>
      <c r="K1597" t="str">
        <f t="shared" si="193"/>
        <v/>
      </c>
      <c r="L1597" t="str">
        <f t="shared" si="194"/>
        <v>Unusual</v>
      </c>
      <c r="M1597" t="str">
        <f t="shared" si="195"/>
        <v/>
      </c>
      <c r="N1597" t="str">
        <f t="shared" si="196"/>
        <v/>
      </c>
      <c r="O1597" t="str">
        <f t="shared" ca="1" si="197"/>
        <v>Outdated</v>
      </c>
      <c r="P1597" t="str">
        <f t="shared" si="198"/>
        <v>Late Delivery</v>
      </c>
      <c r="Q1597" t="str">
        <f t="shared" si="199"/>
        <v/>
      </c>
    </row>
    <row r="1598" spans="1:17" x14ac:dyDescent="0.45">
      <c r="A1598" t="s">
        <v>2388</v>
      </c>
      <c r="B1598" t="s">
        <v>95</v>
      </c>
      <c r="C1598" t="s">
        <v>997</v>
      </c>
      <c r="D1598" t="s">
        <v>74</v>
      </c>
      <c r="E1598" s="8">
        <v>651.25</v>
      </c>
      <c r="F1598" s="9">
        <v>45702.666684444448</v>
      </c>
      <c r="G1598" t="s">
        <v>336</v>
      </c>
      <c r="H1598" t="s">
        <v>116</v>
      </c>
      <c r="I1598" t="s">
        <v>82</v>
      </c>
      <c r="J1598" t="str">
        <f t="shared" si="192"/>
        <v/>
      </c>
      <c r="K1598" t="str">
        <f t="shared" si="193"/>
        <v/>
      </c>
      <c r="L1598" t="str">
        <f t="shared" si="194"/>
        <v/>
      </c>
      <c r="M1598" t="str">
        <f t="shared" si="195"/>
        <v>Invalid</v>
      </c>
      <c r="N1598" t="str">
        <f t="shared" si="196"/>
        <v/>
      </c>
      <c r="O1598" t="str">
        <f t="shared" ca="1" si="197"/>
        <v>Outdated</v>
      </c>
      <c r="P1598" t="str">
        <f t="shared" si="198"/>
        <v>Wrong Item</v>
      </c>
      <c r="Q1598" t="str">
        <f t="shared" si="199"/>
        <v/>
      </c>
    </row>
    <row r="1599" spans="1:17" x14ac:dyDescent="0.45">
      <c r="A1599" t="s">
        <v>2389</v>
      </c>
      <c r="B1599" t="s">
        <v>109</v>
      </c>
      <c r="C1599" t="s">
        <v>1532</v>
      </c>
      <c r="D1599" t="s">
        <v>74</v>
      </c>
      <c r="E1599" s="8">
        <v>1042.3499999999999</v>
      </c>
      <c r="F1599" s="9">
        <v>45764.666684444448</v>
      </c>
      <c r="G1599" t="s">
        <v>111</v>
      </c>
      <c r="H1599" t="s">
        <v>76</v>
      </c>
      <c r="I1599" t="s">
        <v>88</v>
      </c>
      <c r="J1599" t="str">
        <f t="shared" si="192"/>
        <v/>
      </c>
      <c r="K1599" t="str">
        <f t="shared" si="193"/>
        <v/>
      </c>
      <c r="L1599" t="str">
        <f t="shared" si="194"/>
        <v/>
      </c>
      <c r="M1599" t="str">
        <f t="shared" si="195"/>
        <v/>
      </c>
      <c r="N1599" t="str">
        <f t="shared" si="196"/>
        <v/>
      </c>
      <c r="O1599" t="str">
        <f t="shared" ca="1" si="197"/>
        <v>Outdated</v>
      </c>
      <c r="P1599" t="str">
        <f t="shared" si="198"/>
        <v>Wrong Item</v>
      </c>
      <c r="Q1599" t="str">
        <f t="shared" si="199"/>
        <v/>
      </c>
    </row>
    <row r="1600" spans="1:17" x14ac:dyDescent="0.45">
      <c r="A1600" t="s">
        <v>2390</v>
      </c>
      <c r="B1600" t="s">
        <v>95</v>
      </c>
      <c r="C1600" t="s">
        <v>1323</v>
      </c>
      <c r="D1600" t="s">
        <v>85</v>
      </c>
      <c r="E1600" s="8">
        <v>631.71</v>
      </c>
      <c r="F1600" s="9">
        <v>45756.666684444448</v>
      </c>
      <c r="G1600" t="s">
        <v>97</v>
      </c>
      <c r="H1600" t="s">
        <v>128</v>
      </c>
      <c r="I1600" t="s">
        <v>119</v>
      </c>
      <c r="J1600" t="str">
        <f t="shared" si="192"/>
        <v/>
      </c>
      <c r="K1600" t="str">
        <f t="shared" si="193"/>
        <v/>
      </c>
      <c r="L1600" t="str">
        <f t="shared" si="194"/>
        <v/>
      </c>
      <c r="M1600" t="str">
        <f t="shared" si="195"/>
        <v/>
      </c>
      <c r="N1600" t="str">
        <f t="shared" si="196"/>
        <v>Invalid</v>
      </c>
      <c r="O1600" t="str">
        <f t="shared" ca="1" si="197"/>
        <v>Outdated</v>
      </c>
      <c r="P1600" t="str">
        <f t="shared" si="198"/>
        <v>Late Delivery</v>
      </c>
      <c r="Q1600" t="str">
        <f t="shared" si="199"/>
        <v/>
      </c>
    </row>
    <row r="1601" spans="1:17" x14ac:dyDescent="0.45">
      <c r="A1601" t="s">
        <v>2391</v>
      </c>
      <c r="B1601" t="s">
        <v>99</v>
      </c>
      <c r="C1601" t="s">
        <v>1736</v>
      </c>
      <c r="D1601" t="s">
        <v>106</v>
      </c>
      <c r="E1601" s="8">
        <v>0</v>
      </c>
      <c r="F1601" s="9">
        <v>45819.666684444448</v>
      </c>
      <c r="G1601" t="s">
        <v>102</v>
      </c>
      <c r="H1601" t="s">
        <v>87</v>
      </c>
      <c r="I1601" t="s">
        <v>88</v>
      </c>
      <c r="J1601" t="str">
        <f t="shared" si="192"/>
        <v/>
      </c>
      <c r="K1601" t="str">
        <f t="shared" si="193"/>
        <v/>
      </c>
      <c r="L1601" t="str">
        <f t="shared" si="194"/>
        <v>Unusual</v>
      </c>
      <c r="M1601" t="str">
        <f t="shared" si="195"/>
        <v/>
      </c>
      <c r="N1601" t="str">
        <f t="shared" si="196"/>
        <v>Invalid</v>
      </c>
      <c r="O1601" t="str">
        <f t="shared" ca="1" si="197"/>
        <v>Outdated</v>
      </c>
      <c r="P1601" t="str">
        <f t="shared" si="198"/>
        <v>Damaged</v>
      </c>
      <c r="Q1601" t="str">
        <f t="shared" si="199"/>
        <v>Inconsistent</v>
      </c>
    </row>
    <row r="1602" spans="1:17" x14ac:dyDescent="0.45">
      <c r="A1602" t="s">
        <v>2392</v>
      </c>
      <c r="B1602" t="s">
        <v>104</v>
      </c>
      <c r="C1602" t="s">
        <v>450</v>
      </c>
      <c r="D1602" t="s">
        <v>92</v>
      </c>
      <c r="E1602" s="8">
        <v>10758.86</v>
      </c>
      <c r="F1602" s="9">
        <v>45786.666684444448</v>
      </c>
      <c r="G1602" t="s">
        <v>115</v>
      </c>
      <c r="H1602" t="s">
        <v>133</v>
      </c>
      <c r="I1602" t="s">
        <v>163</v>
      </c>
      <c r="J1602" t="str">
        <f t="shared" ref="J1602:J1665" si="200">IF(OR(ISBLANK(C1602),ISBLANK(D1602)),"Missing","")</f>
        <v/>
      </c>
      <c r="K1602" t="str">
        <f t="shared" ref="K1602:K1665" si="201">IF(COUNTIF($A$2:$A$2501,A1602)&gt;1,"Duplicate","")</f>
        <v/>
      </c>
      <c r="L1602" t="str">
        <f t="shared" ref="L1602:L1665" si="202">IF(OR(E1602=0,E1602&gt;10000),"Unusual","")</f>
        <v>Unusual</v>
      </c>
      <c r="M1602" t="str">
        <f t="shared" ref="M1602:M1665" si="203">IF(OR(ISBLANK(G1602),ISERROR(FIND("@",G1602)),ISERROR(FIND(".",G1602,FIND("@",G1602)+1))),"Invalid","")</f>
        <v/>
      </c>
      <c r="N1602" t="str">
        <f t="shared" ref="N1602:N1665" si="204">IF(COUNTIF($S$2:$S$6,H1602)=0,"Invalid","")</f>
        <v>Invalid</v>
      </c>
      <c r="O1602" t="str">
        <f t="shared" ref="O1602:O1665" ca="1" si="205">IF(F1602&lt;EDATE(TODAY(),-12),"Outdated","")</f>
        <v>Outdated</v>
      </c>
      <c r="P1602" t="str">
        <f t="shared" ref="P1602:P1665" si="206">IF(ISBLANK(D1602),"",PROPER(TRIM(D1602)))</f>
        <v>Not As Described</v>
      </c>
      <c r="Q1602" t="str">
        <f t="shared" ref="Q1602:Q1665" si="207">IF(ISBLANK(D1602),"",IF(EXACT(D1602,P1602),"","Inconsistent"))</f>
        <v/>
      </c>
    </row>
    <row r="1603" spans="1:17" x14ac:dyDescent="0.45">
      <c r="A1603" t="s">
        <v>2393</v>
      </c>
      <c r="B1603" t="s">
        <v>99</v>
      </c>
      <c r="C1603" t="s">
        <v>814</v>
      </c>
      <c r="D1603" t="s">
        <v>74</v>
      </c>
      <c r="E1603" s="8">
        <v>9241.58</v>
      </c>
      <c r="F1603" s="9">
        <v>45698.666684444448</v>
      </c>
      <c r="G1603" t="s">
        <v>102</v>
      </c>
      <c r="H1603" t="s">
        <v>116</v>
      </c>
      <c r="I1603" t="s">
        <v>163</v>
      </c>
      <c r="J1603" t="str">
        <f t="shared" si="200"/>
        <v/>
      </c>
      <c r="K1603" t="str">
        <f t="shared" si="201"/>
        <v/>
      </c>
      <c r="L1603" t="str">
        <f t="shared" si="202"/>
        <v/>
      </c>
      <c r="M1603" t="str">
        <f t="shared" si="203"/>
        <v/>
      </c>
      <c r="N1603" t="str">
        <f t="shared" si="204"/>
        <v/>
      </c>
      <c r="O1603" t="str">
        <f t="shared" ca="1" si="205"/>
        <v>Outdated</v>
      </c>
      <c r="P1603" t="str">
        <f t="shared" si="206"/>
        <v>Wrong Item</v>
      </c>
      <c r="Q1603" t="str">
        <f t="shared" si="207"/>
        <v/>
      </c>
    </row>
    <row r="1604" spans="1:17" x14ac:dyDescent="0.45">
      <c r="A1604" t="s">
        <v>2394</v>
      </c>
      <c r="B1604" t="s">
        <v>172</v>
      </c>
      <c r="C1604" t="s">
        <v>388</v>
      </c>
      <c r="D1604" t="s">
        <v>74</v>
      </c>
      <c r="E1604" s="8">
        <v>10009.51</v>
      </c>
      <c r="F1604" s="9">
        <v>45154.666684444448</v>
      </c>
      <c r="G1604" t="s">
        <v>174</v>
      </c>
      <c r="H1604" t="s">
        <v>87</v>
      </c>
      <c r="I1604" t="s">
        <v>112</v>
      </c>
      <c r="J1604" t="str">
        <f t="shared" si="200"/>
        <v/>
      </c>
      <c r="K1604" t="str">
        <f t="shared" si="201"/>
        <v/>
      </c>
      <c r="L1604" t="str">
        <f t="shared" si="202"/>
        <v>Unusual</v>
      </c>
      <c r="M1604" t="str">
        <f t="shared" si="203"/>
        <v/>
      </c>
      <c r="N1604" t="str">
        <f t="shared" si="204"/>
        <v>Invalid</v>
      </c>
      <c r="O1604" t="str">
        <f t="shared" ca="1" si="205"/>
        <v>Outdated</v>
      </c>
      <c r="P1604" t="str">
        <f t="shared" si="206"/>
        <v>Wrong Item</v>
      </c>
      <c r="Q1604" t="str">
        <f t="shared" si="207"/>
        <v/>
      </c>
    </row>
    <row r="1605" spans="1:17" x14ac:dyDescent="0.45">
      <c r="A1605" t="s">
        <v>2395</v>
      </c>
      <c r="B1605" t="s">
        <v>172</v>
      </c>
      <c r="C1605" t="s">
        <v>1652</v>
      </c>
      <c r="D1605" t="s">
        <v>148</v>
      </c>
      <c r="E1605" s="8">
        <v>0</v>
      </c>
      <c r="F1605" s="9">
        <v>45751.666684444448</v>
      </c>
      <c r="G1605" t="s">
        <v>174</v>
      </c>
      <c r="H1605" t="s">
        <v>145</v>
      </c>
      <c r="I1605" t="s">
        <v>88</v>
      </c>
      <c r="J1605" t="str">
        <f t="shared" si="200"/>
        <v/>
      </c>
      <c r="K1605" t="str">
        <f t="shared" si="201"/>
        <v/>
      </c>
      <c r="L1605" t="str">
        <f t="shared" si="202"/>
        <v>Unusual</v>
      </c>
      <c r="M1605" t="str">
        <f t="shared" si="203"/>
        <v/>
      </c>
      <c r="N1605" t="str">
        <f t="shared" si="204"/>
        <v/>
      </c>
      <c r="O1605" t="str">
        <f t="shared" ca="1" si="205"/>
        <v>Outdated</v>
      </c>
      <c r="P1605" t="str">
        <f t="shared" si="206"/>
        <v>Wrong Item</v>
      </c>
      <c r="Q1605" t="str">
        <f t="shared" si="207"/>
        <v>Inconsistent</v>
      </c>
    </row>
    <row r="1606" spans="1:17" x14ac:dyDescent="0.45">
      <c r="A1606" t="s">
        <v>2396</v>
      </c>
      <c r="B1606" t="s">
        <v>99</v>
      </c>
      <c r="C1606" t="s">
        <v>480</v>
      </c>
      <c r="D1606" t="s">
        <v>101</v>
      </c>
      <c r="E1606" s="8">
        <v>7393.11</v>
      </c>
      <c r="F1606" s="9">
        <v>45801.666684444448</v>
      </c>
      <c r="G1606" t="s">
        <v>102</v>
      </c>
      <c r="H1606" t="s">
        <v>76</v>
      </c>
      <c r="I1606" t="s">
        <v>82</v>
      </c>
      <c r="J1606" t="str">
        <f t="shared" si="200"/>
        <v/>
      </c>
      <c r="K1606" t="str">
        <f t="shared" si="201"/>
        <v/>
      </c>
      <c r="L1606" t="str">
        <f t="shared" si="202"/>
        <v/>
      </c>
      <c r="M1606" t="str">
        <f t="shared" si="203"/>
        <v/>
      </c>
      <c r="N1606" t="str">
        <f t="shared" si="204"/>
        <v/>
      </c>
      <c r="O1606" t="str">
        <f t="shared" ca="1" si="205"/>
        <v>Outdated</v>
      </c>
      <c r="P1606" t="str">
        <f t="shared" si="206"/>
        <v>Damaged</v>
      </c>
      <c r="Q1606" t="str">
        <f t="shared" si="207"/>
        <v/>
      </c>
    </row>
    <row r="1607" spans="1:17" x14ac:dyDescent="0.45">
      <c r="A1607" t="s">
        <v>2397</v>
      </c>
      <c r="B1607" t="s">
        <v>72</v>
      </c>
      <c r="C1607" t="s">
        <v>1500</v>
      </c>
      <c r="D1607" t="s">
        <v>74</v>
      </c>
      <c r="E1607" s="8">
        <v>11810.32</v>
      </c>
      <c r="F1607" s="9">
        <v>45838.666684444448</v>
      </c>
      <c r="G1607" t="s">
        <v>75</v>
      </c>
      <c r="H1607" t="s">
        <v>145</v>
      </c>
      <c r="I1607" t="s">
        <v>82</v>
      </c>
      <c r="J1607" t="str">
        <f t="shared" si="200"/>
        <v/>
      </c>
      <c r="K1607" t="str">
        <f t="shared" si="201"/>
        <v/>
      </c>
      <c r="L1607" t="str">
        <f t="shared" si="202"/>
        <v>Unusual</v>
      </c>
      <c r="M1607" t="str">
        <f t="shared" si="203"/>
        <v/>
      </c>
      <c r="N1607" t="str">
        <f t="shared" si="204"/>
        <v/>
      </c>
      <c r="O1607" t="str">
        <f t="shared" ca="1" si="205"/>
        <v>Outdated</v>
      </c>
      <c r="P1607" t="str">
        <f t="shared" si="206"/>
        <v>Wrong Item</v>
      </c>
      <c r="Q1607" t="str">
        <f t="shared" si="207"/>
        <v/>
      </c>
    </row>
    <row r="1608" spans="1:17" x14ac:dyDescent="0.45">
      <c r="A1608" t="s">
        <v>2398</v>
      </c>
      <c r="B1608" t="s">
        <v>99</v>
      </c>
      <c r="C1608" t="s">
        <v>1198</v>
      </c>
      <c r="D1608" t="s">
        <v>148</v>
      </c>
      <c r="E1608" s="8">
        <v>0</v>
      </c>
      <c r="F1608" s="9">
        <v>45401.666684444448</v>
      </c>
      <c r="G1608" t="s">
        <v>102</v>
      </c>
      <c r="H1608" t="s">
        <v>107</v>
      </c>
      <c r="I1608" t="s">
        <v>77</v>
      </c>
      <c r="J1608" t="str">
        <f t="shared" si="200"/>
        <v/>
      </c>
      <c r="K1608" t="str">
        <f t="shared" si="201"/>
        <v/>
      </c>
      <c r="L1608" t="str">
        <f t="shared" si="202"/>
        <v>Unusual</v>
      </c>
      <c r="M1608" t="str">
        <f t="shared" si="203"/>
        <v/>
      </c>
      <c r="N1608" t="str">
        <f t="shared" si="204"/>
        <v/>
      </c>
      <c r="O1608" t="str">
        <f t="shared" ca="1" si="205"/>
        <v>Outdated</v>
      </c>
      <c r="P1608" t="str">
        <f t="shared" si="206"/>
        <v>Wrong Item</v>
      </c>
      <c r="Q1608" t="str">
        <f t="shared" si="207"/>
        <v>Inconsistent</v>
      </c>
    </row>
    <row r="1609" spans="1:17" x14ac:dyDescent="0.45">
      <c r="A1609" t="s">
        <v>2399</v>
      </c>
      <c r="B1609" t="s">
        <v>172</v>
      </c>
      <c r="C1609" t="s">
        <v>838</v>
      </c>
      <c r="E1609" s="8">
        <v>7483.53</v>
      </c>
      <c r="F1609" s="9">
        <v>45157.666684444448</v>
      </c>
      <c r="G1609" t="s">
        <v>174</v>
      </c>
      <c r="H1609" t="s">
        <v>87</v>
      </c>
      <c r="I1609" t="s">
        <v>119</v>
      </c>
      <c r="J1609" t="str">
        <f t="shared" si="200"/>
        <v>Missing</v>
      </c>
      <c r="K1609" t="str">
        <f t="shared" si="201"/>
        <v/>
      </c>
      <c r="L1609" t="str">
        <f t="shared" si="202"/>
        <v/>
      </c>
      <c r="M1609" t="str">
        <f t="shared" si="203"/>
        <v/>
      </c>
      <c r="N1609" t="str">
        <f t="shared" si="204"/>
        <v>Invalid</v>
      </c>
      <c r="O1609" t="str">
        <f t="shared" ca="1" si="205"/>
        <v>Outdated</v>
      </c>
      <c r="P1609" t="str">
        <f t="shared" si="206"/>
        <v/>
      </c>
      <c r="Q1609" t="str">
        <f t="shared" si="207"/>
        <v/>
      </c>
    </row>
    <row r="1610" spans="1:17" x14ac:dyDescent="0.45">
      <c r="A1610" t="s">
        <v>1255</v>
      </c>
      <c r="B1610" t="s">
        <v>172</v>
      </c>
      <c r="C1610" t="s">
        <v>2400</v>
      </c>
      <c r="D1610" t="s">
        <v>106</v>
      </c>
      <c r="E1610" s="8">
        <v>714.15</v>
      </c>
      <c r="F1610" s="9">
        <v>45312.666684444448</v>
      </c>
      <c r="G1610" t="s">
        <v>174</v>
      </c>
      <c r="H1610" t="s">
        <v>136</v>
      </c>
      <c r="I1610" t="s">
        <v>163</v>
      </c>
      <c r="J1610" t="str">
        <f t="shared" si="200"/>
        <v/>
      </c>
      <c r="K1610" t="str">
        <f t="shared" si="201"/>
        <v>Duplicate</v>
      </c>
      <c r="L1610" t="str">
        <f t="shared" si="202"/>
        <v/>
      </c>
      <c r="M1610" t="str">
        <f t="shared" si="203"/>
        <v/>
      </c>
      <c r="N1610" t="str">
        <f t="shared" si="204"/>
        <v>Invalid</v>
      </c>
      <c r="O1610" t="str">
        <f t="shared" ca="1" si="205"/>
        <v>Outdated</v>
      </c>
      <c r="P1610" t="str">
        <f t="shared" si="206"/>
        <v>Damaged</v>
      </c>
      <c r="Q1610" t="str">
        <f t="shared" si="207"/>
        <v>Inconsistent</v>
      </c>
    </row>
    <row r="1611" spans="1:17" x14ac:dyDescent="0.45">
      <c r="A1611" t="s">
        <v>2401</v>
      </c>
      <c r="B1611" t="s">
        <v>90</v>
      </c>
      <c r="C1611" t="s">
        <v>2402</v>
      </c>
      <c r="D1611" t="s">
        <v>155</v>
      </c>
      <c r="E1611" s="8">
        <v>11095.95</v>
      </c>
      <c r="F1611" s="9">
        <v>45407.666684444448</v>
      </c>
      <c r="G1611" t="s">
        <v>93</v>
      </c>
      <c r="H1611" t="s">
        <v>133</v>
      </c>
      <c r="I1611" t="s">
        <v>112</v>
      </c>
      <c r="J1611" t="str">
        <f t="shared" si="200"/>
        <v/>
      </c>
      <c r="K1611" t="str">
        <f t="shared" si="201"/>
        <v/>
      </c>
      <c r="L1611" t="str">
        <f t="shared" si="202"/>
        <v>Unusual</v>
      </c>
      <c r="M1611" t="str">
        <f t="shared" si="203"/>
        <v/>
      </c>
      <c r="N1611" t="str">
        <f t="shared" si="204"/>
        <v>Invalid</v>
      </c>
      <c r="O1611" t="str">
        <f t="shared" ca="1" si="205"/>
        <v>Outdated</v>
      </c>
      <c r="P1611" t="str">
        <f t="shared" si="206"/>
        <v>Damaged</v>
      </c>
      <c r="Q1611" t="str">
        <f t="shared" si="207"/>
        <v>Inconsistent</v>
      </c>
    </row>
    <row r="1612" spans="1:17" x14ac:dyDescent="0.45">
      <c r="A1612" t="s">
        <v>2403</v>
      </c>
      <c r="B1612" t="s">
        <v>79</v>
      </c>
      <c r="C1612" t="s">
        <v>547</v>
      </c>
      <c r="D1612" t="s">
        <v>148</v>
      </c>
      <c r="E1612" s="8">
        <v>7939.84</v>
      </c>
      <c r="F1612" s="9">
        <v>45847.666684444448</v>
      </c>
      <c r="G1612" t="s">
        <v>86</v>
      </c>
      <c r="H1612" t="s">
        <v>76</v>
      </c>
      <c r="I1612" t="s">
        <v>119</v>
      </c>
      <c r="J1612" t="str">
        <f t="shared" si="200"/>
        <v/>
      </c>
      <c r="K1612" t="str">
        <f t="shared" si="201"/>
        <v/>
      </c>
      <c r="L1612" t="str">
        <f t="shared" si="202"/>
        <v/>
      </c>
      <c r="M1612" t="str">
        <f t="shared" si="203"/>
        <v/>
      </c>
      <c r="N1612" t="str">
        <f t="shared" si="204"/>
        <v/>
      </c>
      <c r="O1612" t="str">
        <f t="shared" ca="1" si="205"/>
        <v/>
      </c>
      <c r="P1612" t="str">
        <f t="shared" si="206"/>
        <v>Wrong Item</v>
      </c>
      <c r="Q1612" t="str">
        <f t="shared" si="207"/>
        <v>Inconsistent</v>
      </c>
    </row>
    <row r="1613" spans="1:17" x14ac:dyDescent="0.45">
      <c r="A1613" t="s">
        <v>1384</v>
      </c>
      <c r="B1613" t="s">
        <v>138</v>
      </c>
      <c r="C1613" t="s">
        <v>1848</v>
      </c>
      <c r="D1613" t="s">
        <v>74</v>
      </c>
      <c r="E1613" s="8">
        <v>3156.84</v>
      </c>
      <c r="F1613" s="9">
        <v>45444.666684444448</v>
      </c>
      <c r="G1613" t="s">
        <v>140</v>
      </c>
      <c r="I1613" t="s">
        <v>88</v>
      </c>
      <c r="J1613" t="str">
        <f t="shared" si="200"/>
        <v/>
      </c>
      <c r="K1613" t="str">
        <f t="shared" si="201"/>
        <v>Duplicate</v>
      </c>
      <c r="L1613" t="str">
        <f t="shared" si="202"/>
        <v/>
      </c>
      <c r="M1613" t="str">
        <f t="shared" si="203"/>
        <v/>
      </c>
      <c r="N1613" t="str">
        <f t="shared" si="204"/>
        <v>Invalid</v>
      </c>
      <c r="O1613" t="str">
        <f t="shared" ca="1" si="205"/>
        <v>Outdated</v>
      </c>
      <c r="P1613" t="str">
        <f t="shared" si="206"/>
        <v>Wrong Item</v>
      </c>
      <c r="Q1613" t="str">
        <f t="shared" si="207"/>
        <v/>
      </c>
    </row>
    <row r="1614" spans="1:17" x14ac:dyDescent="0.45">
      <c r="A1614" t="s">
        <v>2404</v>
      </c>
      <c r="B1614" t="s">
        <v>95</v>
      </c>
      <c r="C1614" t="s">
        <v>135</v>
      </c>
      <c r="D1614" t="s">
        <v>74</v>
      </c>
      <c r="E1614" s="8">
        <v>8357.25</v>
      </c>
      <c r="F1614" s="9">
        <v>45475.666684444448</v>
      </c>
      <c r="G1614" t="s">
        <v>97</v>
      </c>
      <c r="I1614" t="s">
        <v>82</v>
      </c>
      <c r="J1614" t="str">
        <f t="shared" si="200"/>
        <v/>
      </c>
      <c r="K1614" t="str">
        <f t="shared" si="201"/>
        <v/>
      </c>
      <c r="L1614" t="str">
        <f t="shared" si="202"/>
        <v/>
      </c>
      <c r="M1614" t="str">
        <f t="shared" si="203"/>
        <v/>
      </c>
      <c r="N1614" t="str">
        <f t="shared" si="204"/>
        <v>Invalid</v>
      </c>
      <c r="O1614" t="str">
        <f t="shared" ca="1" si="205"/>
        <v>Outdated</v>
      </c>
      <c r="P1614" t="str">
        <f t="shared" si="206"/>
        <v>Wrong Item</v>
      </c>
      <c r="Q1614" t="str">
        <f t="shared" si="207"/>
        <v/>
      </c>
    </row>
    <row r="1615" spans="1:17" x14ac:dyDescent="0.45">
      <c r="A1615" t="s">
        <v>2405</v>
      </c>
      <c r="B1615" t="s">
        <v>99</v>
      </c>
      <c r="C1615" t="s">
        <v>1832</v>
      </c>
      <c r="D1615" t="s">
        <v>85</v>
      </c>
      <c r="E1615" s="8">
        <v>1784.07</v>
      </c>
      <c r="F1615" s="9">
        <v>45487.666684444448</v>
      </c>
      <c r="G1615" t="s">
        <v>102</v>
      </c>
      <c r="H1615" t="s">
        <v>107</v>
      </c>
      <c r="I1615" t="s">
        <v>88</v>
      </c>
      <c r="J1615" t="str">
        <f t="shared" si="200"/>
        <v/>
      </c>
      <c r="K1615" t="str">
        <f t="shared" si="201"/>
        <v/>
      </c>
      <c r="L1615" t="str">
        <f t="shared" si="202"/>
        <v/>
      </c>
      <c r="M1615" t="str">
        <f t="shared" si="203"/>
        <v/>
      </c>
      <c r="N1615" t="str">
        <f t="shared" si="204"/>
        <v/>
      </c>
      <c r="O1615" t="str">
        <f t="shared" ca="1" si="205"/>
        <v>Outdated</v>
      </c>
      <c r="P1615" t="str">
        <f t="shared" si="206"/>
        <v>Late Delivery</v>
      </c>
      <c r="Q1615" t="str">
        <f t="shared" si="207"/>
        <v/>
      </c>
    </row>
    <row r="1616" spans="1:17" x14ac:dyDescent="0.45">
      <c r="A1616" t="s">
        <v>2406</v>
      </c>
      <c r="B1616" t="s">
        <v>90</v>
      </c>
      <c r="C1616" t="s">
        <v>1420</v>
      </c>
      <c r="D1616" t="s">
        <v>85</v>
      </c>
      <c r="E1616" s="8">
        <v>4629.75</v>
      </c>
      <c r="F1616" s="9">
        <v>45134.666684444448</v>
      </c>
      <c r="G1616" t="s">
        <v>93</v>
      </c>
      <c r="I1616" t="s">
        <v>163</v>
      </c>
      <c r="J1616" t="str">
        <f t="shared" si="200"/>
        <v/>
      </c>
      <c r="K1616" t="str">
        <f t="shared" si="201"/>
        <v/>
      </c>
      <c r="L1616" t="str">
        <f t="shared" si="202"/>
        <v/>
      </c>
      <c r="M1616" t="str">
        <f t="shared" si="203"/>
        <v/>
      </c>
      <c r="N1616" t="str">
        <f t="shared" si="204"/>
        <v>Invalid</v>
      </c>
      <c r="O1616" t="str">
        <f t="shared" ca="1" si="205"/>
        <v>Outdated</v>
      </c>
      <c r="P1616" t="str">
        <f t="shared" si="206"/>
        <v>Late Delivery</v>
      </c>
      <c r="Q1616" t="str">
        <f t="shared" si="207"/>
        <v/>
      </c>
    </row>
    <row r="1617" spans="1:17" x14ac:dyDescent="0.45">
      <c r="A1617" t="s">
        <v>2407</v>
      </c>
      <c r="B1617" t="s">
        <v>72</v>
      </c>
      <c r="C1617" t="s">
        <v>930</v>
      </c>
      <c r="D1617" t="s">
        <v>85</v>
      </c>
      <c r="E1617" s="8">
        <v>834.11</v>
      </c>
      <c r="F1617" s="9">
        <v>45313.666684444448</v>
      </c>
      <c r="G1617" t="s">
        <v>75</v>
      </c>
      <c r="H1617" t="s">
        <v>145</v>
      </c>
      <c r="I1617" t="s">
        <v>82</v>
      </c>
      <c r="J1617" t="str">
        <f t="shared" si="200"/>
        <v/>
      </c>
      <c r="K1617" t="str">
        <f t="shared" si="201"/>
        <v/>
      </c>
      <c r="L1617" t="str">
        <f t="shared" si="202"/>
        <v/>
      </c>
      <c r="M1617" t="str">
        <f t="shared" si="203"/>
        <v/>
      </c>
      <c r="N1617" t="str">
        <f t="shared" si="204"/>
        <v/>
      </c>
      <c r="O1617" t="str">
        <f t="shared" ca="1" si="205"/>
        <v>Outdated</v>
      </c>
      <c r="P1617" t="str">
        <f t="shared" si="206"/>
        <v>Late Delivery</v>
      </c>
      <c r="Q1617" t="str">
        <f t="shared" si="207"/>
        <v/>
      </c>
    </row>
    <row r="1618" spans="1:17" x14ac:dyDescent="0.45">
      <c r="A1618" t="s">
        <v>2408</v>
      </c>
      <c r="B1618" t="s">
        <v>172</v>
      </c>
      <c r="C1618" t="s">
        <v>1057</v>
      </c>
      <c r="D1618" t="s">
        <v>101</v>
      </c>
      <c r="E1618" s="8">
        <v>171.32</v>
      </c>
      <c r="F1618" s="9">
        <v>45274.666684444448</v>
      </c>
      <c r="G1618" t="s">
        <v>174</v>
      </c>
      <c r="H1618" t="s">
        <v>128</v>
      </c>
      <c r="I1618" t="s">
        <v>88</v>
      </c>
      <c r="J1618" t="str">
        <f t="shared" si="200"/>
        <v/>
      </c>
      <c r="K1618" t="str">
        <f t="shared" si="201"/>
        <v/>
      </c>
      <c r="L1618" t="str">
        <f t="shared" si="202"/>
        <v/>
      </c>
      <c r="M1618" t="str">
        <f t="shared" si="203"/>
        <v/>
      </c>
      <c r="N1618" t="str">
        <f t="shared" si="204"/>
        <v>Invalid</v>
      </c>
      <c r="O1618" t="str">
        <f t="shared" ca="1" si="205"/>
        <v>Outdated</v>
      </c>
      <c r="P1618" t="str">
        <f t="shared" si="206"/>
        <v>Damaged</v>
      </c>
      <c r="Q1618" t="str">
        <f t="shared" si="207"/>
        <v/>
      </c>
    </row>
    <row r="1619" spans="1:17" x14ac:dyDescent="0.45">
      <c r="A1619" t="s">
        <v>2409</v>
      </c>
      <c r="B1619" t="s">
        <v>99</v>
      </c>
      <c r="C1619" t="s">
        <v>1536</v>
      </c>
      <c r="D1619" t="s">
        <v>101</v>
      </c>
      <c r="E1619" s="8">
        <v>6751.59</v>
      </c>
      <c r="F1619" s="9">
        <v>45707.666684444448</v>
      </c>
      <c r="G1619" t="s">
        <v>102</v>
      </c>
      <c r="H1619" t="s">
        <v>136</v>
      </c>
      <c r="I1619" t="s">
        <v>77</v>
      </c>
      <c r="J1619" t="str">
        <f t="shared" si="200"/>
        <v/>
      </c>
      <c r="K1619" t="str">
        <f t="shared" si="201"/>
        <v/>
      </c>
      <c r="L1619" t="str">
        <f t="shared" si="202"/>
        <v/>
      </c>
      <c r="M1619" t="str">
        <f t="shared" si="203"/>
        <v/>
      </c>
      <c r="N1619" t="str">
        <f t="shared" si="204"/>
        <v>Invalid</v>
      </c>
      <c r="O1619" t="str">
        <f t="shared" ca="1" si="205"/>
        <v>Outdated</v>
      </c>
      <c r="P1619" t="str">
        <f t="shared" si="206"/>
        <v>Damaged</v>
      </c>
      <c r="Q1619" t="str">
        <f t="shared" si="207"/>
        <v/>
      </c>
    </row>
    <row r="1620" spans="1:17" x14ac:dyDescent="0.45">
      <c r="A1620" t="s">
        <v>2410</v>
      </c>
      <c r="B1620" t="s">
        <v>172</v>
      </c>
      <c r="C1620" t="s">
        <v>1114</v>
      </c>
      <c r="D1620" t="s">
        <v>85</v>
      </c>
      <c r="E1620" s="8">
        <v>1810.99</v>
      </c>
      <c r="F1620" s="9">
        <v>45801.666684444448</v>
      </c>
      <c r="G1620" t="s">
        <v>174</v>
      </c>
      <c r="H1620" t="s">
        <v>133</v>
      </c>
      <c r="I1620" t="s">
        <v>88</v>
      </c>
      <c r="J1620" t="str">
        <f t="shared" si="200"/>
        <v/>
      </c>
      <c r="K1620" t="str">
        <f t="shared" si="201"/>
        <v/>
      </c>
      <c r="L1620" t="str">
        <f t="shared" si="202"/>
        <v/>
      </c>
      <c r="M1620" t="str">
        <f t="shared" si="203"/>
        <v/>
      </c>
      <c r="N1620" t="str">
        <f t="shared" si="204"/>
        <v>Invalid</v>
      </c>
      <c r="O1620" t="str">
        <f t="shared" ca="1" si="205"/>
        <v>Outdated</v>
      </c>
      <c r="P1620" t="str">
        <f t="shared" si="206"/>
        <v>Late Delivery</v>
      </c>
      <c r="Q1620" t="str">
        <f t="shared" si="207"/>
        <v/>
      </c>
    </row>
    <row r="1621" spans="1:17" x14ac:dyDescent="0.45">
      <c r="A1621" t="s">
        <v>2411</v>
      </c>
      <c r="B1621" t="s">
        <v>104</v>
      </c>
      <c r="C1621" t="s">
        <v>427</v>
      </c>
      <c r="D1621" t="s">
        <v>74</v>
      </c>
      <c r="E1621" s="8">
        <v>10650.75</v>
      </c>
      <c r="F1621" s="9">
        <v>45538.666684444448</v>
      </c>
      <c r="G1621" t="s">
        <v>115</v>
      </c>
      <c r="H1621" t="s">
        <v>107</v>
      </c>
      <c r="I1621" t="s">
        <v>82</v>
      </c>
      <c r="J1621" t="str">
        <f t="shared" si="200"/>
        <v/>
      </c>
      <c r="K1621" t="str">
        <f t="shared" si="201"/>
        <v/>
      </c>
      <c r="L1621" t="str">
        <f t="shared" si="202"/>
        <v>Unusual</v>
      </c>
      <c r="M1621" t="str">
        <f t="shared" si="203"/>
        <v/>
      </c>
      <c r="N1621" t="str">
        <f t="shared" si="204"/>
        <v/>
      </c>
      <c r="O1621" t="str">
        <f t="shared" ca="1" si="205"/>
        <v>Outdated</v>
      </c>
      <c r="P1621" t="str">
        <f t="shared" si="206"/>
        <v>Wrong Item</v>
      </c>
      <c r="Q1621" t="str">
        <f t="shared" si="207"/>
        <v/>
      </c>
    </row>
    <row r="1622" spans="1:17" x14ac:dyDescent="0.45">
      <c r="A1622" t="s">
        <v>2412</v>
      </c>
      <c r="B1622" t="s">
        <v>90</v>
      </c>
      <c r="C1622" t="s">
        <v>2413</v>
      </c>
      <c r="D1622" t="s">
        <v>101</v>
      </c>
      <c r="E1622" s="8">
        <v>5255.57</v>
      </c>
      <c r="F1622" s="9">
        <v>45199.666684444448</v>
      </c>
      <c r="G1622" t="s">
        <v>93</v>
      </c>
      <c r="H1622" t="s">
        <v>145</v>
      </c>
      <c r="I1622" t="s">
        <v>163</v>
      </c>
      <c r="J1622" t="str">
        <f t="shared" si="200"/>
        <v/>
      </c>
      <c r="K1622" t="str">
        <f t="shared" si="201"/>
        <v/>
      </c>
      <c r="L1622" t="str">
        <f t="shared" si="202"/>
        <v/>
      </c>
      <c r="M1622" t="str">
        <f t="shared" si="203"/>
        <v/>
      </c>
      <c r="N1622" t="str">
        <f t="shared" si="204"/>
        <v/>
      </c>
      <c r="O1622" t="str">
        <f t="shared" ca="1" si="205"/>
        <v>Outdated</v>
      </c>
      <c r="P1622" t="str">
        <f t="shared" si="206"/>
        <v>Damaged</v>
      </c>
      <c r="Q1622" t="str">
        <f t="shared" si="207"/>
        <v/>
      </c>
    </row>
    <row r="1623" spans="1:17" x14ac:dyDescent="0.45">
      <c r="A1623" t="s">
        <v>2414</v>
      </c>
      <c r="B1623" t="s">
        <v>99</v>
      </c>
      <c r="C1623" t="s">
        <v>1061</v>
      </c>
      <c r="D1623" t="s">
        <v>85</v>
      </c>
      <c r="E1623" s="8">
        <v>870.56</v>
      </c>
      <c r="F1623" s="9">
        <v>45273.666684444448</v>
      </c>
      <c r="G1623" t="s">
        <v>102</v>
      </c>
      <c r="H1623" t="s">
        <v>81</v>
      </c>
      <c r="I1623" t="s">
        <v>119</v>
      </c>
      <c r="J1623" t="str">
        <f t="shared" si="200"/>
        <v/>
      </c>
      <c r="K1623" t="str">
        <f t="shared" si="201"/>
        <v/>
      </c>
      <c r="L1623" t="str">
        <f t="shared" si="202"/>
        <v/>
      </c>
      <c r="M1623" t="str">
        <f t="shared" si="203"/>
        <v/>
      </c>
      <c r="N1623" t="str">
        <f t="shared" si="204"/>
        <v/>
      </c>
      <c r="O1623" t="str">
        <f t="shared" ca="1" si="205"/>
        <v>Outdated</v>
      </c>
      <c r="P1623" t="str">
        <f t="shared" si="206"/>
        <v>Late Delivery</v>
      </c>
      <c r="Q1623" t="str">
        <f t="shared" si="207"/>
        <v/>
      </c>
    </row>
    <row r="1624" spans="1:17" x14ac:dyDescent="0.45">
      <c r="A1624" t="s">
        <v>2415</v>
      </c>
      <c r="B1624" t="s">
        <v>104</v>
      </c>
      <c r="C1624" t="s">
        <v>187</v>
      </c>
      <c r="D1624" t="s">
        <v>92</v>
      </c>
      <c r="E1624" s="8">
        <v>9902.32</v>
      </c>
      <c r="F1624" s="9">
        <v>45776.666684444448</v>
      </c>
      <c r="G1624" t="s">
        <v>115</v>
      </c>
      <c r="H1624" t="s">
        <v>76</v>
      </c>
      <c r="I1624" t="s">
        <v>119</v>
      </c>
      <c r="J1624" t="str">
        <f t="shared" si="200"/>
        <v/>
      </c>
      <c r="K1624" t="str">
        <f t="shared" si="201"/>
        <v/>
      </c>
      <c r="L1624" t="str">
        <f t="shared" si="202"/>
        <v/>
      </c>
      <c r="M1624" t="str">
        <f t="shared" si="203"/>
        <v/>
      </c>
      <c r="N1624" t="str">
        <f t="shared" si="204"/>
        <v/>
      </c>
      <c r="O1624" t="str">
        <f t="shared" ca="1" si="205"/>
        <v>Outdated</v>
      </c>
      <c r="P1624" t="str">
        <f t="shared" si="206"/>
        <v>Not As Described</v>
      </c>
      <c r="Q1624" t="str">
        <f t="shared" si="207"/>
        <v/>
      </c>
    </row>
    <row r="1625" spans="1:17" x14ac:dyDescent="0.45">
      <c r="A1625" t="s">
        <v>2416</v>
      </c>
      <c r="B1625" t="s">
        <v>90</v>
      </c>
      <c r="C1625" t="s">
        <v>123</v>
      </c>
      <c r="D1625" t="s">
        <v>74</v>
      </c>
      <c r="E1625" s="8">
        <v>11882.11</v>
      </c>
      <c r="F1625" s="9">
        <v>45159.666684444448</v>
      </c>
      <c r="G1625" t="s">
        <v>93</v>
      </c>
      <c r="H1625" t="s">
        <v>133</v>
      </c>
      <c r="I1625" t="s">
        <v>112</v>
      </c>
      <c r="J1625" t="str">
        <f t="shared" si="200"/>
        <v/>
      </c>
      <c r="K1625" t="str">
        <f t="shared" si="201"/>
        <v>Duplicate</v>
      </c>
      <c r="L1625" t="str">
        <f t="shared" si="202"/>
        <v>Unusual</v>
      </c>
      <c r="M1625" t="str">
        <f t="shared" si="203"/>
        <v/>
      </c>
      <c r="N1625" t="str">
        <f t="shared" si="204"/>
        <v>Invalid</v>
      </c>
      <c r="O1625" t="str">
        <f t="shared" ca="1" si="205"/>
        <v>Outdated</v>
      </c>
      <c r="P1625" t="str">
        <f t="shared" si="206"/>
        <v>Wrong Item</v>
      </c>
      <c r="Q1625" t="str">
        <f t="shared" si="207"/>
        <v/>
      </c>
    </row>
    <row r="1626" spans="1:17" x14ac:dyDescent="0.45">
      <c r="A1626" t="s">
        <v>242</v>
      </c>
      <c r="B1626" t="s">
        <v>99</v>
      </c>
      <c r="C1626" t="s">
        <v>1013</v>
      </c>
      <c r="D1626" t="s">
        <v>85</v>
      </c>
      <c r="E1626" s="8">
        <v>0</v>
      </c>
      <c r="F1626" s="9">
        <v>45221.666684444448</v>
      </c>
      <c r="G1626" t="s">
        <v>102</v>
      </c>
      <c r="H1626" t="s">
        <v>116</v>
      </c>
      <c r="I1626" t="s">
        <v>82</v>
      </c>
      <c r="J1626" t="str">
        <f t="shared" si="200"/>
        <v/>
      </c>
      <c r="K1626" t="str">
        <f t="shared" si="201"/>
        <v>Duplicate</v>
      </c>
      <c r="L1626" t="str">
        <f t="shared" si="202"/>
        <v>Unusual</v>
      </c>
      <c r="M1626" t="str">
        <f t="shared" si="203"/>
        <v/>
      </c>
      <c r="N1626" t="str">
        <f t="shared" si="204"/>
        <v/>
      </c>
      <c r="O1626" t="str">
        <f t="shared" ca="1" si="205"/>
        <v>Outdated</v>
      </c>
      <c r="P1626" t="str">
        <f t="shared" si="206"/>
        <v>Late Delivery</v>
      </c>
      <c r="Q1626" t="str">
        <f t="shared" si="207"/>
        <v/>
      </c>
    </row>
    <row r="1627" spans="1:17" x14ac:dyDescent="0.45">
      <c r="A1627" t="s">
        <v>2417</v>
      </c>
      <c r="B1627" t="s">
        <v>99</v>
      </c>
      <c r="C1627" t="s">
        <v>2418</v>
      </c>
      <c r="D1627" t="s">
        <v>92</v>
      </c>
      <c r="E1627" s="8">
        <v>5378.74</v>
      </c>
      <c r="F1627" s="9">
        <v>45671.666684444448</v>
      </c>
      <c r="G1627" t="s">
        <v>102</v>
      </c>
      <c r="H1627" t="s">
        <v>87</v>
      </c>
      <c r="I1627" t="s">
        <v>163</v>
      </c>
      <c r="J1627" t="str">
        <f t="shared" si="200"/>
        <v/>
      </c>
      <c r="K1627" t="str">
        <f t="shared" si="201"/>
        <v/>
      </c>
      <c r="L1627" t="str">
        <f t="shared" si="202"/>
        <v/>
      </c>
      <c r="M1627" t="str">
        <f t="shared" si="203"/>
        <v/>
      </c>
      <c r="N1627" t="str">
        <f t="shared" si="204"/>
        <v>Invalid</v>
      </c>
      <c r="O1627" t="str">
        <f t="shared" ca="1" si="205"/>
        <v>Outdated</v>
      </c>
      <c r="P1627" t="str">
        <f t="shared" si="206"/>
        <v>Not As Described</v>
      </c>
      <c r="Q1627" t="str">
        <f t="shared" si="207"/>
        <v/>
      </c>
    </row>
    <row r="1628" spans="1:17" x14ac:dyDescent="0.45">
      <c r="A1628" t="s">
        <v>2419</v>
      </c>
      <c r="B1628" t="s">
        <v>109</v>
      </c>
      <c r="C1628" t="s">
        <v>397</v>
      </c>
      <c r="D1628" t="s">
        <v>101</v>
      </c>
      <c r="E1628" s="8">
        <v>5491.75</v>
      </c>
      <c r="F1628" s="9">
        <v>45348.666684444448</v>
      </c>
      <c r="G1628" t="s">
        <v>111</v>
      </c>
      <c r="I1628" t="s">
        <v>112</v>
      </c>
      <c r="J1628" t="str">
        <f t="shared" si="200"/>
        <v/>
      </c>
      <c r="K1628" t="str">
        <f t="shared" si="201"/>
        <v/>
      </c>
      <c r="L1628" t="str">
        <f t="shared" si="202"/>
        <v/>
      </c>
      <c r="M1628" t="str">
        <f t="shared" si="203"/>
        <v/>
      </c>
      <c r="N1628" t="str">
        <f t="shared" si="204"/>
        <v>Invalid</v>
      </c>
      <c r="O1628" t="str">
        <f t="shared" ca="1" si="205"/>
        <v>Outdated</v>
      </c>
      <c r="P1628" t="str">
        <f t="shared" si="206"/>
        <v>Damaged</v>
      </c>
      <c r="Q1628" t="str">
        <f t="shared" si="207"/>
        <v/>
      </c>
    </row>
    <row r="1629" spans="1:17" x14ac:dyDescent="0.45">
      <c r="A1629" t="s">
        <v>2420</v>
      </c>
      <c r="B1629" t="s">
        <v>90</v>
      </c>
      <c r="C1629" t="s">
        <v>1076</v>
      </c>
      <c r="D1629" t="s">
        <v>74</v>
      </c>
      <c r="E1629" s="8">
        <v>8586.75</v>
      </c>
      <c r="F1629" s="9">
        <v>45513.666684444448</v>
      </c>
      <c r="G1629" t="s">
        <v>93</v>
      </c>
      <c r="H1629" t="s">
        <v>145</v>
      </c>
      <c r="I1629" t="s">
        <v>82</v>
      </c>
      <c r="J1629" t="str">
        <f t="shared" si="200"/>
        <v/>
      </c>
      <c r="K1629" t="str">
        <f t="shared" si="201"/>
        <v/>
      </c>
      <c r="L1629" t="str">
        <f t="shared" si="202"/>
        <v/>
      </c>
      <c r="M1629" t="str">
        <f t="shared" si="203"/>
        <v/>
      </c>
      <c r="N1629" t="str">
        <f t="shared" si="204"/>
        <v/>
      </c>
      <c r="O1629" t="str">
        <f t="shared" ca="1" si="205"/>
        <v>Outdated</v>
      </c>
      <c r="P1629" t="str">
        <f t="shared" si="206"/>
        <v>Wrong Item</v>
      </c>
      <c r="Q1629" t="str">
        <f t="shared" si="207"/>
        <v/>
      </c>
    </row>
    <row r="1630" spans="1:17" x14ac:dyDescent="0.45">
      <c r="A1630" t="s">
        <v>2421</v>
      </c>
      <c r="B1630" t="s">
        <v>90</v>
      </c>
      <c r="C1630" t="s">
        <v>223</v>
      </c>
      <c r="D1630" t="s">
        <v>101</v>
      </c>
      <c r="E1630" s="8">
        <v>3388.77</v>
      </c>
      <c r="F1630" s="9">
        <v>45557.666684444448</v>
      </c>
      <c r="H1630" t="s">
        <v>128</v>
      </c>
      <c r="I1630" t="s">
        <v>112</v>
      </c>
      <c r="J1630" t="str">
        <f t="shared" si="200"/>
        <v/>
      </c>
      <c r="K1630" t="str">
        <f t="shared" si="201"/>
        <v/>
      </c>
      <c r="L1630" t="str">
        <f t="shared" si="202"/>
        <v/>
      </c>
      <c r="M1630" t="str">
        <f t="shared" si="203"/>
        <v>Invalid</v>
      </c>
      <c r="N1630" t="str">
        <f t="shared" si="204"/>
        <v>Invalid</v>
      </c>
      <c r="O1630" t="str">
        <f t="shared" ca="1" si="205"/>
        <v>Outdated</v>
      </c>
      <c r="P1630" t="str">
        <f t="shared" si="206"/>
        <v>Damaged</v>
      </c>
      <c r="Q1630" t="str">
        <f t="shared" si="207"/>
        <v/>
      </c>
    </row>
    <row r="1631" spans="1:17" x14ac:dyDescent="0.45">
      <c r="A1631" t="s">
        <v>2422</v>
      </c>
      <c r="B1631" t="s">
        <v>172</v>
      </c>
      <c r="C1631" t="s">
        <v>2423</v>
      </c>
      <c r="D1631" t="s">
        <v>101</v>
      </c>
      <c r="E1631" s="8">
        <v>3802.14</v>
      </c>
      <c r="F1631" s="9">
        <v>45592.666684444448</v>
      </c>
      <c r="G1631" t="s">
        <v>236</v>
      </c>
      <c r="H1631" t="s">
        <v>118</v>
      </c>
      <c r="I1631" t="s">
        <v>119</v>
      </c>
      <c r="J1631" t="str">
        <f t="shared" si="200"/>
        <v/>
      </c>
      <c r="K1631" t="str">
        <f t="shared" si="201"/>
        <v>Duplicate</v>
      </c>
      <c r="L1631" t="str">
        <f t="shared" si="202"/>
        <v/>
      </c>
      <c r="M1631" t="str">
        <f t="shared" si="203"/>
        <v>Invalid</v>
      </c>
      <c r="N1631" t="str">
        <f t="shared" si="204"/>
        <v>Invalid</v>
      </c>
      <c r="O1631" t="str">
        <f t="shared" ca="1" si="205"/>
        <v>Outdated</v>
      </c>
      <c r="P1631" t="str">
        <f t="shared" si="206"/>
        <v>Damaged</v>
      </c>
      <c r="Q1631" t="str">
        <f t="shared" si="207"/>
        <v/>
      </c>
    </row>
    <row r="1632" spans="1:17" x14ac:dyDescent="0.45">
      <c r="A1632" t="s">
        <v>2424</v>
      </c>
      <c r="B1632" t="s">
        <v>99</v>
      </c>
      <c r="C1632" t="s">
        <v>1420</v>
      </c>
      <c r="D1632" t="s">
        <v>155</v>
      </c>
      <c r="E1632" s="8">
        <v>1452</v>
      </c>
      <c r="F1632" s="9">
        <v>45477.666684444448</v>
      </c>
      <c r="G1632" t="s">
        <v>102</v>
      </c>
      <c r="I1632" t="s">
        <v>112</v>
      </c>
      <c r="J1632" t="str">
        <f t="shared" si="200"/>
        <v/>
      </c>
      <c r="K1632" t="str">
        <f t="shared" si="201"/>
        <v/>
      </c>
      <c r="L1632" t="str">
        <f t="shared" si="202"/>
        <v/>
      </c>
      <c r="M1632" t="str">
        <f t="shared" si="203"/>
        <v/>
      </c>
      <c r="N1632" t="str">
        <f t="shared" si="204"/>
        <v>Invalid</v>
      </c>
      <c r="O1632" t="str">
        <f t="shared" ca="1" si="205"/>
        <v>Outdated</v>
      </c>
      <c r="P1632" t="str">
        <f t="shared" si="206"/>
        <v>Damaged</v>
      </c>
      <c r="Q1632" t="str">
        <f t="shared" si="207"/>
        <v>Inconsistent</v>
      </c>
    </row>
    <row r="1633" spans="1:17" x14ac:dyDescent="0.45">
      <c r="A1633" t="s">
        <v>2425</v>
      </c>
      <c r="B1633" t="s">
        <v>138</v>
      </c>
      <c r="C1633" t="s">
        <v>1100</v>
      </c>
      <c r="D1633" t="s">
        <v>74</v>
      </c>
      <c r="E1633" s="8">
        <v>3789.55</v>
      </c>
      <c r="F1633" s="9">
        <v>45289.666684444448</v>
      </c>
      <c r="G1633" t="s">
        <v>140</v>
      </c>
      <c r="H1633" t="s">
        <v>133</v>
      </c>
      <c r="I1633" t="s">
        <v>77</v>
      </c>
      <c r="J1633" t="str">
        <f t="shared" si="200"/>
        <v/>
      </c>
      <c r="K1633" t="str">
        <f t="shared" si="201"/>
        <v/>
      </c>
      <c r="L1633" t="str">
        <f t="shared" si="202"/>
        <v/>
      </c>
      <c r="M1633" t="str">
        <f t="shared" si="203"/>
        <v/>
      </c>
      <c r="N1633" t="str">
        <f t="shared" si="204"/>
        <v>Invalid</v>
      </c>
      <c r="O1633" t="str">
        <f t="shared" ca="1" si="205"/>
        <v>Outdated</v>
      </c>
      <c r="P1633" t="str">
        <f t="shared" si="206"/>
        <v>Wrong Item</v>
      </c>
      <c r="Q1633" t="str">
        <f t="shared" si="207"/>
        <v/>
      </c>
    </row>
    <row r="1634" spans="1:17" x14ac:dyDescent="0.45">
      <c r="A1634" t="s">
        <v>2426</v>
      </c>
      <c r="B1634" t="s">
        <v>138</v>
      </c>
      <c r="C1634" t="s">
        <v>2427</v>
      </c>
      <c r="D1634" t="s">
        <v>92</v>
      </c>
      <c r="E1634" s="8">
        <v>7746.14</v>
      </c>
      <c r="F1634" s="9">
        <v>45506.666684444448</v>
      </c>
      <c r="G1634" t="s">
        <v>194</v>
      </c>
      <c r="H1634" t="s">
        <v>133</v>
      </c>
      <c r="I1634" t="s">
        <v>82</v>
      </c>
      <c r="J1634" t="str">
        <f t="shared" si="200"/>
        <v/>
      </c>
      <c r="K1634" t="str">
        <f t="shared" si="201"/>
        <v/>
      </c>
      <c r="L1634" t="str">
        <f t="shared" si="202"/>
        <v/>
      </c>
      <c r="M1634" t="str">
        <f t="shared" si="203"/>
        <v>Invalid</v>
      </c>
      <c r="N1634" t="str">
        <f t="shared" si="204"/>
        <v>Invalid</v>
      </c>
      <c r="O1634" t="str">
        <f t="shared" ca="1" si="205"/>
        <v>Outdated</v>
      </c>
      <c r="P1634" t="str">
        <f t="shared" si="206"/>
        <v>Not As Described</v>
      </c>
      <c r="Q1634" t="str">
        <f t="shared" si="207"/>
        <v/>
      </c>
    </row>
    <row r="1635" spans="1:17" x14ac:dyDescent="0.45">
      <c r="A1635" t="s">
        <v>2428</v>
      </c>
      <c r="B1635" t="s">
        <v>138</v>
      </c>
      <c r="C1635" t="s">
        <v>1931</v>
      </c>
      <c r="D1635" t="s">
        <v>74</v>
      </c>
      <c r="E1635" s="8">
        <v>934.07</v>
      </c>
      <c r="F1635" s="9">
        <v>45447.666684444448</v>
      </c>
      <c r="G1635" t="s">
        <v>140</v>
      </c>
      <c r="H1635" t="s">
        <v>133</v>
      </c>
      <c r="I1635" t="s">
        <v>82</v>
      </c>
      <c r="J1635" t="str">
        <f t="shared" si="200"/>
        <v/>
      </c>
      <c r="K1635" t="str">
        <f t="shared" si="201"/>
        <v/>
      </c>
      <c r="L1635" t="str">
        <f t="shared" si="202"/>
        <v/>
      </c>
      <c r="M1635" t="str">
        <f t="shared" si="203"/>
        <v/>
      </c>
      <c r="N1635" t="str">
        <f t="shared" si="204"/>
        <v>Invalid</v>
      </c>
      <c r="O1635" t="str">
        <f t="shared" ca="1" si="205"/>
        <v>Outdated</v>
      </c>
      <c r="P1635" t="str">
        <f t="shared" si="206"/>
        <v>Wrong Item</v>
      </c>
      <c r="Q1635" t="str">
        <f t="shared" si="207"/>
        <v/>
      </c>
    </row>
    <row r="1636" spans="1:17" x14ac:dyDescent="0.45">
      <c r="A1636" t="s">
        <v>2429</v>
      </c>
      <c r="B1636" t="s">
        <v>99</v>
      </c>
      <c r="D1636" t="s">
        <v>101</v>
      </c>
      <c r="E1636" s="8">
        <v>8265.2099999999991</v>
      </c>
      <c r="F1636" s="9">
        <v>45460.666684444448</v>
      </c>
      <c r="G1636" t="s">
        <v>102</v>
      </c>
      <c r="I1636" t="s">
        <v>112</v>
      </c>
      <c r="J1636" t="str">
        <f t="shared" si="200"/>
        <v>Missing</v>
      </c>
      <c r="K1636" t="str">
        <f t="shared" si="201"/>
        <v/>
      </c>
      <c r="L1636" t="str">
        <f t="shared" si="202"/>
        <v/>
      </c>
      <c r="M1636" t="str">
        <f t="shared" si="203"/>
        <v/>
      </c>
      <c r="N1636" t="str">
        <f t="shared" si="204"/>
        <v>Invalid</v>
      </c>
      <c r="O1636" t="str">
        <f t="shared" ca="1" si="205"/>
        <v>Outdated</v>
      </c>
      <c r="P1636" t="str">
        <f t="shared" si="206"/>
        <v>Damaged</v>
      </c>
      <c r="Q1636" t="str">
        <f t="shared" si="207"/>
        <v/>
      </c>
    </row>
    <row r="1637" spans="1:17" x14ac:dyDescent="0.45">
      <c r="A1637" t="s">
        <v>2430</v>
      </c>
      <c r="B1637" t="s">
        <v>99</v>
      </c>
      <c r="C1637" t="s">
        <v>2357</v>
      </c>
      <c r="D1637" t="s">
        <v>85</v>
      </c>
      <c r="E1637" s="8">
        <v>1922.36</v>
      </c>
      <c r="F1637" s="9">
        <v>45709.666684444448</v>
      </c>
      <c r="G1637" t="s">
        <v>102</v>
      </c>
      <c r="H1637" t="s">
        <v>81</v>
      </c>
      <c r="I1637" t="s">
        <v>82</v>
      </c>
      <c r="J1637" t="str">
        <f t="shared" si="200"/>
        <v/>
      </c>
      <c r="K1637" t="str">
        <f t="shared" si="201"/>
        <v/>
      </c>
      <c r="L1637" t="str">
        <f t="shared" si="202"/>
        <v/>
      </c>
      <c r="M1637" t="str">
        <f t="shared" si="203"/>
        <v/>
      </c>
      <c r="N1637" t="str">
        <f t="shared" si="204"/>
        <v/>
      </c>
      <c r="O1637" t="str">
        <f t="shared" ca="1" si="205"/>
        <v>Outdated</v>
      </c>
      <c r="P1637" t="str">
        <f t="shared" si="206"/>
        <v>Late Delivery</v>
      </c>
      <c r="Q1637" t="str">
        <f t="shared" si="207"/>
        <v/>
      </c>
    </row>
    <row r="1638" spans="1:17" x14ac:dyDescent="0.45">
      <c r="A1638" t="s">
        <v>2431</v>
      </c>
      <c r="B1638" t="s">
        <v>104</v>
      </c>
      <c r="C1638" t="s">
        <v>2357</v>
      </c>
      <c r="D1638" t="s">
        <v>101</v>
      </c>
      <c r="E1638" s="8">
        <v>0</v>
      </c>
      <c r="F1638" s="9">
        <v>45738.666684444448</v>
      </c>
      <c r="G1638" t="s">
        <v>115</v>
      </c>
      <c r="H1638" t="s">
        <v>116</v>
      </c>
      <c r="I1638" t="s">
        <v>119</v>
      </c>
      <c r="J1638" t="str">
        <f t="shared" si="200"/>
        <v/>
      </c>
      <c r="K1638" t="str">
        <f t="shared" si="201"/>
        <v/>
      </c>
      <c r="L1638" t="str">
        <f t="shared" si="202"/>
        <v>Unusual</v>
      </c>
      <c r="M1638" t="str">
        <f t="shared" si="203"/>
        <v/>
      </c>
      <c r="N1638" t="str">
        <f t="shared" si="204"/>
        <v/>
      </c>
      <c r="O1638" t="str">
        <f t="shared" ca="1" si="205"/>
        <v>Outdated</v>
      </c>
      <c r="P1638" t="str">
        <f t="shared" si="206"/>
        <v>Damaged</v>
      </c>
      <c r="Q1638" t="str">
        <f t="shared" si="207"/>
        <v/>
      </c>
    </row>
    <row r="1639" spans="1:17" x14ac:dyDescent="0.45">
      <c r="A1639" t="s">
        <v>2432</v>
      </c>
      <c r="B1639" t="s">
        <v>109</v>
      </c>
      <c r="D1639" t="s">
        <v>85</v>
      </c>
      <c r="E1639" s="8">
        <v>1276.42</v>
      </c>
      <c r="F1639" s="9">
        <v>45214.666684444448</v>
      </c>
      <c r="H1639" t="s">
        <v>107</v>
      </c>
      <c r="I1639" t="s">
        <v>119</v>
      </c>
      <c r="J1639" t="str">
        <f t="shared" si="200"/>
        <v>Missing</v>
      </c>
      <c r="K1639" t="str">
        <f t="shared" si="201"/>
        <v/>
      </c>
      <c r="L1639" t="str">
        <f t="shared" si="202"/>
        <v/>
      </c>
      <c r="M1639" t="str">
        <f t="shared" si="203"/>
        <v>Invalid</v>
      </c>
      <c r="N1639" t="str">
        <f t="shared" si="204"/>
        <v/>
      </c>
      <c r="O1639" t="str">
        <f t="shared" ca="1" si="205"/>
        <v>Outdated</v>
      </c>
      <c r="P1639" t="str">
        <f t="shared" si="206"/>
        <v>Late Delivery</v>
      </c>
      <c r="Q1639" t="str">
        <f t="shared" si="207"/>
        <v/>
      </c>
    </row>
    <row r="1640" spans="1:17" x14ac:dyDescent="0.45">
      <c r="A1640" t="s">
        <v>2433</v>
      </c>
      <c r="B1640" t="s">
        <v>90</v>
      </c>
      <c r="C1640" t="s">
        <v>2434</v>
      </c>
      <c r="D1640" t="s">
        <v>74</v>
      </c>
      <c r="E1640" s="8">
        <v>0</v>
      </c>
      <c r="F1640" s="9">
        <v>45181.666684444448</v>
      </c>
      <c r="G1640" t="s">
        <v>93</v>
      </c>
      <c r="H1640" t="s">
        <v>136</v>
      </c>
      <c r="I1640" t="s">
        <v>82</v>
      </c>
      <c r="J1640" t="str">
        <f t="shared" si="200"/>
        <v/>
      </c>
      <c r="K1640" t="str">
        <f t="shared" si="201"/>
        <v/>
      </c>
      <c r="L1640" t="str">
        <f t="shared" si="202"/>
        <v>Unusual</v>
      </c>
      <c r="M1640" t="str">
        <f t="shared" si="203"/>
        <v/>
      </c>
      <c r="N1640" t="str">
        <f t="shared" si="204"/>
        <v>Invalid</v>
      </c>
      <c r="O1640" t="str">
        <f t="shared" ca="1" si="205"/>
        <v>Outdated</v>
      </c>
      <c r="P1640" t="str">
        <f t="shared" si="206"/>
        <v>Wrong Item</v>
      </c>
      <c r="Q1640" t="str">
        <f t="shared" si="207"/>
        <v/>
      </c>
    </row>
    <row r="1641" spans="1:17" x14ac:dyDescent="0.45">
      <c r="A1641" t="s">
        <v>2435</v>
      </c>
      <c r="B1641" t="s">
        <v>172</v>
      </c>
      <c r="C1641" t="s">
        <v>1493</v>
      </c>
      <c r="D1641" t="s">
        <v>101</v>
      </c>
      <c r="E1641" s="8">
        <v>0</v>
      </c>
      <c r="F1641" s="9">
        <v>45287.666684444448</v>
      </c>
      <c r="G1641" t="s">
        <v>174</v>
      </c>
      <c r="H1641" t="s">
        <v>133</v>
      </c>
      <c r="I1641" t="s">
        <v>77</v>
      </c>
      <c r="J1641" t="str">
        <f t="shared" si="200"/>
        <v/>
      </c>
      <c r="K1641" t="str">
        <f t="shared" si="201"/>
        <v/>
      </c>
      <c r="L1641" t="str">
        <f t="shared" si="202"/>
        <v>Unusual</v>
      </c>
      <c r="M1641" t="str">
        <f t="shared" si="203"/>
        <v/>
      </c>
      <c r="N1641" t="str">
        <f t="shared" si="204"/>
        <v>Invalid</v>
      </c>
      <c r="O1641" t="str">
        <f t="shared" ca="1" si="205"/>
        <v>Outdated</v>
      </c>
      <c r="P1641" t="str">
        <f t="shared" si="206"/>
        <v>Damaged</v>
      </c>
      <c r="Q1641" t="str">
        <f t="shared" si="207"/>
        <v/>
      </c>
    </row>
    <row r="1642" spans="1:17" x14ac:dyDescent="0.45">
      <c r="A1642" t="s">
        <v>2436</v>
      </c>
      <c r="B1642" t="s">
        <v>109</v>
      </c>
      <c r="C1642" t="s">
        <v>223</v>
      </c>
      <c r="D1642" t="s">
        <v>85</v>
      </c>
      <c r="E1642" s="8">
        <v>6039.17</v>
      </c>
      <c r="F1642" s="9">
        <v>45289.666684444448</v>
      </c>
      <c r="G1642" t="s">
        <v>111</v>
      </c>
      <c r="H1642" t="s">
        <v>118</v>
      </c>
      <c r="I1642" t="s">
        <v>119</v>
      </c>
      <c r="J1642" t="str">
        <f t="shared" si="200"/>
        <v/>
      </c>
      <c r="K1642" t="str">
        <f t="shared" si="201"/>
        <v/>
      </c>
      <c r="L1642" t="str">
        <f t="shared" si="202"/>
        <v/>
      </c>
      <c r="M1642" t="str">
        <f t="shared" si="203"/>
        <v/>
      </c>
      <c r="N1642" t="str">
        <f t="shared" si="204"/>
        <v>Invalid</v>
      </c>
      <c r="O1642" t="str">
        <f t="shared" ca="1" si="205"/>
        <v>Outdated</v>
      </c>
      <c r="P1642" t="str">
        <f t="shared" si="206"/>
        <v>Late Delivery</v>
      </c>
      <c r="Q1642" t="str">
        <f t="shared" si="207"/>
        <v/>
      </c>
    </row>
    <row r="1643" spans="1:17" x14ac:dyDescent="0.45">
      <c r="A1643" t="s">
        <v>2437</v>
      </c>
      <c r="B1643" t="s">
        <v>104</v>
      </c>
      <c r="C1643" t="s">
        <v>436</v>
      </c>
      <c r="D1643" t="s">
        <v>101</v>
      </c>
      <c r="E1643" s="8">
        <v>3552.77</v>
      </c>
      <c r="F1643" s="9">
        <v>45760.666684444448</v>
      </c>
      <c r="G1643" t="s">
        <v>115</v>
      </c>
      <c r="H1643" t="s">
        <v>107</v>
      </c>
      <c r="I1643" t="s">
        <v>77</v>
      </c>
      <c r="J1643" t="str">
        <f t="shared" si="200"/>
        <v/>
      </c>
      <c r="K1643" t="str">
        <f t="shared" si="201"/>
        <v/>
      </c>
      <c r="L1643" t="str">
        <f t="shared" si="202"/>
        <v/>
      </c>
      <c r="M1643" t="str">
        <f t="shared" si="203"/>
        <v/>
      </c>
      <c r="N1643" t="str">
        <f t="shared" si="204"/>
        <v/>
      </c>
      <c r="O1643" t="str">
        <f t="shared" ca="1" si="205"/>
        <v>Outdated</v>
      </c>
      <c r="P1643" t="str">
        <f t="shared" si="206"/>
        <v>Damaged</v>
      </c>
      <c r="Q1643" t="str">
        <f t="shared" si="207"/>
        <v/>
      </c>
    </row>
    <row r="1644" spans="1:17" x14ac:dyDescent="0.45">
      <c r="A1644" t="s">
        <v>2438</v>
      </c>
      <c r="B1644" t="s">
        <v>99</v>
      </c>
      <c r="C1644" t="s">
        <v>1667</v>
      </c>
      <c r="D1644" t="s">
        <v>148</v>
      </c>
      <c r="E1644" s="8">
        <v>2031.98</v>
      </c>
      <c r="F1644" s="9">
        <v>45178.666684444448</v>
      </c>
      <c r="G1644" t="s">
        <v>102</v>
      </c>
      <c r="H1644" t="s">
        <v>87</v>
      </c>
      <c r="I1644" t="s">
        <v>82</v>
      </c>
      <c r="J1644" t="str">
        <f t="shared" si="200"/>
        <v/>
      </c>
      <c r="K1644" t="str">
        <f t="shared" si="201"/>
        <v/>
      </c>
      <c r="L1644" t="str">
        <f t="shared" si="202"/>
        <v/>
      </c>
      <c r="M1644" t="str">
        <f t="shared" si="203"/>
        <v/>
      </c>
      <c r="N1644" t="str">
        <f t="shared" si="204"/>
        <v>Invalid</v>
      </c>
      <c r="O1644" t="str">
        <f t="shared" ca="1" si="205"/>
        <v>Outdated</v>
      </c>
      <c r="P1644" t="str">
        <f t="shared" si="206"/>
        <v>Wrong Item</v>
      </c>
      <c r="Q1644" t="str">
        <f t="shared" si="207"/>
        <v>Inconsistent</v>
      </c>
    </row>
    <row r="1645" spans="1:17" x14ac:dyDescent="0.45">
      <c r="A1645" t="s">
        <v>2439</v>
      </c>
      <c r="B1645" t="s">
        <v>95</v>
      </c>
      <c r="C1645" t="s">
        <v>599</v>
      </c>
      <c r="D1645" t="s">
        <v>85</v>
      </c>
      <c r="E1645" s="8">
        <v>6862.18</v>
      </c>
      <c r="F1645" s="9">
        <v>45818.666684444448</v>
      </c>
      <c r="G1645" t="s">
        <v>97</v>
      </c>
      <c r="I1645" t="s">
        <v>112</v>
      </c>
      <c r="J1645" t="str">
        <f t="shared" si="200"/>
        <v/>
      </c>
      <c r="K1645" t="str">
        <f t="shared" si="201"/>
        <v/>
      </c>
      <c r="L1645" t="str">
        <f t="shared" si="202"/>
        <v/>
      </c>
      <c r="M1645" t="str">
        <f t="shared" si="203"/>
        <v/>
      </c>
      <c r="N1645" t="str">
        <f t="shared" si="204"/>
        <v>Invalid</v>
      </c>
      <c r="O1645" t="str">
        <f t="shared" ca="1" si="205"/>
        <v>Outdated</v>
      </c>
      <c r="P1645" t="str">
        <f t="shared" si="206"/>
        <v>Late Delivery</v>
      </c>
      <c r="Q1645" t="str">
        <f t="shared" si="207"/>
        <v/>
      </c>
    </row>
    <row r="1646" spans="1:17" x14ac:dyDescent="0.45">
      <c r="A1646" t="s">
        <v>2440</v>
      </c>
      <c r="B1646" t="s">
        <v>90</v>
      </c>
      <c r="C1646" t="s">
        <v>1603</v>
      </c>
      <c r="D1646" t="s">
        <v>101</v>
      </c>
      <c r="E1646" s="8">
        <v>2517.3000000000002</v>
      </c>
      <c r="F1646" s="9">
        <v>45211.666684444448</v>
      </c>
      <c r="H1646" t="s">
        <v>76</v>
      </c>
      <c r="I1646" t="s">
        <v>163</v>
      </c>
      <c r="J1646" t="str">
        <f t="shared" si="200"/>
        <v/>
      </c>
      <c r="K1646" t="str">
        <f t="shared" si="201"/>
        <v/>
      </c>
      <c r="L1646" t="str">
        <f t="shared" si="202"/>
        <v/>
      </c>
      <c r="M1646" t="str">
        <f t="shared" si="203"/>
        <v>Invalid</v>
      </c>
      <c r="N1646" t="str">
        <f t="shared" si="204"/>
        <v/>
      </c>
      <c r="O1646" t="str">
        <f t="shared" ca="1" si="205"/>
        <v>Outdated</v>
      </c>
      <c r="P1646" t="str">
        <f t="shared" si="206"/>
        <v>Damaged</v>
      </c>
      <c r="Q1646" t="str">
        <f t="shared" si="207"/>
        <v/>
      </c>
    </row>
    <row r="1647" spans="1:17" x14ac:dyDescent="0.45">
      <c r="A1647" t="s">
        <v>2441</v>
      </c>
      <c r="B1647" t="s">
        <v>138</v>
      </c>
      <c r="C1647" t="s">
        <v>1425</v>
      </c>
      <c r="D1647" t="s">
        <v>74</v>
      </c>
      <c r="E1647" s="8">
        <v>0</v>
      </c>
      <c r="F1647" s="9">
        <v>45406.666684444448</v>
      </c>
      <c r="G1647" t="s">
        <v>140</v>
      </c>
      <c r="H1647" t="s">
        <v>87</v>
      </c>
      <c r="I1647" t="s">
        <v>88</v>
      </c>
      <c r="J1647" t="str">
        <f t="shared" si="200"/>
        <v/>
      </c>
      <c r="K1647" t="str">
        <f t="shared" si="201"/>
        <v/>
      </c>
      <c r="L1647" t="str">
        <f t="shared" si="202"/>
        <v>Unusual</v>
      </c>
      <c r="M1647" t="str">
        <f t="shared" si="203"/>
        <v/>
      </c>
      <c r="N1647" t="str">
        <f t="shared" si="204"/>
        <v>Invalid</v>
      </c>
      <c r="O1647" t="str">
        <f t="shared" ca="1" si="205"/>
        <v>Outdated</v>
      </c>
      <c r="P1647" t="str">
        <f t="shared" si="206"/>
        <v>Wrong Item</v>
      </c>
      <c r="Q1647" t="str">
        <f t="shared" si="207"/>
        <v/>
      </c>
    </row>
    <row r="1648" spans="1:17" x14ac:dyDescent="0.45">
      <c r="A1648" t="s">
        <v>2442</v>
      </c>
      <c r="B1648" t="s">
        <v>99</v>
      </c>
      <c r="C1648" t="s">
        <v>2434</v>
      </c>
      <c r="D1648" t="s">
        <v>85</v>
      </c>
      <c r="E1648" s="8">
        <v>7387.34</v>
      </c>
      <c r="F1648" s="9">
        <v>45581.666684444448</v>
      </c>
      <c r="G1648" t="s">
        <v>102</v>
      </c>
      <c r="H1648" t="s">
        <v>145</v>
      </c>
      <c r="I1648" t="s">
        <v>82</v>
      </c>
      <c r="J1648" t="str">
        <f t="shared" si="200"/>
        <v/>
      </c>
      <c r="K1648" t="str">
        <f t="shared" si="201"/>
        <v/>
      </c>
      <c r="L1648" t="str">
        <f t="shared" si="202"/>
        <v/>
      </c>
      <c r="M1648" t="str">
        <f t="shared" si="203"/>
        <v/>
      </c>
      <c r="N1648" t="str">
        <f t="shared" si="204"/>
        <v/>
      </c>
      <c r="O1648" t="str">
        <f t="shared" ca="1" si="205"/>
        <v>Outdated</v>
      </c>
      <c r="P1648" t="str">
        <f t="shared" si="206"/>
        <v>Late Delivery</v>
      </c>
      <c r="Q1648" t="str">
        <f t="shared" si="207"/>
        <v/>
      </c>
    </row>
    <row r="1649" spans="1:17" x14ac:dyDescent="0.45">
      <c r="A1649" t="s">
        <v>2443</v>
      </c>
      <c r="B1649" t="s">
        <v>104</v>
      </c>
      <c r="C1649" t="s">
        <v>2444</v>
      </c>
      <c r="D1649" t="s">
        <v>92</v>
      </c>
      <c r="E1649" s="8">
        <v>0</v>
      </c>
      <c r="F1649" s="9">
        <v>45805.666684444448</v>
      </c>
      <c r="G1649" t="s">
        <v>115</v>
      </c>
      <c r="H1649" t="s">
        <v>76</v>
      </c>
      <c r="I1649" t="s">
        <v>112</v>
      </c>
      <c r="J1649" t="str">
        <f t="shared" si="200"/>
        <v/>
      </c>
      <c r="K1649" t="str">
        <f t="shared" si="201"/>
        <v/>
      </c>
      <c r="L1649" t="str">
        <f t="shared" si="202"/>
        <v>Unusual</v>
      </c>
      <c r="M1649" t="str">
        <f t="shared" si="203"/>
        <v/>
      </c>
      <c r="N1649" t="str">
        <f t="shared" si="204"/>
        <v/>
      </c>
      <c r="O1649" t="str">
        <f t="shared" ca="1" si="205"/>
        <v>Outdated</v>
      </c>
      <c r="P1649" t="str">
        <f t="shared" si="206"/>
        <v>Not As Described</v>
      </c>
      <c r="Q1649" t="str">
        <f t="shared" si="207"/>
        <v/>
      </c>
    </row>
    <row r="1650" spans="1:17" x14ac:dyDescent="0.45">
      <c r="A1650" t="s">
        <v>2445</v>
      </c>
      <c r="B1650" t="s">
        <v>95</v>
      </c>
      <c r="D1650" t="s">
        <v>101</v>
      </c>
      <c r="E1650" s="8">
        <v>11764.97</v>
      </c>
      <c r="F1650" s="9">
        <v>45562.666684444448</v>
      </c>
      <c r="G1650" t="s">
        <v>336</v>
      </c>
      <c r="I1650" t="s">
        <v>88</v>
      </c>
      <c r="J1650" t="str">
        <f t="shared" si="200"/>
        <v>Missing</v>
      </c>
      <c r="K1650" t="str">
        <f t="shared" si="201"/>
        <v/>
      </c>
      <c r="L1650" t="str">
        <f t="shared" si="202"/>
        <v>Unusual</v>
      </c>
      <c r="M1650" t="str">
        <f t="shared" si="203"/>
        <v>Invalid</v>
      </c>
      <c r="N1650" t="str">
        <f t="shared" si="204"/>
        <v>Invalid</v>
      </c>
      <c r="O1650" t="str">
        <f t="shared" ca="1" si="205"/>
        <v>Outdated</v>
      </c>
      <c r="P1650" t="str">
        <f t="shared" si="206"/>
        <v>Damaged</v>
      </c>
      <c r="Q1650" t="str">
        <f t="shared" si="207"/>
        <v/>
      </c>
    </row>
    <row r="1651" spans="1:17" x14ac:dyDescent="0.45">
      <c r="A1651" t="s">
        <v>2446</v>
      </c>
      <c r="B1651" t="s">
        <v>72</v>
      </c>
      <c r="C1651" t="s">
        <v>1603</v>
      </c>
      <c r="E1651" s="8">
        <v>11400.83</v>
      </c>
      <c r="F1651" s="9">
        <v>45625.666684444448</v>
      </c>
      <c r="G1651" t="s">
        <v>75</v>
      </c>
      <c r="H1651" t="s">
        <v>87</v>
      </c>
      <c r="I1651" t="s">
        <v>119</v>
      </c>
      <c r="J1651" t="str">
        <f t="shared" si="200"/>
        <v>Missing</v>
      </c>
      <c r="K1651" t="str">
        <f t="shared" si="201"/>
        <v/>
      </c>
      <c r="L1651" t="str">
        <f t="shared" si="202"/>
        <v>Unusual</v>
      </c>
      <c r="M1651" t="str">
        <f t="shared" si="203"/>
        <v/>
      </c>
      <c r="N1651" t="str">
        <f t="shared" si="204"/>
        <v>Invalid</v>
      </c>
      <c r="O1651" t="str">
        <f t="shared" ca="1" si="205"/>
        <v>Outdated</v>
      </c>
      <c r="P1651" t="str">
        <f t="shared" si="206"/>
        <v/>
      </c>
      <c r="Q1651" t="str">
        <f t="shared" si="207"/>
        <v/>
      </c>
    </row>
    <row r="1652" spans="1:17" x14ac:dyDescent="0.45">
      <c r="A1652" t="s">
        <v>2447</v>
      </c>
      <c r="B1652" t="s">
        <v>138</v>
      </c>
      <c r="C1652" t="s">
        <v>1427</v>
      </c>
      <c r="D1652" t="s">
        <v>101</v>
      </c>
      <c r="E1652" s="8">
        <v>305.05</v>
      </c>
      <c r="F1652" s="9">
        <v>45749.666684444448</v>
      </c>
      <c r="G1652" t="s">
        <v>140</v>
      </c>
      <c r="H1652" t="s">
        <v>133</v>
      </c>
      <c r="I1652" t="s">
        <v>163</v>
      </c>
      <c r="J1652" t="str">
        <f t="shared" si="200"/>
        <v/>
      </c>
      <c r="K1652" t="str">
        <f t="shared" si="201"/>
        <v/>
      </c>
      <c r="L1652" t="str">
        <f t="shared" si="202"/>
        <v/>
      </c>
      <c r="M1652" t="str">
        <f t="shared" si="203"/>
        <v/>
      </c>
      <c r="N1652" t="str">
        <f t="shared" si="204"/>
        <v>Invalid</v>
      </c>
      <c r="O1652" t="str">
        <f t="shared" ca="1" si="205"/>
        <v>Outdated</v>
      </c>
      <c r="P1652" t="str">
        <f t="shared" si="206"/>
        <v>Damaged</v>
      </c>
      <c r="Q1652" t="str">
        <f t="shared" si="207"/>
        <v/>
      </c>
    </row>
    <row r="1653" spans="1:17" x14ac:dyDescent="0.45">
      <c r="A1653" t="s">
        <v>2448</v>
      </c>
      <c r="B1653" t="s">
        <v>172</v>
      </c>
      <c r="C1653" t="s">
        <v>2449</v>
      </c>
      <c r="E1653" s="8">
        <v>0</v>
      </c>
      <c r="F1653" s="9">
        <v>45580.666684444448</v>
      </c>
      <c r="G1653" t="s">
        <v>174</v>
      </c>
      <c r="H1653" t="s">
        <v>87</v>
      </c>
      <c r="I1653" t="s">
        <v>82</v>
      </c>
      <c r="J1653" t="str">
        <f t="shared" si="200"/>
        <v>Missing</v>
      </c>
      <c r="K1653" t="str">
        <f t="shared" si="201"/>
        <v/>
      </c>
      <c r="L1653" t="str">
        <f t="shared" si="202"/>
        <v>Unusual</v>
      </c>
      <c r="M1653" t="str">
        <f t="shared" si="203"/>
        <v/>
      </c>
      <c r="N1653" t="str">
        <f t="shared" si="204"/>
        <v>Invalid</v>
      </c>
      <c r="O1653" t="str">
        <f t="shared" ca="1" si="205"/>
        <v>Outdated</v>
      </c>
      <c r="P1653" t="str">
        <f t="shared" si="206"/>
        <v/>
      </c>
      <c r="Q1653" t="str">
        <f t="shared" si="207"/>
        <v/>
      </c>
    </row>
    <row r="1654" spans="1:17" x14ac:dyDescent="0.45">
      <c r="A1654" t="s">
        <v>2450</v>
      </c>
      <c r="B1654" t="s">
        <v>99</v>
      </c>
      <c r="C1654" t="s">
        <v>1603</v>
      </c>
      <c r="D1654" t="s">
        <v>74</v>
      </c>
      <c r="E1654" s="8">
        <v>739.7</v>
      </c>
      <c r="F1654" s="9">
        <v>45552.666684444448</v>
      </c>
      <c r="G1654" t="s">
        <v>285</v>
      </c>
      <c r="H1654" t="s">
        <v>136</v>
      </c>
      <c r="I1654" t="s">
        <v>88</v>
      </c>
      <c r="J1654" t="str">
        <f t="shared" si="200"/>
        <v/>
      </c>
      <c r="K1654" t="str">
        <f t="shared" si="201"/>
        <v/>
      </c>
      <c r="L1654" t="str">
        <f t="shared" si="202"/>
        <v/>
      </c>
      <c r="M1654" t="str">
        <f t="shared" si="203"/>
        <v>Invalid</v>
      </c>
      <c r="N1654" t="str">
        <f t="shared" si="204"/>
        <v>Invalid</v>
      </c>
      <c r="O1654" t="str">
        <f t="shared" ca="1" si="205"/>
        <v>Outdated</v>
      </c>
      <c r="P1654" t="str">
        <f t="shared" si="206"/>
        <v>Wrong Item</v>
      </c>
      <c r="Q1654" t="str">
        <f t="shared" si="207"/>
        <v/>
      </c>
    </row>
    <row r="1655" spans="1:17" x14ac:dyDescent="0.45">
      <c r="A1655" t="s">
        <v>2451</v>
      </c>
      <c r="B1655" t="s">
        <v>79</v>
      </c>
      <c r="C1655" t="s">
        <v>712</v>
      </c>
      <c r="D1655" t="s">
        <v>148</v>
      </c>
      <c r="E1655" s="8">
        <v>1703.2</v>
      </c>
      <c r="F1655" s="9">
        <v>45407.666684444448</v>
      </c>
      <c r="G1655" t="s">
        <v>86</v>
      </c>
      <c r="H1655" t="s">
        <v>76</v>
      </c>
      <c r="I1655" t="s">
        <v>112</v>
      </c>
      <c r="J1655" t="str">
        <f t="shared" si="200"/>
        <v/>
      </c>
      <c r="K1655" t="str">
        <f t="shared" si="201"/>
        <v/>
      </c>
      <c r="L1655" t="str">
        <f t="shared" si="202"/>
        <v/>
      </c>
      <c r="M1655" t="str">
        <f t="shared" si="203"/>
        <v/>
      </c>
      <c r="N1655" t="str">
        <f t="shared" si="204"/>
        <v/>
      </c>
      <c r="O1655" t="str">
        <f t="shared" ca="1" si="205"/>
        <v>Outdated</v>
      </c>
      <c r="P1655" t="str">
        <f t="shared" si="206"/>
        <v>Wrong Item</v>
      </c>
      <c r="Q1655" t="str">
        <f t="shared" si="207"/>
        <v>Inconsistent</v>
      </c>
    </row>
    <row r="1656" spans="1:17" x14ac:dyDescent="0.45">
      <c r="A1656" t="s">
        <v>2452</v>
      </c>
      <c r="B1656" t="s">
        <v>95</v>
      </c>
      <c r="C1656" t="s">
        <v>785</v>
      </c>
      <c r="D1656" t="s">
        <v>85</v>
      </c>
      <c r="E1656" s="8">
        <v>9870.2099999999991</v>
      </c>
      <c r="F1656" s="9">
        <v>45348.666684444448</v>
      </c>
      <c r="G1656" t="s">
        <v>97</v>
      </c>
      <c r="I1656" t="s">
        <v>88</v>
      </c>
      <c r="J1656" t="str">
        <f t="shared" si="200"/>
        <v/>
      </c>
      <c r="K1656" t="str">
        <f t="shared" si="201"/>
        <v/>
      </c>
      <c r="L1656" t="str">
        <f t="shared" si="202"/>
        <v/>
      </c>
      <c r="M1656" t="str">
        <f t="shared" si="203"/>
        <v/>
      </c>
      <c r="N1656" t="str">
        <f t="shared" si="204"/>
        <v>Invalid</v>
      </c>
      <c r="O1656" t="str">
        <f t="shared" ca="1" si="205"/>
        <v>Outdated</v>
      </c>
      <c r="P1656" t="str">
        <f t="shared" si="206"/>
        <v>Late Delivery</v>
      </c>
      <c r="Q1656" t="str">
        <f t="shared" si="207"/>
        <v/>
      </c>
    </row>
    <row r="1657" spans="1:17" x14ac:dyDescent="0.45">
      <c r="A1657" t="s">
        <v>2453</v>
      </c>
      <c r="B1657" t="s">
        <v>95</v>
      </c>
      <c r="C1657" t="s">
        <v>847</v>
      </c>
      <c r="D1657" t="s">
        <v>101</v>
      </c>
      <c r="E1657" s="8">
        <v>2915.62</v>
      </c>
      <c r="F1657" s="9">
        <v>45652.666684444448</v>
      </c>
      <c r="G1657" t="s">
        <v>97</v>
      </c>
      <c r="H1657" t="s">
        <v>116</v>
      </c>
      <c r="I1657" t="s">
        <v>112</v>
      </c>
      <c r="J1657" t="str">
        <f t="shared" si="200"/>
        <v/>
      </c>
      <c r="K1657" t="str">
        <f t="shared" si="201"/>
        <v/>
      </c>
      <c r="L1657" t="str">
        <f t="shared" si="202"/>
        <v/>
      </c>
      <c r="M1657" t="str">
        <f t="shared" si="203"/>
        <v/>
      </c>
      <c r="N1657" t="str">
        <f t="shared" si="204"/>
        <v/>
      </c>
      <c r="O1657" t="str">
        <f t="shared" ca="1" si="205"/>
        <v>Outdated</v>
      </c>
      <c r="P1657" t="str">
        <f t="shared" si="206"/>
        <v>Damaged</v>
      </c>
      <c r="Q1657" t="str">
        <f t="shared" si="207"/>
        <v/>
      </c>
    </row>
    <row r="1658" spans="1:17" x14ac:dyDescent="0.45">
      <c r="A1658" t="s">
        <v>2454</v>
      </c>
      <c r="B1658" t="s">
        <v>90</v>
      </c>
      <c r="C1658" t="s">
        <v>2321</v>
      </c>
      <c r="D1658" t="s">
        <v>101</v>
      </c>
      <c r="E1658" s="8">
        <v>3313.03</v>
      </c>
      <c r="F1658" s="9">
        <v>45244.666684444448</v>
      </c>
      <c r="G1658" t="s">
        <v>93</v>
      </c>
      <c r="H1658" t="s">
        <v>87</v>
      </c>
      <c r="I1658" t="s">
        <v>119</v>
      </c>
      <c r="J1658" t="str">
        <f t="shared" si="200"/>
        <v/>
      </c>
      <c r="K1658" t="str">
        <f t="shared" si="201"/>
        <v/>
      </c>
      <c r="L1658" t="str">
        <f t="shared" si="202"/>
        <v/>
      </c>
      <c r="M1658" t="str">
        <f t="shared" si="203"/>
        <v/>
      </c>
      <c r="N1658" t="str">
        <f t="shared" si="204"/>
        <v>Invalid</v>
      </c>
      <c r="O1658" t="str">
        <f t="shared" ca="1" si="205"/>
        <v>Outdated</v>
      </c>
      <c r="P1658" t="str">
        <f t="shared" si="206"/>
        <v>Damaged</v>
      </c>
      <c r="Q1658" t="str">
        <f t="shared" si="207"/>
        <v/>
      </c>
    </row>
    <row r="1659" spans="1:17" x14ac:dyDescent="0.45">
      <c r="A1659" t="s">
        <v>2416</v>
      </c>
      <c r="B1659" t="s">
        <v>138</v>
      </c>
      <c r="C1659" t="s">
        <v>1134</v>
      </c>
      <c r="D1659" t="s">
        <v>101</v>
      </c>
      <c r="E1659" s="8">
        <v>3050.13</v>
      </c>
      <c r="F1659" s="9">
        <v>45481.666684444448</v>
      </c>
      <c r="G1659" t="s">
        <v>140</v>
      </c>
      <c r="H1659" t="s">
        <v>81</v>
      </c>
      <c r="I1659" t="s">
        <v>88</v>
      </c>
      <c r="J1659" t="str">
        <f t="shared" si="200"/>
        <v/>
      </c>
      <c r="K1659" t="str">
        <f t="shared" si="201"/>
        <v>Duplicate</v>
      </c>
      <c r="L1659" t="str">
        <f t="shared" si="202"/>
        <v/>
      </c>
      <c r="M1659" t="str">
        <f t="shared" si="203"/>
        <v/>
      </c>
      <c r="N1659" t="str">
        <f t="shared" si="204"/>
        <v/>
      </c>
      <c r="O1659" t="str">
        <f t="shared" ca="1" si="205"/>
        <v>Outdated</v>
      </c>
      <c r="P1659" t="str">
        <f t="shared" si="206"/>
        <v>Damaged</v>
      </c>
      <c r="Q1659" t="str">
        <f t="shared" si="207"/>
        <v/>
      </c>
    </row>
    <row r="1660" spans="1:17" x14ac:dyDescent="0.45">
      <c r="A1660" t="s">
        <v>2455</v>
      </c>
      <c r="B1660" t="s">
        <v>99</v>
      </c>
      <c r="C1660" t="s">
        <v>1161</v>
      </c>
      <c r="D1660" t="s">
        <v>106</v>
      </c>
      <c r="E1660" s="8">
        <v>11593.2</v>
      </c>
      <c r="F1660" s="9">
        <v>45568.666684444448</v>
      </c>
      <c r="G1660" t="s">
        <v>102</v>
      </c>
      <c r="H1660" t="s">
        <v>145</v>
      </c>
      <c r="I1660" t="s">
        <v>82</v>
      </c>
      <c r="J1660" t="str">
        <f t="shared" si="200"/>
        <v/>
      </c>
      <c r="K1660" t="str">
        <f t="shared" si="201"/>
        <v/>
      </c>
      <c r="L1660" t="str">
        <f t="shared" si="202"/>
        <v>Unusual</v>
      </c>
      <c r="M1660" t="str">
        <f t="shared" si="203"/>
        <v/>
      </c>
      <c r="N1660" t="str">
        <f t="shared" si="204"/>
        <v/>
      </c>
      <c r="O1660" t="str">
        <f t="shared" ca="1" si="205"/>
        <v>Outdated</v>
      </c>
      <c r="P1660" t="str">
        <f t="shared" si="206"/>
        <v>Damaged</v>
      </c>
      <c r="Q1660" t="str">
        <f t="shared" si="207"/>
        <v>Inconsistent</v>
      </c>
    </row>
    <row r="1661" spans="1:17" x14ac:dyDescent="0.45">
      <c r="A1661" t="s">
        <v>2456</v>
      </c>
      <c r="B1661" t="s">
        <v>79</v>
      </c>
      <c r="D1661" t="s">
        <v>74</v>
      </c>
      <c r="E1661" s="8">
        <v>3415.32</v>
      </c>
      <c r="F1661" s="9">
        <v>45241.666684444448</v>
      </c>
      <c r="G1661" t="s">
        <v>86</v>
      </c>
      <c r="H1661" t="s">
        <v>76</v>
      </c>
      <c r="I1661" t="s">
        <v>77</v>
      </c>
      <c r="J1661" t="str">
        <f t="shared" si="200"/>
        <v>Missing</v>
      </c>
      <c r="K1661" t="str">
        <f t="shared" si="201"/>
        <v/>
      </c>
      <c r="L1661" t="str">
        <f t="shared" si="202"/>
        <v/>
      </c>
      <c r="M1661" t="str">
        <f t="shared" si="203"/>
        <v/>
      </c>
      <c r="N1661" t="str">
        <f t="shared" si="204"/>
        <v/>
      </c>
      <c r="O1661" t="str">
        <f t="shared" ca="1" si="205"/>
        <v>Outdated</v>
      </c>
      <c r="P1661" t="str">
        <f t="shared" si="206"/>
        <v>Wrong Item</v>
      </c>
      <c r="Q1661" t="str">
        <f t="shared" si="207"/>
        <v/>
      </c>
    </row>
    <row r="1662" spans="1:17" x14ac:dyDescent="0.45">
      <c r="A1662" t="s">
        <v>2457</v>
      </c>
      <c r="B1662" t="s">
        <v>138</v>
      </c>
      <c r="C1662" t="s">
        <v>2458</v>
      </c>
      <c r="D1662" t="s">
        <v>74</v>
      </c>
      <c r="E1662" s="8">
        <v>5574.15</v>
      </c>
      <c r="F1662" s="9">
        <v>45418.666684444448</v>
      </c>
      <c r="G1662" t="s">
        <v>140</v>
      </c>
      <c r="H1662" t="s">
        <v>107</v>
      </c>
      <c r="I1662" t="s">
        <v>88</v>
      </c>
      <c r="J1662" t="str">
        <f t="shared" si="200"/>
        <v/>
      </c>
      <c r="K1662" t="str">
        <f t="shared" si="201"/>
        <v/>
      </c>
      <c r="L1662" t="str">
        <f t="shared" si="202"/>
        <v/>
      </c>
      <c r="M1662" t="str">
        <f t="shared" si="203"/>
        <v/>
      </c>
      <c r="N1662" t="str">
        <f t="shared" si="204"/>
        <v/>
      </c>
      <c r="O1662" t="str">
        <f t="shared" ca="1" si="205"/>
        <v>Outdated</v>
      </c>
      <c r="P1662" t="str">
        <f t="shared" si="206"/>
        <v>Wrong Item</v>
      </c>
      <c r="Q1662" t="str">
        <f t="shared" si="207"/>
        <v/>
      </c>
    </row>
    <row r="1663" spans="1:17" x14ac:dyDescent="0.45">
      <c r="A1663" t="s">
        <v>2459</v>
      </c>
      <c r="B1663" t="s">
        <v>104</v>
      </c>
      <c r="C1663" t="s">
        <v>678</v>
      </c>
      <c r="D1663" t="s">
        <v>85</v>
      </c>
      <c r="E1663" s="8">
        <v>2068.69</v>
      </c>
      <c r="F1663" s="9">
        <v>45822.666684444448</v>
      </c>
      <c r="G1663" t="s">
        <v>115</v>
      </c>
      <c r="H1663" t="s">
        <v>136</v>
      </c>
      <c r="I1663" t="s">
        <v>77</v>
      </c>
      <c r="J1663" t="str">
        <f t="shared" si="200"/>
        <v/>
      </c>
      <c r="K1663" t="str">
        <f t="shared" si="201"/>
        <v/>
      </c>
      <c r="L1663" t="str">
        <f t="shared" si="202"/>
        <v/>
      </c>
      <c r="M1663" t="str">
        <f t="shared" si="203"/>
        <v/>
      </c>
      <c r="N1663" t="str">
        <f t="shared" si="204"/>
        <v>Invalid</v>
      </c>
      <c r="O1663" t="str">
        <f t="shared" ca="1" si="205"/>
        <v>Outdated</v>
      </c>
      <c r="P1663" t="str">
        <f t="shared" si="206"/>
        <v>Late Delivery</v>
      </c>
      <c r="Q1663" t="str">
        <f t="shared" si="207"/>
        <v/>
      </c>
    </row>
    <row r="1664" spans="1:17" x14ac:dyDescent="0.45">
      <c r="A1664" t="s">
        <v>2460</v>
      </c>
      <c r="B1664" t="s">
        <v>79</v>
      </c>
      <c r="C1664" t="s">
        <v>1626</v>
      </c>
      <c r="D1664" t="s">
        <v>85</v>
      </c>
      <c r="E1664" s="8">
        <v>8753.11</v>
      </c>
      <c r="F1664" s="9">
        <v>45822.666684444448</v>
      </c>
      <c r="G1664" t="s">
        <v>86</v>
      </c>
      <c r="H1664" t="s">
        <v>128</v>
      </c>
      <c r="I1664" t="s">
        <v>119</v>
      </c>
      <c r="J1664" t="str">
        <f t="shared" si="200"/>
        <v/>
      </c>
      <c r="K1664" t="str">
        <f t="shared" si="201"/>
        <v/>
      </c>
      <c r="L1664" t="str">
        <f t="shared" si="202"/>
        <v/>
      </c>
      <c r="M1664" t="str">
        <f t="shared" si="203"/>
        <v/>
      </c>
      <c r="N1664" t="str">
        <f t="shared" si="204"/>
        <v>Invalid</v>
      </c>
      <c r="O1664" t="str">
        <f t="shared" ca="1" si="205"/>
        <v>Outdated</v>
      </c>
      <c r="P1664" t="str">
        <f t="shared" si="206"/>
        <v>Late Delivery</v>
      </c>
      <c r="Q1664" t="str">
        <f t="shared" si="207"/>
        <v/>
      </c>
    </row>
    <row r="1665" spans="1:17" x14ac:dyDescent="0.45">
      <c r="A1665" t="s">
        <v>2461</v>
      </c>
      <c r="B1665" t="s">
        <v>109</v>
      </c>
      <c r="C1665" t="s">
        <v>472</v>
      </c>
      <c r="D1665" t="s">
        <v>85</v>
      </c>
      <c r="E1665" s="8">
        <v>1868.1</v>
      </c>
      <c r="F1665" s="9">
        <v>45735.666684444448</v>
      </c>
      <c r="G1665" t="s">
        <v>111</v>
      </c>
      <c r="H1665" t="s">
        <v>107</v>
      </c>
      <c r="I1665" t="s">
        <v>88</v>
      </c>
      <c r="J1665" t="str">
        <f t="shared" si="200"/>
        <v/>
      </c>
      <c r="K1665" t="str">
        <f t="shared" si="201"/>
        <v/>
      </c>
      <c r="L1665" t="str">
        <f t="shared" si="202"/>
        <v/>
      </c>
      <c r="M1665" t="str">
        <f t="shared" si="203"/>
        <v/>
      </c>
      <c r="N1665" t="str">
        <f t="shared" si="204"/>
        <v/>
      </c>
      <c r="O1665" t="str">
        <f t="shared" ca="1" si="205"/>
        <v>Outdated</v>
      </c>
      <c r="P1665" t="str">
        <f t="shared" si="206"/>
        <v>Late Delivery</v>
      </c>
      <c r="Q1665" t="str">
        <f t="shared" si="207"/>
        <v/>
      </c>
    </row>
    <row r="1666" spans="1:17" x14ac:dyDescent="0.45">
      <c r="A1666" t="s">
        <v>2462</v>
      </c>
      <c r="B1666" t="s">
        <v>109</v>
      </c>
      <c r="C1666" t="s">
        <v>801</v>
      </c>
      <c r="D1666" t="s">
        <v>92</v>
      </c>
      <c r="E1666" s="8">
        <v>2708.34</v>
      </c>
      <c r="F1666" s="9">
        <v>45626.666684444448</v>
      </c>
      <c r="G1666" t="s">
        <v>111</v>
      </c>
      <c r="H1666" t="s">
        <v>136</v>
      </c>
      <c r="I1666" t="s">
        <v>77</v>
      </c>
      <c r="J1666" t="str">
        <f t="shared" ref="J1666:J1729" si="208">IF(OR(ISBLANK(C1666),ISBLANK(D1666)),"Missing","")</f>
        <v/>
      </c>
      <c r="K1666" t="str">
        <f t="shared" ref="K1666:K1729" si="209">IF(COUNTIF($A$2:$A$2501,A1666)&gt;1,"Duplicate","")</f>
        <v/>
      </c>
      <c r="L1666" t="str">
        <f t="shared" ref="L1666:L1729" si="210">IF(OR(E1666=0,E1666&gt;10000),"Unusual","")</f>
        <v/>
      </c>
      <c r="M1666" t="str">
        <f t="shared" ref="M1666:M1729" si="211">IF(OR(ISBLANK(G1666),ISERROR(FIND("@",G1666)),ISERROR(FIND(".",G1666,FIND("@",G1666)+1))),"Invalid","")</f>
        <v/>
      </c>
      <c r="N1666" t="str">
        <f t="shared" ref="N1666:N1729" si="212">IF(COUNTIF($S$2:$S$6,H1666)=0,"Invalid","")</f>
        <v>Invalid</v>
      </c>
      <c r="O1666" t="str">
        <f t="shared" ref="O1666:O1729" ca="1" si="213">IF(F1666&lt;EDATE(TODAY(),-12),"Outdated","")</f>
        <v>Outdated</v>
      </c>
      <c r="P1666" t="str">
        <f t="shared" ref="P1666:P1729" si="214">IF(ISBLANK(D1666),"",PROPER(TRIM(D1666)))</f>
        <v>Not As Described</v>
      </c>
      <c r="Q1666" t="str">
        <f t="shared" ref="Q1666:Q1729" si="215">IF(ISBLANK(D1666),"",IF(EXACT(D1666,P1666),"","Inconsistent"))</f>
        <v/>
      </c>
    </row>
    <row r="1667" spans="1:17" x14ac:dyDescent="0.45">
      <c r="A1667" t="s">
        <v>2463</v>
      </c>
      <c r="B1667" t="s">
        <v>95</v>
      </c>
      <c r="C1667" t="s">
        <v>2464</v>
      </c>
      <c r="D1667" t="s">
        <v>101</v>
      </c>
      <c r="E1667" s="8">
        <v>0</v>
      </c>
      <c r="F1667" s="9">
        <v>45667.666684444448</v>
      </c>
      <c r="G1667" t="s">
        <v>97</v>
      </c>
      <c r="H1667" t="s">
        <v>116</v>
      </c>
      <c r="I1667" t="s">
        <v>163</v>
      </c>
      <c r="J1667" t="str">
        <f t="shared" si="208"/>
        <v/>
      </c>
      <c r="K1667" t="str">
        <f t="shared" si="209"/>
        <v/>
      </c>
      <c r="L1667" t="str">
        <f t="shared" si="210"/>
        <v>Unusual</v>
      </c>
      <c r="M1667" t="str">
        <f t="shared" si="211"/>
        <v/>
      </c>
      <c r="N1667" t="str">
        <f t="shared" si="212"/>
        <v/>
      </c>
      <c r="O1667" t="str">
        <f t="shared" ca="1" si="213"/>
        <v>Outdated</v>
      </c>
      <c r="P1667" t="str">
        <f t="shared" si="214"/>
        <v>Damaged</v>
      </c>
      <c r="Q1667" t="str">
        <f t="shared" si="215"/>
        <v/>
      </c>
    </row>
    <row r="1668" spans="1:17" x14ac:dyDescent="0.45">
      <c r="A1668" t="s">
        <v>2465</v>
      </c>
      <c r="B1668" t="s">
        <v>104</v>
      </c>
      <c r="C1668" t="s">
        <v>1452</v>
      </c>
      <c r="D1668" t="s">
        <v>155</v>
      </c>
      <c r="E1668" s="8">
        <v>8048.44</v>
      </c>
      <c r="F1668" s="9">
        <v>45811.666684444448</v>
      </c>
      <c r="G1668" t="s">
        <v>115</v>
      </c>
      <c r="H1668" t="s">
        <v>145</v>
      </c>
      <c r="I1668" t="s">
        <v>77</v>
      </c>
      <c r="J1668" t="str">
        <f t="shared" si="208"/>
        <v/>
      </c>
      <c r="K1668" t="str">
        <f t="shared" si="209"/>
        <v/>
      </c>
      <c r="L1668" t="str">
        <f t="shared" si="210"/>
        <v/>
      </c>
      <c r="M1668" t="str">
        <f t="shared" si="211"/>
        <v/>
      </c>
      <c r="N1668" t="str">
        <f t="shared" si="212"/>
        <v/>
      </c>
      <c r="O1668" t="str">
        <f t="shared" ca="1" si="213"/>
        <v>Outdated</v>
      </c>
      <c r="P1668" t="str">
        <f t="shared" si="214"/>
        <v>Damaged</v>
      </c>
      <c r="Q1668" t="str">
        <f t="shared" si="215"/>
        <v>Inconsistent</v>
      </c>
    </row>
    <row r="1669" spans="1:17" x14ac:dyDescent="0.45">
      <c r="A1669" t="s">
        <v>2466</v>
      </c>
      <c r="B1669" t="s">
        <v>109</v>
      </c>
      <c r="C1669" t="s">
        <v>1561</v>
      </c>
      <c r="D1669" t="s">
        <v>101</v>
      </c>
      <c r="E1669" s="8">
        <v>855.88</v>
      </c>
      <c r="F1669" s="9">
        <v>45443.666684444448</v>
      </c>
      <c r="G1669" t="s">
        <v>111</v>
      </c>
      <c r="H1669" t="s">
        <v>133</v>
      </c>
      <c r="I1669" t="s">
        <v>163</v>
      </c>
      <c r="J1669" t="str">
        <f t="shared" si="208"/>
        <v/>
      </c>
      <c r="K1669" t="str">
        <f t="shared" si="209"/>
        <v/>
      </c>
      <c r="L1669" t="str">
        <f t="shared" si="210"/>
        <v/>
      </c>
      <c r="M1669" t="str">
        <f t="shared" si="211"/>
        <v/>
      </c>
      <c r="N1669" t="str">
        <f t="shared" si="212"/>
        <v>Invalid</v>
      </c>
      <c r="O1669" t="str">
        <f t="shared" ca="1" si="213"/>
        <v>Outdated</v>
      </c>
      <c r="P1669" t="str">
        <f t="shared" si="214"/>
        <v>Damaged</v>
      </c>
      <c r="Q1669" t="str">
        <f t="shared" si="215"/>
        <v/>
      </c>
    </row>
    <row r="1670" spans="1:17" x14ac:dyDescent="0.45">
      <c r="A1670" t="s">
        <v>2467</v>
      </c>
      <c r="B1670" t="s">
        <v>95</v>
      </c>
      <c r="C1670" t="s">
        <v>170</v>
      </c>
      <c r="D1670" t="s">
        <v>74</v>
      </c>
      <c r="E1670" s="8">
        <v>0</v>
      </c>
      <c r="F1670" s="9">
        <v>45174.666684444448</v>
      </c>
      <c r="G1670" t="s">
        <v>97</v>
      </c>
      <c r="H1670" t="s">
        <v>87</v>
      </c>
      <c r="I1670" t="s">
        <v>82</v>
      </c>
      <c r="J1670" t="str">
        <f t="shared" si="208"/>
        <v/>
      </c>
      <c r="K1670" t="str">
        <f t="shared" si="209"/>
        <v>Duplicate</v>
      </c>
      <c r="L1670" t="str">
        <f t="shared" si="210"/>
        <v>Unusual</v>
      </c>
      <c r="M1670" t="str">
        <f t="shared" si="211"/>
        <v/>
      </c>
      <c r="N1670" t="str">
        <f t="shared" si="212"/>
        <v>Invalid</v>
      </c>
      <c r="O1670" t="str">
        <f t="shared" ca="1" si="213"/>
        <v>Outdated</v>
      </c>
      <c r="P1670" t="str">
        <f t="shared" si="214"/>
        <v>Wrong Item</v>
      </c>
      <c r="Q1670" t="str">
        <f t="shared" si="215"/>
        <v/>
      </c>
    </row>
    <row r="1671" spans="1:17" x14ac:dyDescent="0.45">
      <c r="A1671" t="s">
        <v>2468</v>
      </c>
      <c r="B1671" t="s">
        <v>99</v>
      </c>
      <c r="C1671" t="s">
        <v>251</v>
      </c>
      <c r="D1671" t="s">
        <v>92</v>
      </c>
      <c r="E1671" s="8">
        <v>3483.53</v>
      </c>
      <c r="F1671" s="9">
        <v>45353.666684444448</v>
      </c>
      <c r="G1671" t="s">
        <v>102</v>
      </c>
      <c r="H1671" t="s">
        <v>128</v>
      </c>
      <c r="I1671" t="s">
        <v>82</v>
      </c>
      <c r="J1671" t="str">
        <f t="shared" si="208"/>
        <v/>
      </c>
      <c r="K1671" t="str">
        <f t="shared" si="209"/>
        <v/>
      </c>
      <c r="L1671" t="str">
        <f t="shared" si="210"/>
        <v/>
      </c>
      <c r="M1671" t="str">
        <f t="shared" si="211"/>
        <v/>
      </c>
      <c r="N1671" t="str">
        <f t="shared" si="212"/>
        <v>Invalid</v>
      </c>
      <c r="O1671" t="str">
        <f t="shared" ca="1" si="213"/>
        <v>Outdated</v>
      </c>
      <c r="P1671" t="str">
        <f t="shared" si="214"/>
        <v>Not As Described</v>
      </c>
      <c r="Q1671" t="str">
        <f t="shared" si="215"/>
        <v/>
      </c>
    </row>
    <row r="1672" spans="1:17" x14ac:dyDescent="0.45">
      <c r="A1672" t="s">
        <v>453</v>
      </c>
      <c r="B1672" t="s">
        <v>95</v>
      </c>
      <c r="C1672" t="s">
        <v>2066</v>
      </c>
      <c r="D1672" t="s">
        <v>85</v>
      </c>
      <c r="E1672" s="8">
        <v>1912.68</v>
      </c>
      <c r="F1672" s="9">
        <v>45532.666684444448</v>
      </c>
      <c r="G1672" t="s">
        <v>97</v>
      </c>
      <c r="H1672" t="s">
        <v>116</v>
      </c>
      <c r="I1672" t="s">
        <v>112</v>
      </c>
      <c r="J1672" t="str">
        <f t="shared" si="208"/>
        <v/>
      </c>
      <c r="K1672" t="str">
        <f t="shared" si="209"/>
        <v>Duplicate</v>
      </c>
      <c r="L1672" t="str">
        <f t="shared" si="210"/>
        <v/>
      </c>
      <c r="M1672" t="str">
        <f t="shared" si="211"/>
        <v/>
      </c>
      <c r="N1672" t="str">
        <f t="shared" si="212"/>
        <v/>
      </c>
      <c r="O1672" t="str">
        <f t="shared" ca="1" si="213"/>
        <v>Outdated</v>
      </c>
      <c r="P1672" t="str">
        <f t="shared" si="214"/>
        <v>Late Delivery</v>
      </c>
      <c r="Q1672" t="str">
        <f t="shared" si="215"/>
        <v/>
      </c>
    </row>
    <row r="1673" spans="1:17" x14ac:dyDescent="0.45">
      <c r="A1673" t="s">
        <v>2469</v>
      </c>
      <c r="B1673" t="s">
        <v>99</v>
      </c>
      <c r="C1673" t="s">
        <v>472</v>
      </c>
      <c r="D1673" t="s">
        <v>101</v>
      </c>
      <c r="E1673" s="8">
        <v>0</v>
      </c>
      <c r="F1673" s="9">
        <v>45741.666684444448</v>
      </c>
      <c r="G1673" t="s">
        <v>102</v>
      </c>
      <c r="H1673" t="s">
        <v>118</v>
      </c>
      <c r="I1673" t="s">
        <v>112</v>
      </c>
      <c r="J1673" t="str">
        <f t="shared" si="208"/>
        <v/>
      </c>
      <c r="K1673" t="str">
        <f t="shared" si="209"/>
        <v/>
      </c>
      <c r="L1673" t="str">
        <f t="shared" si="210"/>
        <v>Unusual</v>
      </c>
      <c r="M1673" t="str">
        <f t="shared" si="211"/>
        <v/>
      </c>
      <c r="N1673" t="str">
        <f t="shared" si="212"/>
        <v>Invalid</v>
      </c>
      <c r="O1673" t="str">
        <f t="shared" ca="1" si="213"/>
        <v>Outdated</v>
      </c>
      <c r="P1673" t="str">
        <f t="shared" si="214"/>
        <v>Damaged</v>
      </c>
      <c r="Q1673" t="str">
        <f t="shared" si="215"/>
        <v/>
      </c>
    </row>
    <row r="1674" spans="1:17" x14ac:dyDescent="0.45">
      <c r="A1674" t="s">
        <v>2470</v>
      </c>
      <c r="B1674" t="s">
        <v>104</v>
      </c>
      <c r="C1674" t="s">
        <v>123</v>
      </c>
      <c r="D1674" t="s">
        <v>85</v>
      </c>
      <c r="E1674" s="8">
        <v>4996.71</v>
      </c>
      <c r="F1674" s="9">
        <v>45184.666684444448</v>
      </c>
      <c r="G1674" t="s">
        <v>115</v>
      </c>
      <c r="H1674" t="s">
        <v>116</v>
      </c>
      <c r="I1674" t="s">
        <v>119</v>
      </c>
      <c r="J1674" t="str">
        <f t="shared" si="208"/>
        <v/>
      </c>
      <c r="K1674" t="str">
        <f t="shared" si="209"/>
        <v/>
      </c>
      <c r="L1674" t="str">
        <f t="shared" si="210"/>
        <v/>
      </c>
      <c r="M1674" t="str">
        <f t="shared" si="211"/>
        <v/>
      </c>
      <c r="N1674" t="str">
        <f t="shared" si="212"/>
        <v/>
      </c>
      <c r="O1674" t="str">
        <f t="shared" ca="1" si="213"/>
        <v>Outdated</v>
      </c>
      <c r="P1674" t="str">
        <f t="shared" si="214"/>
        <v>Late Delivery</v>
      </c>
      <c r="Q1674" t="str">
        <f t="shared" si="215"/>
        <v/>
      </c>
    </row>
    <row r="1675" spans="1:17" x14ac:dyDescent="0.45">
      <c r="A1675" t="s">
        <v>2471</v>
      </c>
      <c r="B1675" t="s">
        <v>90</v>
      </c>
      <c r="C1675" t="s">
        <v>2136</v>
      </c>
      <c r="D1675" t="s">
        <v>74</v>
      </c>
      <c r="E1675" s="8">
        <v>9922.84</v>
      </c>
      <c r="F1675" s="9">
        <v>45135.666684444448</v>
      </c>
      <c r="G1675" t="s">
        <v>93</v>
      </c>
      <c r="H1675" t="s">
        <v>116</v>
      </c>
      <c r="I1675" t="s">
        <v>163</v>
      </c>
      <c r="J1675" t="str">
        <f t="shared" si="208"/>
        <v/>
      </c>
      <c r="K1675" t="str">
        <f t="shared" si="209"/>
        <v/>
      </c>
      <c r="L1675" t="str">
        <f t="shared" si="210"/>
        <v/>
      </c>
      <c r="M1675" t="str">
        <f t="shared" si="211"/>
        <v/>
      </c>
      <c r="N1675" t="str">
        <f t="shared" si="212"/>
        <v/>
      </c>
      <c r="O1675" t="str">
        <f t="shared" ca="1" si="213"/>
        <v>Outdated</v>
      </c>
      <c r="P1675" t="str">
        <f t="shared" si="214"/>
        <v>Wrong Item</v>
      </c>
      <c r="Q1675" t="str">
        <f t="shared" si="215"/>
        <v/>
      </c>
    </row>
    <row r="1676" spans="1:17" x14ac:dyDescent="0.45">
      <c r="A1676" t="s">
        <v>2472</v>
      </c>
      <c r="B1676" t="s">
        <v>138</v>
      </c>
      <c r="C1676" t="s">
        <v>456</v>
      </c>
      <c r="D1676" t="s">
        <v>101</v>
      </c>
      <c r="E1676" s="8">
        <v>0</v>
      </c>
      <c r="F1676" s="9">
        <v>45337.666684444448</v>
      </c>
      <c r="G1676" t="s">
        <v>140</v>
      </c>
      <c r="H1676" t="s">
        <v>128</v>
      </c>
      <c r="I1676" t="s">
        <v>163</v>
      </c>
      <c r="J1676" t="str">
        <f t="shared" si="208"/>
        <v/>
      </c>
      <c r="K1676" t="str">
        <f t="shared" si="209"/>
        <v/>
      </c>
      <c r="L1676" t="str">
        <f t="shared" si="210"/>
        <v>Unusual</v>
      </c>
      <c r="M1676" t="str">
        <f t="shared" si="211"/>
        <v/>
      </c>
      <c r="N1676" t="str">
        <f t="shared" si="212"/>
        <v>Invalid</v>
      </c>
      <c r="O1676" t="str">
        <f t="shared" ca="1" si="213"/>
        <v>Outdated</v>
      </c>
      <c r="P1676" t="str">
        <f t="shared" si="214"/>
        <v>Damaged</v>
      </c>
      <c r="Q1676" t="str">
        <f t="shared" si="215"/>
        <v/>
      </c>
    </row>
    <row r="1677" spans="1:17" x14ac:dyDescent="0.45">
      <c r="A1677" t="s">
        <v>2473</v>
      </c>
      <c r="B1677" t="s">
        <v>95</v>
      </c>
      <c r="C1677" t="s">
        <v>685</v>
      </c>
      <c r="D1677" t="s">
        <v>148</v>
      </c>
      <c r="E1677" s="8">
        <v>4055.35</v>
      </c>
      <c r="F1677" s="9">
        <v>45436.666684444448</v>
      </c>
      <c r="G1677" t="s">
        <v>97</v>
      </c>
      <c r="H1677" t="s">
        <v>118</v>
      </c>
      <c r="I1677" t="s">
        <v>119</v>
      </c>
      <c r="J1677" t="str">
        <f t="shared" si="208"/>
        <v/>
      </c>
      <c r="K1677" t="str">
        <f t="shared" si="209"/>
        <v/>
      </c>
      <c r="L1677" t="str">
        <f t="shared" si="210"/>
        <v/>
      </c>
      <c r="M1677" t="str">
        <f t="shared" si="211"/>
        <v/>
      </c>
      <c r="N1677" t="str">
        <f t="shared" si="212"/>
        <v>Invalid</v>
      </c>
      <c r="O1677" t="str">
        <f t="shared" ca="1" si="213"/>
        <v>Outdated</v>
      </c>
      <c r="P1677" t="str">
        <f t="shared" si="214"/>
        <v>Wrong Item</v>
      </c>
      <c r="Q1677" t="str">
        <f t="shared" si="215"/>
        <v>Inconsistent</v>
      </c>
    </row>
    <row r="1678" spans="1:17" x14ac:dyDescent="0.45">
      <c r="A1678" t="s">
        <v>2474</v>
      </c>
      <c r="B1678" t="s">
        <v>95</v>
      </c>
      <c r="C1678" t="s">
        <v>2444</v>
      </c>
      <c r="D1678" t="s">
        <v>74</v>
      </c>
      <c r="E1678" s="8">
        <v>11190.52</v>
      </c>
      <c r="F1678" s="9">
        <v>45344.666684444448</v>
      </c>
      <c r="G1678" t="s">
        <v>97</v>
      </c>
      <c r="H1678" t="s">
        <v>87</v>
      </c>
      <c r="I1678" t="s">
        <v>82</v>
      </c>
      <c r="J1678" t="str">
        <f t="shared" si="208"/>
        <v/>
      </c>
      <c r="K1678" t="str">
        <f t="shared" si="209"/>
        <v/>
      </c>
      <c r="L1678" t="str">
        <f t="shared" si="210"/>
        <v>Unusual</v>
      </c>
      <c r="M1678" t="str">
        <f t="shared" si="211"/>
        <v/>
      </c>
      <c r="N1678" t="str">
        <f t="shared" si="212"/>
        <v>Invalid</v>
      </c>
      <c r="O1678" t="str">
        <f t="shared" ca="1" si="213"/>
        <v>Outdated</v>
      </c>
      <c r="P1678" t="str">
        <f t="shared" si="214"/>
        <v>Wrong Item</v>
      </c>
      <c r="Q1678" t="str">
        <f t="shared" si="215"/>
        <v/>
      </c>
    </row>
    <row r="1679" spans="1:17" x14ac:dyDescent="0.45">
      <c r="A1679" t="s">
        <v>2475</v>
      </c>
      <c r="B1679" t="s">
        <v>99</v>
      </c>
      <c r="C1679" t="s">
        <v>1746</v>
      </c>
      <c r="D1679" t="s">
        <v>101</v>
      </c>
      <c r="E1679" s="8">
        <v>7710.38</v>
      </c>
      <c r="F1679" s="9">
        <v>45268.666684444448</v>
      </c>
      <c r="G1679" t="s">
        <v>102</v>
      </c>
      <c r="H1679" t="s">
        <v>133</v>
      </c>
      <c r="I1679" t="s">
        <v>163</v>
      </c>
      <c r="J1679" t="str">
        <f t="shared" si="208"/>
        <v/>
      </c>
      <c r="K1679" t="str">
        <f t="shared" si="209"/>
        <v/>
      </c>
      <c r="L1679" t="str">
        <f t="shared" si="210"/>
        <v/>
      </c>
      <c r="M1679" t="str">
        <f t="shared" si="211"/>
        <v/>
      </c>
      <c r="N1679" t="str">
        <f t="shared" si="212"/>
        <v>Invalid</v>
      </c>
      <c r="O1679" t="str">
        <f t="shared" ca="1" si="213"/>
        <v>Outdated</v>
      </c>
      <c r="P1679" t="str">
        <f t="shared" si="214"/>
        <v>Damaged</v>
      </c>
      <c r="Q1679" t="str">
        <f t="shared" si="215"/>
        <v/>
      </c>
    </row>
    <row r="1680" spans="1:17" x14ac:dyDescent="0.45">
      <c r="A1680" t="s">
        <v>2476</v>
      </c>
      <c r="B1680" t="s">
        <v>109</v>
      </c>
      <c r="C1680" t="s">
        <v>2477</v>
      </c>
      <c r="E1680" s="8">
        <v>6085.73</v>
      </c>
      <c r="F1680" s="9">
        <v>45389.666684444448</v>
      </c>
      <c r="G1680" t="s">
        <v>111</v>
      </c>
      <c r="H1680" t="s">
        <v>76</v>
      </c>
      <c r="I1680" t="s">
        <v>119</v>
      </c>
      <c r="J1680" t="str">
        <f t="shared" si="208"/>
        <v>Missing</v>
      </c>
      <c r="K1680" t="str">
        <f t="shared" si="209"/>
        <v/>
      </c>
      <c r="L1680" t="str">
        <f t="shared" si="210"/>
        <v/>
      </c>
      <c r="M1680" t="str">
        <f t="shared" si="211"/>
        <v/>
      </c>
      <c r="N1680" t="str">
        <f t="shared" si="212"/>
        <v/>
      </c>
      <c r="O1680" t="str">
        <f t="shared" ca="1" si="213"/>
        <v>Outdated</v>
      </c>
      <c r="P1680" t="str">
        <f t="shared" si="214"/>
        <v/>
      </c>
      <c r="Q1680" t="str">
        <f t="shared" si="215"/>
        <v/>
      </c>
    </row>
    <row r="1681" spans="1:17" x14ac:dyDescent="0.45">
      <c r="A1681" t="s">
        <v>2478</v>
      </c>
      <c r="B1681" t="s">
        <v>109</v>
      </c>
      <c r="C1681" t="s">
        <v>2479</v>
      </c>
      <c r="D1681" t="s">
        <v>106</v>
      </c>
      <c r="E1681" s="8">
        <v>10580.67</v>
      </c>
      <c r="F1681" s="9">
        <v>45424.666684444448</v>
      </c>
      <c r="G1681" t="s">
        <v>111</v>
      </c>
      <c r="H1681" t="s">
        <v>107</v>
      </c>
      <c r="I1681" t="s">
        <v>119</v>
      </c>
      <c r="J1681" t="str">
        <f t="shared" si="208"/>
        <v/>
      </c>
      <c r="K1681" t="str">
        <f t="shared" si="209"/>
        <v/>
      </c>
      <c r="L1681" t="str">
        <f t="shared" si="210"/>
        <v>Unusual</v>
      </c>
      <c r="M1681" t="str">
        <f t="shared" si="211"/>
        <v/>
      </c>
      <c r="N1681" t="str">
        <f t="shared" si="212"/>
        <v/>
      </c>
      <c r="O1681" t="str">
        <f t="shared" ca="1" si="213"/>
        <v>Outdated</v>
      </c>
      <c r="P1681" t="str">
        <f t="shared" si="214"/>
        <v>Damaged</v>
      </c>
      <c r="Q1681" t="str">
        <f t="shared" si="215"/>
        <v>Inconsistent</v>
      </c>
    </row>
    <row r="1682" spans="1:17" x14ac:dyDescent="0.45">
      <c r="A1682" t="s">
        <v>2480</v>
      </c>
      <c r="B1682" t="s">
        <v>95</v>
      </c>
      <c r="C1682" t="s">
        <v>241</v>
      </c>
      <c r="D1682" t="s">
        <v>85</v>
      </c>
      <c r="E1682" s="8">
        <v>6986.17</v>
      </c>
      <c r="F1682" s="9">
        <v>45463.666684444448</v>
      </c>
      <c r="H1682" t="s">
        <v>145</v>
      </c>
      <c r="I1682" t="s">
        <v>163</v>
      </c>
      <c r="J1682" t="str">
        <f t="shared" si="208"/>
        <v/>
      </c>
      <c r="K1682" t="str">
        <f t="shared" si="209"/>
        <v/>
      </c>
      <c r="L1682" t="str">
        <f t="shared" si="210"/>
        <v/>
      </c>
      <c r="M1682" t="str">
        <f t="shared" si="211"/>
        <v>Invalid</v>
      </c>
      <c r="N1682" t="str">
        <f t="shared" si="212"/>
        <v/>
      </c>
      <c r="O1682" t="str">
        <f t="shared" ca="1" si="213"/>
        <v>Outdated</v>
      </c>
      <c r="P1682" t="str">
        <f t="shared" si="214"/>
        <v>Late Delivery</v>
      </c>
      <c r="Q1682" t="str">
        <f t="shared" si="215"/>
        <v/>
      </c>
    </row>
    <row r="1683" spans="1:17" x14ac:dyDescent="0.45">
      <c r="A1683" t="s">
        <v>2481</v>
      </c>
      <c r="B1683" t="s">
        <v>109</v>
      </c>
      <c r="C1683" t="s">
        <v>1977</v>
      </c>
      <c r="D1683" t="s">
        <v>85</v>
      </c>
      <c r="E1683" s="8">
        <v>7934.8</v>
      </c>
      <c r="F1683" s="9">
        <v>45250.666684444448</v>
      </c>
      <c r="G1683" t="s">
        <v>111</v>
      </c>
      <c r="H1683" t="s">
        <v>128</v>
      </c>
      <c r="I1683" t="s">
        <v>112</v>
      </c>
      <c r="J1683" t="str">
        <f t="shared" si="208"/>
        <v/>
      </c>
      <c r="K1683" t="str">
        <f t="shared" si="209"/>
        <v/>
      </c>
      <c r="L1683" t="str">
        <f t="shared" si="210"/>
        <v/>
      </c>
      <c r="M1683" t="str">
        <f t="shared" si="211"/>
        <v/>
      </c>
      <c r="N1683" t="str">
        <f t="shared" si="212"/>
        <v>Invalid</v>
      </c>
      <c r="O1683" t="str">
        <f t="shared" ca="1" si="213"/>
        <v>Outdated</v>
      </c>
      <c r="P1683" t="str">
        <f t="shared" si="214"/>
        <v>Late Delivery</v>
      </c>
      <c r="Q1683" t="str">
        <f t="shared" si="215"/>
        <v/>
      </c>
    </row>
    <row r="1684" spans="1:17" x14ac:dyDescent="0.45">
      <c r="A1684" t="s">
        <v>2482</v>
      </c>
      <c r="B1684" t="s">
        <v>109</v>
      </c>
      <c r="C1684" t="s">
        <v>834</v>
      </c>
      <c r="D1684" t="s">
        <v>85</v>
      </c>
      <c r="E1684" s="8">
        <v>128.30000000000001</v>
      </c>
      <c r="F1684" s="9">
        <v>45135.666684444448</v>
      </c>
      <c r="G1684" t="s">
        <v>111</v>
      </c>
      <c r="H1684" t="s">
        <v>81</v>
      </c>
      <c r="I1684" t="s">
        <v>88</v>
      </c>
      <c r="J1684" t="str">
        <f t="shared" si="208"/>
        <v/>
      </c>
      <c r="K1684" t="str">
        <f t="shared" si="209"/>
        <v/>
      </c>
      <c r="L1684" t="str">
        <f t="shared" si="210"/>
        <v/>
      </c>
      <c r="M1684" t="str">
        <f t="shared" si="211"/>
        <v/>
      </c>
      <c r="N1684" t="str">
        <f t="shared" si="212"/>
        <v/>
      </c>
      <c r="O1684" t="str">
        <f t="shared" ca="1" si="213"/>
        <v>Outdated</v>
      </c>
      <c r="P1684" t="str">
        <f t="shared" si="214"/>
        <v>Late Delivery</v>
      </c>
      <c r="Q1684" t="str">
        <f t="shared" si="215"/>
        <v/>
      </c>
    </row>
    <row r="1685" spans="1:17" x14ac:dyDescent="0.45">
      <c r="A1685" t="s">
        <v>2483</v>
      </c>
      <c r="B1685" t="s">
        <v>95</v>
      </c>
      <c r="C1685" t="s">
        <v>2284</v>
      </c>
      <c r="D1685" t="s">
        <v>155</v>
      </c>
      <c r="E1685" s="8">
        <v>10119.14</v>
      </c>
      <c r="F1685" s="9">
        <v>45637.666684444448</v>
      </c>
      <c r="G1685" t="s">
        <v>336</v>
      </c>
      <c r="H1685" t="s">
        <v>133</v>
      </c>
      <c r="I1685" t="s">
        <v>82</v>
      </c>
      <c r="J1685" t="str">
        <f t="shared" si="208"/>
        <v/>
      </c>
      <c r="K1685" t="str">
        <f t="shared" si="209"/>
        <v/>
      </c>
      <c r="L1685" t="str">
        <f t="shared" si="210"/>
        <v>Unusual</v>
      </c>
      <c r="M1685" t="str">
        <f t="shared" si="211"/>
        <v>Invalid</v>
      </c>
      <c r="N1685" t="str">
        <f t="shared" si="212"/>
        <v>Invalid</v>
      </c>
      <c r="O1685" t="str">
        <f t="shared" ca="1" si="213"/>
        <v>Outdated</v>
      </c>
      <c r="P1685" t="str">
        <f t="shared" si="214"/>
        <v>Damaged</v>
      </c>
      <c r="Q1685" t="str">
        <f t="shared" si="215"/>
        <v>Inconsistent</v>
      </c>
    </row>
    <row r="1686" spans="1:17" x14ac:dyDescent="0.45">
      <c r="A1686" t="s">
        <v>2484</v>
      </c>
      <c r="B1686" t="s">
        <v>72</v>
      </c>
      <c r="C1686" t="s">
        <v>162</v>
      </c>
      <c r="D1686" t="s">
        <v>148</v>
      </c>
      <c r="E1686" s="8">
        <v>3736.51</v>
      </c>
      <c r="F1686" s="9">
        <v>45568.666684444448</v>
      </c>
      <c r="G1686" t="s">
        <v>75</v>
      </c>
      <c r="H1686" t="s">
        <v>81</v>
      </c>
      <c r="I1686" t="s">
        <v>88</v>
      </c>
      <c r="J1686" t="str">
        <f t="shared" si="208"/>
        <v/>
      </c>
      <c r="K1686" t="str">
        <f t="shared" si="209"/>
        <v/>
      </c>
      <c r="L1686" t="str">
        <f t="shared" si="210"/>
        <v/>
      </c>
      <c r="M1686" t="str">
        <f t="shared" si="211"/>
        <v/>
      </c>
      <c r="N1686" t="str">
        <f t="shared" si="212"/>
        <v/>
      </c>
      <c r="O1686" t="str">
        <f t="shared" ca="1" si="213"/>
        <v>Outdated</v>
      </c>
      <c r="P1686" t="str">
        <f t="shared" si="214"/>
        <v>Wrong Item</v>
      </c>
      <c r="Q1686" t="str">
        <f t="shared" si="215"/>
        <v>Inconsistent</v>
      </c>
    </row>
    <row r="1687" spans="1:17" x14ac:dyDescent="0.45">
      <c r="A1687" t="s">
        <v>2485</v>
      </c>
      <c r="B1687" t="s">
        <v>72</v>
      </c>
      <c r="D1687" t="s">
        <v>74</v>
      </c>
      <c r="E1687" s="8">
        <v>1870.57</v>
      </c>
      <c r="F1687" s="9">
        <v>45307.666684444448</v>
      </c>
      <c r="G1687" t="s">
        <v>75</v>
      </c>
      <c r="H1687" t="s">
        <v>116</v>
      </c>
      <c r="I1687" t="s">
        <v>163</v>
      </c>
      <c r="J1687" t="str">
        <f t="shared" si="208"/>
        <v>Missing</v>
      </c>
      <c r="K1687" t="str">
        <f t="shared" si="209"/>
        <v/>
      </c>
      <c r="L1687" t="str">
        <f t="shared" si="210"/>
        <v/>
      </c>
      <c r="M1687" t="str">
        <f t="shared" si="211"/>
        <v/>
      </c>
      <c r="N1687" t="str">
        <f t="shared" si="212"/>
        <v/>
      </c>
      <c r="O1687" t="str">
        <f t="shared" ca="1" si="213"/>
        <v>Outdated</v>
      </c>
      <c r="P1687" t="str">
        <f t="shared" si="214"/>
        <v>Wrong Item</v>
      </c>
      <c r="Q1687" t="str">
        <f t="shared" si="215"/>
        <v/>
      </c>
    </row>
    <row r="1688" spans="1:17" x14ac:dyDescent="0.45">
      <c r="A1688" t="s">
        <v>677</v>
      </c>
      <c r="B1688" t="s">
        <v>104</v>
      </c>
      <c r="C1688" t="s">
        <v>1277</v>
      </c>
      <c r="D1688" t="s">
        <v>101</v>
      </c>
      <c r="E1688" s="8">
        <v>8248.4699999999993</v>
      </c>
      <c r="F1688" s="9">
        <v>45260.666684444448</v>
      </c>
      <c r="G1688" t="s">
        <v>115</v>
      </c>
      <c r="H1688" t="s">
        <v>136</v>
      </c>
      <c r="I1688" t="s">
        <v>112</v>
      </c>
      <c r="J1688" t="str">
        <f t="shared" si="208"/>
        <v/>
      </c>
      <c r="K1688" t="str">
        <f t="shared" si="209"/>
        <v>Duplicate</v>
      </c>
      <c r="L1688" t="str">
        <f t="shared" si="210"/>
        <v/>
      </c>
      <c r="M1688" t="str">
        <f t="shared" si="211"/>
        <v/>
      </c>
      <c r="N1688" t="str">
        <f t="shared" si="212"/>
        <v>Invalid</v>
      </c>
      <c r="O1688" t="str">
        <f t="shared" ca="1" si="213"/>
        <v>Outdated</v>
      </c>
      <c r="P1688" t="str">
        <f t="shared" si="214"/>
        <v>Damaged</v>
      </c>
      <c r="Q1688" t="str">
        <f t="shared" si="215"/>
        <v/>
      </c>
    </row>
    <row r="1689" spans="1:17" x14ac:dyDescent="0.45">
      <c r="A1689" t="s">
        <v>2486</v>
      </c>
      <c r="B1689" t="s">
        <v>172</v>
      </c>
      <c r="C1689" t="s">
        <v>2329</v>
      </c>
      <c r="D1689" t="s">
        <v>85</v>
      </c>
      <c r="E1689" s="8">
        <v>8556.2000000000007</v>
      </c>
      <c r="F1689" s="9">
        <v>45517.666684444448</v>
      </c>
      <c r="H1689" t="s">
        <v>136</v>
      </c>
      <c r="I1689" t="s">
        <v>88</v>
      </c>
      <c r="J1689" t="str">
        <f t="shared" si="208"/>
        <v/>
      </c>
      <c r="K1689" t="str">
        <f t="shared" si="209"/>
        <v/>
      </c>
      <c r="L1689" t="str">
        <f t="shared" si="210"/>
        <v/>
      </c>
      <c r="M1689" t="str">
        <f t="shared" si="211"/>
        <v>Invalid</v>
      </c>
      <c r="N1689" t="str">
        <f t="shared" si="212"/>
        <v>Invalid</v>
      </c>
      <c r="O1689" t="str">
        <f t="shared" ca="1" si="213"/>
        <v>Outdated</v>
      </c>
      <c r="P1689" t="str">
        <f t="shared" si="214"/>
        <v>Late Delivery</v>
      </c>
      <c r="Q1689" t="str">
        <f t="shared" si="215"/>
        <v/>
      </c>
    </row>
    <row r="1690" spans="1:17" x14ac:dyDescent="0.45">
      <c r="A1690" t="s">
        <v>2487</v>
      </c>
      <c r="B1690" t="s">
        <v>138</v>
      </c>
      <c r="C1690" t="s">
        <v>1263</v>
      </c>
      <c r="D1690" t="s">
        <v>92</v>
      </c>
      <c r="E1690" s="8">
        <v>3027.23</v>
      </c>
      <c r="F1690" s="9">
        <v>45673.666684444448</v>
      </c>
      <c r="G1690" t="s">
        <v>140</v>
      </c>
      <c r="H1690" t="s">
        <v>133</v>
      </c>
      <c r="I1690" t="s">
        <v>119</v>
      </c>
      <c r="J1690" t="str">
        <f t="shared" si="208"/>
        <v/>
      </c>
      <c r="K1690" t="str">
        <f t="shared" si="209"/>
        <v/>
      </c>
      <c r="L1690" t="str">
        <f t="shared" si="210"/>
        <v/>
      </c>
      <c r="M1690" t="str">
        <f t="shared" si="211"/>
        <v/>
      </c>
      <c r="N1690" t="str">
        <f t="shared" si="212"/>
        <v>Invalid</v>
      </c>
      <c r="O1690" t="str">
        <f t="shared" ca="1" si="213"/>
        <v>Outdated</v>
      </c>
      <c r="P1690" t="str">
        <f t="shared" si="214"/>
        <v>Not As Described</v>
      </c>
      <c r="Q1690" t="str">
        <f t="shared" si="215"/>
        <v/>
      </c>
    </row>
    <row r="1691" spans="1:17" x14ac:dyDescent="0.45">
      <c r="A1691" t="s">
        <v>2488</v>
      </c>
      <c r="B1691" t="s">
        <v>172</v>
      </c>
      <c r="C1691" t="s">
        <v>939</v>
      </c>
      <c r="D1691" t="s">
        <v>85</v>
      </c>
      <c r="E1691" s="8">
        <v>11434.92</v>
      </c>
      <c r="F1691" s="9">
        <v>45848.666684444448</v>
      </c>
      <c r="H1691" t="s">
        <v>87</v>
      </c>
      <c r="I1691" t="s">
        <v>82</v>
      </c>
      <c r="J1691" t="str">
        <f t="shared" si="208"/>
        <v/>
      </c>
      <c r="K1691" t="str">
        <f t="shared" si="209"/>
        <v/>
      </c>
      <c r="L1691" t="str">
        <f t="shared" si="210"/>
        <v>Unusual</v>
      </c>
      <c r="M1691" t="str">
        <f t="shared" si="211"/>
        <v>Invalid</v>
      </c>
      <c r="N1691" t="str">
        <f t="shared" si="212"/>
        <v>Invalid</v>
      </c>
      <c r="O1691" t="str">
        <f t="shared" ca="1" si="213"/>
        <v/>
      </c>
      <c r="P1691" t="str">
        <f t="shared" si="214"/>
        <v>Late Delivery</v>
      </c>
      <c r="Q1691" t="str">
        <f t="shared" si="215"/>
        <v/>
      </c>
    </row>
    <row r="1692" spans="1:17" x14ac:dyDescent="0.45">
      <c r="A1692" t="s">
        <v>2489</v>
      </c>
      <c r="B1692" t="s">
        <v>109</v>
      </c>
      <c r="C1692" t="s">
        <v>1594</v>
      </c>
      <c r="D1692" t="s">
        <v>92</v>
      </c>
      <c r="E1692" s="8">
        <v>4046.64</v>
      </c>
      <c r="F1692" s="9">
        <v>45363.666684444448</v>
      </c>
      <c r="G1692" t="s">
        <v>111</v>
      </c>
      <c r="H1692" t="s">
        <v>118</v>
      </c>
      <c r="I1692" t="s">
        <v>119</v>
      </c>
      <c r="J1692" t="str">
        <f t="shared" si="208"/>
        <v/>
      </c>
      <c r="K1692" t="str">
        <f t="shared" si="209"/>
        <v/>
      </c>
      <c r="L1692" t="str">
        <f t="shared" si="210"/>
        <v/>
      </c>
      <c r="M1692" t="str">
        <f t="shared" si="211"/>
        <v/>
      </c>
      <c r="N1692" t="str">
        <f t="shared" si="212"/>
        <v>Invalid</v>
      </c>
      <c r="O1692" t="str">
        <f t="shared" ca="1" si="213"/>
        <v>Outdated</v>
      </c>
      <c r="P1692" t="str">
        <f t="shared" si="214"/>
        <v>Not As Described</v>
      </c>
      <c r="Q1692" t="str">
        <f t="shared" si="215"/>
        <v/>
      </c>
    </row>
    <row r="1693" spans="1:17" x14ac:dyDescent="0.45">
      <c r="A1693" t="s">
        <v>2490</v>
      </c>
      <c r="B1693" t="s">
        <v>79</v>
      </c>
      <c r="C1693" t="s">
        <v>1307</v>
      </c>
      <c r="D1693" t="s">
        <v>106</v>
      </c>
      <c r="E1693" s="8">
        <v>0</v>
      </c>
      <c r="F1693" s="9">
        <v>45640.666684444448</v>
      </c>
      <c r="G1693" t="s">
        <v>86</v>
      </c>
      <c r="H1693" t="s">
        <v>87</v>
      </c>
      <c r="I1693" t="s">
        <v>77</v>
      </c>
      <c r="J1693" t="str">
        <f t="shared" si="208"/>
        <v/>
      </c>
      <c r="K1693" t="str">
        <f t="shared" si="209"/>
        <v/>
      </c>
      <c r="L1693" t="str">
        <f t="shared" si="210"/>
        <v>Unusual</v>
      </c>
      <c r="M1693" t="str">
        <f t="shared" si="211"/>
        <v/>
      </c>
      <c r="N1693" t="str">
        <f t="shared" si="212"/>
        <v>Invalid</v>
      </c>
      <c r="O1693" t="str">
        <f t="shared" ca="1" si="213"/>
        <v>Outdated</v>
      </c>
      <c r="P1693" t="str">
        <f t="shared" si="214"/>
        <v>Damaged</v>
      </c>
      <c r="Q1693" t="str">
        <f t="shared" si="215"/>
        <v>Inconsistent</v>
      </c>
    </row>
    <row r="1694" spans="1:17" x14ac:dyDescent="0.45">
      <c r="A1694" t="s">
        <v>2491</v>
      </c>
      <c r="B1694" t="s">
        <v>109</v>
      </c>
      <c r="C1694" t="s">
        <v>1064</v>
      </c>
      <c r="D1694" t="s">
        <v>74</v>
      </c>
      <c r="E1694" s="8">
        <v>5053.63</v>
      </c>
      <c r="F1694" s="9">
        <v>45700.666684444448</v>
      </c>
      <c r="G1694" t="s">
        <v>307</v>
      </c>
      <c r="H1694" t="s">
        <v>145</v>
      </c>
      <c r="I1694" t="s">
        <v>88</v>
      </c>
      <c r="J1694" t="str">
        <f t="shared" si="208"/>
        <v/>
      </c>
      <c r="K1694" t="str">
        <f t="shared" si="209"/>
        <v/>
      </c>
      <c r="L1694" t="str">
        <f t="shared" si="210"/>
        <v/>
      </c>
      <c r="M1694" t="str">
        <f t="shared" si="211"/>
        <v>Invalid</v>
      </c>
      <c r="N1694" t="str">
        <f t="shared" si="212"/>
        <v/>
      </c>
      <c r="O1694" t="str">
        <f t="shared" ca="1" si="213"/>
        <v>Outdated</v>
      </c>
      <c r="P1694" t="str">
        <f t="shared" si="214"/>
        <v>Wrong Item</v>
      </c>
      <c r="Q1694" t="str">
        <f t="shared" si="215"/>
        <v/>
      </c>
    </row>
    <row r="1695" spans="1:17" x14ac:dyDescent="0.45">
      <c r="A1695" t="s">
        <v>2492</v>
      </c>
      <c r="B1695" t="s">
        <v>95</v>
      </c>
      <c r="C1695" t="s">
        <v>1585</v>
      </c>
      <c r="D1695" t="s">
        <v>74</v>
      </c>
      <c r="E1695" s="8">
        <v>0</v>
      </c>
      <c r="F1695" s="9">
        <v>45812.666684444448</v>
      </c>
      <c r="G1695" t="s">
        <v>97</v>
      </c>
      <c r="H1695" t="s">
        <v>87</v>
      </c>
      <c r="I1695" t="s">
        <v>119</v>
      </c>
      <c r="J1695" t="str">
        <f t="shared" si="208"/>
        <v/>
      </c>
      <c r="K1695" t="str">
        <f t="shared" si="209"/>
        <v/>
      </c>
      <c r="L1695" t="str">
        <f t="shared" si="210"/>
        <v>Unusual</v>
      </c>
      <c r="M1695" t="str">
        <f t="shared" si="211"/>
        <v/>
      </c>
      <c r="N1695" t="str">
        <f t="shared" si="212"/>
        <v>Invalid</v>
      </c>
      <c r="O1695" t="str">
        <f t="shared" ca="1" si="213"/>
        <v>Outdated</v>
      </c>
      <c r="P1695" t="str">
        <f t="shared" si="214"/>
        <v>Wrong Item</v>
      </c>
      <c r="Q1695" t="str">
        <f t="shared" si="215"/>
        <v/>
      </c>
    </row>
    <row r="1696" spans="1:17" x14ac:dyDescent="0.45">
      <c r="A1696" t="s">
        <v>2493</v>
      </c>
      <c r="B1696" t="s">
        <v>95</v>
      </c>
      <c r="C1696" t="s">
        <v>547</v>
      </c>
      <c r="D1696" t="s">
        <v>101</v>
      </c>
      <c r="E1696" s="8">
        <v>5460.19</v>
      </c>
      <c r="F1696" s="9">
        <v>45490.666684444448</v>
      </c>
      <c r="G1696" t="s">
        <v>97</v>
      </c>
      <c r="H1696" t="s">
        <v>81</v>
      </c>
      <c r="I1696" t="s">
        <v>163</v>
      </c>
      <c r="J1696" t="str">
        <f t="shared" si="208"/>
        <v/>
      </c>
      <c r="K1696" t="str">
        <f t="shared" si="209"/>
        <v/>
      </c>
      <c r="L1696" t="str">
        <f t="shared" si="210"/>
        <v/>
      </c>
      <c r="M1696" t="str">
        <f t="shared" si="211"/>
        <v/>
      </c>
      <c r="N1696" t="str">
        <f t="shared" si="212"/>
        <v/>
      </c>
      <c r="O1696" t="str">
        <f t="shared" ca="1" si="213"/>
        <v>Outdated</v>
      </c>
      <c r="P1696" t="str">
        <f t="shared" si="214"/>
        <v>Damaged</v>
      </c>
      <c r="Q1696" t="str">
        <f t="shared" si="215"/>
        <v/>
      </c>
    </row>
    <row r="1697" spans="1:17" x14ac:dyDescent="0.45">
      <c r="A1697" t="s">
        <v>2494</v>
      </c>
      <c r="B1697" t="s">
        <v>138</v>
      </c>
      <c r="C1697" t="s">
        <v>462</v>
      </c>
      <c r="D1697" t="s">
        <v>101</v>
      </c>
      <c r="E1697" s="8">
        <v>7917.63</v>
      </c>
      <c r="F1697" s="9">
        <v>45201.666684444448</v>
      </c>
      <c r="G1697" t="s">
        <v>140</v>
      </c>
      <c r="H1697" t="s">
        <v>81</v>
      </c>
      <c r="I1697" t="s">
        <v>82</v>
      </c>
      <c r="J1697" t="str">
        <f t="shared" si="208"/>
        <v/>
      </c>
      <c r="K1697" t="str">
        <f t="shared" si="209"/>
        <v/>
      </c>
      <c r="L1697" t="str">
        <f t="shared" si="210"/>
        <v/>
      </c>
      <c r="M1697" t="str">
        <f t="shared" si="211"/>
        <v/>
      </c>
      <c r="N1697" t="str">
        <f t="shared" si="212"/>
        <v/>
      </c>
      <c r="O1697" t="str">
        <f t="shared" ca="1" si="213"/>
        <v>Outdated</v>
      </c>
      <c r="P1697" t="str">
        <f t="shared" si="214"/>
        <v>Damaged</v>
      </c>
      <c r="Q1697" t="str">
        <f t="shared" si="215"/>
        <v/>
      </c>
    </row>
    <row r="1698" spans="1:17" x14ac:dyDescent="0.45">
      <c r="A1698" t="s">
        <v>2495</v>
      </c>
      <c r="B1698" t="s">
        <v>90</v>
      </c>
      <c r="D1698" t="s">
        <v>74</v>
      </c>
      <c r="E1698" s="8">
        <v>2695.93</v>
      </c>
      <c r="F1698" s="9">
        <v>45534.666684444448</v>
      </c>
      <c r="G1698" t="s">
        <v>93</v>
      </c>
      <c r="H1698" t="s">
        <v>107</v>
      </c>
      <c r="I1698" t="s">
        <v>112</v>
      </c>
      <c r="J1698" t="str">
        <f t="shared" si="208"/>
        <v>Missing</v>
      </c>
      <c r="K1698" t="str">
        <f t="shared" si="209"/>
        <v/>
      </c>
      <c r="L1698" t="str">
        <f t="shared" si="210"/>
        <v/>
      </c>
      <c r="M1698" t="str">
        <f t="shared" si="211"/>
        <v/>
      </c>
      <c r="N1698" t="str">
        <f t="shared" si="212"/>
        <v/>
      </c>
      <c r="O1698" t="str">
        <f t="shared" ca="1" si="213"/>
        <v>Outdated</v>
      </c>
      <c r="P1698" t="str">
        <f t="shared" si="214"/>
        <v>Wrong Item</v>
      </c>
      <c r="Q1698" t="str">
        <f t="shared" si="215"/>
        <v/>
      </c>
    </row>
    <row r="1699" spans="1:17" x14ac:dyDescent="0.45">
      <c r="A1699" t="s">
        <v>2496</v>
      </c>
      <c r="B1699" t="s">
        <v>90</v>
      </c>
      <c r="C1699" t="s">
        <v>1545</v>
      </c>
      <c r="D1699" t="s">
        <v>74</v>
      </c>
      <c r="E1699" s="8">
        <v>8494.35</v>
      </c>
      <c r="F1699" s="9">
        <v>45171.666684444448</v>
      </c>
      <c r="G1699" t="s">
        <v>93</v>
      </c>
      <c r="H1699" t="s">
        <v>116</v>
      </c>
      <c r="I1699" t="s">
        <v>163</v>
      </c>
      <c r="J1699" t="str">
        <f t="shared" si="208"/>
        <v/>
      </c>
      <c r="K1699" t="str">
        <f t="shared" si="209"/>
        <v/>
      </c>
      <c r="L1699" t="str">
        <f t="shared" si="210"/>
        <v/>
      </c>
      <c r="M1699" t="str">
        <f t="shared" si="211"/>
        <v/>
      </c>
      <c r="N1699" t="str">
        <f t="shared" si="212"/>
        <v/>
      </c>
      <c r="O1699" t="str">
        <f t="shared" ca="1" si="213"/>
        <v>Outdated</v>
      </c>
      <c r="P1699" t="str">
        <f t="shared" si="214"/>
        <v>Wrong Item</v>
      </c>
      <c r="Q1699" t="str">
        <f t="shared" si="215"/>
        <v/>
      </c>
    </row>
    <row r="1700" spans="1:17" x14ac:dyDescent="0.45">
      <c r="A1700" t="s">
        <v>2497</v>
      </c>
      <c r="B1700" t="s">
        <v>90</v>
      </c>
      <c r="C1700" t="s">
        <v>1134</v>
      </c>
      <c r="D1700" t="s">
        <v>92</v>
      </c>
      <c r="E1700" s="8">
        <v>10977.02</v>
      </c>
      <c r="F1700" s="9">
        <v>45574.666684444448</v>
      </c>
      <c r="G1700" t="s">
        <v>296</v>
      </c>
      <c r="H1700" t="s">
        <v>76</v>
      </c>
      <c r="I1700" t="s">
        <v>119</v>
      </c>
      <c r="J1700" t="str">
        <f t="shared" si="208"/>
        <v/>
      </c>
      <c r="K1700" t="str">
        <f t="shared" si="209"/>
        <v/>
      </c>
      <c r="L1700" t="str">
        <f t="shared" si="210"/>
        <v>Unusual</v>
      </c>
      <c r="M1700" t="str">
        <f t="shared" si="211"/>
        <v>Invalid</v>
      </c>
      <c r="N1700" t="str">
        <f t="shared" si="212"/>
        <v/>
      </c>
      <c r="O1700" t="str">
        <f t="shared" ca="1" si="213"/>
        <v>Outdated</v>
      </c>
      <c r="P1700" t="str">
        <f t="shared" si="214"/>
        <v>Not As Described</v>
      </c>
      <c r="Q1700" t="str">
        <f t="shared" si="215"/>
        <v/>
      </c>
    </row>
    <row r="1701" spans="1:17" x14ac:dyDescent="0.45">
      <c r="A1701" t="s">
        <v>2498</v>
      </c>
      <c r="B1701" t="s">
        <v>104</v>
      </c>
      <c r="C1701" t="s">
        <v>2499</v>
      </c>
      <c r="D1701" t="s">
        <v>148</v>
      </c>
      <c r="E1701" s="8">
        <v>0</v>
      </c>
      <c r="F1701" s="9">
        <v>45147.666684444448</v>
      </c>
      <c r="G1701" t="s">
        <v>115</v>
      </c>
      <c r="H1701" t="s">
        <v>118</v>
      </c>
      <c r="I1701" t="s">
        <v>88</v>
      </c>
      <c r="J1701" t="str">
        <f t="shared" si="208"/>
        <v/>
      </c>
      <c r="K1701" t="str">
        <f t="shared" si="209"/>
        <v/>
      </c>
      <c r="L1701" t="str">
        <f t="shared" si="210"/>
        <v>Unusual</v>
      </c>
      <c r="M1701" t="str">
        <f t="shared" si="211"/>
        <v/>
      </c>
      <c r="N1701" t="str">
        <f t="shared" si="212"/>
        <v>Invalid</v>
      </c>
      <c r="O1701" t="str">
        <f t="shared" ca="1" si="213"/>
        <v>Outdated</v>
      </c>
      <c r="P1701" t="str">
        <f t="shared" si="214"/>
        <v>Wrong Item</v>
      </c>
      <c r="Q1701" t="str">
        <f t="shared" si="215"/>
        <v>Inconsistent</v>
      </c>
    </row>
    <row r="1702" spans="1:17" x14ac:dyDescent="0.45">
      <c r="A1702" t="s">
        <v>2500</v>
      </c>
      <c r="B1702" t="s">
        <v>109</v>
      </c>
      <c r="C1702" t="s">
        <v>2501</v>
      </c>
      <c r="D1702" t="s">
        <v>85</v>
      </c>
      <c r="E1702" s="8">
        <v>0</v>
      </c>
      <c r="F1702" s="9">
        <v>45598.666684444448</v>
      </c>
      <c r="G1702" t="s">
        <v>307</v>
      </c>
      <c r="H1702" t="s">
        <v>136</v>
      </c>
      <c r="I1702" t="s">
        <v>88</v>
      </c>
      <c r="J1702" t="str">
        <f t="shared" si="208"/>
        <v/>
      </c>
      <c r="K1702" t="str">
        <f t="shared" si="209"/>
        <v/>
      </c>
      <c r="L1702" t="str">
        <f t="shared" si="210"/>
        <v>Unusual</v>
      </c>
      <c r="M1702" t="str">
        <f t="shared" si="211"/>
        <v>Invalid</v>
      </c>
      <c r="N1702" t="str">
        <f t="shared" si="212"/>
        <v>Invalid</v>
      </c>
      <c r="O1702" t="str">
        <f t="shared" ca="1" si="213"/>
        <v>Outdated</v>
      </c>
      <c r="P1702" t="str">
        <f t="shared" si="214"/>
        <v>Late Delivery</v>
      </c>
      <c r="Q1702" t="str">
        <f t="shared" si="215"/>
        <v/>
      </c>
    </row>
    <row r="1703" spans="1:17" x14ac:dyDescent="0.45">
      <c r="A1703" t="s">
        <v>2502</v>
      </c>
      <c r="B1703" t="s">
        <v>95</v>
      </c>
      <c r="C1703" t="s">
        <v>1975</v>
      </c>
      <c r="D1703" t="s">
        <v>85</v>
      </c>
      <c r="E1703" s="8">
        <v>10913.53</v>
      </c>
      <c r="F1703" s="9">
        <v>45207.666684444448</v>
      </c>
      <c r="G1703" t="s">
        <v>97</v>
      </c>
      <c r="H1703" t="s">
        <v>133</v>
      </c>
      <c r="I1703" t="s">
        <v>119</v>
      </c>
      <c r="J1703" t="str">
        <f t="shared" si="208"/>
        <v/>
      </c>
      <c r="K1703" t="str">
        <f t="shared" si="209"/>
        <v/>
      </c>
      <c r="L1703" t="str">
        <f t="shared" si="210"/>
        <v>Unusual</v>
      </c>
      <c r="M1703" t="str">
        <f t="shared" si="211"/>
        <v/>
      </c>
      <c r="N1703" t="str">
        <f t="shared" si="212"/>
        <v>Invalid</v>
      </c>
      <c r="O1703" t="str">
        <f t="shared" ca="1" si="213"/>
        <v>Outdated</v>
      </c>
      <c r="P1703" t="str">
        <f t="shared" si="214"/>
        <v>Late Delivery</v>
      </c>
      <c r="Q1703" t="str">
        <f t="shared" si="215"/>
        <v/>
      </c>
    </row>
    <row r="1704" spans="1:17" x14ac:dyDescent="0.45">
      <c r="A1704" t="s">
        <v>2156</v>
      </c>
      <c r="B1704" t="s">
        <v>79</v>
      </c>
      <c r="C1704" t="s">
        <v>787</v>
      </c>
      <c r="D1704" t="s">
        <v>101</v>
      </c>
      <c r="E1704" s="8">
        <v>9455.2900000000009</v>
      </c>
      <c r="F1704" s="9">
        <v>45448.666684444448</v>
      </c>
      <c r="G1704" t="s">
        <v>86</v>
      </c>
      <c r="H1704" t="s">
        <v>133</v>
      </c>
      <c r="I1704" t="s">
        <v>82</v>
      </c>
      <c r="J1704" t="str">
        <f t="shared" si="208"/>
        <v/>
      </c>
      <c r="K1704" t="str">
        <f t="shared" si="209"/>
        <v>Duplicate</v>
      </c>
      <c r="L1704" t="str">
        <f t="shared" si="210"/>
        <v/>
      </c>
      <c r="M1704" t="str">
        <f t="shared" si="211"/>
        <v/>
      </c>
      <c r="N1704" t="str">
        <f t="shared" si="212"/>
        <v>Invalid</v>
      </c>
      <c r="O1704" t="str">
        <f t="shared" ca="1" si="213"/>
        <v>Outdated</v>
      </c>
      <c r="P1704" t="str">
        <f t="shared" si="214"/>
        <v>Damaged</v>
      </c>
      <c r="Q1704" t="str">
        <f t="shared" si="215"/>
        <v/>
      </c>
    </row>
    <row r="1705" spans="1:17" x14ac:dyDescent="0.45">
      <c r="A1705" t="s">
        <v>2503</v>
      </c>
      <c r="B1705" t="s">
        <v>79</v>
      </c>
      <c r="C1705" t="s">
        <v>1799</v>
      </c>
      <c r="D1705" t="s">
        <v>92</v>
      </c>
      <c r="E1705" s="8">
        <v>5882.66</v>
      </c>
      <c r="F1705" s="9">
        <v>45717.666684444448</v>
      </c>
      <c r="G1705" t="s">
        <v>86</v>
      </c>
      <c r="H1705" t="s">
        <v>133</v>
      </c>
      <c r="I1705" t="s">
        <v>77</v>
      </c>
      <c r="J1705" t="str">
        <f t="shared" si="208"/>
        <v/>
      </c>
      <c r="K1705" t="str">
        <f t="shared" si="209"/>
        <v/>
      </c>
      <c r="L1705" t="str">
        <f t="shared" si="210"/>
        <v/>
      </c>
      <c r="M1705" t="str">
        <f t="shared" si="211"/>
        <v/>
      </c>
      <c r="N1705" t="str">
        <f t="shared" si="212"/>
        <v>Invalid</v>
      </c>
      <c r="O1705" t="str">
        <f t="shared" ca="1" si="213"/>
        <v>Outdated</v>
      </c>
      <c r="P1705" t="str">
        <f t="shared" si="214"/>
        <v>Not As Described</v>
      </c>
      <c r="Q1705" t="str">
        <f t="shared" si="215"/>
        <v/>
      </c>
    </row>
    <row r="1706" spans="1:17" x14ac:dyDescent="0.45">
      <c r="A1706" t="s">
        <v>2504</v>
      </c>
      <c r="B1706" t="s">
        <v>79</v>
      </c>
      <c r="C1706" t="s">
        <v>2050</v>
      </c>
      <c r="D1706" t="s">
        <v>92</v>
      </c>
      <c r="E1706" s="8">
        <v>9933.94</v>
      </c>
      <c r="F1706" s="9">
        <v>45567.666684444448</v>
      </c>
      <c r="G1706" t="s">
        <v>86</v>
      </c>
      <c r="H1706" t="s">
        <v>116</v>
      </c>
      <c r="I1706" t="s">
        <v>119</v>
      </c>
      <c r="J1706" t="str">
        <f t="shared" si="208"/>
        <v/>
      </c>
      <c r="K1706" t="str">
        <f t="shared" si="209"/>
        <v/>
      </c>
      <c r="L1706" t="str">
        <f t="shared" si="210"/>
        <v/>
      </c>
      <c r="M1706" t="str">
        <f t="shared" si="211"/>
        <v/>
      </c>
      <c r="N1706" t="str">
        <f t="shared" si="212"/>
        <v/>
      </c>
      <c r="O1706" t="str">
        <f t="shared" ca="1" si="213"/>
        <v>Outdated</v>
      </c>
      <c r="P1706" t="str">
        <f t="shared" si="214"/>
        <v>Not As Described</v>
      </c>
      <c r="Q1706" t="str">
        <f t="shared" si="215"/>
        <v/>
      </c>
    </row>
    <row r="1707" spans="1:17" x14ac:dyDescent="0.45">
      <c r="A1707" t="s">
        <v>2505</v>
      </c>
      <c r="B1707" t="s">
        <v>90</v>
      </c>
      <c r="C1707" t="s">
        <v>1067</v>
      </c>
      <c r="D1707" t="s">
        <v>85</v>
      </c>
      <c r="E1707" s="8">
        <v>0</v>
      </c>
      <c r="F1707" s="9">
        <v>45715.666684444448</v>
      </c>
      <c r="G1707" t="s">
        <v>93</v>
      </c>
      <c r="H1707" t="s">
        <v>116</v>
      </c>
      <c r="I1707" t="s">
        <v>119</v>
      </c>
      <c r="J1707" t="str">
        <f t="shared" si="208"/>
        <v/>
      </c>
      <c r="K1707" t="str">
        <f t="shared" si="209"/>
        <v/>
      </c>
      <c r="L1707" t="str">
        <f t="shared" si="210"/>
        <v>Unusual</v>
      </c>
      <c r="M1707" t="str">
        <f t="shared" si="211"/>
        <v/>
      </c>
      <c r="N1707" t="str">
        <f t="shared" si="212"/>
        <v/>
      </c>
      <c r="O1707" t="str">
        <f t="shared" ca="1" si="213"/>
        <v>Outdated</v>
      </c>
      <c r="P1707" t="str">
        <f t="shared" si="214"/>
        <v>Late Delivery</v>
      </c>
      <c r="Q1707" t="str">
        <f t="shared" si="215"/>
        <v/>
      </c>
    </row>
    <row r="1708" spans="1:17" x14ac:dyDescent="0.45">
      <c r="A1708" t="s">
        <v>2506</v>
      </c>
      <c r="B1708" t="s">
        <v>138</v>
      </c>
      <c r="C1708" t="s">
        <v>2418</v>
      </c>
      <c r="D1708" t="s">
        <v>74</v>
      </c>
      <c r="E1708" s="8">
        <v>1830.89</v>
      </c>
      <c r="F1708" s="9">
        <v>45542.666684444448</v>
      </c>
      <c r="G1708" t="s">
        <v>140</v>
      </c>
      <c r="H1708" t="s">
        <v>128</v>
      </c>
      <c r="I1708" t="s">
        <v>163</v>
      </c>
      <c r="J1708" t="str">
        <f t="shared" si="208"/>
        <v/>
      </c>
      <c r="K1708" t="str">
        <f t="shared" si="209"/>
        <v/>
      </c>
      <c r="L1708" t="str">
        <f t="shared" si="210"/>
        <v/>
      </c>
      <c r="M1708" t="str">
        <f t="shared" si="211"/>
        <v/>
      </c>
      <c r="N1708" t="str">
        <f t="shared" si="212"/>
        <v>Invalid</v>
      </c>
      <c r="O1708" t="str">
        <f t="shared" ca="1" si="213"/>
        <v>Outdated</v>
      </c>
      <c r="P1708" t="str">
        <f t="shared" si="214"/>
        <v>Wrong Item</v>
      </c>
      <c r="Q1708" t="str">
        <f t="shared" si="215"/>
        <v/>
      </c>
    </row>
    <row r="1709" spans="1:17" x14ac:dyDescent="0.45">
      <c r="A1709" t="s">
        <v>2507</v>
      </c>
      <c r="B1709" t="s">
        <v>90</v>
      </c>
      <c r="C1709" t="s">
        <v>699</v>
      </c>
      <c r="D1709" t="s">
        <v>74</v>
      </c>
      <c r="E1709" s="8">
        <v>5610.53</v>
      </c>
      <c r="F1709" s="9">
        <v>45854.666684444448</v>
      </c>
      <c r="G1709" t="s">
        <v>93</v>
      </c>
      <c r="H1709" t="s">
        <v>136</v>
      </c>
      <c r="I1709" t="s">
        <v>119</v>
      </c>
      <c r="J1709" t="str">
        <f t="shared" si="208"/>
        <v/>
      </c>
      <c r="K1709" t="str">
        <f t="shared" si="209"/>
        <v/>
      </c>
      <c r="L1709" t="str">
        <f t="shared" si="210"/>
        <v/>
      </c>
      <c r="M1709" t="str">
        <f t="shared" si="211"/>
        <v/>
      </c>
      <c r="N1709" t="str">
        <f t="shared" si="212"/>
        <v>Invalid</v>
      </c>
      <c r="O1709" t="str">
        <f t="shared" ca="1" si="213"/>
        <v/>
      </c>
      <c r="P1709" t="str">
        <f t="shared" si="214"/>
        <v>Wrong Item</v>
      </c>
      <c r="Q1709" t="str">
        <f t="shared" si="215"/>
        <v/>
      </c>
    </row>
    <row r="1710" spans="1:17" x14ac:dyDescent="0.45">
      <c r="A1710" t="s">
        <v>2508</v>
      </c>
      <c r="B1710" t="s">
        <v>95</v>
      </c>
      <c r="C1710" t="s">
        <v>696</v>
      </c>
      <c r="D1710" t="s">
        <v>74</v>
      </c>
      <c r="E1710" s="8">
        <v>5393.79</v>
      </c>
      <c r="F1710" s="9">
        <v>45783.666684444448</v>
      </c>
      <c r="G1710" t="s">
        <v>97</v>
      </c>
      <c r="H1710" t="s">
        <v>145</v>
      </c>
      <c r="I1710" t="s">
        <v>163</v>
      </c>
      <c r="J1710" t="str">
        <f t="shared" si="208"/>
        <v/>
      </c>
      <c r="K1710" t="str">
        <f t="shared" si="209"/>
        <v/>
      </c>
      <c r="L1710" t="str">
        <f t="shared" si="210"/>
        <v/>
      </c>
      <c r="M1710" t="str">
        <f t="shared" si="211"/>
        <v/>
      </c>
      <c r="N1710" t="str">
        <f t="shared" si="212"/>
        <v/>
      </c>
      <c r="O1710" t="str">
        <f t="shared" ca="1" si="213"/>
        <v>Outdated</v>
      </c>
      <c r="P1710" t="str">
        <f t="shared" si="214"/>
        <v>Wrong Item</v>
      </c>
      <c r="Q1710" t="str">
        <f t="shared" si="215"/>
        <v/>
      </c>
    </row>
    <row r="1711" spans="1:17" x14ac:dyDescent="0.45">
      <c r="A1711" t="s">
        <v>520</v>
      </c>
      <c r="B1711" t="s">
        <v>109</v>
      </c>
      <c r="C1711" t="s">
        <v>2509</v>
      </c>
      <c r="D1711" t="s">
        <v>85</v>
      </c>
      <c r="E1711" s="8">
        <v>10203.209999999999</v>
      </c>
      <c r="F1711" s="9">
        <v>45555.666684444448</v>
      </c>
      <c r="G1711" t="s">
        <v>111</v>
      </c>
      <c r="H1711" t="s">
        <v>133</v>
      </c>
      <c r="I1711" t="s">
        <v>77</v>
      </c>
      <c r="J1711" t="str">
        <f t="shared" si="208"/>
        <v/>
      </c>
      <c r="K1711" t="str">
        <f t="shared" si="209"/>
        <v>Duplicate</v>
      </c>
      <c r="L1711" t="str">
        <f t="shared" si="210"/>
        <v>Unusual</v>
      </c>
      <c r="M1711" t="str">
        <f t="shared" si="211"/>
        <v/>
      </c>
      <c r="N1711" t="str">
        <f t="shared" si="212"/>
        <v>Invalid</v>
      </c>
      <c r="O1711" t="str">
        <f t="shared" ca="1" si="213"/>
        <v>Outdated</v>
      </c>
      <c r="P1711" t="str">
        <f t="shared" si="214"/>
        <v>Late Delivery</v>
      </c>
      <c r="Q1711" t="str">
        <f t="shared" si="215"/>
        <v/>
      </c>
    </row>
    <row r="1712" spans="1:17" x14ac:dyDescent="0.45">
      <c r="A1712" t="s">
        <v>2510</v>
      </c>
      <c r="B1712" t="s">
        <v>109</v>
      </c>
      <c r="C1712" t="s">
        <v>619</v>
      </c>
      <c r="E1712" s="8">
        <v>3485.75</v>
      </c>
      <c r="F1712" s="9">
        <v>45424.666684444448</v>
      </c>
      <c r="G1712" t="s">
        <v>111</v>
      </c>
      <c r="H1712" t="s">
        <v>76</v>
      </c>
      <c r="I1712" t="s">
        <v>82</v>
      </c>
      <c r="J1712" t="str">
        <f t="shared" si="208"/>
        <v>Missing</v>
      </c>
      <c r="K1712" t="str">
        <f t="shared" si="209"/>
        <v/>
      </c>
      <c r="L1712" t="str">
        <f t="shared" si="210"/>
        <v/>
      </c>
      <c r="M1712" t="str">
        <f t="shared" si="211"/>
        <v/>
      </c>
      <c r="N1712" t="str">
        <f t="shared" si="212"/>
        <v/>
      </c>
      <c r="O1712" t="str">
        <f t="shared" ca="1" si="213"/>
        <v>Outdated</v>
      </c>
      <c r="P1712" t="str">
        <f t="shared" si="214"/>
        <v/>
      </c>
      <c r="Q1712" t="str">
        <f t="shared" si="215"/>
        <v/>
      </c>
    </row>
    <row r="1713" spans="1:17" x14ac:dyDescent="0.45">
      <c r="A1713" t="s">
        <v>2511</v>
      </c>
      <c r="B1713" t="s">
        <v>138</v>
      </c>
      <c r="C1713" t="s">
        <v>674</v>
      </c>
      <c r="D1713" t="s">
        <v>148</v>
      </c>
      <c r="E1713" s="8">
        <v>11057.2</v>
      </c>
      <c r="F1713" s="9">
        <v>45245.666684444448</v>
      </c>
      <c r="G1713" t="s">
        <v>140</v>
      </c>
      <c r="H1713" t="s">
        <v>133</v>
      </c>
      <c r="I1713" t="s">
        <v>82</v>
      </c>
      <c r="J1713" t="str">
        <f t="shared" si="208"/>
        <v/>
      </c>
      <c r="K1713" t="str">
        <f t="shared" si="209"/>
        <v/>
      </c>
      <c r="L1713" t="str">
        <f t="shared" si="210"/>
        <v>Unusual</v>
      </c>
      <c r="M1713" t="str">
        <f t="shared" si="211"/>
        <v/>
      </c>
      <c r="N1713" t="str">
        <f t="shared" si="212"/>
        <v>Invalid</v>
      </c>
      <c r="O1713" t="str">
        <f t="shared" ca="1" si="213"/>
        <v>Outdated</v>
      </c>
      <c r="P1713" t="str">
        <f t="shared" si="214"/>
        <v>Wrong Item</v>
      </c>
      <c r="Q1713" t="str">
        <f t="shared" si="215"/>
        <v>Inconsistent</v>
      </c>
    </row>
    <row r="1714" spans="1:17" x14ac:dyDescent="0.45">
      <c r="A1714" t="s">
        <v>2512</v>
      </c>
      <c r="B1714" t="s">
        <v>104</v>
      </c>
      <c r="C1714" t="s">
        <v>414</v>
      </c>
      <c r="D1714" t="s">
        <v>85</v>
      </c>
      <c r="E1714" s="8">
        <v>3345.07</v>
      </c>
      <c r="F1714" s="9">
        <v>45542.666684444448</v>
      </c>
      <c r="G1714" t="s">
        <v>115</v>
      </c>
      <c r="H1714" t="s">
        <v>107</v>
      </c>
      <c r="I1714" t="s">
        <v>82</v>
      </c>
      <c r="J1714" t="str">
        <f t="shared" si="208"/>
        <v/>
      </c>
      <c r="K1714" t="str">
        <f t="shared" si="209"/>
        <v/>
      </c>
      <c r="L1714" t="str">
        <f t="shared" si="210"/>
        <v/>
      </c>
      <c r="M1714" t="str">
        <f t="shared" si="211"/>
        <v/>
      </c>
      <c r="N1714" t="str">
        <f t="shared" si="212"/>
        <v/>
      </c>
      <c r="O1714" t="str">
        <f t="shared" ca="1" si="213"/>
        <v>Outdated</v>
      </c>
      <c r="P1714" t="str">
        <f t="shared" si="214"/>
        <v>Late Delivery</v>
      </c>
      <c r="Q1714" t="str">
        <f t="shared" si="215"/>
        <v/>
      </c>
    </row>
    <row r="1715" spans="1:17" x14ac:dyDescent="0.45">
      <c r="A1715" t="s">
        <v>2513</v>
      </c>
      <c r="B1715" t="s">
        <v>79</v>
      </c>
      <c r="C1715" t="s">
        <v>2413</v>
      </c>
      <c r="D1715" t="s">
        <v>92</v>
      </c>
      <c r="E1715" s="8">
        <v>11014.17</v>
      </c>
      <c r="F1715" s="9">
        <v>45149.666684444448</v>
      </c>
      <c r="G1715" t="s">
        <v>86</v>
      </c>
      <c r="H1715" t="s">
        <v>76</v>
      </c>
      <c r="I1715" t="s">
        <v>82</v>
      </c>
      <c r="J1715" t="str">
        <f t="shared" si="208"/>
        <v/>
      </c>
      <c r="K1715" t="str">
        <f t="shared" si="209"/>
        <v/>
      </c>
      <c r="L1715" t="str">
        <f t="shared" si="210"/>
        <v>Unusual</v>
      </c>
      <c r="M1715" t="str">
        <f t="shared" si="211"/>
        <v/>
      </c>
      <c r="N1715" t="str">
        <f t="shared" si="212"/>
        <v/>
      </c>
      <c r="O1715" t="str">
        <f t="shared" ca="1" si="213"/>
        <v>Outdated</v>
      </c>
      <c r="P1715" t="str">
        <f t="shared" si="214"/>
        <v>Not As Described</v>
      </c>
      <c r="Q1715" t="str">
        <f t="shared" si="215"/>
        <v/>
      </c>
    </row>
    <row r="1716" spans="1:17" x14ac:dyDescent="0.45">
      <c r="A1716" t="s">
        <v>2514</v>
      </c>
      <c r="B1716" t="s">
        <v>109</v>
      </c>
      <c r="C1716" t="s">
        <v>554</v>
      </c>
      <c r="D1716" t="s">
        <v>155</v>
      </c>
      <c r="E1716" s="8">
        <v>6751.69</v>
      </c>
      <c r="F1716" s="9">
        <v>45460.666684444448</v>
      </c>
      <c r="G1716" t="s">
        <v>111</v>
      </c>
      <c r="H1716" t="s">
        <v>76</v>
      </c>
      <c r="I1716" t="s">
        <v>163</v>
      </c>
      <c r="J1716" t="str">
        <f t="shared" si="208"/>
        <v/>
      </c>
      <c r="K1716" t="str">
        <f t="shared" si="209"/>
        <v/>
      </c>
      <c r="L1716" t="str">
        <f t="shared" si="210"/>
        <v/>
      </c>
      <c r="M1716" t="str">
        <f t="shared" si="211"/>
        <v/>
      </c>
      <c r="N1716" t="str">
        <f t="shared" si="212"/>
        <v/>
      </c>
      <c r="O1716" t="str">
        <f t="shared" ca="1" si="213"/>
        <v>Outdated</v>
      </c>
      <c r="P1716" t="str">
        <f t="shared" si="214"/>
        <v>Damaged</v>
      </c>
      <c r="Q1716" t="str">
        <f t="shared" si="215"/>
        <v>Inconsistent</v>
      </c>
    </row>
    <row r="1717" spans="1:17" x14ac:dyDescent="0.45">
      <c r="A1717" t="s">
        <v>2515</v>
      </c>
      <c r="B1717" t="s">
        <v>138</v>
      </c>
      <c r="C1717" t="s">
        <v>2516</v>
      </c>
      <c r="D1717" t="s">
        <v>101</v>
      </c>
      <c r="E1717" s="8">
        <v>5125.59</v>
      </c>
      <c r="F1717" s="9">
        <v>45303.666684444448</v>
      </c>
      <c r="G1717" t="s">
        <v>140</v>
      </c>
      <c r="H1717" t="s">
        <v>81</v>
      </c>
      <c r="I1717" t="s">
        <v>119</v>
      </c>
      <c r="J1717" t="str">
        <f t="shared" si="208"/>
        <v/>
      </c>
      <c r="K1717" t="str">
        <f t="shared" si="209"/>
        <v/>
      </c>
      <c r="L1717" t="str">
        <f t="shared" si="210"/>
        <v/>
      </c>
      <c r="M1717" t="str">
        <f t="shared" si="211"/>
        <v/>
      </c>
      <c r="N1717" t="str">
        <f t="shared" si="212"/>
        <v/>
      </c>
      <c r="O1717" t="str">
        <f t="shared" ca="1" si="213"/>
        <v>Outdated</v>
      </c>
      <c r="P1717" t="str">
        <f t="shared" si="214"/>
        <v>Damaged</v>
      </c>
      <c r="Q1717" t="str">
        <f t="shared" si="215"/>
        <v/>
      </c>
    </row>
    <row r="1718" spans="1:17" x14ac:dyDescent="0.45">
      <c r="A1718" t="s">
        <v>2517</v>
      </c>
      <c r="B1718" t="s">
        <v>79</v>
      </c>
      <c r="C1718" t="s">
        <v>930</v>
      </c>
      <c r="D1718" t="s">
        <v>101</v>
      </c>
      <c r="E1718" s="8">
        <v>11934.31</v>
      </c>
      <c r="F1718" s="9">
        <v>45760.666684444448</v>
      </c>
      <c r="G1718" t="s">
        <v>86</v>
      </c>
      <c r="I1718" t="s">
        <v>88</v>
      </c>
      <c r="J1718" t="str">
        <f t="shared" si="208"/>
        <v/>
      </c>
      <c r="K1718" t="str">
        <f t="shared" si="209"/>
        <v/>
      </c>
      <c r="L1718" t="str">
        <f t="shared" si="210"/>
        <v>Unusual</v>
      </c>
      <c r="M1718" t="str">
        <f t="shared" si="211"/>
        <v/>
      </c>
      <c r="N1718" t="str">
        <f t="shared" si="212"/>
        <v>Invalid</v>
      </c>
      <c r="O1718" t="str">
        <f t="shared" ca="1" si="213"/>
        <v>Outdated</v>
      </c>
      <c r="P1718" t="str">
        <f t="shared" si="214"/>
        <v>Damaged</v>
      </c>
      <c r="Q1718" t="str">
        <f t="shared" si="215"/>
        <v/>
      </c>
    </row>
    <row r="1719" spans="1:17" x14ac:dyDescent="0.45">
      <c r="A1719" t="s">
        <v>2518</v>
      </c>
      <c r="B1719" t="s">
        <v>90</v>
      </c>
      <c r="C1719" t="s">
        <v>173</v>
      </c>
      <c r="D1719" t="s">
        <v>155</v>
      </c>
      <c r="E1719" s="8">
        <v>10121.75</v>
      </c>
      <c r="F1719" s="9">
        <v>45599.666684444448</v>
      </c>
      <c r="G1719" t="s">
        <v>296</v>
      </c>
      <c r="H1719" t="s">
        <v>116</v>
      </c>
      <c r="I1719" t="s">
        <v>82</v>
      </c>
      <c r="J1719" t="str">
        <f t="shared" si="208"/>
        <v/>
      </c>
      <c r="K1719" t="str">
        <f t="shared" si="209"/>
        <v/>
      </c>
      <c r="L1719" t="str">
        <f t="shared" si="210"/>
        <v>Unusual</v>
      </c>
      <c r="M1719" t="str">
        <f t="shared" si="211"/>
        <v>Invalid</v>
      </c>
      <c r="N1719" t="str">
        <f t="shared" si="212"/>
        <v/>
      </c>
      <c r="O1719" t="str">
        <f t="shared" ca="1" si="213"/>
        <v>Outdated</v>
      </c>
      <c r="P1719" t="str">
        <f t="shared" si="214"/>
        <v>Damaged</v>
      </c>
      <c r="Q1719" t="str">
        <f t="shared" si="215"/>
        <v>Inconsistent</v>
      </c>
    </row>
    <row r="1720" spans="1:17" x14ac:dyDescent="0.45">
      <c r="A1720" t="s">
        <v>2519</v>
      </c>
      <c r="B1720" t="s">
        <v>99</v>
      </c>
      <c r="C1720" t="s">
        <v>530</v>
      </c>
      <c r="D1720" t="s">
        <v>101</v>
      </c>
      <c r="E1720" s="8">
        <v>3538.39</v>
      </c>
      <c r="F1720" s="9">
        <v>45834.666684444448</v>
      </c>
      <c r="H1720" t="s">
        <v>76</v>
      </c>
      <c r="I1720" t="s">
        <v>163</v>
      </c>
      <c r="J1720" t="str">
        <f t="shared" si="208"/>
        <v/>
      </c>
      <c r="K1720" t="str">
        <f t="shared" si="209"/>
        <v/>
      </c>
      <c r="L1720" t="str">
        <f t="shared" si="210"/>
        <v/>
      </c>
      <c r="M1720" t="str">
        <f t="shared" si="211"/>
        <v>Invalid</v>
      </c>
      <c r="N1720" t="str">
        <f t="shared" si="212"/>
        <v/>
      </c>
      <c r="O1720" t="str">
        <f t="shared" ca="1" si="213"/>
        <v>Outdated</v>
      </c>
      <c r="P1720" t="str">
        <f t="shared" si="214"/>
        <v>Damaged</v>
      </c>
      <c r="Q1720" t="str">
        <f t="shared" si="215"/>
        <v/>
      </c>
    </row>
    <row r="1721" spans="1:17" x14ac:dyDescent="0.45">
      <c r="A1721" t="s">
        <v>2520</v>
      </c>
      <c r="B1721" t="s">
        <v>172</v>
      </c>
      <c r="C1721" t="s">
        <v>668</v>
      </c>
      <c r="D1721" t="s">
        <v>155</v>
      </c>
      <c r="E1721" s="8">
        <v>3306.68</v>
      </c>
      <c r="F1721" s="9">
        <v>45498.666684444448</v>
      </c>
      <c r="G1721" t="s">
        <v>174</v>
      </c>
      <c r="H1721" t="s">
        <v>107</v>
      </c>
      <c r="I1721" t="s">
        <v>88</v>
      </c>
      <c r="J1721" t="str">
        <f t="shared" si="208"/>
        <v/>
      </c>
      <c r="K1721" t="str">
        <f t="shared" si="209"/>
        <v/>
      </c>
      <c r="L1721" t="str">
        <f t="shared" si="210"/>
        <v/>
      </c>
      <c r="M1721" t="str">
        <f t="shared" si="211"/>
        <v/>
      </c>
      <c r="N1721" t="str">
        <f t="shared" si="212"/>
        <v/>
      </c>
      <c r="O1721" t="str">
        <f t="shared" ca="1" si="213"/>
        <v>Outdated</v>
      </c>
      <c r="P1721" t="str">
        <f t="shared" si="214"/>
        <v>Damaged</v>
      </c>
      <c r="Q1721" t="str">
        <f t="shared" si="215"/>
        <v>Inconsistent</v>
      </c>
    </row>
    <row r="1722" spans="1:17" x14ac:dyDescent="0.45">
      <c r="A1722" t="s">
        <v>2521</v>
      </c>
      <c r="B1722" t="s">
        <v>109</v>
      </c>
      <c r="D1722" t="s">
        <v>106</v>
      </c>
      <c r="E1722" s="8">
        <v>11019.1</v>
      </c>
      <c r="F1722" s="9">
        <v>45218.666684444448</v>
      </c>
      <c r="G1722" t="s">
        <v>111</v>
      </c>
      <c r="H1722" t="s">
        <v>116</v>
      </c>
      <c r="I1722" t="s">
        <v>119</v>
      </c>
      <c r="J1722" t="str">
        <f t="shared" si="208"/>
        <v>Missing</v>
      </c>
      <c r="K1722" t="str">
        <f t="shared" si="209"/>
        <v/>
      </c>
      <c r="L1722" t="str">
        <f t="shared" si="210"/>
        <v>Unusual</v>
      </c>
      <c r="M1722" t="str">
        <f t="shared" si="211"/>
        <v/>
      </c>
      <c r="N1722" t="str">
        <f t="shared" si="212"/>
        <v/>
      </c>
      <c r="O1722" t="str">
        <f t="shared" ca="1" si="213"/>
        <v>Outdated</v>
      </c>
      <c r="P1722" t="str">
        <f t="shared" si="214"/>
        <v>Damaged</v>
      </c>
      <c r="Q1722" t="str">
        <f t="shared" si="215"/>
        <v>Inconsistent</v>
      </c>
    </row>
    <row r="1723" spans="1:17" x14ac:dyDescent="0.45">
      <c r="A1723" t="s">
        <v>2522</v>
      </c>
      <c r="B1723" t="s">
        <v>104</v>
      </c>
      <c r="C1723" t="s">
        <v>162</v>
      </c>
      <c r="D1723" t="s">
        <v>92</v>
      </c>
      <c r="E1723" s="8">
        <v>9636.67</v>
      </c>
      <c r="F1723" s="9">
        <v>45575.666684444448</v>
      </c>
      <c r="G1723" t="s">
        <v>115</v>
      </c>
      <c r="H1723" t="s">
        <v>128</v>
      </c>
      <c r="I1723" t="s">
        <v>163</v>
      </c>
      <c r="J1723" t="str">
        <f t="shared" si="208"/>
        <v/>
      </c>
      <c r="K1723" t="str">
        <f t="shared" si="209"/>
        <v/>
      </c>
      <c r="L1723" t="str">
        <f t="shared" si="210"/>
        <v/>
      </c>
      <c r="M1723" t="str">
        <f t="shared" si="211"/>
        <v/>
      </c>
      <c r="N1723" t="str">
        <f t="shared" si="212"/>
        <v>Invalid</v>
      </c>
      <c r="O1723" t="str">
        <f t="shared" ca="1" si="213"/>
        <v>Outdated</v>
      </c>
      <c r="P1723" t="str">
        <f t="shared" si="214"/>
        <v>Not As Described</v>
      </c>
      <c r="Q1723" t="str">
        <f t="shared" si="215"/>
        <v/>
      </c>
    </row>
    <row r="1724" spans="1:17" x14ac:dyDescent="0.45">
      <c r="A1724" t="s">
        <v>2523</v>
      </c>
      <c r="B1724" t="s">
        <v>138</v>
      </c>
      <c r="C1724" t="s">
        <v>150</v>
      </c>
      <c r="E1724" s="8">
        <v>2317.89</v>
      </c>
      <c r="F1724" s="9">
        <v>45236.666684444448</v>
      </c>
      <c r="G1724" t="s">
        <v>140</v>
      </c>
      <c r="H1724" t="s">
        <v>87</v>
      </c>
      <c r="I1724" t="s">
        <v>82</v>
      </c>
      <c r="J1724" t="str">
        <f t="shared" si="208"/>
        <v>Missing</v>
      </c>
      <c r="K1724" t="str">
        <f t="shared" si="209"/>
        <v/>
      </c>
      <c r="L1724" t="str">
        <f t="shared" si="210"/>
        <v/>
      </c>
      <c r="M1724" t="str">
        <f t="shared" si="211"/>
        <v/>
      </c>
      <c r="N1724" t="str">
        <f t="shared" si="212"/>
        <v>Invalid</v>
      </c>
      <c r="O1724" t="str">
        <f t="shared" ca="1" si="213"/>
        <v>Outdated</v>
      </c>
      <c r="P1724" t="str">
        <f t="shared" si="214"/>
        <v/>
      </c>
      <c r="Q1724" t="str">
        <f t="shared" si="215"/>
        <v/>
      </c>
    </row>
    <row r="1725" spans="1:17" x14ac:dyDescent="0.45">
      <c r="A1725" t="s">
        <v>2524</v>
      </c>
      <c r="B1725" t="s">
        <v>104</v>
      </c>
      <c r="C1725" t="s">
        <v>1656</v>
      </c>
      <c r="D1725" t="s">
        <v>92</v>
      </c>
      <c r="E1725" s="8">
        <v>1121.6199999999999</v>
      </c>
      <c r="F1725" s="9">
        <v>45377.666684444448</v>
      </c>
      <c r="G1725" t="s">
        <v>247</v>
      </c>
      <c r="H1725" t="s">
        <v>76</v>
      </c>
      <c r="I1725" t="s">
        <v>77</v>
      </c>
      <c r="J1725" t="str">
        <f t="shared" si="208"/>
        <v/>
      </c>
      <c r="K1725" t="str">
        <f t="shared" si="209"/>
        <v/>
      </c>
      <c r="L1725" t="str">
        <f t="shared" si="210"/>
        <v/>
      </c>
      <c r="M1725" t="str">
        <f t="shared" si="211"/>
        <v>Invalid</v>
      </c>
      <c r="N1725" t="str">
        <f t="shared" si="212"/>
        <v/>
      </c>
      <c r="O1725" t="str">
        <f t="shared" ca="1" si="213"/>
        <v>Outdated</v>
      </c>
      <c r="P1725" t="str">
        <f t="shared" si="214"/>
        <v>Not As Described</v>
      </c>
      <c r="Q1725" t="str">
        <f t="shared" si="215"/>
        <v/>
      </c>
    </row>
    <row r="1726" spans="1:17" x14ac:dyDescent="0.45">
      <c r="A1726" t="s">
        <v>2525</v>
      </c>
      <c r="B1726" t="s">
        <v>90</v>
      </c>
      <c r="C1726" t="s">
        <v>1827</v>
      </c>
      <c r="D1726" t="s">
        <v>92</v>
      </c>
      <c r="E1726" s="8">
        <v>1946.83</v>
      </c>
      <c r="F1726" s="9">
        <v>45574.666684444448</v>
      </c>
      <c r="G1726" t="s">
        <v>93</v>
      </c>
      <c r="H1726" t="s">
        <v>116</v>
      </c>
      <c r="I1726" t="s">
        <v>163</v>
      </c>
      <c r="J1726" t="str">
        <f t="shared" si="208"/>
        <v/>
      </c>
      <c r="K1726" t="str">
        <f t="shared" si="209"/>
        <v/>
      </c>
      <c r="L1726" t="str">
        <f t="shared" si="210"/>
        <v/>
      </c>
      <c r="M1726" t="str">
        <f t="shared" si="211"/>
        <v/>
      </c>
      <c r="N1726" t="str">
        <f t="shared" si="212"/>
        <v/>
      </c>
      <c r="O1726" t="str">
        <f t="shared" ca="1" si="213"/>
        <v>Outdated</v>
      </c>
      <c r="P1726" t="str">
        <f t="shared" si="214"/>
        <v>Not As Described</v>
      </c>
      <c r="Q1726" t="str">
        <f t="shared" si="215"/>
        <v/>
      </c>
    </row>
    <row r="1727" spans="1:17" x14ac:dyDescent="0.45">
      <c r="A1727" t="s">
        <v>2526</v>
      </c>
      <c r="B1727" t="s">
        <v>109</v>
      </c>
      <c r="C1727" t="s">
        <v>173</v>
      </c>
      <c r="D1727" t="s">
        <v>101</v>
      </c>
      <c r="E1727" s="8">
        <v>9995.7800000000007</v>
      </c>
      <c r="F1727" s="9">
        <v>45731.666684444448</v>
      </c>
      <c r="G1727" t="s">
        <v>111</v>
      </c>
      <c r="H1727" t="s">
        <v>136</v>
      </c>
      <c r="I1727" t="s">
        <v>163</v>
      </c>
      <c r="J1727" t="str">
        <f t="shared" si="208"/>
        <v/>
      </c>
      <c r="K1727" t="str">
        <f t="shared" si="209"/>
        <v/>
      </c>
      <c r="L1727" t="str">
        <f t="shared" si="210"/>
        <v/>
      </c>
      <c r="M1727" t="str">
        <f t="shared" si="211"/>
        <v/>
      </c>
      <c r="N1727" t="str">
        <f t="shared" si="212"/>
        <v>Invalid</v>
      </c>
      <c r="O1727" t="str">
        <f t="shared" ca="1" si="213"/>
        <v>Outdated</v>
      </c>
      <c r="P1727" t="str">
        <f t="shared" si="214"/>
        <v>Damaged</v>
      </c>
      <c r="Q1727" t="str">
        <f t="shared" si="215"/>
        <v/>
      </c>
    </row>
    <row r="1728" spans="1:17" x14ac:dyDescent="0.45">
      <c r="A1728" t="s">
        <v>2527</v>
      </c>
      <c r="B1728" t="s">
        <v>95</v>
      </c>
      <c r="C1728" t="s">
        <v>1015</v>
      </c>
      <c r="D1728" t="s">
        <v>74</v>
      </c>
      <c r="E1728" s="8">
        <v>3815.52</v>
      </c>
      <c r="F1728" s="9">
        <v>45538.666684444448</v>
      </c>
      <c r="G1728" t="s">
        <v>97</v>
      </c>
      <c r="H1728" t="s">
        <v>81</v>
      </c>
      <c r="I1728" t="s">
        <v>77</v>
      </c>
      <c r="J1728" t="str">
        <f t="shared" si="208"/>
        <v/>
      </c>
      <c r="K1728" t="str">
        <f t="shared" si="209"/>
        <v/>
      </c>
      <c r="L1728" t="str">
        <f t="shared" si="210"/>
        <v/>
      </c>
      <c r="M1728" t="str">
        <f t="shared" si="211"/>
        <v/>
      </c>
      <c r="N1728" t="str">
        <f t="shared" si="212"/>
        <v/>
      </c>
      <c r="O1728" t="str">
        <f t="shared" ca="1" si="213"/>
        <v>Outdated</v>
      </c>
      <c r="P1728" t="str">
        <f t="shared" si="214"/>
        <v>Wrong Item</v>
      </c>
      <c r="Q1728" t="str">
        <f t="shared" si="215"/>
        <v/>
      </c>
    </row>
    <row r="1729" spans="1:17" x14ac:dyDescent="0.45">
      <c r="A1729" t="s">
        <v>2528</v>
      </c>
      <c r="B1729" t="s">
        <v>90</v>
      </c>
      <c r="C1729" t="s">
        <v>2501</v>
      </c>
      <c r="D1729" t="s">
        <v>101</v>
      </c>
      <c r="E1729" s="8">
        <v>6135.58</v>
      </c>
      <c r="F1729" s="9">
        <v>45664.666684444448</v>
      </c>
      <c r="H1729" t="s">
        <v>136</v>
      </c>
      <c r="I1729" t="s">
        <v>119</v>
      </c>
      <c r="J1729" t="str">
        <f t="shared" si="208"/>
        <v/>
      </c>
      <c r="K1729" t="str">
        <f t="shared" si="209"/>
        <v/>
      </c>
      <c r="L1729" t="str">
        <f t="shared" si="210"/>
        <v/>
      </c>
      <c r="M1729" t="str">
        <f t="shared" si="211"/>
        <v>Invalid</v>
      </c>
      <c r="N1729" t="str">
        <f t="shared" si="212"/>
        <v>Invalid</v>
      </c>
      <c r="O1729" t="str">
        <f t="shared" ca="1" si="213"/>
        <v>Outdated</v>
      </c>
      <c r="P1729" t="str">
        <f t="shared" si="214"/>
        <v>Damaged</v>
      </c>
      <c r="Q1729" t="str">
        <f t="shared" si="215"/>
        <v/>
      </c>
    </row>
    <row r="1730" spans="1:17" x14ac:dyDescent="0.45">
      <c r="A1730" t="s">
        <v>2529</v>
      </c>
      <c r="B1730" t="s">
        <v>90</v>
      </c>
      <c r="C1730" t="s">
        <v>1092</v>
      </c>
      <c r="D1730" t="s">
        <v>92</v>
      </c>
      <c r="E1730" s="8">
        <v>5743</v>
      </c>
      <c r="F1730" s="9">
        <v>45208.666684444448</v>
      </c>
      <c r="G1730" t="s">
        <v>93</v>
      </c>
      <c r="H1730" t="s">
        <v>107</v>
      </c>
      <c r="I1730" t="s">
        <v>82</v>
      </c>
      <c r="J1730" t="str">
        <f t="shared" ref="J1730:J1793" si="216">IF(OR(ISBLANK(C1730),ISBLANK(D1730)),"Missing","")</f>
        <v/>
      </c>
      <c r="K1730" t="str">
        <f t="shared" ref="K1730:K1793" si="217">IF(COUNTIF($A$2:$A$2501,A1730)&gt;1,"Duplicate","")</f>
        <v/>
      </c>
      <c r="L1730" t="str">
        <f t="shared" ref="L1730:L1793" si="218">IF(OR(E1730=0,E1730&gt;10000),"Unusual","")</f>
        <v/>
      </c>
      <c r="M1730" t="str">
        <f t="shared" ref="M1730:M1793" si="219">IF(OR(ISBLANK(G1730),ISERROR(FIND("@",G1730)),ISERROR(FIND(".",G1730,FIND("@",G1730)+1))),"Invalid","")</f>
        <v/>
      </c>
      <c r="N1730" t="str">
        <f t="shared" ref="N1730:N1793" si="220">IF(COUNTIF($S$2:$S$6,H1730)=0,"Invalid","")</f>
        <v/>
      </c>
      <c r="O1730" t="str">
        <f t="shared" ref="O1730:O1793" ca="1" si="221">IF(F1730&lt;EDATE(TODAY(),-12),"Outdated","")</f>
        <v>Outdated</v>
      </c>
      <c r="P1730" t="str">
        <f t="shared" ref="P1730:P1793" si="222">IF(ISBLANK(D1730),"",PROPER(TRIM(D1730)))</f>
        <v>Not As Described</v>
      </c>
      <c r="Q1730" t="str">
        <f t="shared" ref="Q1730:Q1793" si="223">IF(ISBLANK(D1730),"",IF(EXACT(D1730,P1730),"","Inconsistent"))</f>
        <v/>
      </c>
    </row>
    <row r="1731" spans="1:17" x14ac:dyDescent="0.45">
      <c r="A1731" t="s">
        <v>2530</v>
      </c>
      <c r="B1731" t="s">
        <v>138</v>
      </c>
      <c r="C1731" t="s">
        <v>363</v>
      </c>
      <c r="D1731" t="s">
        <v>74</v>
      </c>
      <c r="E1731" s="8">
        <v>11061.47</v>
      </c>
      <c r="F1731" s="9">
        <v>45533.666684444448</v>
      </c>
      <c r="G1731" t="s">
        <v>140</v>
      </c>
      <c r="H1731" t="s">
        <v>76</v>
      </c>
      <c r="I1731" t="s">
        <v>88</v>
      </c>
      <c r="J1731" t="str">
        <f t="shared" si="216"/>
        <v/>
      </c>
      <c r="K1731" t="str">
        <f t="shared" si="217"/>
        <v/>
      </c>
      <c r="L1731" t="str">
        <f t="shared" si="218"/>
        <v>Unusual</v>
      </c>
      <c r="M1731" t="str">
        <f t="shared" si="219"/>
        <v/>
      </c>
      <c r="N1731" t="str">
        <f t="shared" si="220"/>
        <v/>
      </c>
      <c r="O1731" t="str">
        <f t="shared" ca="1" si="221"/>
        <v>Outdated</v>
      </c>
      <c r="P1731" t="str">
        <f t="shared" si="222"/>
        <v>Wrong Item</v>
      </c>
      <c r="Q1731" t="str">
        <f t="shared" si="223"/>
        <v/>
      </c>
    </row>
    <row r="1732" spans="1:17" x14ac:dyDescent="0.45">
      <c r="A1732" t="s">
        <v>2531</v>
      </c>
      <c r="B1732" t="s">
        <v>104</v>
      </c>
      <c r="C1732" t="s">
        <v>2104</v>
      </c>
      <c r="D1732" t="s">
        <v>74</v>
      </c>
      <c r="E1732" s="8">
        <v>10825.47</v>
      </c>
      <c r="F1732" s="9">
        <v>45445.666684444448</v>
      </c>
      <c r="H1732" t="s">
        <v>133</v>
      </c>
      <c r="I1732" t="s">
        <v>119</v>
      </c>
      <c r="J1732" t="str">
        <f t="shared" si="216"/>
        <v/>
      </c>
      <c r="K1732" t="str">
        <f t="shared" si="217"/>
        <v/>
      </c>
      <c r="L1732" t="str">
        <f t="shared" si="218"/>
        <v>Unusual</v>
      </c>
      <c r="M1732" t="str">
        <f t="shared" si="219"/>
        <v>Invalid</v>
      </c>
      <c r="N1732" t="str">
        <f t="shared" si="220"/>
        <v>Invalid</v>
      </c>
      <c r="O1732" t="str">
        <f t="shared" ca="1" si="221"/>
        <v>Outdated</v>
      </c>
      <c r="P1732" t="str">
        <f t="shared" si="222"/>
        <v>Wrong Item</v>
      </c>
      <c r="Q1732" t="str">
        <f t="shared" si="223"/>
        <v/>
      </c>
    </row>
    <row r="1733" spans="1:17" x14ac:dyDescent="0.45">
      <c r="A1733" t="s">
        <v>2532</v>
      </c>
      <c r="B1733" t="s">
        <v>138</v>
      </c>
      <c r="C1733" t="s">
        <v>1369</v>
      </c>
      <c r="D1733" t="s">
        <v>74</v>
      </c>
      <c r="E1733" s="8">
        <v>11167.95</v>
      </c>
      <c r="F1733" s="9">
        <v>45475.666684444448</v>
      </c>
      <c r="G1733" t="s">
        <v>140</v>
      </c>
      <c r="H1733" t="s">
        <v>118</v>
      </c>
      <c r="I1733" t="s">
        <v>119</v>
      </c>
      <c r="J1733" t="str">
        <f t="shared" si="216"/>
        <v/>
      </c>
      <c r="K1733" t="str">
        <f t="shared" si="217"/>
        <v/>
      </c>
      <c r="L1733" t="str">
        <f t="shared" si="218"/>
        <v>Unusual</v>
      </c>
      <c r="M1733" t="str">
        <f t="shared" si="219"/>
        <v/>
      </c>
      <c r="N1733" t="str">
        <f t="shared" si="220"/>
        <v>Invalid</v>
      </c>
      <c r="O1733" t="str">
        <f t="shared" ca="1" si="221"/>
        <v>Outdated</v>
      </c>
      <c r="P1733" t="str">
        <f t="shared" si="222"/>
        <v>Wrong Item</v>
      </c>
      <c r="Q1733" t="str">
        <f t="shared" si="223"/>
        <v/>
      </c>
    </row>
    <row r="1734" spans="1:17" x14ac:dyDescent="0.45">
      <c r="A1734" t="s">
        <v>2533</v>
      </c>
      <c r="B1734" t="s">
        <v>79</v>
      </c>
      <c r="D1734" t="s">
        <v>92</v>
      </c>
      <c r="E1734" s="8">
        <v>4804.2700000000004</v>
      </c>
      <c r="F1734" s="9">
        <v>45354.666684444448</v>
      </c>
      <c r="G1734" t="s">
        <v>86</v>
      </c>
      <c r="H1734" t="s">
        <v>76</v>
      </c>
      <c r="I1734" t="s">
        <v>112</v>
      </c>
      <c r="J1734" t="str">
        <f t="shared" si="216"/>
        <v>Missing</v>
      </c>
      <c r="K1734" t="str">
        <f t="shared" si="217"/>
        <v/>
      </c>
      <c r="L1734" t="str">
        <f t="shared" si="218"/>
        <v/>
      </c>
      <c r="M1734" t="str">
        <f t="shared" si="219"/>
        <v/>
      </c>
      <c r="N1734" t="str">
        <f t="shared" si="220"/>
        <v/>
      </c>
      <c r="O1734" t="str">
        <f t="shared" ca="1" si="221"/>
        <v>Outdated</v>
      </c>
      <c r="P1734" t="str">
        <f t="shared" si="222"/>
        <v>Not As Described</v>
      </c>
      <c r="Q1734" t="str">
        <f t="shared" si="223"/>
        <v/>
      </c>
    </row>
    <row r="1735" spans="1:17" x14ac:dyDescent="0.45">
      <c r="A1735" t="s">
        <v>2534</v>
      </c>
      <c r="B1735" t="s">
        <v>99</v>
      </c>
      <c r="C1735" t="s">
        <v>429</v>
      </c>
      <c r="D1735" t="s">
        <v>106</v>
      </c>
      <c r="E1735" s="8">
        <v>4309.9399999999996</v>
      </c>
      <c r="F1735" s="9">
        <v>45469.666684444448</v>
      </c>
      <c r="G1735" t="s">
        <v>102</v>
      </c>
      <c r="H1735" t="s">
        <v>145</v>
      </c>
      <c r="I1735" t="s">
        <v>119</v>
      </c>
      <c r="J1735" t="str">
        <f t="shared" si="216"/>
        <v/>
      </c>
      <c r="K1735" t="str">
        <f t="shared" si="217"/>
        <v/>
      </c>
      <c r="L1735" t="str">
        <f t="shared" si="218"/>
        <v/>
      </c>
      <c r="M1735" t="str">
        <f t="shared" si="219"/>
        <v/>
      </c>
      <c r="N1735" t="str">
        <f t="shared" si="220"/>
        <v/>
      </c>
      <c r="O1735" t="str">
        <f t="shared" ca="1" si="221"/>
        <v>Outdated</v>
      </c>
      <c r="P1735" t="str">
        <f t="shared" si="222"/>
        <v>Damaged</v>
      </c>
      <c r="Q1735" t="str">
        <f t="shared" si="223"/>
        <v>Inconsistent</v>
      </c>
    </row>
    <row r="1736" spans="1:17" x14ac:dyDescent="0.45">
      <c r="A1736" t="s">
        <v>2535</v>
      </c>
      <c r="B1736" t="s">
        <v>104</v>
      </c>
      <c r="C1736" t="s">
        <v>1057</v>
      </c>
      <c r="D1736" t="s">
        <v>106</v>
      </c>
      <c r="E1736" s="8">
        <v>1416.65</v>
      </c>
      <c r="F1736" s="9">
        <v>45300.666684444448</v>
      </c>
      <c r="G1736" t="s">
        <v>115</v>
      </c>
      <c r="H1736" t="s">
        <v>81</v>
      </c>
      <c r="I1736" t="s">
        <v>119</v>
      </c>
      <c r="J1736" t="str">
        <f t="shared" si="216"/>
        <v/>
      </c>
      <c r="K1736" t="str">
        <f t="shared" si="217"/>
        <v/>
      </c>
      <c r="L1736" t="str">
        <f t="shared" si="218"/>
        <v/>
      </c>
      <c r="M1736" t="str">
        <f t="shared" si="219"/>
        <v/>
      </c>
      <c r="N1736" t="str">
        <f t="shared" si="220"/>
        <v/>
      </c>
      <c r="O1736" t="str">
        <f t="shared" ca="1" si="221"/>
        <v>Outdated</v>
      </c>
      <c r="P1736" t="str">
        <f t="shared" si="222"/>
        <v>Damaged</v>
      </c>
      <c r="Q1736" t="str">
        <f t="shared" si="223"/>
        <v>Inconsistent</v>
      </c>
    </row>
    <row r="1737" spans="1:17" x14ac:dyDescent="0.45">
      <c r="A1737" t="s">
        <v>2536</v>
      </c>
      <c r="B1737" t="s">
        <v>99</v>
      </c>
      <c r="C1737" t="s">
        <v>1896</v>
      </c>
      <c r="D1737" t="s">
        <v>85</v>
      </c>
      <c r="E1737" s="8">
        <v>0</v>
      </c>
      <c r="F1737" s="9">
        <v>45206.666684444448</v>
      </c>
      <c r="G1737" t="s">
        <v>102</v>
      </c>
      <c r="H1737" t="s">
        <v>136</v>
      </c>
      <c r="I1737" t="s">
        <v>112</v>
      </c>
      <c r="J1737" t="str">
        <f t="shared" si="216"/>
        <v/>
      </c>
      <c r="K1737" t="str">
        <f t="shared" si="217"/>
        <v/>
      </c>
      <c r="L1737" t="str">
        <f t="shared" si="218"/>
        <v>Unusual</v>
      </c>
      <c r="M1737" t="str">
        <f t="shared" si="219"/>
        <v/>
      </c>
      <c r="N1737" t="str">
        <f t="shared" si="220"/>
        <v>Invalid</v>
      </c>
      <c r="O1737" t="str">
        <f t="shared" ca="1" si="221"/>
        <v>Outdated</v>
      </c>
      <c r="P1737" t="str">
        <f t="shared" si="222"/>
        <v>Late Delivery</v>
      </c>
      <c r="Q1737" t="str">
        <f t="shared" si="223"/>
        <v/>
      </c>
    </row>
    <row r="1738" spans="1:17" x14ac:dyDescent="0.45">
      <c r="A1738" t="s">
        <v>2537</v>
      </c>
      <c r="B1738" t="s">
        <v>138</v>
      </c>
      <c r="D1738" t="s">
        <v>148</v>
      </c>
      <c r="E1738" s="8">
        <v>6947</v>
      </c>
      <c r="F1738" s="9">
        <v>45650.666684444448</v>
      </c>
      <c r="G1738" t="s">
        <v>140</v>
      </c>
      <c r="H1738" t="s">
        <v>128</v>
      </c>
      <c r="I1738" t="s">
        <v>119</v>
      </c>
      <c r="J1738" t="str">
        <f t="shared" si="216"/>
        <v>Missing</v>
      </c>
      <c r="K1738" t="str">
        <f t="shared" si="217"/>
        <v/>
      </c>
      <c r="L1738" t="str">
        <f t="shared" si="218"/>
        <v/>
      </c>
      <c r="M1738" t="str">
        <f t="shared" si="219"/>
        <v/>
      </c>
      <c r="N1738" t="str">
        <f t="shared" si="220"/>
        <v>Invalid</v>
      </c>
      <c r="O1738" t="str">
        <f t="shared" ca="1" si="221"/>
        <v>Outdated</v>
      </c>
      <c r="P1738" t="str">
        <f t="shared" si="222"/>
        <v>Wrong Item</v>
      </c>
      <c r="Q1738" t="str">
        <f t="shared" si="223"/>
        <v>Inconsistent</v>
      </c>
    </row>
    <row r="1739" spans="1:17" x14ac:dyDescent="0.45">
      <c r="A1739" t="s">
        <v>2538</v>
      </c>
      <c r="B1739" t="s">
        <v>95</v>
      </c>
      <c r="C1739" t="s">
        <v>1631</v>
      </c>
      <c r="D1739" t="s">
        <v>92</v>
      </c>
      <c r="E1739" s="8">
        <v>6932.83</v>
      </c>
      <c r="F1739" s="9">
        <v>45776.666684444448</v>
      </c>
      <c r="G1739" t="s">
        <v>97</v>
      </c>
      <c r="H1739" t="s">
        <v>145</v>
      </c>
      <c r="I1739" t="s">
        <v>82</v>
      </c>
      <c r="J1739" t="str">
        <f t="shared" si="216"/>
        <v/>
      </c>
      <c r="K1739" t="str">
        <f t="shared" si="217"/>
        <v/>
      </c>
      <c r="L1739" t="str">
        <f t="shared" si="218"/>
        <v/>
      </c>
      <c r="M1739" t="str">
        <f t="shared" si="219"/>
        <v/>
      </c>
      <c r="N1739" t="str">
        <f t="shared" si="220"/>
        <v/>
      </c>
      <c r="O1739" t="str">
        <f t="shared" ca="1" si="221"/>
        <v>Outdated</v>
      </c>
      <c r="P1739" t="str">
        <f t="shared" si="222"/>
        <v>Not As Described</v>
      </c>
      <c r="Q1739" t="str">
        <f t="shared" si="223"/>
        <v/>
      </c>
    </row>
    <row r="1740" spans="1:17" x14ac:dyDescent="0.45">
      <c r="A1740" t="s">
        <v>2539</v>
      </c>
      <c r="B1740" t="s">
        <v>109</v>
      </c>
      <c r="C1740" t="s">
        <v>1028</v>
      </c>
      <c r="D1740" t="s">
        <v>85</v>
      </c>
      <c r="E1740" s="8">
        <v>8228.49</v>
      </c>
      <c r="F1740" s="9">
        <v>45244.666684444448</v>
      </c>
      <c r="G1740" t="s">
        <v>111</v>
      </c>
      <c r="H1740" t="s">
        <v>133</v>
      </c>
      <c r="I1740" t="s">
        <v>77</v>
      </c>
      <c r="J1740" t="str">
        <f t="shared" si="216"/>
        <v/>
      </c>
      <c r="K1740" t="str">
        <f t="shared" si="217"/>
        <v/>
      </c>
      <c r="L1740" t="str">
        <f t="shared" si="218"/>
        <v/>
      </c>
      <c r="M1740" t="str">
        <f t="shared" si="219"/>
        <v/>
      </c>
      <c r="N1740" t="str">
        <f t="shared" si="220"/>
        <v>Invalid</v>
      </c>
      <c r="O1740" t="str">
        <f t="shared" ca="1" si="221"/>
        <v>Outdated</v>
      </c>
      <c r="P1740" t="str">
        <f t="shared" si="222"/>
        <v>Late Delivery</v>
      </c>
      <c r="Q1740" t="str">
        <f t="shared" si="223"/>
        <v/>
      </c>
    </row>
    <row r="1741" spans="1:17" x14ac:dyDescent="0.45">
      <c r="A1741" t="s">
        <v>2540</v>
      </c>
      <c r="B1741" t="s">
        <v>90</v>
      </c>
      <c r="C1741" t="s">
        <v>249</v>
      </c>
      <c r="D1741" t="s">
        <v>85</v>
      </c>
      <c r="E1741" s="8">
        <v>5090.95</v>
      </c>
      <c r="F1741" s="9">
        <v>45671.666684444448</v>
      </c>
      <c r="G1741" t="s">
        <v>93</v>
      </c>
      <c r="H1741" t="s">
        <v>81</v>
      </c>
      <c r="I1741" t="s">
        <v>77</v>
      </c>
      <c r="J1741" t="str">
        <f t="shared" si="216"/>
        <v/>
      </c>
      <c r="K1741" t="str">
        <f t="shared" si="217"/>
        <v/>
      </c>
      <c r="L1741" t="str">
        <f t="shared" si="218"/>
        <v/>
      </c>
      <c r="M1741" t="str">
        <f t="shared" si="219"/>
        <v/>
      </c>
      <c r="N1741" t="str">
        <f t="shared" si="220"/>
        <v/>
      </c>
      <c r="O1741" t="str">
        <f t="shared" ca="1" si="221"/>
        <v>Outdated</v>
      </c>
      <c r="P1741" t="str">
        <f t="shared" si="222"/>
        <v>Late Delivery</v>
      </c>
      <c r="Q1741" t="str">
        <f t="shared" si="223"/>
        <v/>
      </c>
    </row>
    <row r="1742" spans="1:17" x14ac:dyDescent="0.45">
      <c r="A1742" t="s">
        <v>2541</v>
      </c>
      <c r="B1742" t="s">
        <v>90</v>
      </c>
      <c r="C1742" t="s">
        <v>2542</v>
      </c>
      <c r="D1742" t="s">
        <v>74</v>
      </c>
      <c r="E1742" s="8">
        <v>1689.34</v>
      </c>
      <c r="F1742" s="9">
        <v>45650.666684444448</v>
      </c>
      <c r="G1742" t="s">
        <v>93</v>
      </c>
      <c r="H1742" t="s">
        <v>136</v>
      </c>
      <c r="I1742" t="s">
        <v>163</v>
      </c>
      <c r="J1742" t="str">
        <f t="shared" si="216"/>
        <v/>
      </c>
      <c r="K1742" t="str">
        <f t="shared" si="217"/>
        <v/>
      </c>
      <c r="L1742" t="str">
        <f t="shared" si="218"/>
        <v/>
      </c>
      <c r="M1742" t="str">
        <f t="shared" si="219"/>
        <v/>
      </c>
      <c r="N1742" t="str">
        <f t="shared" si="220"/>
        <v>Invalid</v>
      </c>
      <c r="O1742" t="str">
        <f t="shared" ca="1" si="221"/>
        <v>Outdated</v>
      </c>
      <c r="P1742" t="str">
        <f t="shared" si="222"/>
        <v>Wrong Item</v>
      </c>
      <c r="Q1742" t="str">
        <f t="shared" si="223"/>
        <v/>
      </c>
    </row>
    <row r="1743" spans="1:17" x14ac:dyDescent="0.45">
      <c r="A1743" t="s">
        <v>2543</v>
      </c>
      <c r="B1743" t="s">
        <v>99</v>
      </c>
      <c r="D1743" t="s">
        <v>155</v>
      </c>
      <c r="E1743" s="8">
        <v>7046.15</v>
      </c>
      <c r="F1743" s="9">
        <v>45326.666684444448</v>
      </c>
      <c r="G1743" t="s">
        <v>102</v>
      </c>
      <c r="H1743" t="s">
        <v>128</v>
      </c>
      <c r="I1743" t="s">
        <v>112</v>
      </c>
      <c r="J1743" t="str">
        <f t="shared" si="216"/>
        <v>Missing</v>
      </c>
      <c r="K1743" t="str">
        <f t="shared" si="217"/>
        <v/>
      </c>
      <c r="L1743" t="str">
        <f t="shared" si="218"/>
        <v/>
      </c>
      <c r="M1743" t="str">
        <f t="shared" si="219"/>
        <v/>
      </c>
      <c r="N1743" t="str">
        <f t="shared" si="220"/>
        <v>Invalid</v>
      </c>
      <c r="O1743" t="str">
        <f t="shared" ca="1" si="221"/>
        <v>Outdated</v>
      </c>
      <c r="P1743" t="str">
        <f t="shared" si="222"/>
        <v>Damaged</v>
      </c>
      <c r="Q1743" t="str">
        <f t="shared" si="223"/>
        <v>Inconsistent</v>
      </c>
    </row>
    <row r="1744" spans="1:17" x14ac:dyDescent="0.45">
      <c r="A1744" t="s">
        <v>2544</v>
      </c>
      <c r="B1744" t="s">
        <v>104</v>
      </c>
      <c r="C1744" t="s">
        <v>2309</v>
      </c>
      <c r="D1744" t="s">
        <v>101</v>
      </c>
      <c r="E1744" s="8">
        <v>3908.49</v>
      </c>
      <c r="F1744" s="9">
        <v>45485.666684444448</v>
      </c>
      <c r="G1744" t="s">
        <v>115</v>
      </c>
      <c r="H1744" t="s">
        <v>136</v>
      </c>
      <c r="I1744" t="s">
        <v>112</v>
      </c>
      <c r="J1744" t="str">
        <f t="shared" si="216"/>
        <v/>
      </c>
      <c r="K1744" t="str">
        <f t="shared" si="217"/>
        <v/>
      </c>
      <c r="L1744" t="str">
        <f t="shared" si="218"/>
        <v/>
      </c>
      <c r="M1744" t="str">
        <f t="shared" si="219"/>
        <v/>
      </c>
      <c r="N1744" t="str">
        <f t="shared" si="220"/>
        <v>Invalid</v>
      </c>
      <c r="O1744" t="str">
        <f t="shared" ca="1" si="221"/>
        <v>Outdated</v>
      </c>
      <c r="P1744" t="str">
        <f t="shared" si="222"/>
        <v>Damaged</v>
      </c>
      <c r="Q1744" t="str">
        <f t="shared" si="223"/>
        <v/>
      </c>
    </row>
    <row r="1745" spans="1:17" x14ac:dyDescent="0.45">
      <c r="A1745" t="s">
        <v>2545</v>
      </c>
      <c r="B1745" t="s">
        <v>109</v>
      </c>
      <c r="C1745" t="s">
        <v>1672</v>
      </c>
      <c r="D1745" t="s">
        <v>101</v>
      </c>
      <c r="E1745" s="8">
        <v>895.94</v>
      </c>
      <c r="F1745" s="9">
        <v>45487.666684444448</v>
      </c>
      <c r="G1745" t="s">
        <v>111</v>
      </c>
      <c r="H1745" t="s">
        <v>136</v>
      </c>
      <c r="I1745" t="s">
        <v>119</v>
      </c>
      <c r="J1745" t="str">
        <f t="shared" si="216"/>
        <v/>
      </c>
      <c r="K1745" t="str">
        <f t="shared" si="217"/>
        <v/>
      </c>
      <c r="L1745" t="str">
        <f t="shared" si="218"/>
        <v/>
      </c>
      <c r="M1745" t="str">
        <f t="shared" si="219"/>
        <v/>
      </c>
      <c r="N1745" t="str">
        <f t="shared" si="220"/>
        <v>Invalid</v>
      </c>
      <c r="O1745" t="str">
        <f t="shared" ca="1" si="221"/>
        <v>Outdated</v>
      </c>
      <c r="P1745" t="str">
        <f t="shared" si="222"/>
        <v>Damaged</v>
      </c>
      <c r="Q1745" t="str">
        <f t="shared" si="223"/>
        <v/>
      </c>
    </row>
    <row r="1746" spans="1:17" x14ac:dyDescent="0.45">
      <c r="A1746" t="s">
        <v>2546</v>
      </c>
      <c r="B1746" t="s">
        <v>172</v>
      </c>
      <c r="C1746" t="s">
        <v>2202</v>
      </c>
      <c r="D1746" t="s">
        <v>92</v>
      </c>
      <c r="E1746" s="8">
        <v>247.72</v>
      </c>
      <c r="F1746" s="9">
        <v>45788.666684444448</v>
      </c>
      <c r="G1746" t="s">
        <v>236</v>
      </c>
      <c r="H1746" t="s">
        <v>136</v>
      </c>
      <c r="I1746" t="s">
        <v>112</v>
      </c>
      <c r="J1746" t="str">
        <f t="shared" si="216"/>
        <v/>
      </c>
      <c r="K1746" t="str">
        <f t="shared" si="217"/>
        <v/>
      </c>
      <c r="L1746" t="str">
        <f t="shared" si="218"/>
        <v/>
      </c>
      <c r="M1746" t="str">
        <f t="shared" si="219"/>
        <v>Invalid</v>
      </c>
      <c r="N1746" t="str">
        <f t="shared" si="220"/>
        <v>Invalid</v>
      </c>
      <c r="O1746" t="str">
        <f t="shared" ca="1" si="221"/>
        <v>Outdated</v>
      </c>
      <c r="P1746" t="str">
        <f t="shared" si="222"/>
        <v>Not As Described</v>
      </c>
      <c r="Q1746" t="str">
        <f t="shared" si="223"/>
        <v/>
      </c>
    </row>
    <row r="1747" spans="1:17" x14ac:dyDescent="0.45">
      <c r="A1747" t="s">
        <v>2547</v>
      </c>
      <c r="B1747" t="s">
        <v>99</v>
      </c>
      <c r="C1747" t="s">
        <v>462</v>
      </c>
      <c r="D1747" t="s">
        <v>101</v>
      </c>
      <c r="E1747" s="8">
        <v>5548.27</v>
      </c>
      <c r="F1747" s="9">
        <v>45279.666684444448</v>
      </c>
      <c r="G1747" t="s">
        <v>102</v>
      </c>
      <c r="H1747" t="s">
        <v>116</v>
      </c>
      <c r="I1747" t="s">
        <v>77</v>
      </c>
      <c r="J1747" t="str">
        <f t="shared" si="216"/>
        <v/>
      </c>
      <c r="K1747" t="str">
        <f t="shared" si="217"/>
        <v/>
      </c>
      <c r="L1747" t="str">
        <f t="shared" si="218"/>
        <v/>
      </c>
      <c r="M1747" t="str">
        <f t="shared" si="219"/>
        <v/>
      </c>
      <c r="N1747" t="str">
        <f t="shared" si="220"/>
        <v/>
      </c>
      <c r="O1747" t="str">
        <f t="shared" ca="1" si="221"/>
        <v>Outdated</v>
      </c>
      <c r="P1747" t="str">
        <f t="shared" si="222"/>
        <v>Damaged</v>
      </c>
      <c r="Q1747" t="str">
        <f t="shared" si="223"/>
        <v/>
      </c>
    </row>
    <row r="1748" spans="1:17" x14ac:dyDescent="0.45">
      <c r="A1748" t="s">
        <v>2548</v>
      </c>
      <c r="B1748" t="s">
        <v>104</v>
      </c>
      <c r="C1748" t="s">
        <v>699</v>
      </c>
      <c r="D1748" t="s">
        <v>101</v>
      </c>
      <c r="E1748" s="8">
        <v>3077.33</v>
      </c>
      <c r="F1748" s="9">
        <v>45369.666684444448</v>
      </c>
      <c r="G1748" t="s">
        <v>115</v>
      </c>
      <c r="H1748" t="s">
        <v>87</v>
      </c>
      <c r="I1748" t="s">
        <v>82</v>
      </c>
      <c r="J1748" t="str">
        <f t="shared" si="216"/>
        <v/>
      </c>
      <c r="K1748" t="str">
        <f t="shared" si="217"/>
        <v/>
      </c>
      <c r="L1748" t="str">
        <f t="shared" si="218"/>
        <v/>
      </c>
      <c r="M1748" t="str">
        <f t="shared" si="219"/>
        <v/>
      </c>
      <c r="N1748" t="str">
        <f t="shared" si="220"/>
        <v>Invalid</v>
      </c>
      <c r="O1748" t="str">
        <f t="shared" ca="1" si="221"/>
        <v>Outdated</v>
      </c>
      <c r="P1748" t="str">
        <f t="shared" si="222"/>
        <v>Damaged</v>
      </c>
      <c r="Q1748" t="str">
        <f t="shared" si="223"/>
        <v/>
      </c>
    </row>
    <row r="1749" spans="1:17" x14ac:dyDescent="0.45">
      <c r="A1749" t="s">
        <v>1886</v>
      </c>
      <c r="B1749" t="s">
        <v>104</v>
      </c>
      <c r="D1749" t="s">
        <v>85</v>
      </c>
      <c r="E1749" s="8">
        <v>0</v>
      </c>
      <c r="F1749" s="9">
        <v>45233.666684444448</v>
      </c>
      <c r="G1749" t="s">
        <v>115</v>
      </c>
      <c r="H1749" t="s">
        <v>107</v>
      </c>
      <c r="I1749" t="s">
        <v>88</v>
      </c>
      <c r="J1749" t="str">
        <f t="shared" si="216"/>
        <v>Missing</v>
      </c>
      <c r="K1749" t="str">
        <f t="shared" si="217"/>
        <v>Duplicate</v>
      </c>
      <c r="L1749" t="str">
        <f t="shared" si="218"/>
        <v>Unusual</v>
      </c>
      <c r="M1749" t="str">
        <f t="shared" si="219"/>
        <v/>
      </c>
      <c r="N1749" t="str">
        <f t="shared" si="220"/>
        <v/>
      </c>
      <c r="O1749" t="str">
        <f t="shared" ca="1" si="221"/>
        <v>Outdated</v>
      </c>
      <c r="P1749" t="str">
        <f t="shared" si="222"/>
        <v>Late Delivery</v>
      </c>
      <c r="Q1749" t="str">
        <f t="shared" si="223"/>
        <v/>
      </c>
    </row>
    <row r="1750" spans="1:17" x14ac:dyDescent="0.45">
      <c r="A1750" t="s">
        <v>2549</v>
      </c>
      <c r="B1750" t="s">
        <v>72</v>
      </c>
      <c r="C1750" t="s">
        <v>762</v>
      </c>
      <c r="D1750" t="s">
        <v>74</v>
      </c>
      <c r="E1750" s="8">
        <v>1312.8</v>
      </c>
      <c r="F1750" s="9">
        <v>45277.666684444448</v>
      </c>
      <c r="G1750" t="s">
        <v>75</v>
      </c>
      <c r="H1750" t="s">
        <v>133</v>
      </c>
      <c r="I1750" t="s">
        <v>119</v>
      </c>
      <c r="J1750" t="str">
        <f t="shared" si="216"/>
        <v/>
      </c>
      <c r="K1750" t="str">
        <f t="shared" si="217"/>
        <v/>
      </c>
      <c r="L1750" t="str">
        <f t="shared" si="218"/>
        <v/>
      </c>
      <c r="M1750" t="str">
        <f t="shared" si="219"/>
        <v/>
      </c>
      <c r="N1750" t="str">
        <f t="shared" si="220"/>
        <v>Invalid</v>
      </c>
      <c r="O1750" t="str">
        <f t="shared" ca="1" si="221"/>
        <v>Outdated</v>
      </c>
      <c r="P1750" t="str">
        <f t="shared" si="222"/>
        <v>Wrong Item</v>
      </c>
      <c r="Q1750" t="str">
        <f t="shared" si="223"/>
        <v/>
      </c>
    </row>
    <row r="1751" spans="1:17" x14ac:dyDescent="0.45">
      <c r="A1751" t="s">
        <v>1496</v>
      </c>
      <c r="B1751" t="s">
        <v>90</v>
      </c>
      <c r="C1751" t="s">
        <v>1945</v>
      </c>
      <c r="D1751" t="s">
        <v>92</v>
      </c>
      <c r="E1751" s="8">
        <v>3828.9</v>
      </c>
      <c r="F1751" s="9">
        <v>45390.666684444448</v>
      </c>
      <c r="G1751" t="s">
        <v>93</v>
      </c>
      <c r="H1751" t="s">
        <v>81</v>
      </c>
      <c r="I1751" t="s">
        <v>77</v>
      </c>
      <c r="J1751" t="str">
        <f t="shared" si="216"/>
        <v/>
      </c>
      <c r="K1751" t="str">
        <f t="shared" si="217"/>
        <v>Duplicate</v>
      </c>
      <c r="L1751" t="str">
        <f t="shared" si="218"/>
        <v/>
      </c>
      <c r="M1751" t="str">
        <f t="shared" si="219"/>
        <v/>
      </c>
      <c r="N1751" t="str">
        <f t="shared" si="220"/>
        <v/>
      </c>
      <c r="O1751" t="str">
        <f t="shared" ca="1" si="221"/>
        <v>Outdated</v>
      </c>
      <c r="P1751" t="str">
        <f t="shared" si="222"/>
        <v>Not As Described</v>
      </c>
      <c r="Q1751" t="str">
        <f t="shared" si="223"/>
        <v/>
      </c>
    </row>
    <row r="1752" spans="1:17" x14ac:dyDescent="0.45">
      <c r="A1752" t="s">
        <v>180</v>
      </c>
      <c r="B1752" t="s">
        <v>109</v>
      </c>
      <c r="C1752" t="s">
        <v>1933</v>
      </c>
      <c r="D1752" t="s">
        <v>85</v>
      </c>
      <c r="E1752" s="8">
        <v>2482.9899999999998</v>
      </c>
      <c r="F1752" s="9">
        <v>45330.666684444448</v>
      </c>
      <c r="I1752" t="s">
        <v>119</v>
      </c>
      <c r="J1752" t="str">
        <f t="shared" si="216"/>
        <v/>
      </c>
      <c r="K1752" t="str">
        <f t="shared" si="217"/>
        <v>Duplicate</v>
      </c>
      <c r="L1752" t="str">
        <f t="shared" si="218"/>
        <v/>
      </c>
      <c r="M1752" t="str">
        <f t="shared" si="219"/>
        <v>Invalid</v>
      </c>
      <c r="N1752" t="str">
        <f t="shared" si="220"/>
        <v>Invalid</v>
      </c>
      <c r="O1752" t="str">
        <f t="shared" ca="1" si="221"/>
        <v>Outdated</v>
      </c>
      <c r="P1752" t="str">
        <f t="shared" si="222"/>
        <v>Late Delivery</v>
      </c>
      <c r="Q1752" t="str">
        <f t="shared" si="223"/>
        <v/>
      </c>
    </row>
    <row r="1753" spans="1:17" x14ac:dyDescent="0.45">
      <c r="A1753" t="s">
        <v>2550</v>
      </c>
      <c r="B1753" t="s">
        <v>79</v>
      </c>
      <c r="C1753" t="s">
        <v>216</v>
      </c>
      <c r="D1753" t="s">
        <v>85</v>
      </c>
      <c r="E1753" s="8">
        <v>6275.78</v>
      </c>
      <c r="F1753" s="9">
        <v>45305.666684444448</v>
      </c>
      <c r="G1753" t="s">
        <v>86</v>
      </c>
      <c r="H1753" t="s">
        <v>81</v>
      </c>
      <c r="I1753" t="s">
        <v>82</v>
      </c>
      <c r="J1753" t="str">
        <f t="shared" si="216"/>
        <v/>
      </c>
      <c r="K1753" t="str">
        <f t="shared" si="217"/>
        <v/>
      </c>
      <c r="L1753" t="str">
        <f t="shared" si="218"/>
        <v/>
      </c>
      <c r="M1753" t="str">
        <f t="shared" si="219"/>
        <v/>
      </c>
      <c r="N1753" t="str">
        <f t="shared" si="220"/>
        <v/>
      </c>
      <c r="O1753" t="str">
        <f t="shared" ca="1" si="221"/>
        <v>Outdated</v>
      </c>
      <c r="P1753" t="str">
        <f t="shared" si="222"/>
        <v>Late Delivery</v>
      </c>
      <c r="Q1753" t="str">
        <f t="shared" si="223"/>
        <v/>
      </c>
    </row>
    <row r="1754" spans="1:17" x14ac:dyDescent="0.45">
      <c r="A1754" t="s">
        <v>2551</v>
      </c>
      <c r="B1754" t="s">
        <v>99</v>
      </c>
      <c r="C1754" t="s">
        <v>1225</v>
      </c>
      <c r="D1754" t="s">
        <v>85</v>
      </c>
      <c r="E1754" s="8">
        <v>4810.1400000000003</v>
      </c>
      <c r="F1754" s="9">
        <v>45744.666684444448</v>
      </c>
      <c r="G1754" t="s">
        <v>102</v>
      </c>
      <c r="H1754" t="s">
        <v>81</v>
      </c>
      <c r="I1754" t="s">
        <v>119</v>
      </c>
      <c r="J1754" t="str">
        <f t="shared" si="216"/>
        <v/>
      </c>
      <c r="K1754" t="str">
        <f t="shared" si="217"/>
        <v/>
      </c>
      <c r="L1754" t="str">
        <f t="shared" si="218"/>
        <v/>
      </c>
      <c r="M1754" t="str">
        <f t="shared" si="219"/>
        <v/>
      </c>
      <c r="N1754" t="str">
        <f t="shared" si="220"/>
        <v/>
      </c>
      <c r="O1754" t="str">
        <f t="shared" ca="1" si="221"/>
        <v>Outdated</v>
      </c>
      <c r="P1754" t="str">
        <f t="shared" si="222"/>
        <v>Late Delivery</v>
      </c>
      <c r="Q1754" t="str">
        <f t="shared" si="223"/>
        <v/>
      </c>
    </row>
    <row r="1755" spans="1:17" x14ac:dyDescent="0.45">
      <c r="A1755" t="s">
        <v>2552</v>
      </c>
      <c r="B1755" t="s">
        <v>109</v>
      </c>
      <c r="C1755" t="s">
        <v>653</v>
      </c>
      <c r="D1755" t="s">
        <v>85</v>
      </c>
      <c r="E1755" s="8">
        <v>2396.23</v>
      </c>
      <c r="F1755" s="9">
        <v>45284.666684444448</v>
      </c>
      <c r="G1755" t="s">
        <v>111</v>
      </c>
      <c r="H1755" t="s">
        <v>87</v>
      </c>
      <c r="I1755" t="s">
        <v>119</v>
      </c>
      <c r="J1755" t="str">
        <f t="shared" si="216"/>
        <v/>
      </c>
      <c r="K1755" t="str">
        <f t="shared" si="217"/>
        <v/>
      </c>
      <c r="L1755" t="str">
        <f t="shared" si="218"/>
        <v/>
      </c>
      <c r="M1755" t="str">
        <f t="shared" si="219"/>
        <v/>
      </c>
      <c r="N1755" t="str">
        <f t="shared" si="220"/>
        <v>Invalid</v>
      </c>
      <c r="O1755" t="str">
        <f t="shared" ca="1" si="221"/>
        <v>Outdated</v>
      </c>
      <c r="P1755" t="str">
        <f t="shared" si="222"/>
        <v>Late Delivery</v>
      </c>
      <c r="Q1755" t="str">
        <f t="shared" si="223"/>
        <v/>
      </c>
    </row>
    <row r="1756" spans="1:17" x14ac:dyDescent="0.45">
      <c r="A1756" t="s">
        <v>2553</v>
      </c>
      <c r="B1756" t="s">
        <v>72</v>
      </c>
      <c r="C1756" t="s">
        <v>187</v>
      </c>
      <c r="D1756" t="s">
        <v>85</v>
      </c>
      <c r="E1756" s="8">
        <v>8062.7</v>
      </c>
      <c r="F1756" s="9">
        <v>45799.666684444448</v>
      </c>
      <c r="G1756" t="s">
        <v>75</v>
      </c>
      <c r="H1756" t="s">
        <v>145</v>
      </c>
      <c r="I1756" t="s">
        <v>119</v>
      </c>
      <c r="J1756" t="str">
        <f t="shared" si="216"/>
        <v/>
      </c>
      <c r="K1756" t="str">
        <f t="shared" si="217"/>
        <v/>
      </c>
      <c r="L1756" t="str">
        <f t="shared" si="218"/>
        <v/>
      </c>
      <c r="M1756" t="str">
        <f t="shared" si="219"/>
        <v/>
      </c>
      <c r="N1756" t="str">
        <f t="shared" si="220"/>
        <v/>
      </c>
      <c r="O1756" t="str">
        <f t="shared" ca="1" si="221"/>
        <v>Outdated</v>
      </c>
      <c r="P1756" t="str">
        <f t="shared" si="222"/>
        <v>Late Delivery</v>
      </c>
      <c r="Q1756" t="str">
        <f t="shared" si="223"/>
        <v/>
      </c>
    </row>
    <row r="1757" spans="1:17" x14ac:dyDescent="0.45">
      <c r="A1757" t="s">
        <v>2554</v>
      </c>
      <c r="B1757" t="s">
        <v>72</v>
      </c>
      <c r="C1757" t="s">
        <v>2555</v>
      </c>
      <c r="D1757" t="s">
        <v>92</v>
      </c>
      <c r="E1757" s="8">
        <v>6025.94</v>
      </c>
      <c r="F1757" s="9">
        <v>45205.666684444448</v>
      </c>
      <c r="G1757" t="s">
        <v>75</v>
      </c>
      <c r="H1757" t="s">
        <v>145</v>
      </c>
      <c r="I1757" t="s">
        <v>82</v>
      </c>
      <c r="J1757" t="str">
        <f t="shared" si="216"/>
        <v/>
      </c>
      <c r="K1757" t="str">
        <f t="shared" si="217"/>
        <v/>
      </c>
      <c r="L1757" t="str">
        <f t="shared" si="218"/>
        <v/>
      </c>
      <c r="M1757" t="str">
        <f t="shared" si="219"/>
        <v/>
      </c>
      <c r="N1757" t="str">
        <f t="shared" si="220"/>
        <v/>
      </c>
      <c r="O1757" t="str">
        <f t="shared" ca="1" si="221"/>
        <v>Outdated</v>
      </c>
      <c r="P1757" t="str">
        <f t="shared" si="222"/>
        <v>Not As Described</v>
      </c>
      <c r="Q1757" t="str">
        <f t="shared" si="223"/>
        <v/>
      </c>
    </row>
    <row r="1758" spans="1:17" x14ac:dyDescent="0.45">
      <c r="A1758" t="s">
        <v>476</v>
      </c>
      <c r="B1758" t="s">
        <v>109</v>
      </c>
      <c r="C1758" t="s">
        <v>866</v>
      </c>
      <c r="D1758" t="s">
        <v>92</v>
      </c>
      <c r="E1758" s="8">
        <v>11299.62</v>
      </c>
      <c r="F1758" s="9">
        <v>45309.666684444448</v>
      </c>
      <c r="G1758" t="s">
        <v>111</v>
      </c>
      <c r="H1758" t="s">
        <v>118</v>
      </c>
      <c r="I1758" t="s">
        <v>119</v>
      </c>
      <c r="J1758" t="str">
        <f t="shared" si="216"/>
        <v/>
      </c>
      <c r="K1758" t="str">
        <f t="shared" si="217"/>
        <v>Duplicate</v>
      </c>
      <c r="L1758" t="str">
        <f t="shared" si="218"/>
        <v>Unusual</v>
      </c>
      <c r="M1758" t="str">
        <f t="shared" si="219"/>
        <v/>
      </c>
      <c r="N1758" t="str">
        <f t="shared" si="220"/>
        <v>Invalid</v>
      </c>
      <c r="O1758" t="str">
        <f t="shared" ca="1" si="221"/>
        <v>Outdated</v>
      </c>
      <c r="P1758" t="str">
        <f t="shared" si="222"/>
        <v>Not As Described</v>
      </c>
      <c r="Q1758" t="str">
        <f t="shared" si="223"/>
        <v/>
      </c>
    </row>
    <row r="1759" spans="1:17" x14ac:dyDescent="0.45">
      <c r="A1759" t="s">
        <v>2556</v>
      </c>
      <c r="B1759" t="s">
        <v>104</v>
      </c>
      <c r="C1759" t="s">
        <v>2557</v>
      </c>
      <c r="D1759" t="s">
        <v>92</v>
      </c>
      <c r="E1759" s="8">
        <v>5999.73</v>
      </c>
      <c r="F1759" s="9">
        <v>45771.666684444448</v>
      </c>
      <c r="H1759" t="s">
        <v>145</v>
      </c>
      <c r="I1759" t="s">
        <v>82</v>
      </c>
      <c r="J1759" t="str">
        <f t="shared" si="216"/>
        <v/>
      </c>
      <c r="K1759" t="str">
        <f t="shared" si="217"/>
        <v/>
      </c>
      <c r="L1759" t="str">
        <f t="shared" si="218"/>
        <v/>
      </c>
      <c r="M1759" t="str">
        <f t="shared" si="219"/>
        <v>Invalid</v>
      </c>
      <c r="N1759" t="str">
        <f t="shared" si="220"/>
        <v/>
      </c>
      <c r="O1759" t="str">
        <f t="shared" ca="1" si="221"/>
        <v>Outdated</v>
      </c>
      <c r="P1759" t="str">
        <f t="shared" si="222"/>
        <v>Not As Described</v>
      </c>
      <c r="Q1759" t="str">
        <f t="shared" si="223"/>
        <v/>
      </c>
    </row>
    <row r="1760" spans="1:17" x14ac:dyDescent="0.45">
      <c r="A1760" t="s">
        <v>2558</v>
      </c>
      <c r="B1760" t="s">
        <v>172</v>
      </c>
      <c r="C1760" t="s">
        <v>162</v>
      </c>
      <c r="D1760" t="s">
        <v>148</v>
      </c>
      <c r="E1760" s="8">
        <v>2614.85</v>
      </c>
      <c r="F1760" s="9">
        <v>45633.666684444448</v>
      </c>
      <c r="G1760" t="s">
        <v>174</v>
      </c>
      <c r="H1760" t="s">
        <v>145</v>
      </c>
      <c r="I1760" t="s">
        <v>82</v>
      </c>
      <c r="J1760" t="str">
        <f t="shared" si="216"/>
        <v/>
      </c>
      <c r="K1760" t="str">
        <f t="shared" si="217"/>
        <v/>
      </c>
      <c r="L1760" t="str">
        <f t="shared" si="218"/>
        <v/>
      </c>
      <c r="M1760" t="str">
        <f t="shared" si="219"/>
        <v/>
      </c>
      <c r="N1760" t="str">
        <f t="shared" si="220"/>
        <v/>
      </c>
      <c r="O1760" t="str">
        <f t="shared" ca="1" si="221"/>
        <v>Outdated</v>
      </c>
      <c r="P1760" t="str">
        <f t="shared" si="222"/>
        <v>Wrong Item</v>
      </c>
      <c r="Q1760" t="str">
        <f t="shared" si="223"/>
        <v>Inconsistent</v>
      </c>
    </row>
    <row r="1761" spans="1:17" x14ac:dyDescent="0.45">
      <c r="A1761" t="s">
        <v>2559</v>
      </c>
      <c r="B1761" t="s">
        <v>109</v>
      </c>
      <c r="C1761" t="s">
        <v>1454</v>
      </c>
      <c r="D1761" t="s">
        <v>74</v>
      </c>
      <c r="E1761" s="8">
        <v>5061.0600000000004</v>
      </c>
      <c r="F1761" s="9">
        <v>45603.666684444448</v>
      </c>
      <c r="G1761" t="s">
        <v>111</v>
      </c>
      <c r="H1761" t="s">
        <v>116</v>
      </c>
      <c r="I1761" t="s">
        <v>77</v>
      </c>
      <c r="J1761" t="str">
        <f t="shared" si="216"/>
        <v/>
      </c>
      <c r="K1761" t="str">
        <f t="shared" si="217"/>
        <v/>
      </c>
      <c r="L1761" t="str">
        <f t="shared" si="218"/>
        <v/>
      </c>
      <c r="M1761" t="str">
        <f t="shared" si="219"/>
        <v/>
      </c>
      <c r="N1761" t="str">
        <f t="shared" si="220"/>
        <v/>
      </c>
      <c r="O1761" t="str">
        <f t="shared" ca="1" si="221"/>
        <v>Outdated</v>
      </c>
      <c r="P1761" t="str">
        <f t="shared" si="222"/>
        <v>Wrong Item</v>
      </c>
      <c r="Q1761" t="str">
        <f t="shared" si="223"/>
        <v/>
      </c>
    </row>
    <row r="1762" spans="1:17" x14ac:dyDescent="0.45">
      <c r="A1762" t="s">
        <v>2210</v>
      </c>
      <c r="B1762" t="s">
        <v>99</v>
      </c>
      <c r="C1762" t="s">
        <v>2560</v>
      </c>
      <c r="D1762" t="s">
        <v>101</v>
      </c>
      <c r="E1762" s="8">
        <v>5747.93</v>
      </c>
      <c r="F1762" s="9">
        <v>45705.666684444448</v>
      </c>
      <c r="G1762" t="s">
        <v>102</v>
      </c>
      <c r="H1762" t="s">
        <v>81</v>
      </c>
      <c r="I1762" t="s">
        <v>88</v>
      </c>
      <c r="J1762" t="str">
        <f t="shared" si="216"/>
        <v/>
      </c>
      <c r="K1762" t="str">
        <f t="shared" si="217"/>
        <v>Duplicate</v>
      </c>
      <c r="L1762" t="str">
        <f t="shared" si="218"/>
        <v/>
      </c>
      <c r="M1762" t="str">
        <f t="shared" si="219"/>
        <v/>
      </c>
      <c r="N1762" t="str">
        <f t="shared" si="220"/>
        <v/>
      </c>
      <c r="O1762" t="str">
        <f t="shared" ca="1" si="221"/>
        <v>Outdated</v>
      </c>
      <c r="P1762" t="str">
        <f t="shared" si="222"/>
        <v>Damaged</v>
      </c>
      <c r="Q1762" t="str">
        <f t="shared" si="223"/>
        <v/>
      </c>
    </row>
    <row r="1763" spans="1:17" x14ac:dyDescent="0.45">
      <c r="A1763" t="s">
        <v>2561</v>
      </c>
      <c r="B1763" t="s">
        <v>79</v>
      </c>
      <c r="C1763" t="s">
        <v>1081</v>
      </c>
      <c r="D1763" t="s">
        <v>155</v>
      </c>
      <c r="E1763" s="8">
        <v>0</v>
      </c>
      <c r="F1763" s="9">
        <v>45721.666684444448</v>
      </c>
      <c r="G1763" t="s">
        <v>86</v>
      </c>
      <c r="H1763" t="s">
        <v>87</v>
      </c>
      <c r="I1763" t="s">
        <v>163</v>
      </c>
      <c r="J1763" t="str">
        <f t="shared" si="216"/>
        <v/>
      </c>
      <c r="K1763" t="str">
        <f t="shared" si="217"/>
        <v/>
      </c>
      <c r="L1763" t="str">
        <f t="shared" si="218"/>
        <v>Unusual</v>
      </c>
      <c r="M1763" t="str">
        <f t="shared" si="219"/>
        <v/>
      </c>
      <c r="N1763" t="str">
        <f t="shared" si="220"/>
        <v>Invalid</v>
      </c>
      <c r="O1763" t="str">
        <f t="shared" ca="1" si="221"/>
        <v>Outdated</v>
      </c>
      <c r="P1763" t="str">
        <f t="shared" si="222"/>
        <v>Damaged</v>
      </c>
      <c r="Q1763" t="str">
        <f t="shared" si="223"/>
        <v>Inconsistent</v>
      </c>
    </row>
    <row r="1764" spans="1:17" x14ac:dyDescent="0.45">
      <c r="A1764" t="s">
        <v>2562</v>
      </c>
      <c r="B1764" t="s">
        <v>90</v>
      </c>
      <c r="C1764" t="s">
        <v>338</v>
      </c>
      <c r="D1764" t="s">
        <v>101</v>
      </c>
      <c r="E1764" s="8">
        <v>882.98</v>
      </c>
      <c r="F1764" s="9">
        <v>45587.666684444448</v>
      </c>
      <c r="G1764" t="s">
        <v>93</v>
      </c>
      <c r="H1764" t="s">
        <v>81</v>
      </c>
      <c r="I1764" t="s">
        <v>82</v>
      </c>
      <c r="J1764" t="str">
        <f t="shared" si="216"/>
        <v/>
      </c>
      <c r="K1764" t="str">
        <f t="shared" si="217"/>
        <v/>
      </c>
      <c r="L1764" t="str">
        <f t="shared" si="218"/>
        <v/>
      </c>
      <c r="M1764" t="str">
        <f t="shared" si="219"/>
        <v/>
      </c>
      <c r="N1764" t="str">
        <f t="shared" si="220"/>
        <v/>
      </c>
      <c r="O1764" t="str">
        <f t="shared" ca="1" si="221"/>
        <v>Outdated</v>
      </c>
      <c r="P1764" t="str">
        <f t="shared" si="222"/>
        <v>Damaged</v>
      </c>
      <c r="Q1764" t="str">
        <f t="shared" si="223"/>
        <v/>
      </c>
    </row>
    <row r="1765" spans="1:17" x14ac:dyDescent="0.45">
      <c r="A1765" t="s">
        <v>2563</v>
      </c>
      <c r="B1765" t="s">
        <v>72</v>
      </c>
      <c r="C1765" t="s">
        <v>1129</v>
      </c>
      <c r="D1765" t="s">
        <v>74</v>
      </c>
      <c r="E1765" s="8">
        <v>9516.1200000000008</v>
      </c>
      <c r="F1765" s="9">
        <v>45825.666684444448</v>
      </c>
      <c r="G1765" t="s">
        <v>75</v>
      </c>
      <c r="H1765" t="s">
        <v>81</v>
      </c>
      <c r="I1765" t="s">
        <v>77</v>
      </c>
      <c r="J1765" t="str">
        <f t="shared" si="216"/>
        <v/>
      </c>
      <c r="K1765" t="str">
        <f t="shared" si="217"/>
        <v/>
      </c>
      <c r="L1765" t="str">
        <f t="shared" si="218"/>
        <v/>
      </c>
      <c r="M1765" t="str">
        <f t="shared" si="219"/>
        <v/>
      </c>
      <c r="N1765" t="str">
        <f t="shared" si="220"/>
        <v/>
      </c>
      <c r="O1765" t="str">
        <f t="shared" ca="1" si="221"/>
        <v>Outdated</v>
      </c>
      <c r="P1765" t="str">
        <f t="shared" si="222"/>
        <v>Wrong Item</v>
      </c>
      <c r="Q1765" t="str">
        <f t="shared" si="223"/>
        <v/>
      </c>
    </row>
    <row r="1766" spans="1:17" x14ac:dyDescent="0.45">
      <c r="A1766" t="s">
        <v>2564</v>
      </c>
      <c r="B1766" t="s">
        <v>95</v>
      </c>
      <c r="C1766" t="s">
        <v>1393</v>
      </c>
      <c r="D1766" t="s">
        <v>85</v>
      </c>
      <c r="E1766" s="8">
        <v>6223.66</v>
      </c>
      <c r="F1766" s="9">
        <v>45706.666684444448</v>
      </c>
      <c r="G1766" t="s">
        <v>97</v>
      </c>
      <c r="H1766" t="s">
        <v>118</v>
      </c>
      <c r="I1766" t="s">
        <v>112</v>
      </c>
      <c r="J1766" t="str">
        <f t="shared" si="216"/>
        <v/>
      </c>
      <c r="K1766" t="str">
        <f t="shared" si="217"/>
        <v/>
      </c>
      <c r="L1766" t="str">
        <f t="shared" si="218"/>
        <v/>
      </c>
      <c r="M1766" t="str">
        <f t="shared" si="219"/>
        <v/>
      </c>
      <c r="N1766" t="str">
        <f t="shared" si="220"/>
        <v>Invalid</v>
      </c>
      <c r="O1766" t="str">
        <f t="shared" ca="1" si="221"/>
        <v>Outdated</v>
      </c>
      <c r="P1766" t="str">
        <f t="shared" si="222"/>
        <v>Late Delivery</v>
      </c>
      <c r="Q1766" t="str">
        <f t="shared" si="223"/>
        <v/>
      </c>
    </row>
    <row r="1767" spans="1:17" x14ac:dyDescent="0.45">
      <c r="A1767" t="s">
        <v>2565</v>
      </c>
      <c r="B1767" t="s">
        <v>95</v>
      </c>
      <c r="C1767" t="s">
        <v>229</v>
      </c>
      <c r="D1767" t="s">
        <v>74</v>
      </c>
      <c r="E1767" s="8">
        <v>3127.6</v>
      </c>
      <c r="F1767" s="9">
        <v>45786.666684444448</v>
      </c>
      <c r="G1767" t="s">
        <v>97</v>
      </c>
      <c r="H1767" t="s">
        <v>145</v>
      </c>
      <c r="I1767" t="s">
        <v>112</v>
      </c>
      <c r="J1767" t="str">
        <f t="shared" si="216"/>
        <v/>
      </c>
      <c r="K1767" t="str">
        <f t="shared" si="217"/>
        <v/>
      </c>
      <c r="L1767" t="str">
        <f t="shared" si="218"/>
        <v/>
      </c>
      <c r="M1767" t="str">
        <f t="shared" si="219"/>
        <v/>
      </c>
      <c r="N1767" t="str">
        <f t="shared" si="220"/>
        <v/>
      </c>
      <c r="O1767" t="str">
        <f t="shared" ca="1" si="221"/>
        <v>Outdated</v>
      </c>
      <c r="P1767" t="str">
        <f t="shared" si="222"/>
        <v>Wrong Item</v>
      </c>
      <c r="Q1767" t="str">
        <f t="shared" si="223"/>
        <v/>
      </c>
    </row>
    <row r="1768" spans="1:17" x14ac:dyDescent="0.45">
      <c r="A1768" t="s">
        <v>2566</v>
      </c>
      <c r="B1768" t="s">
        <v>104</v>
      </c>
      <c r="C1768" t="s">
        <v>436</v>
      </c>
      <c r="D1768" t="s">
        <v>74</v>
      </c>
      <c r="E1768" s="8">
        <v>4041.83</v>
      </c>
      <c r="F1768" s="9">
        <v>45778.666684444448</v>
      </c>
      <c r="G1768" t="s">
        <v>247</v>
      </c>
      <c r="H1768" t="s">
        <v>136</v>
      </c>
      <c r="I1768" t="s">
        <v>88</v>
      </c>
      <c r="J1768" t="str">
        <f t="shared" si="216"/>
        <v/>
      </c>
      <c r="K1768" t="str">
        <f t="shared" si="217"/>
        <v/>
      </c>
      <c r="L1768" t="str">
        <f t="shared" si="218"/>
        <v/>
      </c>
      <c r="M1768" t="str">
        <f t="shared" si="219"/>
        <v>Invalid</v>
      </c>
      <c r="N1768" t="str">
        <f t="shared" si="220"/>
        <v>Invalid</v>
      </c>
      <c r="O1768" t="str">
        <f t="shared" ca="1" si="221"/>
        <v>Outdated</v>
      </c>
      <c r="P1768" t="str">
        <f t="shared" si="222"/>
        <v>Wrong Item</v>
      </c>
      <c r="Q1768" t="str">
        <f t="shared" si="223"/>
        <v/>
      </c>
    </row>
    <row r="1769" spans="1:17" x14ac:dyDescent="0.45">
      <c r="A1769" t="s">
        <v>2567</v>
      </c>
      <c r="B1769" t="s">
        <v>90</v>
      </c>
      <c r="C1769" t="s">
        <v>2146</v>
      </c>
      <c r="D1769" t="s">
        <v>106</v>
      </c>
      <c r="E1769" s="8">
        <v>6903.36</v>
      </c>
      <c r="F1769" s="9">
        <v>45767.666684444448</v>
      </c>
      <c r="G1769" t="s">
        <v>93</v>
      </c>
      <c r="H1769" t="s">
        <v>136</v>
      </c>
      <c r="I1769" t="s">
        <v>163</v>
      </c>
      <c r="J1769" t="str">
        <f t="shared" si="216"/>
        <v/>
      </c>
      <c r="K1769" t="str">
        <f t="shared" si="217"/>
        <v/>
      </c>
      <c r="L1769" t="str">
        <f t="shared" si="218"/>
        <v/>
      </c>
      <c r="M1769" t="str">
        <f t="shared" si="219"/>
        <v/>
      </c>
      <c r="N1769" t="str">
        <f t="shared" si="220"/>
        <v>Invalid</v>
      </c>
      <c r="O1769" t="str">
        <f t="shared" ca="1" si="221"/>
        <v>Outdated</v>
      </c>
      <c r="P1769" t="str">
        <f t="shared" si="222"/>
        <v>Damaged</v>
      </c>
      <c r="Q1769" t="str">
        <f t="shared" si="223"/>
        <v>Inconsistent</v>
      </c>
    </row>
    <row r="1770" spans="1:17" x14ac:dyDescent="0.45">
      <c r="A1770" t="s">
        <v>2238</v>
      </c>
      <c r="B1770" t="s">
        <v>72</v>
      </c>
      <c r="C1770" t="s">
        <v>2347</v>
      </c>
      <c r="D1770" t="s">
        <v>85</v>
      </c>
      <c r="E1770" s="8">
        <v>5490.83</v>
      </c>
      <c r="F1770" s="9">
        <v>45458.666684444448</v>
      </c>
      <c r="G1770" t="s">
        <v>521</v>
      </c>
      <c r="H1770" t="s">
        <v>116</v>
      </c>
      <c r="I1770" t="s">
        <v>119</v>
      </c>
      <c r="J1770" t="str">
        <f t="shared" si="216"/>
        <v/>
      </c>
      <c r="K1770" t="str">
        <f t="shared" si="217"/>
        <v>Duplicate</v>
      </c>
      <c r="L1770" t="str">
        <f t="shared" si="218"/>
        <v/>
      </c>
      <c r="M1770" t="str">
        <f t="shared" si="219"/>
        <v>Invalid</v>
      </c>
      <c r="N1770" t="str">
        <f t="shared" si="220"/>
        <v/>
      </c>
      <c r="O1770" t="str">
        <f t="shared" ca="1" si="221"/>
        <v>Outdated</v>
      </c>
      <c r="P1770" t="str">
        <f t="shared" si="222"/>
        <v>Late Delivery</v>
      </c>
      <c r="Q1770" t="str">
        <f t="shared" si="223"/>
        <v/>
      </c>
    </row>
    <row r="1771" spans="1:17" x14ac:dyDescent="0.45">
      <c r="A1771" t="s">
        <v>2568</v>
      </c>
      <c r="B1771" t="s">
        <v>95</v>
      </c>
      <c r="C1771" t="s">
        <v>459</v>
      </c>
      <c r="D1771" t="s">
        <v>101</v>
      </c>
      <c r="E1771" s="8">
        <v>10104.290000000001</v>
      </c>
      <c r="F1771" s="9">
        <v>45770.666684444448</v>
      </c>
      <c r="G1771" t="s">
        <v>336</v>
      </c>
      <c r="H1771" t="s">
        <v>145</v>
      </c>
      <c r="I1771" t="s">
        <v>112</v>
      </c>
      <c r="J1771" t="str">
        <f t="shared" si="216"/>
        <v/>
      </c>
      <c r="K1771" t="str">
        <f t="shared" si="217"/>
        <v/>
      </c>
      <c r="L1771" t="str">
        <f t="shared" si="218"/>
        <v>Unusual</v>
      </c>
      <c r="M1771" t="str">
        <f t="shared" si="219"/>
        <v>Invalid</v>
      </c>
      <c r="N1771" t="str">
        <f t="shared" si="220"/>
        <v/>
      </c>
      <c r="O1771" t="str">
        <f t="shared" ca="1" si="221"/>
        <v>Outdated</v>
      </c>
      <c r="P1771" t="str">
        <f t="shared" si="222"/>
        <v>Damaged</v>
      </c>
      <c r="Q1771" t="str">
        <f t="shared" si="223"/>
        <v/>
      </c>
    </row>
    <row r="1772" spans="1:17" x14ac:dyDescent="0.45">
      <c r="A1772" t="s">
        <v>2569</v>
      </c>
      <c r="B1772" t="s">
        <v>95</v>
      </c>
      <c r="C1772" t="s">
        <v>678</v>
      </c>
      <c r="D1772" t="s">
        <v>106</v>
      </c>
      <c r="E1772" s="8">
        <v>10064.450000000001</v>
      </c>
      <c r="F1772" s="9">
        <v>45451.666684444448</v>
      </c>
      <c r="G1772" t="s">
        <v>97</v>
      </c>
      <c r="H1772" t="s">
        <v>116</v>
      </c>
      <c r="I1772" t="s">
        <v>82</v>
      </c>
      <c r="J1772" t="str">
        <f t="shared" si="216"/>
        <v/>
      </c>
      <c r="K1772" t="str">
        <f t="shared" si="217"/>
        <v/>
      </c>
      <c r="L1772" t="str">
        <f t="shared" si="218"/>
        <v>Unusual</v>
      </c>
      <c r="M1772" t="str">
        <f t="shared" si="219"/>
        <v/>
      </c>
      <c r="N1772" t="str">
        <f t="shared" si="220"/>
        <v/>
      </c>
      <c r="O1772" t="str">
        <f t="shared" ca="1" si="221"/>
        <v>Outdated</v>
      </c>
      <c r="P1772" t="str">
        <f t="shared" si="222"/>
        <v>Damaged</v>
      </c>
      <c r="Q1772" t="str">
        <f t="shared" si="223"/>
        <v>Inconsistent</v>
      </c>
    </row>
    <row r="1773" spans="1:17" x14ac:dyDescent="0.45">
      <c r="A1773" t="s">
        <v>2570</v>
      </c>
      <c r="B1773" t="s">
        <v>172</v>
      </c>
      <c r="C1773" t="s">
        <v>561</v>
      </c>
      <c r="D1773" t="s">
        <v>106</v>
      </c>
      <c r="E1773" s="8">
        <v>8719.0300000000007</v>
      </c>
      <c r="F1773" s="9">
        <v>45282.666684444448</v>
      </c>
      <c r="G1773" t="s">
        <v>174</v>
      </c>
      <c r="H1773" t="s">
        <v>136</v>
      </c>
      <c r="I1773" t="s">
        <v>112</v>
      </c>
      <c r="J1773" t="str">
        <f t="shared" si="216"/>
        <v/>
      </c>
      <c r="K1773" t="str">
        <f t="shared" si="217"/>
        <v/>
      </c>
      <c r="L1773" t="str">
        <f t="shared" si="218"/>
        <v/>
      </c>
      <c r="M1773" t="str">
        <f t="shared" si="219"/>
        <v/>
      </c>
      <c r="N1773" t="str">
        <f t="shared" si="220"/>
        <v>Invalid</v>
      </c>
      <c r="O1773" t="str">
        <f t="shared" ca="1" si="221"/>
        <v>Outdated</v>
      </c>
      <c r="P1773" t="str">
        <f t="shared" si="222"/>
        <v>Damaged</v>
      </c>
      <c r="Q1773" t="str">
        <f t="shared" si="223"/>
        <v>Inconsistent</v>
      </c>
    </row>
    <row r="1774" spans="1:17" x14ac:dyDescent="0.45">
      <c r="A1774" t="s">
        <v>2571</v>
      </c>
      <c r="B1774" t="s">
        <v>109</v>
      </c>
      <c r="C1774" t="s">
        <v>2572</v>
      </c>
      <c r="D1774" t="s">
        <v>101</v>
      </c>
      <c r="E1774" s="8">
        <v>7463.55</v>
      </c>
      <c r="F1774" s="9">
        <v>45578.666684444448</v>
      </c>
      <c r="G1774" t="s">
        <v>111</v>
      </c>
      <c r="H1774" t="s">
        <v>76</v>
      </c>
      <c r="I1774" t="s">
        <v>88</v>
      </c>
      <c r="J1774" t="str">
        <f t="shared" si="216"/>
        <v/>
      </c>
      <c r="K1774" t="str">
        <f t="shared" si="217"/>
        <v/>
      </c>
      <c r="L1774" t="str">
        <f t="shared" si="218"/>
        <v/>
      </c>
      <c r="M1774" t="str">
        <f t="shared" si="219"/>
        <v/>
      </c>
      <c r="N1774" t="str">
        <f t="shared" si="220"/>
        <v/>
      </c>
      <c r="O1774" t="str">
        <f t="shared" ca="1" si="221"/>
        <v>Outdated</v>
      </c>
      <c r="P1774" t="str">
        <f t="shared" si="222"/>
        <v>Damaged</v>
      </c>
      <c r="Q1774" t="str">
        <f t="shared" si="223"/>
        <v/>
      </c>
    </row>
    <row r="1775" spans="1:17" x14ac:dyDescent="0.45">
      <c r="A1775" t="s">
        <v>2573</v>
      </c>
      <c r="B1775" t="s">
        <v>138</v>
      </c>
      <c r="C1775" t="s">
        <v>1806</v>
      </c>
      <c r="D1775" t="s">
        <v>101</v>
      </c>
      <c r="E1775" s="8">
        <v>9218.48</v>
      </c>
      <c r="F1775" s="9">
        <v>45197.666684444448</v>
      </c>
      <c r="G1775" t="s">
        <v>140</v>
      </c>
      <c r="H1775" t="s">
        <v>76</v>
      </c>
      <c r="I1775" t="s">
        <v>163</v>
      </c>
      <c r="J1775" t="str">
        <f t="shared" si="216"/>
        <v/>
      </c>
      <c r="K1775" t="str">
        <f t="shared" si="217"/>
        <v/>
      </c>
      <c r="L1775" t="str">
        <f t="shared" si="218"/>
        <v/>
      </c>
      <c r="M1775" t="str">
        <f t="shared" si="219"/>
        <v/>
      </c>
      <c r="N1775" t="str">
        <f t="shared" si="220"/>
        <v/>
      </c>
      <c r="O1775" t="str">
        <f t="shared" ca="1" si="221"/>
        <v>Outdated</v>
      </c>
      <c r="P1775" t="str">
        <f t="shared" si="222"/>
        <v>Damaged</v>
      </c>
      <c r="Q1775" t="str">
        <f t="shared" si="223"/>
        <v/>
      </c>
    </row>
    <row r="1776" spans="1:17" x14ac:dyDescent="0.45">
      <c r="A1776" t="s">
        <v>2574</v>
      </c>
      <c r="B1776" t="s">
        <v>90</v>
      </c>
      <c r="C1776" t="s">
        <v>1334</v>
      </c>
      <c r="E1776" s="8">
        <v>5489.54</v>
      </c>
      <c r="F1776" s="9">
        <v>45608.666684444448</v>
      </c>
      <c r="G1776" t="s">
        <v>93</v>
      </c>
      <c r="H1776" t="s">
        <v>81</v>
      </c>
      <c r="I1776" t="s">
        <v>77</v>
      </c>
      <c r="J1776" t="str">
        <f t="shared" si="216"/>
        <v>Missing</v>
      </c>
      <c r="K1776" t="str">
        <f t="shared" si="217"/>
        <v/>
      </c>
      <c r="L1776" t="str">
        <f t="shared" si="218"/>
        <v/>
      </c>
      <c r="M1776" t="str">
        <f t="shared" si="219"/>
        <v/>
      </c>
      <c r="N1776" t="str">
        <f t="shared" si="220"/>
        <v/>
      </c>
      <c r="O1776" t="str">
        <f t="shared" ca="1" si="221"/>
        <v>Outdated</v>
      </c>
      <c r="P1776" t="str">
        <f t="shared" si="222"/>
        <v/>
      </c>
      <c r="Q1776" t="str">
        <f t="shared" si="223"/>
        <v/>
      </c>
    </row>
    <row r="1777" spans="1:17" x14ac:dyDescent="0.45">
      <c r="A1777" t="s">
        <v>1843</v>
      </c>
      <c r="B1777" t="s">
        <v>138</v>
      </c>
      <c r="C1777" t="s">
        <v>1943</v>
      </c>
      <c r="D1777" t="s">
        <v>92</v>
      </c>
      <c r="E1777" s="8">
        <v>9981.89</v>
      </c>
      <c r="F1777" s="9">
        <v>45580.666684444448</v>
      </c>
      <c r="G1777" t="s">
        <v>140</v>
      </c>
      <c r="H1777" t="s">
        <v>87</v>
      </c>
      <c r="I1777" t="s">
        <v>163</v>
      </c>
      <c r="J1777" t="str">
        <f t="shared" si="216"/>
        <v/>
      </c>
      <c r="K1777" t="str">
        <f t="shared" si="217"/>
        <v>Duplicate</v>
      </c>
      <c r="L1777" t="str">
        <f t="shared" si="218"/>
        <v/>
      </c>
      <c r="M1777" t="str">
        <f t="shared" si="219"/>
        <v/>
      </c>
      <c r="N1777" t="str">
        <f t="shared" si="220"/>
        <v>Invalid</v>
      </c>
      <c r="O1777" t="str">
        <f t="shared" ca="1" si="221"/>
        <v>Outdated</v>
      </c>
      <c r="P1777" t="str">
        <f t="shared" si="222"/>
        <v>Not As Described</v>
      </c>
      <c r="Q1777" t="str">
        <f t="shared" si="223"/>
        <v/>
      </c>
    </row>
    <row r="1778" spans="1:17" x14ac:dyDescent="0.45">
      <c r="A1778" t="s">
        <v>2575</v>
      </c>
      <c r="B1778" t="s">
        <v>79</v>
      </c>
      <c r="C1778" t="s">
        <v>799</v>
      </c>
      <c r="D1778" t="s">
        <v>92</v>
      </c>
      <c r="E1778" s="8">
        <v>4189.92</v>
      </c>
      <c r="F1778" s="9">
        <v>45774.666684444448</v>
      </c>
      <c r="G1778" t="s">
        <v>86</v>
      </c>
      <c r="H1778" t="s">
        <v>128</v>
      </c>
      <c r="I1778" t="s">
        <v>77</v>
      </c>
      <c r="J1778" t="str">
        <f t="shared" si="216"/>
        <v/>
      </c>
      <c r="K1778" t="str">
        <f t="shared" si="217"/>
        <v/>
      </c>
      <c r="L1778" t="str">
        <f t="shared" si="218"/>
        <v/>
      </c>
      <c r="M1778" t="str">
        <f t="shared" si="219"/>
        <v/>
      </c>
      <c r="N1778" t="str">
        <f t="shared" si="220"/>
        <v>Invalid</v>
      </c>
      <c r="O1778" t="str">
        <f t="shared" ca="1" si="221"/>
        <v>Outdated</v>
      </c>
      <c r="P1778" t="str">
        <f t="shared" si="222"/>
        <v>Not As Described</v>
      </c>
      <c r="Q1778" t="str">
        <f t="shared" si="223"/>
        <v/>
      </c>
    </row>
    <row r="1779" spans="1:17" x14ac:dyDescent="0.45">
      <c r="A1779" t="s">
        <v>2576</v>
      </c>
      <c r="B1779" t="s">
        <v>109</v>
      </c>
      <c r="C1779" t="s">
        <v>2577</v>
      </c>
      <c r="D1779" t="s">
        <v>148</v>
      </c>
      <c r="E1779" s="8">
        <v>7709.12</v>
      </c>
      <c r="F1779" s="9">
        <v>45438.666684444448</v>
      </c>
      <c r="H1779" t="s">
        <v>116</v>
      </c>
      <c r="I1779" t="s">
        <v>119</v>
      </c>
      <c r="J1779" t="str">
        <f t="shared" si="216"/>
        <v/>
      </c>
      <c r="K1779" t="str">
        <f t="shared" si="217"/>
        <v/>
      </c>
      <c r="L1779" t="str">
        <f t="shared" si="218"/>
        <v/>
      </c>
      <c r="M1779" t="str">
        <f t="shared" si="219"/>
        <v>Invalid</v>
      </c>
      <c r="N1779" t="str">
        <f t="shared" si="220"/>
        <v/>
      </c>
      <c r="O1779" t="str">
        <f t="shared" ca="1" si="221"/>
        <v>Outdated</v>
      </c>
      <c r="P1779" t="str">
        <f t="shared" si="222"/>
        <v>Wrong Item</v>
      </c>
      <c r="Q1779" t="str">
        <f t="shared" si="223"/>
        <v>Inconsistent</v>
      </c>
    </row>
    <row r="1780" spans="1:17" x14ac:dyDescent="0.45">
      <c r="A1780" t="s">
        <v>2578</v>
      </c>
      <c r="B1780" t="s">
        <v>79</v>
      </c>
      <c r="C1780" t="s">
        <v>1105</v>
      </c>
      <c r="D1780" t="s">
        <v>92</v>
      </c>
      <c r="E1780" s="8">
        <v>10097</v>
      </c>
      <c r="F1780" s="9">
        <v>45409.666684444448</v>
      </c>
      <c r="G1780" t="s">
        <v>86</v>
      </c>
      <c r="H1780" t="s">
        <v>118</v>
      </c>
      <c r="I1780" t="s">
        <v>88</v>
      </c>
      <c r="J1780" t="str">
        <f t="shared" si="216"/>
        <v/>
      </c>
      <c r="K1780" t="str">
        <f t="shared" si="217"/>
        <v/>
      </c>
      <c r="L1780" t="str">
        <f t="shared" si="218"/>
        <v>Unusual</v>
      </c>
      <c r="M1780" t="str">
        <f t="shared" si="219"/>
        <v/>
      </c>
      <c r="N1780" t="str">
        <f t="shared" si="220"/>
        <v>Invalid</v>
      </c>
      <c r="O1780" t="str">
        <f t="shared" ca="1" si="221"/>
        <v>Outdated</v>
      </c>
      <c r="P1780" t="str">
        <f t="shared" si="222"/>
        <v>Not As Described</v>
      </c>
      <c r="Q1780" t="str">
        <f t="shared" si="223"/>
        <v/>
      </c>
    </row>
    <row r="1781" spans="1:17" x14ac:dyDescent="0.45">
      <c r="A1781" t="s">
        <v>2579</v>
      </c>
      <c r="B1781" t="s">
        <v>99</v>
      </c>
      <c r="C1781" t="s">
        <v>135</v>
      </c>
      <c r="D1781" t="s">
        <v>101</v>
      </c>
      <c r="E1781" s="8">
        <v>4098.09</v>
      </c>
      <c r="F1781" s="9">
        <v>45733.666684444448</v>
      </c>
      <c r="G1781" t="s">
        <v>102</v>
      </c>
      <c r="H1781" t="s">
        <v>118</v>
      </c>
      <c r="I1781" t="s">
        <v>88</v>
      </c>
      <c r="J1781" t="str">
        <f t="shared" si="216"/>
        <v/>
      </c>
      <c r="K1781" t="str">
        <f t="shared" si="217"/>
        <v/>
      </c>
      <c r="L1781" t="str">
        <f t="shared" si="218"/>
        <v/>
      </c>
      <c r="M1781" t="str">
        <f t="shared" si="219"/>
        <v/>
      </c>
      <c r="N1781" t="str">
        <f t="shared" si="220"/>
        <v>Invalid</v>
      </c>
      <c r="O1781" t="str">
        <f t="shared" ca="1" si="221"/>
        <v>Outdated</v>
      </c>
      <c r="P1781" t="str">
        <f t="shared" si="222"/>
        <v>Damaged</v>
      </c>
      <c r="Q1781" t="str">
        <f t="shared" si="223"/>
        <v/>
      </c>
    </row>
    <row r="1782" spans="1:17" x14ac:dyDescent="0.45">
      <c r="A1782" t="s">
        <v>2580</v>
      </c>
      <c r="B1782" t="s">
        <v>72</v>
      </c>
      <c r="C1782" t="s">
        <v>838</v>
      </c>
      <c r="D1782" t="s">
        <v>92</v>
      </c>
      <c r="E1782" s="8">
        <v>6902.5</v>
      </c>
      <c r="F1782" s="9">
        <v>45185.666684444448</v>
      </c>
      <c r="G1782" t="s">
        <v>75</v>
      </c>
      <c r="H1782" t="s">
        <v>128</v>
      </c>
      <c r="I1782" t="s">
        <v>112</v>
      </c>
      <c r="J1782" t="str">
        <f t="shared" si="216"/>
        <v/>
      </c>
      <c r="K1782" t="str">
        <f t="shared" si="217"/>
        <v/>
      </c>
      <c r="L1782" t="str">
        <f t="shared" si="218"/>
        <v/>
      </c>
      <c r="M1782" t="str">
        <f t="shared" si="219"/>
        <v/>
      </c>
      <c r="N1782" t="str">
        <f t="shared" si="220"/>
        <v>Invalid</v>
      </c>
      <c r="O1782" t="str">
        <f t="shared" ca="1" si="221"/>
        <v>Outdated</v>
      </c>
      <c r="P1782" t="str">
        <f t="shared" si="222"/>
        <v>Not As Described</v>
      </c>
      <c r="Q1782" t="str">
        <f t="shared" si="223"/>
        <v/>
      </c>
    </row>
    <row r="1783" spans="1:17" x14ac:dyDescent="0.45">
      <c r="A1783" t="s">
        <v>2581</v>
      </c>
      <c r="B1783" t="s">
        <v>138</v>
      </c>
      <c r="C1783" t="s">
        <v>610</v>
      </c>
      <c r="D1783" t="s">
        <v>101</v>
      </c>
      <c r="E1783" s="8">
        <v>2970.07</v>
      </c>
      <c r="F1783" s="9">
        <v>45488.666684444448</v>
      </c>
      <c r="G1783" t="s">
        <v>140</v>
      </c>
      <c r="H1783" t="s">
        <v>136</v>
      </c>
      <c r="I1783" t="s">
        <v>88</v>
      </c>
      <c r="J1783" t="str">
        <f t="shared" si="216"/>
        <v/>
      </c>
      <c r="K1783" t="str">
        <f t="shared" si="217"/>
        <v/>
      </c>
      <c r="L1783" t="str">
        <f t="shared" si="218"/>
        <v/>
      </c>
      <c r="M1783" t="str">
        <f t="shared" si="219"/>
        <v/>
      </c>
      <c r="N1783" t="str">
        <f t="shared" si="220"/>
        <v>Invalid</v>
      </c>
      <c r="O1783" t="str">
        <f t="shared" ca="1" si="221"/>
        <v>Outdated</v>
      </c>
      <c r="P1783" t="str">
        <f t="shared" si="222"/>
        <v>Damaged</v>
      </c>
      <c r="Q1783" t="str">
        <f t="shared" si="223"/>
        <v/>
      </c>
    </row>
    <row r="1784" spans="1:17" x14ac:dyDescent="0.45">
      <c r="A1784" t="s">
        <v>2582</v>
      </c>
      <c r="B1784" t="s">
        <v>104</v>
      </c>
      <c r="C1784" t="s">
        <v>338</v>
      </c>
      <c r="D1784" t="s">
        <v>92</v>
      </c>
      <c r="E1784" s="8">
        <v>0</v>
      </c>
      <c r="F1784" s="9">
        <v>45647.666684444448</v>
      </c>
      <c r="G1784" t="s">
        <v>247</v>
      </c>
      <c r="H1784" t="s">
        <v>145</v>
      </c>
      <c r="I1784" t="s">
        <v>163</v>
      </c>
      <c r="J1784" t="str">
        <f t="shared" si="216"/>
        <v/>
      </c>
      <c r="K1784" t="str">
        <f t="shared" si="217"/>
        <v/>
      </c>
      <c r="L1784" t="str">
        <f t="shared" si="218"/>
        <v>Unusual</v>
      </c>
      <c r="M1784" t="str">
        <f t="shared" si="219"/>
        <v>Invalid</v>
      </c>
      <c r="N1784" t="str">
        <f t="shared" si="220"/>
        <v/>
      </c>
      <c r="O1784" t="str">
        <f t="shared" ca="1" si="221"/>
        <v>Outdated</v>
      </c>
      <c r="P1784" t="str">
        <f t="shared" si="222"/>
        <v>Not As Described</v>
      </c>
      <c r="Q1784" t="str">
        <f t="shared" si="223"/>
        <v/>
      </c>
    </row>
    <row r="1785" spans="1:17" x14ac:dyDescent="0.45">
      <c r="A1785" t="s">
        <v>2583</v>
      </c>
      <c r="B1785" t="s">
        <v>99</v>
      </c>
      <c r="C1785" t="s">
        <v>1172</v>
      </c>
      <c r="D1785" t="s">
        <v>85</v>
      </c>
      <c r="E1785" s="8">
        <v>0</v>
      </c>
      <c r="F1785" s="9">
        <v>45203.666684444448</v>
      </c>
      <c r="G1785" t="s">
        <v>102</v>
      </c>
      <c r="I1785" t="s">
        <v>77</v>
      </c>
      <c r="J1785" t="str">
        <f t="shared" si="216"/>
        <v/>
      </c>
      <c r="K1785" t="str">
        <f t="shared" si="217"/>
        <v/>
      </c>
      <c r="L1785" t="str">
        <f t="shared" si="218"/>
        <v>Unusual</v>
      </c>
      <c r="M1785" t="str">
        <f t="shared" si="219"/>
        <v/>
      </c>
      <c r="N1785" t="str">
        <f t="shared" si="220"/>
        <v>Invalid</v>
      </c>
      <c r="O1785" t="str">
        <f t="shared" ca="1" si="221"/>
        <v>Outdated</v>
      </c>
      <c r="P1785" t="str">
        <f t="shared" si="222"/>
        <v>Late Delivery</v>
      </c>
      <c r="Q1785" t="str">
        <f t="shared" si="223"/>
        <v/>
      </c>
    </row>
    <row r="1786" spans="1:17" x14ac:dyDescent="0.45">
      <c r="A1786" t="s">
        <v>2584</v>
      </c>
      <c r="B1786" t="s">
        <v>90</v>
      </c>
      <c r="C1786" t="s">
        <v>949</v>
      </c>
      <c r="D1786" t="s">
        <v>74</v>
      </c>
      <c r="E1786" s="8">
        <v>11271.12</v>
      </c>
      <c r="F1786" s="9">
        <v>45445.666684444448</v>
      </c>
      <c r="G1786" t="s">
        <v>93</v>
      </c>
      <c r="H1786" t="s">
        <v>145</v>
      </c>
      <c r="I1786" t="s">
        <v>163</v>
      </c>
      <c r="J1786" t="str">
        <f t="shared" si="216"/>
        <v/>
      </c>
      <c r="K1786" t="str">
        <f t="shared" si="217"/>
        <v/>
      </c>
      <c r="L1786" t="str">
        <f t="shared" si="218"/>
        <v>Unusual</v>
      </c>
      <c r="M1786" t="str">
        <f t="shared" si="219"/>
        <v/>
      </c>
      <c r="N1786" t="str">
        <f t="shared" si="220"/>
        <v/>
      </c>
      <c r="O1786" t="str">
        <f t="shared" ca="1" si="221"/>
        <v>Outdated</v>
      </c>
      <c r="P1786" t="str">
        <f t="shared" si="222"/>
        <v>Wrong Item</v>
      </c>
      <c r="Q1786" t="str">
        <f t="shared" si="223"/>
        <v/>
      </c>
    </row>
    <row r="1787" spans="1:17" x14ac:dyDescent="0.45">
      <c r="A1787" t="s">
        <v>2585</v>
      </c>
      <c r="B1787" t="s">
        <v>72</v>
      </c>
      <c r="C1787" t="s">
        <v>1620</v>
      </c>
      <c r="D1787" t="s">
        <v>85</v>
      </c>
      <c r="E1787" s="8">
        <v>0</v>
      </c>
      <c r="F1787" s="9">
        <v>45600.666684444448</v>
      </c>
      <c r="G1787" t="s">
        <v>75</v>
      </c>
      <c r="H1787" t="s">
        <v>128</v>
      </c>
      <c r="I1787" t="s">
        <v>82</v>
      </c>
      <c r="J1787" t="str">
        <f t="shared" si="216"/>
        <v/>
      </c>
      <c r="K1787" t="str">
        <f t="shared" si="217"/>
        <v/>
      </c>
      <c r="L1787" t="str">
        <f t="shared" si="218"/>
        <v>Unusual</v>
      </c>
      <c r="M1787" t="str">
        <f t="shared" si="219"/>
        <v/>
      </c>
      <c r="N1787" t="str">
        <f t="shared" si="220"/>
        <v>Invalid</v>
      </c>
      <c r="O1787" t="str">
        <f t="shared" ca="1" si="221"/>
        <v>Outdated</v>
      </c>
      <c r="P1787" t="str">
        <f t="shared" si="222"/>
        <v>Late Delivery</v>
      </c>
      <c r="Q1787" t="str">
        <f t="shared" si="223"/>
        <v/>
      </c>
    </row>
    <row r="1788" spans="1:17" x14ac:dyDescent="0.45">
      <c r="A1788" t="s">
        <v>2586</v>
      </c>
      <c r="B1788" t="s">
        <v>95</v>
      </c>
      <c r="C1788" t="s">
        <v>170</v>
      </c>
      <c r="D1788" t="s">
        <v>101</v>
      </c>
      <c r="E1788" s="8">
        <v>7884.78</v>
      </c>
      <c r="F1788" s="9">
        <v>45590.666684444448</v>
      </c>
      <c r="G1788" t="s">
        <v>336</v>
      </c>
      <c r="H1788" t="s">
        <v>87</v>
      </c>
      <c r="I1788" t="s">
        <v>82</v>
      </c>
      <c r="J1788" t="str">
        <f t="shared" si="216"/>
        <v/>
      </c>
      <c r="K1788" t="str">
        <f t="shared" si="217"/>
        <v/>
      </c>
      <c r="L1788" t="str">
        <f t="shared" si="218"/>
        <v/>
      </c>
      <c r="M1788" t="str">
        <f t="shared" si="219"/>
        <v>Invalid</v>
      </c>
      <c r="N1788" t="str">
        <f t="shared" si="220"/>
        <v>Invalid</v>
      </c>
      <c r="O1788" t="str">
        <f t="shared" ca="1" si="221"/>
        <v>Outdated</v>
      </c>
      <c r="P1788" t="str">
        <f t="shared" si="222"/>
        <v>Damaged</v>
      </c>
      <c r="Q1788" t="str">
        <f t="shared" si="223"/>
        <v/>
      </c>
    </row>
    <row r="1789" spans="1:17" x14ac:dyDescent="0.45">
      <c r="A1789" t="s">
        <v>2587</v>
      </c>
      <c r="B1789" t="s">
        <v>138</v>
      </c>
      <c r="C1789" t="s">
        <v>1836</v>
      </c>
      <c r="D1789" t="s">
        <v>101</v>
      </c>
      <c r="E1789" s="8">
        <v>4264.8599999999997</v>
      </c>
      <c r="F1789" s="9">
        <v>45166.666684444448</v>
      </c>
      <c r="G1789" t="s">
        <v>140</v>
      </c>
      <c r="H1789" t="s">
        <v>87</v>
      </c>
      <c r="I1789" t="s">
        <v>77</v>
      </c>
      <c r="J1789" t="str">
        <f t="shared" si="216"/>
        <v/>
      </c>
      <c r="K1789" t="str">
        <f t="shared" si="217"/>
        <v/>
      </c>
      <c r="L1789" t="str">
        <f t="shared" si="218"/>
        <v/>
      </c>
      <c r="M1789" t="str">
        <f t="shared" si="219"/>
        <v/>
      </c>
      <c r="N1789" t="str">
        <f t="shared" si="220"/>
        <v>Invalid</v>
      </c>
      <c r="O1789" t="str">
        <f t="shared" ca="1" si="221"/>
        <v>Outdated</v>
      </c>
      <c r="P1789" t="str">
        <f t="shared" si="222"/>
        <v>Damaged</v>
      </c>
      <c r="Q1789" t="str">
        <f t="shared" si="223"/>
        <v/>
      </c>
    </row>
    <row r="1790" spans="1:17" x14ac:dyDescent="0.45">
      <c r="A1790" t="s">
        <v>2588</v>
      </c>
      <c r="B1790" t="s">
        <v>109</v>
      </c>
      <c r="C1790" t="s">
        <v>2589</v>
      </c>
      <c r="D1790" t="s">
        <v>85</v>
      </c>
      <c r="E1790" s="8">
        <v>536.48</v>
      </c>
      <c r="F1790" s="9">
        <v>45186.666684444448</v>
      </c>
      <c r="G1790" t="s">
        <v>111</v>
      </c>
      <c r="H1790" t="s">
        <v>116</v>
      </c>
      <c r="I1790" t="s">
        <v>163</v>
      </c>
      <c r="J1790" t="str">
        <f t="shared" si="216"/>
        <v/>
      </c>
      <c r="K1790" t="str">
        <f t="shared" si="217"/>
        <v/>
      </c>
      <c r="L1790" t="str">
        <f t="shared" si="218"/>
        <v/>
      </c>
      <c r="M1790" t="str">
        <f t="shared" si="219"/>
        <v/>
      </c>
      <c r="N1790" t="str">
        <f t="shared" si="220"/>
        <v/>
      </c>
      <c r="O1790" t="str">
        <f t="shared" ca="1" si="221"/>
        <v>Outdated</v>
      </c>
      <c r="P1790" t="str">
        <f t="shared" si="222"/>
        <v>Late Delivery</v>
      </c>
      <c r="Q1790" t="str">
        <f t="shared" si="223"/>
        <v/>
      </c>
    </row>
    <row r="1791" spans="1:17" x14ac:dyDescent="0.45">
      <c r="A1791" t="s">
        <v>2590</v>
      </c>
      <c r="B1791" t="s">
        <v>109</v>
      </c>
      <c r="C1791" t="s">
        <v>1473</v>
      </c>
      <c r="D1791" t="s">
        <v>101</v>
      </c>
      <c r="E1791" s="8">
        <v>3204.86</v>
      </c>
      <c r="F1791" s="9">
        <v>45505.666684444448</v>
      </c>
      <c r="G1791" t="s">
        <v>111</v>
      </c>
      <c r="H1791" t="s">
        <v>145</v>
      </c>
      <c r="I1791" t="s">
        <v>112</v>
      </c>
      <c r="J1791" t="str">
        <f t="shared" si="216"/>
        <v/>
      </c>
      <c r="K1791" t="str">
        <f t="shared" si="217"/>
        <v/>
      </c>
      <c r="L1791" t="str">
        <f t="shared" si="218"/>
        <v/>
      </c>
      <c r="M1791" t="str">
        <f t="shared" si="219"/>
        <v/>
      </c>
      <c r="N1791" t="str">
        <f t="shared" si="220"/>
        <v/>
      </c>
      <c r="O1791" t="str">
        <f t="shared" ca="1" si="221"/>
        <v>Outdated</v>
      </c>
      <c r="P1791" t="str">
        <f t="shared" si="222"/>
        <v>Damaged</v>
      </c>
      <c r="Q1791" t="str">
        <f t="shared" si="223"/>
        <v/>
      </c>
    </row>
    <row r="1792" spans="1:17" x14ac:dyDescent="0.45">
      <c r="A1792" t="s">
        <v>2591</v>
      </c>
      <c r="B1792" t="s">
        <v>99</v>
      </c>
      <c r="C1792" t="s">
        <v>519</v>
      </c>
      <c r="D1792" t="s">
        <v>92</v>
      </c>
      <c r="E1792" s="8">
        <v>9871.64</v>
      </c>
      <c r="F1792" s="9">
        <v>45421.666684444448</v>
      </c>
      <c r="G1792" t="s">
        <v>102</v>
      </c>
      <c r="H1792" t="s">
        <v>145</v>
      </c>
      <c r="I1792" t="s">
        <v>119</v>
      </c>
      <c r="J1792" t="str">
        <f t="shared" si="216"/>
        <v/>
      </c>
      <c r="K1792" t="str">
        <f t="shared" si="217"/>
        <v/>
      </c>
      <c r="L1792" t="str">
        <f t="shared" si="218"/>
        <v/>
      </c>
      <c r="M1792" t="str">
        <f t="shared" si="219"/>
        <v/>
      </c>
      <c r="N1792" t="str">
        <f t="shared" si="220"/>
        <v/>
      </c>
      <c r="O1792" t="str">
        <f t="shared" ca="1" si="221"/>
        <v>Outdated</v>
      </c>
      <c r="P1792" t="str">
        <f t="shared" si="222"/>
        <v>Not As Described</v>
      </c>
      <c r="Q1792" t="str">
        <f t="shared" si="223"/>
        <v/>
      </c>
    </row>
    <row r="1793" spans="1:17" x14ac:dyDescent="0.45">
      <c r="A1793" t="s">
        <v>2592</v>
      </c>
      <c r="B1793" t="s">
        <v>99</v>
      </c>
      <c r="C1793" t="s">
        <v>257</v>
      </c>
      <c r="D1793" t="s">
        <v>74</v>
      </c>
      <c r="E1793" s="8">
        <v>2222.4899999999998</v>
      </c>
      <c r="F1793" s="9">
        <v>45206.666684444448</v>
      </c>
      <c r="G1793" t="s">
        <v>102</v>
      </c>
      <c r="H1793" t="s">
        <v>116</v>
      </c>
      <c r="I1793" t="s">
        <v>82</v>
      </c>
      <c r="J1793" t="str">
        <f t="shared" si="216"/>
        <v/>
      </c>
      <c r="K1793" t="str">
        <f t="shared" si="217"/>
        <v/>
      </c>
      <c r="L1793" t="str">
        <f t="shared" si="218"/>
        <v/>
      </c>
      <c r="M1793" t="str">
        <f t="shared" si="219"/>
        <v/>
      </c>
      <c r="N1793" t="str">
        <f t="shared" si="220"/>
        <v/>
      </c>
      <c r="O1793" t="str">
        <f t="shared" ca="1" si="221"/>
        <v>Outdated</v>
      </c>
      <c r="P1793" t="str">
        <f t="shared" si="222"/>
        <v>Wrong Item</v>
      </c>
      <c r="Q1793" t="str">
        <f t="shared" si="223"/>
        <v/>
      </c>
    </row>
    <row r="1794" spans="1:17" x14ac:dyDescent="0.45">
      <c r="A1794" t="s">
        <v>2593</v>
      </c>
      <c r="B1794" t="s">
        <v>95</v>
      </c>
      <c r="C1794" t="s">
        <v>2594</v>
      </c>
      <c r="D1794" t="s">
        <v>92</v>
      </c>
      <c r="E1794" s="8">
        <v>6400.74</v>
      </c>
      <c r="F1794" s="9">
        <v>45788.666684444448</v>
      </c>
      <c r="G1794" t="s">
        <v>97</v>
      </c>
      <c r="H1794" t="s">
        <v>118</v>
      </c>
      <c r="I1794" t="s">
        <v>82</v>
      </c>
      <c r="J1794" t="str">
        <f t="shared" ref="J1794:J1857" si="224">IF(OR(ISBLANK(C1794),ISBLANK(D1794)),"Missing","")</f>
        <v/>
      </c>
      <c r="K1794" t="str">
        <f t="shared" ref="K1794:K1857" si="225">IF(COUNTIF($A$2:$A$2501,A1794)&gt;1,"Duplicate","")</f>
        <v/>
      </c>
      <c r="L1794" t="str">
        <f t="shared" ref="L1794:L1857" si="226">IF(OR(E1794=0,E1794&gt;10000),"Unusual","")</f>
        <v/>
      </c>
      <c r="M1794" t="str">
        <f t="shared" ref="M1794:M1857" si="227">IF(OR(ISBLANK(G1794),ISERROR(FIND("@",G1794)),ISERROR(FIND(".",G1794,FIND("@",G1794)+1))),"Invalid","")</f>
        <v/>
      </c>
      <c r="N1794" t="str">
        <f t="shared" ref="N1794:N1857" si="228">IF(COUNTIF($S$2:$S$6,H1794)=0,"Invalid","")</f>
        <v>Invalid</v>
      </c>
      <c r="O1794" t="str">
        <f t="shared" ref="O1794:O1857" ca="1" si="229">IF(F1794&lt;EDATE(TODAY(),-12),"Outdated","")</f>
        <v>Outdated</v>
      </c>
      <c r="P1794" t="str">
        <f t="shared" ref="P1794:P1857" si="230">IF(ISBLANK(D1794),"",PROPER(TRIM(D1794)))</f>
        <v>Not As Described</v>
      </c>
      <c r="Q1794" t="str">
        <f t="shared" ref="Q1794:Q1857" si="231">IF(ISBLANK(D1794),"",IF(EXACT(D1794,P1794),"","Inconsistent"))</f>
        <v/>
      </c>
    </row>
    <row r="1795" spans="1:17" x14ac:dyDescent="0.45">
      <c r="A1795" t="s">
        <v>2595</v>
      </c>
      <c r="B1795" t="s">
        <v>172</v>
      </c>
      <c r="C1795" t="s">
        <v>556</v>
      </c>
      <c r="E1795" s="8">
        <v>3081.23</v>
      </c>
      <c r="F1795" s="9">
        <v>45220.666684444448</v>
      </c>
      <c r="G1795" t="s">
        <v>174</v>
      </c>
      <c r="H1795" t="s">
        <v>118</v>
      </c>
      <c r="I1795" t="s">
        <v>77</v>
      </c>
      <c r="J1795" t="str">
        <f t="shared" si="224"/>
        <v>Missing</v>
      </c>
      <c r="K1795" t="str">
        <f t="shared" si="225"/>
        <v/>
      </c>
      <c r="L1795" t="str">
        <f t="shared" si="226"/>
        <v/>
      </c>
      <c r="M1795" t="str">
        <f t="shared" si="227"/>
        <v/>
      </c>
      <c r="N1795" t="str">
        <f t="shared" si="228"/>
        <v>Invalid</v>
      </c>
      <c r="O1795" t="str">
        <f t="shared" ca="1" si="229"/>
        <v>Outdated</v>
      </c>
      <c r="P1795" t="str">
        <f t="shared" si="230"/>
        <v/>
      </c>
      <c r="Q1795" t="str">
        <f t="shared" si="231"/>
        <v/>
      </c>
    </row>
    <row r="1796" spans="1:17" x14ac:dyDescent="0.45">
      <c r="A1796" t="s">
        <v>2596</v>
      </c>
      <c r="B1796" t="s">
        <v>138</v>
      </c>
      <c r="C1796" t="s">
        <v>762</v>
      </c>
      <c r="D1796" t="s">
        <v>92</v>
      </c>
      <c r="E1796" s="8">
        <v>0</v>
      </c>
      <c r="F1796" s="9">
        <v>45757.666684444448</v>
      </c>
      <c r="G1796" t="s">
        <v>140</v>
      </c>
      <c r="H1796" t="s">
        <v>76</v>
      </c>
      <c r="I1796" t="s">
        <v>119</v>
      </c>
      <c r="J1796" t="str">
        <f t="shared" si="224"/>
        <v/>
      </c>
      <c r="K1796" t="str">
        <f t="shared" si="225"/>
        <v/>
      </c>
      <c r="L1796" t="str">
        <f t="shared" si="226"/>
        <v>Unusual</v>
      </c>
      <c r="M1796" t="str">
        <f t="shared" si="227"/>
        <v/>
      </c>
      <c r="N1796" t="str">
        <f t="shared" si="228"/>
        <v/>
      </c>
      <c r="O1796" t="str">
        <f t="shared" ca="1" si="229"/>
        <v>Outdated</v>
      </c>
      <c r="P1796" t="str">
        <f t="shared" si="230"/>
        <v>Not As Described</v>
      </c>
      <c r="Q1796" t="str">
        <f t="shared" si="231"/>
        <v/>
      </c>
    </row>
    <row r="1797" spans="1:17" x14ac:dyDescent="0.45">
      <c r="A1797" t="s">
        <v>2597</v>
      </c>
      <c r="B1797" t="s">
        <v>79</v>
      </c>
      <c r="C1797" t="s">
        <v>733</v>
      </c>
      <c r="D1797" t="s">
        <v>85</v>
      </c>
      <c r="E1797" s="8">
        <v>1278.71</v>
      </c>
      <c r="F1797" s="9">
        <v>45736.666684444448</v>
      </c>
      <c r="G1797" t="s">
        <v>86</v>
      </c>
      <c r="H1797" t="s">
        <v>81</v>
      </c>
      <c r="I1797" t="s">
        <v>82</v>
      </c>
      <c r="J1797" t="str">
        <f t="shared" si="224"/>
        <v/>
      </c>
      <c r="K1797" t="str">
        <f t="shared" si="225"/>
        <v/>
      </c>
      <c r="L1797" t="str">
        <f t="shared" si="226"/>
        <v/>
      </c>
      <c r="M1797" t="str">
        <f t="shared" si="227"/>
        <v/>
      </c>
      <c r="N1797" t="str">
        <f t="shared" si="228"/>
        <v/>
      </c>
      <c r="O1797" t="str">
        <f t="shared" ca="1" si="229"/>
        <v>Outdated</v>
      </c>
      <c r="P1797" t="str">
        <f t="shared" si="230"/>
        <v>Late Delivery</v>
      </c>
      <c r="Q1797" t="str">
        <f t="shared" si="231"/>
        <v/>
      </c>
    </row>
    <row r="1798" spans="1:17" x14ac:dyDescent="0.45">
      <c r="A1798" t="s">
        <v>2598</v>
      </c>
      <c r="B1798" t="s">
        <v>90</v>
      </c>
      <c r="C1798" t="s">
        <v>1594</v>
      </c>
      <c r="D1798" t="s">
        <v>106</v>
      </c>
      <c r="E1798" s="8">
        <v>495</v>
      </c>
      <c r="F1798" s="9">
        <v>45647.666684444448</v>
      </c>
      <c r="G1798" t="s">
        <v>93</v>
      </c>
      <c r="H1798" t="s">
        <v>87</v>
      </c>
      <c r="I1798" t="s">
        <v>88</v>
      </c>
      <c r="J1798" t="str">
        <f t="shared" si="224"/>
        <v/>
      </c>
      <c r="K1798" t="str">
        <f t="shared" si="225"/>
        <v/>
      </c>
      <c r="L1798" t="str">
        <f t="shared" si="226"/>
        <v/>
      </c>
      <c r="M1798" t="str">
        <f t="shared" si="227"/>
        <v/>
      </c>
      <c r="N1798" t="str">
        <f t="shared" si="228"/>
        <v>Invalid</v>
      </c>
      <c r="O1798" t="str">
        <f t="shared" ca="1" si="229"/>
        <v>Outdated</v>
      </c>
      <c r="P1798" t="str">
        <f t="shared" si="230"/>
        <v>Damaged</v>
      </c>
      <c r="Q1798" t="str">
        <f t="shared" si="231"/>
        <v>Inconsistent</v>
      </c>
    </row>
    <row r="1799" spans="1:17" x14ac:dyDescent="0.45">
      <c r="A1799" t="s">
        <v>2599</v>
      </c>
      <c r="B1799" t="s">
        <v>138</v>
      </c>
      <c r="C1799" t="s">
        <v>261</v>
      </c>
      <c r="D1799" t="s">
        <v>101</v>
      </c>
      <c r="E1799" s="8">
        <v>626.95000000000005</v>
      </c>
      <c r="F1799" s="9">
        <v>45521.666684444448</v>
      </c>
      <c r="G1799" t="s">
        <v>140</v>
      </c>
      <c r="H1799" t="s">
        <v>136</v>
      </c>
      <c r="I1799" t="s">
        <v>112</v>
      </c>
      <c r="J1799" t="str">
        <f t="shared" si="224"/>
        <v/>
      </c>
      <c r="K1799" t="str">
        <f t="shared" si="225"/>
        <v>Duplicate</v>
      </c>
      <c r="L1799" t="str">
        <f t="shared" si="226"/>
        <v/>
      </c>
      <c r="M1799" t="str">
        <f t="shared" si="227"/>
        <v/>
      </c>
      <c r="N1799" t="str">
        <f t="shared" si="228"/>
        <v>Invalid</v>
      </c>
      <c r="O1799" t="str">
        <f t="shared" ca="1" si="229"/>
        <v>Outdated</v>
      </c>
      <c r="P1799" t="str">
        <f t="shared" si="230"/>
        <v>Damaged</v>
      </c>
      <c r="Q1799" t="str">
        <f t="shared" si="231"/>
        <v/>
      </c>
    </row>
    <row r="1800" spans="1:17" x14ac:dyDescent="0.45">
      <c r="A1800" t="s">
        <v>2600</v>
      </c>
      <c r="B1800" t="s">
        <v>138</v>
      </c>
      <c r="C1800" t="s">
        <v>704</v>
      </c>
      <c r="D1800" t="s">
        <v>74</v>
      </c>
      <c r="E1800" s="8">
        <v>0</v>
      </c>
      <c r="F1800" s="9">
        <v>45601.666684444448</v>
      </c>
      <c r="G1800" t="s">
        <v>140</v>
      </c>
      <c r="H1800" t="s">
        <v>118</v>
      </c>
      <c r="I1800" t="s">
        <v>77</v>
      </c>
      <c r="J1800" t="str">
        <f t="shared" si="224"/>
        <v/>
      </c>
      <c r="K1800" t="str">
        <f t="shared" si="225"/>
        <v/>
      </c>
      <c r="L1800" t="str">
        <f t="shared" si="226"/>
        <v>Unusual</v>
      </c>
      <c r="M1800" t="str">
        <f t="shared" si="227"/>
        <v/>
      </c>
      <c r="N1800" t="str">
        <f t="shared" si="228"/>
        <v>Invalid</v>
      </c>
      <c r="O1800" t="str">
        <f t="shared" ca="1" si="229"/>
        <v>Outdated</v>
      </c>
      <c r="P1800" t="str">
        <f t="shared" si="230"/>
        <v>Wrong Item</v>
      </c>
      <c r="Q1800" t="str">
        <f t="shared" si="231"/>
        <v/>
      </c>
    </row>
    <row r="1801" spans="1:17" x14ac:dyDescent="0.45">
      <c r="A1801" t="s">
        <v>2601</v>
      </c>
      <c r="B1801" t="s">
        <v>95</v>
      </c>
      <c r="C1801" t="s">
        <v>2018</v>
      </c>
      <c r="D1801" t="s">
        <v>101</v>
      </c>
      <c r="E1801" s="8">
        <v>7765.34</v>
      </c>
      <c r="F1801" s="9">
        <v>45722.666684444448</v>
      </c>
      <c r="G1801" t="s">
        <v>97</v>
      </c>
      <c r="H1801" t="s">
        <v>81</v>
      </c>
      <c r="I1801" t="s">
        <v>77</v>
      </c>
      <c r="J1801" t="str">
        <f t="shared" si="224"/>
        <v/>
      </c>
      <c r="K1801" t="str">
        <f t="shared" si="225"/>
        <v/>
      </c>
      <c r="L1801" t="str">
        <f t="shared" si="226"/>
        <v/>
      </c>
      <c r="M1801" t="str">
        <f t="shared" si="227"/>
        <v/>
      </c>
      <c r="N1801" t="str">
        <f t="shared" si="228"/>
        <v/>
      </c>
      <c r="O1801" t="str">
        <f t="shared" ca="1" si="229"/>
        <v>Outdated</v>
      </c>
      <c r="P1801" t="str">
        <f t="shared" si="230"/>
        <v>Damaged</v>
      </c>
      <c r="Q1801" t="str">
        <f t="shared" si="231"/>
        <v/>
      </c>
    </row>
    <row r="1802" spans="1:17" x14ac:dyDescent="0.45">
      <c r="A1802" t="s">
        <v>2602</v>
      </c>
      <c r="B1802" t="s">
        <v>138</v>
      </c>
      <c r="C1802" t="s">
        <v>2329</v>
      </c>
      <c r="D1802" t="s">
        <v>74</v>
      </c>
      <c r="E1802" s="8">
        <v>0</v>
      </c>
      <c r="F1802" s="9">
        <v>45695.666684444448</v>
      </c>
      <c r="G1802" t="s">
        <v>140</v>
      </c>
      <c r="H1802" t="s">
        <v>87</v>
      </c>
      <c r="I1802" t="s">
        <v>77</v>
      </c>
      <c r="J1802" t="str">
        <f t="shared" si="224"/>
        <v/>
      </c>
      <c r="K1802" t="str">
        <f t="shared" si="225"/>
        <v/>
      </c>
      <c r="L1802" t="str">
        <f t="shared" si="226"/>
        <v>Unusual</v>
      </c>
      <c r="M1802" t="str">
        <f t="shared" si="227"/>
        <v/>
      </c>
      <c r="N1802" t="str">
        <f t="shared" si="228"/>
        <v>Invalid</v>
      </c>
      <c r="O1802" t="str">
        <f t="shared" ca="1" si="229"/>
        <v>Outdated</v>
      </c>
      <c r="P1802" t="str">
        <f t="shared" si="230"/>
        <v>Wrong Item</v>
      </c>
      <c r="Q1802" t="str">
        <f t="shared" si="231"/>
        <v/>
      </c>
    </row>
    <row r="1803" spans="1:17" x14ac:dyDescent="0.45">
      <c r="A1803" t="s">
        <v>2603</v>
      </c>
      <c r="B1803" t="s">
        <v>138</v>
      </c>
      <c r="C1803" t="s">
        <v>1344</v>
      </c>
      <c r="D1803" t="s">
        <v>106</v>
      </c>
      <c r="E1803" s="8">
        <v>0</v>
      </c>
      <c r="F1803" s="9">
        <v>45170.666684444448</v>
      </c>
      <c r="G1803" t="s">
        <v>140</v>
      </c>
      <c r="H1803" t="s">
        <v>145</v>
      </c>
      <c r="I1803" t="s">
        <v>112</v>
      </c>
      <c r="J1803" t="str">
        <f t="shared" si="224"/>
        <v/>
      </c>
      <c r="K1803" t="str">
        <f t="shared" si="225"/>
        <v/>
      </c>
      <c r="L1803" t="str">
        <f t="shared" si="226"/>
        <v>Unusual</v>
      </c>
      <c r="M1803" t="str">
        <f t="shared" si="227"/>
        <v/>
      </c>
      <c r="N1803" t="str">
        <f t="shared" si="228"/>
        <v/>
      </c>
      <c r="O1803" t="str">
        <f t="shared" ca="1" si="229"/>
        <v>Outdated</v>
      </c>
      <c r="P1803" t="str">
        <f t="shared" si="230"/>
        <v>Damaged</v>
      </c>
      <c r="Q1803" t="str">
        <f t="shared" si="231"/>
        <v>Inconsistent</v>
      </c>
    </row>
    <row r="1804" spans="1:17" x14ac:dyDescent="0.45">
      <c r="A1804" t="s">
        <v>2604</v>
      </c>
      <c r="B1804" t="s">
        <v>104</v>
      </c>
      <c r="C1804" t="s">
        <v>478</v>
      </c>
      <c r="D1804" t="s">
        <v>74</v>
      </c>
      <c r="E1804" s="8">
        <v>0</v>
      </c>
      <c r="F1804" s="9">
        <v>45588.666684444448</v>
      </c>
      <c r="G1804" t="s">
        <v>115</v>
      </c>
      <c r="H1804" t="s">
        <v>133</v>
      </c>
      <c r="I1804" t="s">
        <v>77</v>
      </c>
      <c r="J1804" t="str">
        <f t="shared" si="224"/>
        <v/>
      </c>
      <c r="K1804" t="str">
        <f t="shared" si="225"/>
        <v/>
      </c>
      <c r="L1804" t="str">
        <f t="shared" si="226"/>
        <v>Unusual</v>
      </c>
      <c r="M1804" t="str">
        <f t="shared" si="227"/>
        <v/>
      </c>
      <c r="N1804" t="str">
        <f t="shared" si="228"/>
        <v>Invalid</v>
      </c>
      <c r="O1804" t="str">
        <f t="shared" ca="1" si="229"/>
        <v>Outdated</v>
      </c>
      <c r="P1804" t="str">
        <f t="shared" si="230"/>
        <v>Wrong Item</v>
      </c>
      <c r="Q1804" t="str">
        <f t="shared" si="231"/>
        <v/>
      </c>
    </row>
    <row r="1805" spans="1:17" x14ac:dyDescent="0.45">
      <c r="A1805" t="s">
        <v>2605</v>
      </c>
      <c r="B1805" t="s">
        <v>104</v>
      </c>
      <c r="C1805" t="s">
        <v>992</v>
      </c>
      <c r="D1805" t="s">
        <v>92</v>
      </c>
      <c r="E1805" s="8">
        <v>7014.92</v>
      </c>
      <c r="F1805" s="9">
        <v>45713.666684444448</v>
      </c>
      <c r="G1805" t="s">
        <v>115</v>
      </c>
      <c r="H1805" t="s">
        <v>145</v>
      </c>
      <c r="I1805" t="s">
        <v>119</v>
      </c>
      <c r="J1805" t="str">
        <f t="shared" si="224"/>
        <v/>
      </c>
      <c r="K1805" t="str">
        <f t="shared" si="225"/>
        <v/>
      </c>
      <c r="L1805" t="str">
        <f t="shared" si="226"/>
        <v/>
      </c>
      <c r="M1805" t="str">
        <f t="shared" si="227"/>
        <v/>
      </c>
      <c r="N1805" t="str">
        <f t="shared" si="228"/>
        <v/>
      </c>
      <c r="O1805" t="str">
        <f t="shared" ca="1" si="229"/>
        <v>Outdated</v>
      </c>
      <c r="P1805" t="str">
        <f t="shared" si="230"/>
        <v>Not As Described</v>
      </c>
      <c r="Q1805" t="str">
        <f t="shared" si="231"/>
        <v/>
      </c>
    </row>
    <row r="1806" spans="1:17" x14ac:dyDescent="0.45">
      <c r="A1806" t="s">
        <v>2606</v>
      </c>
      <c r="B1806" t="s">
        <v>72</v>
      </c>
      <c r="C1806" t="s">
        <v>561</v>
      </c>
      <c r="D1806" t="s">
        <v>92</v>
      </c>
      <c r="E1806" s="8">
        <v>0</v>
      </c>
      <c r="F1806" s="9">
        <v>45795.666684444448</v>
      </c>
      <c r="H1806" t="s">
        <v>116</v>
      </c>
      <c r="I1806" t="s">
        <v>119</v>
      </c>
      <c r="J1806" t="str">
        <f t="shared" si="224"/>
        <v/>
      </c>
      <c r="K1806" t="str">
        <f t="shared" si="225"/>
        <v/>
      </c>
      <c r="L1806" t="str">
        <f t="shared" si="226"/>
        <v>Unusual</v>
      </c>
      <c r="M1806" t="str">
        <f t="shared" si="227"/>
        <v>Invalid</v>
      </c>
      <c r="N1806" t="str">
        <f t="shared" si="228"/>
        <v/>
      </c>
      <c r="O1806" t="str">
        <f t="shared" ca="1" si="229"/>
        <v>Outdated</v>
      </c>
      <c r="P1806" t="str">
        <f t="shared" si="230"/>
        <v>Not As Described</v>
      </c>
      <c r="Q1806" t="str">
        <f t="shared" si="231"/>
        <v/>
      </c>
    </row>
    <row r="1807" spans="1:17" x14ac:dyDescent="0.45">
      <c r="A1807" t="s">
        <v>2349</v>
      </c>
      <c r="B1807" t="s">
        <v>90</v>
      </c>
      <c r="C1807" t="s">
        <v>1512</v>
      </c>
      <c r="D1807" t="s">
        <v>74</v>
      </c>
      <c r="E1807" s="8">
        <v>8544.35</v>
      </c>
      <c r="F1807" s="9">
        <v>45320.666684444448</v>
      </c>
      <c r="G1807" t="s">
        <v>93</v>
      </c>
      <c r="H1807" t="s">
        <v>136</v>
      </c>
      <c r="I1807" t="s">
        <v>163</v>
      </c>
      <c r="J1807" t="str">
        <f t="shared" si="224"/>
        <v/>
      </c>
      <c r="K1807" t="str">
        <f t="shared" si="225"/>
        <v>Duplicate</v>
      </c>
      <c r="L1807" t="str">
        <f t="shared" si="226"/>
        <v/>
      </c>
      <c r="M1807" t="str">
        <f t="shared" si="227"/>
        <v/>
      </c>
      <c r="N1807" t="str">
        <f t="shared" si="228"/>
        <v>Invalid</v>
      </c>
      <c r="O1807" t="str">
        <f t="shared" ca="1" si="229"/>
        <v>Outdated</v>
      </c>
      <c r="P1807" t="str">
        <f t="shared" si="230"/>
        <v>Wrong Item</v>
      </c>
      <c r="Q1807" t="str">
        <f t="shared" si="231"/>
        <v/>
      </c>
    </row>
    <row r="1808" spans="1:17" x14ac:dyDescent="0.45">
      <c r="A1808" t="s">
        <v>2607</v>
      </c>
      <c r="B1808" t="s">
        <v>104</v>
      </c>
      <c r="C1808" t="s">
        <v>2608</v>
      </c>
      <c r="D1808" t="s">
        <v>85</v>
      </c>
      <c r="E1808" s="8">
        <v>11208.44</v>
      </c>
      <c r="F1808" s="9">
        <v>45457.666684444448</v>
      </c>
      <c r="G1808" t="s">
        <v>115</v>
      </c>
      <c r="H1808" t="s">
        <v>107</v>
      </c>
      <c r="I1808" t="s">
        <v>119</v>
      </c>
      <c r="J1808" t="str">
        <f t="shared" si="224"/>
        <v/>
      </c>
      <c r="K1808" t="str">
        <f t="shared" si="225"/>
        <v/>
      </c>
      <c r="L1808" t="str">
        <f t="shared" si="226"/>
        <v>Unusual</v>
      </c>
      <c r="M1808" t="str">
        <f t="shared" si="227"/>
        <v/>
      </c>
      <c r="N1808" t="str">
        <f t="shared" si="228"/>
        <v/>
      </c>
      <c r="O1808" t="str">
        <f t="shared" ca="1" si="229"/>
        <v>Outdated</v>
      </c>
      <c r="P1808" t="str">
        <f t="shared" si="230"/>
        <v>Late Delivery</v>
      </c>
      <c r="Q1808" t="str">
        <f t="shared" si="231"/>
        <v/>
      </c>
    </row>
    <row r="1809" spans="1:17" x14ac:dyDescent="0.45">
      <c r="A1809" t="s">
        <v>2609</v>
      </c>
      <c r="B1809" t="s">
        <v>90</v>
      </c>
      <c r="C1809" t="s">
        <v>1249</v>
      </c>
      <c r="D1809" t="s">
        <v>74</v>
      </c>
      <c r="E1809" s="8">
        <v>1629.99</v>
      </c>
      <c r="F1809" s="9">
        <v>45747.666684444448</v>
      </c>
      <c r="G1809" t="s">
        <v>93</v>
      </c>
      <c r="H1809" t="s">
        <v>136</v>
      </c>
      <c r="I1809" t="s">
        <v>112</v>
      </c>
      <c r="J1809" t="str">
        <f t="shared" si="224"/>
        <v/>
      </c>
      <c r="K1809" t="str">
        <f t="shared" si="225"/>
        <v/>
      </c>
      <c r="L1809" t="str">
        <f t="shared" si="226"/>
        <v/>
      </c>
      <c r="M1809" t="str">
        <f t="shared" si="227"/>
        <v/>
      </c>
      <c r="N1809" t="str">
        <f t="shared" si="228"/>
        <v>Invalid</v>
      </c>
      <c r="O1809" t="str">
        <f t="shared" ca="1" si="229"/>
        <v>Outdated</v>
      </c>
      <c r="P1809" t="str">
        <f t="shared" si="230"/>
        <v>Wrong Item</v>
      </c>
      <c r="Q1809" t="str">
        <f t="shared" si="231"/>
        <v/>
      </c>
    </row>
    <row r="1810" spans="1:17" x14ac:dyDescent="0.45">
      <c r="A1810" t="s">
        <v>2610</v>
      </c>
      <c r="B1810" t="s">
        <v>109</v>
      </c>
      <c r="C1810" t="s">
        <v>1977</v>
      </c>
      <c r="D1810" t="s">
        <v>85</v>
      </c>
      <c r="E1810" s="8">
        <v>9314.06</v>
      </c>
      <c r="F1810" s="9">
        <v>45615.666684444448</v>
      </c>
      <c r="G1810" t="s">
        <v>111</v>
      </c>
      <c r="I1810" t="s">
        <v>119</v>
      </c>
      <c r="J1810" t="str">
        <f t="shared" si="224"/>
        <v/>
      </c>
      <c r="K1810" t="str">
        <f t="shared" si="225"/>
        <v/>
      </c>
      <c r="L1810" t="str">
        <f t="shared" si="226"/>
        <v/>
      </c>
      <c r="M1810" t="str">
        <f t="shared" si="227"/>
        <v/>
      </c>
      <c r="N1810" t="str">
        <f t="shared" si="228"/>
        <v>Invalid</v>
      </c>
      <c r="O1810" t="str">
        <f t="shared" ca="1" si="229"/>
        <v>Outdated</v>
      </c>
      <c r="P1810" t="str">
        <f t="shared" si="230"/>
        <v>Late Delivery</v>
      </c>
      <c r="Q1810" t="str">
        <f t="shared" si="231"/>
        <v/>
      </c>
    </row>
    <row r="1811" spans="1:17" x14ac:dyDescent="0.45">
      <c r="A1811" t="s">
        <v>2611</v>
      </c>
      <c r="B1811" t="s">
        <v>95</v>
      </c>
      <c r="D1811" t="s">
        <v>74</v>
      </c>
      <c r="E1811" s="8">
        <v>5596.72</v>
      </c>
      <c r="F1811" s="9">
        <v>45641.666684444448</v>
      </c>
      <c r="G1811" t="s">
        <v>97</v>
      </c>
      <c r="H1811" t="s">
        <v>118</v>
      </c>
      <c r="I1811" t="s">
        <v>77</v>
      </c>
      <c r="J1811" t="str">
        <f t="shared" si="224"/>
        <v>Missing</v>
      </c>
      <c r="K1811" t="str">
        <f t="shared" si="225"/>
        <v/>
      </c>
      <c r="L1811" t="str">
        <f t="shared" si="226"/>
        <v/>
      </c>
      <c r="M1811" t="str">
        <f t="shared" si="227"/>
        <v/>
      </c>
      <c r="N1811" t="str">
        <f t="shared" si="228"/>
        <v>Invalid</v>
      </c>
      <c r="O1811" t="str">
        <f t="shared" ca="1" si="229"/>
        <v>Outdated</v>
      </c>
      <c r="P1811" t="str">
        <f t="shared" si="230"/>
        <v>Wrong Item</v>
      </c>
      <c r="Q1811" t="str">
        <f t="shared" si="231"/>
        <v/>
      </c>
    </row>
    <row r="1812" spans="1:17" x14ac:dyDescent="0.45">
      <c r="A1812" t="s">
        <v>2612</v>
      </c>
      <c r="B1812" t="s">
        <v>95</v>
      </c>
      <c r="C1812" t="s">
        <v>784</v>
      </c>
      <c r="D1812" t="s">
        <v>155</v>
      </c>
      <c r="E1812" s="8">
        <v>5150.29</v>
      </c>
      <c r="F1812" s="9">
        <v>45282.666684444448</v>
      </c>
      <c r="G1812" t="s">
        <v>97</v>
      </c>
      <c r="H1812" t="s">
        <v>81</v>
      </c>
      <c r="I1812" t="s">
        <v>112</v>
      </c>
      <c r="J1812" t="str">
        <f t="shared" si="224"/>
        <v/>
      </c>
      <c r="K1812" t="str">
        <f t="shared" si="225"/>
        <v/>
      </c>
      <c r="L1812" t="str">
        <f t="shared" si="226"/>
        <v/>
      </c>
      <c r="M1812" t="str">
        <f t="shared" si="227"/>
        <v/>
      </c>
      <c r="N1812" t="str">
        <f t="shared" si="228"/>
        <v/>
      </c>
      <c r="O1812" t="str">
        <f t="shared" ca="1" si="229"/>
        <v>Outdated</v>
      </c>
      <c r="P1812" t="str">
        <f t="shared" si="230"/>
        <v>Damaged</v>
      </c>
      <c r="Q1812" t="str">
        <f t="shared" si="231"/>
        <v>Inconsistent</v>
      </c>
    </row>
    <row r="1813" spans="1:17" x14ac:dyDescent="0.45">
      <c r="A1813" t="s">
        <v>2613</v>
      </c>
      <c r="B1813" t="s">
        <v>104</v>
      </c>
      <c r="C1813" t="s">
        <v>1746</v>
      </c>
      <c r="D1813" t="s">
        <v>106</v>
      </c>
      <c r="E1813" s="8">
        <v>3077.85</v>
      </c>
      <c r="F1813" s="9">
        <v>45191.666684444448</v>
      </c>
      <c r="G1813" t="s">
        <v>115</v>
      </c>
      <c r="H1813" t="s">
        <v>116</v>
      </c>
      <c r="I1813" t="s">
        <v>163</v>
      </c>
      <c r="J1813" t="str">
        <f t="shared" si="224"/>
        <v/>
      </c>
      <c r="K1813" t="str">
        <f t="shared" si="225"/>
        <v/>
      </c>
      <c r="L1813" t="str">
        <f t="shared" si="226"/>
        <v/>
      </c>
      <c r="M1813" t="str">
        <f t="shared" si="227"/>
        <v/>
      </c>
      <c r="N1813" t="str">
        <f t="shared" si="228"/>
        <v/>
      </c>
      <c r="O1813" t="str">
        <f t="shared" ca="1" si="229"/>
        <v>Outdated</v>
      </c>
      <c r="P1813" t="str">
        <f t="shared" si="230"/>
        <v>Damaged</v>
      </c>
      <c r="Q1813" t="str">
        <f t="shared" si="231"/>
        <v>Inconsistent</v>
      </c>
    </row>
    <row r="1814" spans="1:17" x14ac:dyDescent="0.45">
      <c r="A1814" t="s">
        <v>2614</v>
      </c>
      <c r="B1814" t="s">
        <v>109</v>
      </c>
      <c r="C1814" t="s">
        <v>438</v>
      </c>
      <c r="D1814" t="s">
        <v>74</v>
      </c>
      <c r="E1814" s="8">
        <v>188.83</v>
      </c>
      <c r="F1814" s="9">
        <v>45589.666684444448</v>
      </c>
      <c r="G1814" t="s">
        <v>111</v>
      </c>
      <c r="H1814" t="s">
        <v>145</v>
      </c>
      <c r="I1814" t="s">
        <v>163</v>
      </c>
      <c r="J1814" t="str">
        <f t="shared" si="224"/>
        <v/>
      </c>
      <c r="K1814" t="str">
        <f t="shared" si="225"/>
        <v/>
      </c>
      <c r="L1814" t="str">
        <f t="shared" si="226"/>
        <v/>
      </c>
      <c r="M1814" t="str">
        <f t="shared" si="227"/>
        <v/>
      </c>
      <c r="N1814" t="str">
        <f t="shared" si="228"/>
        <v/>
      </c>
      <c r="O1814" t="str">
        <f t="shared" ca="1" si="229"/>
        <v>Outdated</v>
      </c>
      <c r="P1814" t="str">
        <f t="shared" si="230"/>
        <v>Wrong Item</v>
      </c>
      <c r="Q1814" t="str">
        <f t="shared" si="231"/>
        <v/>
      </c>
    </row>
    <row r="1815" spans="1:17" x14ac:dyDescent="0.45">
      <c r="A1815" t="s">
        <v>122</v>
      </c>
      <c r="B1815" t="s">
        <v>79</v>
      </c>
      <c r="C1815" t="s">
        <v>712</v>
      </c>
      <c r="D1815" t="s">
        <v>74</v>
      </c>
      <c r="E1815" s="8">
        <v>7936.58</v>
      </c>
      <c r="F1815" s="9">
        <v>45233.666684444448</v>
      </c>
      <c r="G1815" t="s">
        <v>86</v>
      </c>
      <c r="H1815" t="s">
        <v>87</v>
      </c>
      <c r="I1815" t="s">
        <v>112</v>
      </c>
      <c r="J1815" t="str">
        <f t="shared" si="224"/>
        <v/>
      </c>
      <c r="K1815" t="str">
        <f t="shared" si="225"/>
        <v>Duplicate</v>
      </c>
      <c r="L1815" t="str">
        <f t="shared" si="226"/>
        <v/>
      </c>
      <c r="M1815" t="str">
        <f t="shared" si="227"/>
        <v/>
      </c>
      <c r="N1815" t="str">
        <f t="shared" si="228"/>
        <v>Invalid</v>
      </c>
      <c r="O1815" t="str">
        <f t="shared" ca="1" si="229"/>
        <v>Outdated</v>
      </c>
      <c r="P1815" t="str">
        <f t="shared" si="230"/>
        <v>Wrong Item</v>
      </c>
      <c r="Q1815" t="str">
        <f t="shared" si="231"/>
        <v/>
      </c>
    </row>
    <row r="1816" spans="1:17" x14ac:dyDescent="0.45">
      <c r="A1816" t="s">
        <v>2615</v>
      </c>
      <c r="B1816" t="s">
        <v>72</v>
      </c>
      <c r="C1816" t="s">
        <v>1429</v>
      </c>
      <c r="D1816" t="s">
        <v>92</v>
      </c>
      <c r="E1816" s="8">
        <v>0</v>
      </c>
      <c r="F1816" s="9">
        <v>45479.666684444448</v>
      </c>
      <c r="G1816" t="s">
        <v>75</v>
      </c>
      <c r="H1816" t="s">
        <v>107</v>
      </c>
      <c r="I1816" t="s">
        <v>163</v>
      </c>
      <c r="J1816" t="str">
        <f t="shared" si="224"/>
        <v/>
      </c>
      <c r="K1816" t="str">
        <f t="shared" si="225"/>
        <v/>
      </c>
      <c r="L1816" t="str">
        <f t="shared" si="226"/>
        <v>Unusual</v>
      </c>
      <c r="M1816" t="str">
        <f t="shared" si="227"/>
        <v/>
      </c>
      <c r="N1816" t="str">
        <f t="shared" si="228"/>
        <v/>
      </c>
      <c r="O1816" t="str">
        <f t="shared" ca="1" si="229"/>
        <v>Outdated</v>
      </c>
      <c r="P1816" t="str">
        <f t="shared" si="230"/>
        <v>Not As Described</v>
      </c>
      <c r="Q1816" t="str">
        <f t="shared" si="231"/>
        <v/>
      </c>
    </row>
    <row r="1817" spans="1:17" x14ac:dyDescent="0.45">
      <c r="A1817" t="s">
        <v>1654</v>
      </c>
      <c r="B1817" t="s">
        <v>95</v>
      </c>
      <c r="C1817" t="s">
        <v>691</v>
      </c>
      <c r="D1817" t="s">
        <v>101</v>
      </c>
      <c r="E1817" s="8">
        <v>0</v>
      </c>
      <c r="F1817" s="9">
        <v>45214.666684444448</v>
      </c>
      <c r="G1817" t="s">
        <v>97</v>
      </c>
      <c r="I1817" t="s">
        <v>119</v>
      </c>
      <c r="J1817" t="str">
        <f t="shared" si="224"/>
        <v/>
      </c>
      <c r="K1817" t="str">
        <f t="shared" si="225"/>
        <v>Duplicate</v>
      </c>
      <c r="L1817" t="str">
        <f t="shared" si="226"/>
        <v>Unusual</v>
      </c>
      <c r="M1817" t="str">
        <f t="shared" si="227"/>
        <v/>
      </c>
      <c r="N1817" t="str">
        <f t="shared" si="228"/>
        <v>Invalid</v>
      </c>
      <c r="O1817" t="str">
        <f t="shared" ca="1" si="229"/>
        <v>Outdated</v>
      </c>
      <c r="P1817" t="str">
        <f t="shared" si="230"/>
        <v>Damaged</v>
      </c>
      <c r="Q1817" t="str">
        <f t="shared" si="231"/>
        <v/>
      </c>
    </row>
    <row r="1818" spans="1:17" x14ac:dyDescent="0.45">
      <c r="A1818" t="s">
        <v>2616</v>
      </c>
      <c r="B1818" t="s">
        <v>72</v>
      </c>
      <c r="C1818" t="s">
        <v>1450</v>
      </c>
      <c r="D1818" t="s">
        <v>148</v>
      </c>
      <c r="E1818" s="8">
        <v>10533.66</v>
      </c>
      <c r="F1818" s="9">
        <v>45644.666684444448</v>
      </c>
      <c r="G1818" t="s">
        <v>75</v>
      </c>
      <c r="H1818" t="s">
        <v>133</v>
      </c>
      <c r="I1818" t="s">
        <v>82</v>
      </c>
      <c r="J1818" t="str">
        <f t="shared" si="224"/>
        <v/>
      </c>
      <c r="K1818" t="str">
        <f t="shared" si="225"/>
        <v/>
      </c>
      <c r="L1818" t="str">
        <f t="shared" si="226"/>
        <v>Unusual</v>
      </c>
      <c r="M1818" t="str">
        <f t="shared" si="227"/>
        <v/>
      </c>
      <c r="N1818" t="str">
        <f t="shared" si="228"/>
        <v>Invalid</v>
      </c>
      <c r="O1818" t="str">
        <f t="shared" ca="1" si="229"/>
        <v>Outdated</v>
      </c>
      <c r="P1818" t="str">
        <f t="shared" si="230"/>
        <v>Wrong Item</v>
      </c>
      <c r="Q1818" t="str">
        <f t="shared" si="231"/>
        <v>Inconsistent</v>
      </c>
    </row>
    <row r="1819" spans="1:17" x14ac:dyDescent="0.45">
      <c r="A1819" t="s">
        <v>2617</v>
      </c>
      <c r="B1819" t="s">
        <v>95</v>
      </c>
      <c r="C1819" t="s">
        <v>2618</v>
      </c>
      <c r="D1819" t="s">
        <v>85</v>
      </c>
      <c r="E1819" s="8">
        <v>265.88</v>
      </c>
      <c r="F1819" s="9">
        <v>45789.666684444448</v>
      </c>
      <c r="G1819" t="s">
        <v>97</v>
      </c>
      <c r="H1819" t="s">
        <v>116</v>
      </c>
      <c r="I1819" t="s">
        <v>112</v>
      </c>
      <c r="J1819" t="str">
        <f t="shared" si="224"/>
        <v/>
      </c>
      <c r="K1819" t="str">
        <f t="shared" si="225"/>
        <v/>
      </c>
      <c r="L1819" t="str">
        <f t="shared" si="226"/>
        <v/>
      </c>
      <c r="M1819" t="str">
        <f t="shared" si="227"/>
        <v/>
      </c>
      <c r="N1819" t="str">
        <f t="shared" si="228"/>
        <v/>
      </c>
      <c r="O1819" t="str">
        <f t="shared" ca="1" si="229"/>
        <v>Outdated</v>
      </c>
      <c r="P1819" t="str">
        <f t="shared" si="230"/>
        <v>Late Delivery</v>
      </c>
      <c r="Q1819" t="str">
        <f t="shared" si="231"/>
        <v/>
      </c>
    </row>
    <row r="1820" spans="1:17" x14ac:dyDescent="0.45">
      <c r="A1820" t="s">
        <v>2619</v>
      </c>
      <c r="B1820" t="s">
        <v>109</v>
      </c>
      <c r="C1820" t="s">
        <v>326</v>
      </c>
      <c r="D1820" t="s">
        <v>101</v>
      </c>
      <c r="E1820" s="8">
        <v>3296.25</v>
      </c>
      <c r="F1820" s="9">
        <v>45304.666684444448</v>
      </c>
      <c r="G1820" t="s">
        <v>111</v>
      </c>
      <c r="H1820" t="s">
        <v>128</v>
      </c>
      <c r="I1820" t="s">
        <v>88</v>
      </c>
      <c r="J1820" t="str">
        <f t="shared" si="224"/>
        <v/>
      </c>
      <c r="K1820" t="str">
        <f t="shared" si="225"/>
        <v/>
      </c>
      <c r="L1820" t="str">
        <f t="shared" si="226"/>
        <v/>
      </c>
      <c r="M1820" t="str">
        <f t="shared" si="227"/>
        <v/>
      </c>
      <c r="N1820" t="str">
        <f t="shared" si="228"/>
        <v>Invalid</v>
      </c>
      <c r="O1820" t="str">
        <f t="shared" ca="1" si="229"/>
        <v>Outdated</v>
      </c>
      <c r="P1820" t="str">
        <f t="shared" si="230"/>
        <v>Damaged</v>
      </c>
      <c r="Q1820" t="str">
        <f t="shared" si="231"/>
        <v/>
      </c>
    </row>
    <row r="1821" spans="1:17" x14ac:dyDescent="0.45">
      <c r="A1821" t="s">
        <v>2620</v>
      </c>
      <c r="B1821" t="s">
        <v>138</v>
      </c>
      <c r="C1821" t="s">
        <v>2621</v>
      </c>
      <c r="E1821" s="8">
        <v>8658.65</v>
      </c>
      <c r="F1821" s="9">
        <v>45168.666684444448</v>
      </c>
      <c r="G1821" t="s">
        <v>194</v>
      </c>
      <c r="I1821" t="s">
        <v>88</v>
      </c>
      <c r="J1821" t="str">
        <f t="shared" si="224"/>
        <v>Missing</v>
      </c>
      <c r="K1821" t="str">
        <f t="shared" si="225"/>
        <v/>
      </c>
      <c r="L1821" t="str">
        <f t="shared" si="226"/>
        <v/>
      </c>
      <c r="M1821" t="str">
        <f t="shared" si="227"/>
        <v>Invalid</v>
      </c>
      <c r="N1821" t="str">
        <f t="shared" si="228"/>
        <v>Invalid</v>
      </c>
      <c r="O1821" t="str">
        <f t="shared" ca="1" si="229"/>
        <v>Outdated</v>
      </c>
      <c r="P1821" t="str">
        <f t="shared" si="230"/>
        <v/>
      </c>
      <c r="Q1821" t="str">
        <f t="shared" si="231"/>
        <v/>
      </c>
    </row>
    <row r="1822" spans="1:17" x14ac:dyDescent="0.45">
      <c r="A1822" t="s">
        <v>2622</v>
      </c>
      <c r="B1822" t="s">
        <v>172</v>
      </c>
      <c r="C1822" t="s">
        <v>1221</v>
      </c>
      <c r="D1822" t="s">
        <v>85</v>
      </c>
      <c r="E1822" s="8">
        <v>5704.99</v>
      </c>
      <c r="F1822" s="9">
        <v>45381.666684444448</v>
      </c>
      <c r="G1822" t="s">
        <v>174</v>
      </c>
      <c r="H1822" t="s">
        <v>76</v>
      </c>
      <c r="I1822" t="s">
        <v>88</v>
      </c>
      <c r="J1822" t="str">
        <f t="shared" si="224"/>
        <v/>
      </c>
      <c r="K1822" t="str">
        <f t="shared" si="225"/>
        <v/>
      </c>
      <c r="L1822" t="str">
        <f t="shared" si="226"/>
        <v/>
      </c>
      <c r="M1822" t="str">
        <f t="shared" si="227"/>
        <v/>
      </c>
      <c r="N1822" t="str">
        <f t="shared" si="228"/>
        <v/>
      </c>
      <c r="O1822" t="str">
        <f t="shared" ca="1" si="229"/>
        <v>Outdated</v>
      </c>
      <c r="P1822" t="str">
        <f t="shared" si="230"/>
        <v>Late Delivery</v>
      </c>
      <c r="Q1822" t="str">
        <f t="shared" si="231"/>
        <v/>
      </c>
    </row>
    <row r="1823" spans="1:17" x14ac:dyDescent="0.45">
      <c r="A1823" t="s">
        <v>2623</v>
      </c>
      <c r="B1823" t="s">
        <v>138</v>
      </c>
      <c r="C1823" t="s">
        <v>1945</v>
      </c>
      <c r="D1823" t="s">
        <v>155</v>
      </c>
      <c r="E1823" s="8">
        <v>11759.83</v>
      </c>
      <c r="F1823" s="9">
        <v>45852.666684444448</v>
      </c>
      <c r="G1823" t="s">
        <v>140</v>
      </c>
      <c r="H1823" t="s">
        <v>107</v>
      </c>
      <c r="I1823" t="s">
        <v>82</v>
      </c>
      <c r="J1823" t="str">
        <f t="shared" si="224"/>
        <v/>
      </c>
      <c r="K1823" t="str">
        <f t="shared" si="225"/>
        <v/>
      </c>
      <c r="L1823" t="str">
        <f t="shared" si="226"/>
        <v>Unusual</v>
      </c>
      <c r="M1823" t="str">
        <f t="shared" si="227"/>
        <v/>
      </c>
      <c r="N1823" t="str">
        <f t="shared" si="228"/>
        <v/>
      </c>
      <c r="O1823" t="str">
        <f t="shared" ca="1" si="229"/>
        <v/>
      </c>
      <c r="P1823" t="str">
        <f t="shared" si="230"/>
        <v>Damaged</v>
      </c>
      <c r="Q1823" t="str">
        <f t="shared" si="231"/>
        <v>Inconsistent</v>
      </c>
    </row>
    <row r="1824" spans="1:17" x14ac:dyDescent="0.45">
      <c r="A1824" t="s">
        <v>2624</v>
      </c>
      <c r="B1824" t="s">
        <v>79</v>
      </c>
      <c r="D1824" t="s">
        <v>155</v>
      </c>
      <c r="E1824" s="8">
        <v>6898.43</v>
      </c>
      <c r="F1824" s="9">
        <v>45576.666684444448</v>
      </c>
      <c r="G1824" t="s">
        <v>86</v>
      </c>
      <c r="H1824" t="s">
        <v>116</v>
      </c>
      <c r="I1824" t="s">
        <v>82</v>
      </c>
      <c r="J1824" t="str">
        <f t="shared" si="224"/>
        <v>Missing</v>
      </c>
      <c r="K1824" t="str">
        <f t="shared" si="225"/>
        <v/>
      </c>
      <c r="L1824" t="str">
        <f t="shared" si="226"/>
        <v/>
      </c>
      <c r="M1824" t="str">
        <f t="shared" si="227"/>
        <v/>
      </c>
      <c r="N1824" t="str">
        <f t="shared" si="228"/>
        <v/>
      </c>
      <c r="O1824" t="str">
        <f t="shared" ca="1" si="229"/>
        <v>Outdated</v>
      </c>
      <c r="P1824" t="str">
        <f t="shared" si="230"/>
        <v>Damaged</v>
      </c>
      <c r="Q1824" t="str">
        <f t="shared" si="231"/>
        <v>Inconsistent</v>
      </c>
    </row>
    <row r="1825" spans="1:17" x14ac:dyDescent="0.45">
      <c r="A1825" t="s">
        <v>2625</v>
      </c>
      <c r="B1825" t="s">
        <v>95</v>
      </c>
      <c r="C1825" t="s">
        <v>452</v>
      </c>
      <c r="D1825" t="s">
        <v>74</v>
      </c>
      <c r="E1825" s="8">
        <v>4372.6400000000003</v>
      </c>
      <c r="F1825" s="9">
        <v>45577.666684444448</v>
      </c>
      <c r="G1825" t="s">
        <v>97</v>
      </c>
      <c r="I1825" t="s">
        <v>77</v>
      </c>
      <c r="J1825" t="str">
        <f t="shared" si="224"/>
        <v/>
      </c>
      <c r="K1825" t="str">
        <f t="shared" si="225"/>
        <v/>
      </c>
      <c r="L1825" t="str">
        <f t="shared" si="226"/>
        <v/>
      </c>
      <c r="M1825" t="str">
        <f t="shared" si="227"/>
        <v/>
      </c>
      <c r="N1825" t="str">
        <f t="shared" si="228"/>
        <v>Invalid</v>
      </c>
      <c r="O1825" t="str">
        <f t="shared" ca="1" si="229"/>
        <v>Outdated</v>
      </c>
      <c r="P1825" t="str">
        <f t="shared" si="230"/>
        <v>Wrong Item</v>
      </c>
      <c r="Q1825" t="str">
        <f t="shared" si="231"/>
        <v/>
      </c>
    </row>
    <row r="1826" spans="1:17" x14ac:dyDescent="0.45">
      <c r="A1826" t="s">
        <v>2626</v>
      </c>
      <c r="B1826" t="s">
        <v>79</v>
      </c>
      <c r="C1826" t="s">
        <v>2627</v>
      </c>
      <c r="D1826" t="s">
        <v>74</v>
      </c>
      <c r="E1826" s="8">
        <v>0</v>
      </c>
      <c r="F1826" s="9">
        <v>45664.666684444448</v>
      </c>
      <c r="G1826" t="s">
        <v>278</v>
      </c>
      <c r="H1826" t="s">
        <v>118</v>
      </c>
      <c r="I1826" t="s">
        <v>163</v>
      </c>
      <c r="J1826" t="str">
        <f t="shared" si="224"/>
        <v/>
      </c>
      <c r="K1826" t="str">
        <f t="shared" si="225"/>
        <v>Duplicate</v>
      </c>
      <c r="L1826" t="str">
        <f t="shared" si="226"/>
        <v>Unusual</v>
      </c>
      <c r="M1826" t="str">
        <f t="shared" si="227"/>
        <v>Invalid</v>
      </c>
      <c r="N1826" t="str">
        <f t="shared" si="228"/>
        <v>Invalid</v>
      </c>
      <c r="O1826" t="str">
        <f t="shared" ca="1" si="229"/>
        <v>Outdated</v>
      </c>
      <c r="P1826" t="str">
        <f t="shared" si="230"/>
        <v>Wrong Item</v>
      </c>
      <c r="Q1826" t="str">
        <f t="shared" si="231"/>
        <v/>
      </c>
    </row>
    <row r="1827" spans="1:17" x14ac:dyDescent="0.45">
      <c r="A1827" t="s">
        <v>2628</v>
      </c>
      <c r="B1827" t="s">
        <v>104</v>
      </c>
      <c r="C1827" t="s">
        <v>2629</v>
      </c>
      <c r="D1827" t="s">
        <v>106</v>
      </c>
      <c r="E1827" s="8">
        <v>8625.7000000000007</v>
      </c>
      <c r="F1827" s="9">
        <v>45663.666684444448</v>
      </c>
      <c r="G1827" t="s">
        <v>115</v>
      </c>
      <c r="H1827" t="s">
        <v>136</v>
      </c>
      <c r="I1827" t="s">
        <v>77</v>
      </c>
      <c r="J1827" t="str">
        <f t="shared" si="224"/>
        <v/>
      </c>
      <c r="K1827" t="str">
        <f t="shared" si="225"/>
        <v/>
      </c>
      <c r="L1827" t="str">
        <f t="shared" si="226"/>
        <v/>
      </c>
      <c r="M1827" t="str">
        <f t="shared" si="227"/>
        <v/>
      </c>
      <c r="N1827" t="str">
        <f t="shared" si="228"/>
        <v>Invalid</v>
      </c>
      <c r="O1827" t="str">
        <f t="shared" ca="1" si="229"/>
        <v>Outdated</v>
      </c>
      <c r="P1827" t="str">
        <f t="shared" si="230"/>
        <v>Damaged</v>
      </c>
      <c r="Q1827" t="str">
        <f t="shared" si="231"/>
        <v>Inconsistent</v>
      </c>
    </row>
    <row r="1828" spans="1:17" x14ac:dyDescent="0.45">
      <c r="A1828" t="s">
        <v>2630</v>
      </c>
      <c r="B1828" t="s">
        <v>104</v>
      </c>
      <c r="C1828" t="s">
        <v>100</v>
      </c>
      <c r="D1828" t="s">
        <v>155</v>
      </c>
      <c r="E1828" s="8">
        <v>10997.07</v>
      </c>
      <c r="F1828" s="9">
        <v>45752.666684444448</v>
      </c>
      <c r="G1828" t="s">
        <v>115</v>
      </c>
      <c r="H1828" t="s">
        <v>87</v>
      </c>
      <c r="I1828" t="s">
        <v>112</v>
      </c>
      <c r="J1828" t="str">
        <f t="shared" si="224"/>
        <v/>
      </c>
      <c r="K1828" t="str">
        <f t="shared" si="225"/>
        <v/>
      </c>
      <c r="L1828" t="str">
        <f t="shared" si="226"/>
        <v>Unusual</v>
      </c>
      <c r="M1828" t="str">
        <f t="shared" si="227"/>
        <v/>
      </c>
      <c r="N1828" t="str">
        <f t="shared" si="228"/>
        <v>Invalid</v>
      </c>
      <c r="O1828" t="str">
        <f t="shared" ca="1" si="229"/>
        <v>Outdated</v>
      </c>
      <c r="P1828" t="str">
        <f t="shared" si="230"/>
        <v>Damaged</v>
      </c>
      <c r="Q1828" t="str">
        <f t="shared" si="231"/>
        <v>Inconsistent</v>
      </c>
    </row>
    <row r="1829" spans="1:17" x14ac:dyDescent="0.45">
      <c r="A1829" t="s">
        <v>701</v>
      </c>
      <c r="B1829" t="s">
        <v>99</v>
      </c>
      <c r="C1829" t="s">
        <v>1767</v>
      </c>
      <c r="D1829" t="s">
        <v>74</v>
      </c>
      <c r="E1829" s="8">
        <v>0</v>
      </c>
      <c r="F1829" s="9">
        <v>45290.666684444448</v>
      </c>
      <c r="G1829" t="s">
        <v>102</v>
      </c>
      <c r="H1829" t="s">
        <v>136</v>
      </c>
      <c r="I1829" t="s">
        <v>88</v>
      </c>
      <c r="J1829" t="str">
        <f t="shared" si="224"/>
        <v/>
      </c>
      <c r="K1829" t="str">
        <f t="shared" si="225"/>
        <v>Duplicate</v>
      </c>
      <c r="L1829" t="str">
        <f t="shared" si="226"/>
        <v>Unusual</v>
      </c>
      <c r="M1829" t="str">
        <f t="shared" si="227"/>
        <v/>
      </c>
      <c r="N1829" t="str">
        <f t="shared" si="228"/>
        <v>Invalid</v>
      </c>
      <c r="O1829" t="str">
        <f t="shared" ca="1" si="229"/>
        <v>Outdated</v>
      </c>
      <c r="P1829" t="str">
        <f t="shared" si="230"/>
        <v>Wrong Item</v>
      </c>
      <c r="Q1829" t="str">
        <f t="shared" si="231"/>
        <v/>
      </c>
    </row>
    <row r="1830" spans="1:17" x14ac:dyDescent="0.45">
      <c r="A1830" t="s">
        <v>2631</v>
      </c>
      <c r="B1830" t="s">
        <v>90</v>
      </c>
      <c r="C1830" t="s">
        <v>507</v>
      </c>
      <c r="E1830" s="8">
        <v>9470.93</v>
      </c>
      <c r="F1830" s="9">
        <v>45500.666684444448</v>
      </c>
      <c r="H1830" t="s">
        <v>76</v>
      </c>
      <c r="I1830" t="s">
        <v>119</v>
      </c>
      <c r="J1830" t="str">
        <f t="shared" si="224"/>
        <v>Missing</v>
      </c>
      <c r="K1830" t="str">
        <f t="shared" si="225"/>
        <v/>
      </c>
      <c r="L1830" t="str">
        <f t="shared" si="226"/>
        <v/>
      </c>
      <c r="M1830" t="str">
        <f t="shared" si="227"/>
        <v>Invalid</v>
      </c>
      <c r="N1830" t="str">
        <f t="shared" si="228"/>
        <v/>
      </c>
      <c r="O1830" t="str">
        <f t="shared" ca="1" si="229"/>
        <v>Outdated</v>
      </c>
      <c r="P1830" t="str">
        <f t="shared" si="230"/>
        <v/>
      </c>
      <c r="Q1830" t="str">
        <f t="shared" si="231"/>
        <v/>
      </c>
    </row>
    <row r="1831" spans="1:17" x14ac:dyDescent="0.45">
      <c r="A1831" t="s">
        <v>2632</v>
      </c>
      <c r="B1831" t="s">
        <v>104</v>
      </c>
      <c r="C1831" t="s">
        <v>1277</v>
      </c>
      <c r="D1831" t="s">
        <v>85</v>
      </c>
      <c r="E1831" s="8">
        <v>1420.14</v>
      </c>
      <c r="F1831" s="9">
        <v>45509.666684444448</v>
      </c>
      <c r="G1831" t="s">
        <v>115</v>
      </c>
      <c r="H1831" t="s">
        <v>118</v>
      </c>
      <c r="I1831" t="s">
        <v>112</v>
      </c>
      <c r="J1831" t="str">
        <f t="shared" si="224"/>
        <v/>
      </c>
      <c r="K1831" t="str">
        <f t="shared" si="225"/>
        <v/>
      </c>
      <c r="L1831" t="str">
        <f t="shared" si="226"/>
        <v/>
      </c>
      <c r="M1831" t="str">
        <f t="shared" si="227"/>
        <v/>
      </c>
      <c r="N1831" t="str">
        <f t="shared" si="228"/>
        <v>Invalid</v>
      </c>
      <c r="O1831" t="str">
        <f t="shared" ca="1" si="229"/>
        <v>Outdated</v>
      </c>
      <c r="P1831" t="str">
        <f t="shared" si="230"/>
        <v>Late Delivery</v>
      </c>
      <c r="Q1831" t="str">
        <f t="shared" si="231"/>
        <v/>
      </c>
    </row>
    <row r="1832" spans="1:17" x14ac:dyDescent="0.45">
      <c r="A1832" t="s">
        <v>2633</v>
      </c>
      <c r="B1832" t="s">
        <v>104</v>
      </c>
      <c r="C1832" t="s">
        <v>139</v>
      </c>
      <c r="D1832" t="s">
        <v>101</v>
      </c>
      <c r="E1832" s="8">
        <v>9447</v>
      </c>
      <c r="F1832" s="9">
        <v>45417.666684444448</v>
      </c>
      <c r="G1832" t="s">
        <v>115</v>
      </c>
      <c r="H1832" t="s">
        <v>76</v>
      </c>
      <c r="I1832" t="s">
        <v>112</v>
      </c>
      <c r="J1832" t="str">
        <f t="shared" si="224"/>
        <v/>
      </c>
      <c r="K1832" t="str">
        <f t="shared" si="225"/>
        <v/>
      </c>
      <c r="L1832" t="str">
        <f t="shared" si="226"/>
        <v/>
      </c>
      <c r="M1832" t="str">
        <f t="shared" si="227"/>
        <v/>
      </c>
      <c r="N1832" t="str">
        <f t="shared" si="228"/>
        <v/>
      </c>
      <c r="O1832" t="str">
        <f t="shared" ca="1" si="229"/>
        <v>Outdated</v>
      </c>
      <c r="P1832" t="str">
        <f t="shared" si="230"/>
        <v>Damaged</v>
      </c>
      <c r="Q1832" t="str">
        <f t="shared" si="231"/>
        <v/>
      </c>
    </row>
    <row r="1833" spans="1:17" x14ac:dyDescent="0.45">
      <c r="A1833" t="s">
        <v>2634</v>
      </c>
      <c r="B1833" t="s">
        <v>95</v>
      </c>
      <c r="C1833" t="s">
        <v>1561</v>
      </c>
      <c r="D1833" t="s">
        <v>148</v>
      </c>
      <c r="E1833" s="8">
        <v>9880.17</v>
      </c>
      <c r="F1833" s="9">
        <v>45524.666684444448</v>
      </c>
      <c r="H1833" t="s">
        <v>136</v>
      </c>
      <c r="I1833" t="s">
        <v>82</v>
      </c>
      <c r="J1833" t="str">
        <f t="shared" si="224"/>
        <v/>
      </c>
      <c r="K1833" t="str">
        <f t="shared" si="225"/>
        <v/>
      </c>
      <c r="L1833" t="str">
        <f t="shared" si="226"/>
        <v/>
      </c>
      <c r="M1833" t="str">
        <f t="shared" si="227"/>
        <v>Invalid</v>
      </c>
      <c r="N1833" t="str">
        <f t="shared" si="228"/>
        <v>Invalid</v>
      </c>
      <c r="O1833" t="str">
        <f t="shared" ca="1" si="229"/>
        <v>Outdated</v>
      </c>
      <c r="P1833" t="str">
        <f t="shared" si="230"/>
        <v>Wrong Item</v>
      </c>
      <c r="Q1833" t="str">
        <f t="shared" si="231"/>
        <v>Inconsistent</v>
      </c>
    </row>
    <row r="1834" spans="1:17" x14ac:dyDescent="0.45">
      <c r="A1834" t="s">
        <v>2635</v>
      </c>
      <c r="B1834" t="s">
        <v>99</v>
      </c>
      <c r="C1834" t="s">
        <v>2315</v>
      </c>
      <c r="D1834" t="s">
        <v>74</v>
      </c>
      <c r="E1834" s="8">
        <v>9479.7000000000007</v>
      </c>
      <c r="F1834" s="9">
        <v>45546.666684444448</v>
      </c>
      <c r="G1834" t="s">
        <v>102</v>
      </c>
      <c r="H1834" t="s">
        <v>118</v>
      </c>
      <c r="I1834" t="s">
        <v>163</v>
      </c>
      <c r="J1834" t="str">
        <f t="shared" si="224"/>
        <v/>
      </c>
      <c r="K1834" t="str">
        <f t="shared" si="225"/>
        <v/>
      </c>
      <c r="L1834" t="str">
        <f t="shared" si="226"/>
        <v/>
      </c>
      <c r="M1834" t="str">
        <f t="shared" si="227"/>
        <v/>
      </c>
      <c r="N1834" t="str">
        <f t="shared" si="228"/>
        <v>Invalid</v>
      </c>
      <c r="O1834" t="str">
        <f t="shared" ca="1" si="229"/>
        <v>Outdated</v>
      </c>
      <c r="P1834" t="str">
        <f t="shared" si="230"/>
        <v>Wrong Item</v>
      </c>
      <c r="Q1834" t="str">
        <f t="shared" si="231"/>
        <v/>
      </c>
    </row>
    <row r="1835" spans="1:17" x14ac:dyDescent="0.45">
      <c r="A1835" t="s">
        <v>2636</v>
      </c>
      <c r="B1835" t="s">
        <v>95</v>
      </c>
      <c r="C1835" t="s">
        <v>1349</v>
      </c>
      <c r="D1835" t="s">
        <v>155</v>
      </c>
      <c r="E1835" s="8">
        <v>1016.74</v>
      </c>
      <c r="F1835" s="9">
        <v>45474.666684444448</v>
      </c>
      <c r="G1835" t="s">
        <v>97</v>
      </c>
      <c r="H1835" t="s">
        <v>136</v>
      </c>
      <c r="I1835" t="s">
        <v>163</v>
      </c>
      <c r="J1835" t="str">
        <f t="shared" si="224"/>
        <v/>
      </c>
      <c r="K1835" t="str">
        <f t="shared" si="225"/>
        <v/>
      </c>
      <c r="L1835" t="str">
        <f t="shared" si="226"/>
        <v/>
      </c>
      <c r="M1835" t="str">
        <f t="shared" si="227"/>
        <v/>
      </c>
      <c r="N1835" t="str">
        <f t="shared" si="228"/>
        <v>Invalid</v>
      </c>
      <c r="O1835" t="str">
        <f t="shared" ca="1" si="229"/>
        <v>Outdated</v>
      </c>
      <c r="P1835" t="str">
        <f t="shared" si="230"/>
        <v>Damaged</v>
      </c>
      <c r="Q1835" t="str">
        <f t="shared" si="231"/>
        <v>Inconsistent</v>
      </c>
    </row>
    <row r="1836" spans="1:17" x14ac:dyDescent="0.45">
      <c r="A1836" t="s">
        <v>2637</v>
      </c>
      <c r="B1836" t="s">
        <v>72</v>
      </c>
      <c r="C1836" t="s">
        <v>201</v>
      </c>
      <c r="D1836" t="s">
        <v>74</v>
      </c>
      <c r="E1836" s="8">
        <v>81.430000000000007</v>
      </c>
      <c r="F1836" s="9">
        <v>45823.666684444448</v>
      </c>
      <c r="G1836" t="s">
        <v>75</v>
      </c>
      <c r="H1836" t="s">
        <v>133</v>
      </c>
      <c r="I1836" t="s">
        <v>88</v>
      </c>
      <c r="J1836" t="str">
        <f t="shared" si="224"/>
        <v/>
      </c>
      <c r="K1836" t="str">
        <f t="shared" si="225"/>
        <v/>
      </c>
      <c r="L1836" t="str">
        <f t="shared" si="226"/>
        <v/>
      </c>
      <c r="M1836" t="str">
        <f t="shared" si="227"/>
        <v/>
      </c>
      <c r="N1836" t="str">
        <f t="shared" si="228"/>
        <v>Invalid</v>
      </c>
      <c r="O1836" t="str">
        <f t="shared" ca="1" si="229"/>
        <v>Outdated</v>
      </c>
      <c r="P1836" t="str">
        <f t="shared" si="230"/>
        <v>Wrong Item</v>
      </c>
      <c r="Q1836" t="str">
        <f t="shared" si="231"/>
        <v/>
      </c>
    </row>
    <row r="1837" spans="1:17" x14ac:dyDescent="0.45">
      <c r="A1837" t="s">
        <v>2638</v>
      </c>
      <c r="B1837" t="s">
        <v>79</v>
      </c>
      <c r="D1837" t="s">
        <v>85</v>
      </c>
      <c r="E1837" s="8">
        <v>0</v>
      </c>
      <c r="F1837" s="9">
        <v>45740.666684444448</v>
      </c>
      <c r="G1837" t="s">
        <v>86</v>
      </c>
      <c r="H1837" t="s">
        <v>116</v>
      </c>
      <c r="I1837" t="s">
        <v>88</v>
      </c>
      <c r="J1837" t="str">
        <f t="shared" si="224"/>
        <v>Missing</v>
      </c>
      <c r="K1837" t="str">
        <f t="shared" si="225"/>
        <v/>
      </c>
      <c r="L1837" t="str">
        <f t="shared" si="226"/>
        <v>Unusual</v>
      </c>
      <c r="M1837" t="str">
        <f t="shared" si="227"/>
        <v/>
      </c>
      <c r="N1837" t="str">
        <f t="shared" si="228"/>
        <v/>
      </c>
      <c r="O1837" t="str">
        <f t="shared" ca="1" si="229"/>
        <v>Outdated</v>
      </c>
      <c r="P1837" t="str">
        <f t="shared" si="230"/>
        <v>Late Delivery</v>
      </c>
      <c r="Q1837" t="str">
        <f t="shared" si="231"/>
        <v/>
      </c>
    </row>
    <row r="1838" spans="1:17" x14ac:dyDescent="0.45">
      <c r="A1838" t="s">
        <v>2639</v>
      </c>
      <c r="B1838" t="s">
        <v>72</v>
      </c>
      <c r="C1838" t="s">
        <v>1297</v>
      </c>
      <c r="D1838" t="s">
        <v>74</v>
      </c>
      <c r="E1838" s="8">
        <v>6330.76</v>
      </c>
      <c r="F1838" s="9">
        <v>45181.666684444448</v>
      </c>
      <c r="G1838" t="s">
        <v>75</v>
      </c>
      <c r="H1838" t="s">
        <v>118</v>
      </c>
      <c r="I1838" t="s">
        <v>112</v>
      </c>
      <c r="J1838" t="str">
        <f t="shared" si="224"/>
        <v/>
      </c>
      <c r="K1838" t="str">
        <f t="shared" si="225"/>
        <v/>
      </c>
      <c r="L1838" t="str">
        <f t="shared" si="226"/>
        <v/>
      </c>
      <c r="M1838" t="str">
        <f t="shared" si="227"/>
        <v/>
      </c>
      <c r="N1838" t="str">
        <f t="shared" si="228"/>
        <v>Invalid</v>
      </c>
      <c r="O1838" t="str">
        <f t="shared" ca="1" si="229"/>
        <v>Outdated</v>
      </c>
      <c r="P1838" t="str">
        <f t="shared" si="230"/>
        <v>Wrong Item</v>
      </c>
      <c r="Q1838" t="str">
        <f t="shared" si="231"/>
        <v/>
      </c>
    </row>
    <row r="1839" spans="1:17" x14ac:dyDescent="0.45">
      <c r="A1839" t="s">
        <v>2640</v>
      </c>
      <c r="B1839" t="s">
        <v>109</v>
      </c>
      <c r="C1839" t="s">
        <v>2641</v>
      </c>
      <c r="D1839" t="s">
        <v>85</v>
      </c>
      <c r="E1839" s="8">
        <v>10062.01</v>
      </c>
      <c r="F1839" s="9">
        <v>45774.666684444448</v>
      </c>
      <c r="G1839" t="s">
        <v>111</v>
      </c>
      <c r="H1839" t="s">
        <v>81</v>
      </c>
      <c r="I1839" t="s">
        <v>163</v>
      </c>
      <c r="J1839" t="str">
        <f t="shared" si="224"/>
        <v/>
      </c>
      <c r="K1839" t="str">
        <f t="shared" si="225"/>
        <v/>
      </c>
      <c r="L1839" t="str">
        <f t="shared" si="226"/>
        <v>Unusual</v>
      </c>
      <c r="M1839" t="str">
        <f t="shared" si="227"/>
        <v/>
      </c>
      <c r="N1839" t="str">
        <f t="shared" si="228"/>
        <v/>
      </c>
      <c r="O1839" t="str">
        <f t="shared" ca="1" si="229"/>
        <v>Outdated</v>
      </c>
      <c r="P1839" t="str">
        <f t="shared" si="230"/>
        <v>Late Delivery</v>
      </c>
      <c r="Q1839" t="str">
        <f t="shared" si="231"/>
        <v/>
      </c>
    </row>
    <row r="1840" spans="1:17" x14ac:dyDescent="0.45">
      <c r="A1840" t="s">
        <v>2642</v>
      </c>
      <c r="B1840" t="s">
        <v>109</v>
      </c>
      <c r="C1840" t="s">
        <v>1367</v>
      </c>
      <c r="D1840" t="s">
        <v>92</v>
      </c>
      <c r="E1840" s="8">
        <v>10432.23</v>
      </c>
      <c r="F1840" s="9">
        <v>45790.666684444448</v>
      </c>
      <c r="G1840" t="s">
        <v>111</v>
      </c>
      <c r="I1840" t="s">
        <v>112</v>
      </c>
      <c r="J1840" t="str">
        <f t="shared" si="224"/>
        <v/>
      </c>
      <c r="K1840" t="str">
        <f t="shared" si="225"/>
        <v/>
      </c>
      <c r="L1840" t="str">
        <f t="shared" si="226"/>
        <v>Unusual</v>
      </c>
      <c r="M1840" t="str">
        <f t="shared" si="227"/>
        <v/>
      </c>
      <c r="N1840" t="str">
        <f t="shared" si="228"/>
        <v>Invalid</v>
      </c>
      <c r="O1840" t="str">
        <f t="shared" ca="1" si="229"/>
        <v>Outdated</v>
      </c>
      <c r="P1840" t="str">
        <f t="shared" si="230"/>
        <v>Not As Described</v>
      </c>
      <c r="Q1840" t="str">
        <f t="shared" si="231"/>
        <v/>
      </c>
    </row>
    <row r="1841" spans="1:17" x14ac:dyDescent="0.45">
      <c r="A1841" t="s">
        <v>2643</v>
      </c>
      <c r="B1841" t="s">
        <v>95</v>
      </c>
      <c r="C1841" t="s">
        <v>1261</v>
      </c>
      <c r="D1841" t="s">
        <v>74</v>
      </c>
      <c r="E1841" s="8">
        <v>4031.64</v>
      </c>
      <c r="F1841" s="9">
        <v>45470.666684444448</v>
      </c>
      <c r="G1841" t="s">
        <v>336</v>
      </c>
      <c r="I1841" t="s">
        <v>119</v>
      </c>
      <c r="J1841" t="str">
        <f t="shared" si="224"/>
        <v/>
      </c>
      <c r="K1841" t="str">
        <f t="shared" si="225"/>
        <v/>
      </c>
      <c r="L1841" t="str">
        <f t="shared" si="226"/>
        <v/>
      </c>
      <c r="M1841" t="str">
        <f t="shared" si="227"/>
        <v>Invalid</v>
      </c>
      <c r="N1841" t="str">
        <f t="shared" si="228"/>
        <v>Invalid</v>
      </c>
      <c r="O1841" t="str">
        <f t="shared" ca="1" si="229"/>
        <v>Outdated</v>
      </c>
      <c r="P1841" t="str">
        <f t="shared" si="230"/>
        <v>Wrong Item</v>
      </c>
      <c r="Q1841" t="str">
        <f t="shared" si="231"/>
        <v/>
      </c>
    </row>
    <row r="1842" spans="1:17" x14ac:dyDescent="0.45">
      <c r="A1842" t="s">
        <v>2644</v>
      </c>
      <c r="B1842" t="s">
        <v>172</v>
      </c>
      <c r="C1842" t="s">
        <v>1358</v>
      </c>
      <c r="D1842" t="s">
        <v>85</v>
      </c>
      <c r="E1842" s="8">
        <v>4803.8599999999997</v>
      </c>
      <c r="F1842" s="9">
        <v>45195.666684444448</v>
      </c>
      <c r="H1842" t="s">
        <v>133</v>
      </c>
      <c r="I1842" t="s">
        <v>82</v>
      </c>
      <c r="J1842" t="str">
        <f t="shared" si="224"/>
        <v/>
      </c>
      <c r="K1842" t="str">
        <f t="shared" si="225"/>
        <v/>
      </c>
      <c r="L1842" t="str">
        <f t="shared" si="226"/>
        <v/>
      </c>
      <c r="M1842" t="str">
        <f t="shared" si="227"/>
        <v>Invalid</v>
      </c>
      <c r="N1842" t="str">
        <f t="shared" si="228"/>
        <v>Invalid</v>
      </c>
      <c r="O1842" t="str">
        <f t="shared" ca="1" si="229"/>
        <v>Outdated</v>
      </c>
      <c r="P1842" t="str">
        <f t="shared" si="230"/>
        <v>Late Delivery</v>
      </c>
      <c r="Q1842" t="str">
        <f t="shared" si="231"/>
        <v/>
      </c>
    </row>
    <row r="1843" spans="1:17" x14ac:dyDescent="0.45">
      <c r="A1843" t="s">
        <v>2645</v>
      </c>
      <c r="B1843" t="s">
        <v>172</v>
      </c>
      <c r="C1843" t="s">
        <v>997</v>
      </c>
      <c r="D1843" t="s">
        <v>85</v>
      </c>
      <c r="E1843" s="8">
        <v>6714.9</v>
      </c>
      <c r="F1843" s="9">
        <v>45465.666684444448</v>
      </c>
      <c r="G1843" t="s">
        <v>174</v>
      </c>
      <c r="H1843" t="s">
        <v>87</v>
      </c>
      <c r="I1843" t="s">
        <v>163</v>
      </c>
      <c r="J1843" t="str">
        <f t="shared" si="224"/>
        <v/>
      </c>
      <c r="K1843" t="str">
        <f t="shared" si="225"/>
        <v/>
      </c>
      <c r="L1843" t="str">
        <f t="shared" si="226"/>
        <v/>
      </c>
      <c r="M1843" t="str">
        <f t="shared" si="227"/>
        <v/>
      </c>
      <c r="N1843" t="str">
        <f t="shared" si="228"/>
        <v>Invalid</v>
      </c>
      <c r="O1843" t="str">
        <f t="shared" ca="1" si="229"/>
        <v>Outdated</v>
      </c>
      <c r="P1843" t="str">
        <f t="shared" si="230"/>
        <v>Late Delivery</v>
      </c>
      <c r="Q1843" t="str">
        <f t="shared" si="231"/>
        <v/>
      </c>
    </row>
    <row r="1844" spans="1:17" x14ac:dyDescent="0.45">
      <c r="A1844" t="s">
        <v>2646</v>
      </c>
      <c r="B1844" t="s">
        <v>72</v>
      </c>
      <c r="C1844" t="s">
        <v>612</v>
      </c>
      <c r="D1844" t="s">
        <v>74</v>
      </c>
      <c r="E1844" s="8">
        <v>11739.91</v>
      </c>
      <c r="F1844" s="9">
        <v>45224.666684444448</v>
      </c>
      <c r="G1844" t="s">
        <v>75</v>
      </c>
      <c r="H1844" t="s">
        <v>128</v>
      </c>
      <c r="I1844" t="s">
        <v>112</v>
      </c>
      <c r="J1844" t="str">
        <f t="shared" si="224"/>
        <v/>
      </c>
      <c r="K1844" t="str">
        <f t="shared" si="225"/>
        <v/>
      </c>
      <c r="L1844" t="str">
        <f t="shared" si="226"/>
        <v>Unusual</v>
      </c>
      <c r="M1844" t="str">
        <f t="shared" si="227"/>
        <v/>
      </c>
      <c r="N1844" t="str">
        <f t="shared" si="228"/>
        <v>Invalid</v>
      </c>
      <c r="O1844" t="str">
        <f t="shared" ca="1" si="229"/>
        <v>Outdated</v>
      </c>
      <c r="P1844" t="str">
        <f t="shared" si="230"/>
        <v>Wrong Item</v>
      </c>
      <c r="Q1844" t="str">
        <f t="shared" si="231"/>
        <v/>
      </c>
    </row>
    <row r="1845" spans="1:17" x14ac:dyDescent="0.45">
      <c r="A1845" t="s">
        <v>2647</v>
      </c>
      <c r="B1845" t="s">
        <v>104</v>
      </c>
      <c r="C1845" t="s">
        <v>1269</v>
      </c>
      <c r="E1845" s="8">
        <v>7724.98</v>
      </c>
      <c r="F1845" s="9">
        <v>45699.666684444448</v>
      </c>
      <c r="G1845" t="s">
        <v>115</v>
      </c>
      <c r="H1845" t="s">
        <v>136</v>
      </c>
      <c r="I1845" t="s">
        <v>77</v>
      </c>
      <c r="J1845" t="str">
        <f t="shared" si="224"/>
        <v>Missing</v>
      </c>
      <c r="K1845" t="str">
        <f t="shared" si="225"/>
        <v/>
      </c>
      <c r="L1845" t="str">
        <f t="shared" si="226"/>
        <v/>
      </c>
      <c r="M1845" t="str">
        <f t="shared" si="227"/>
        <v/>
      </c>
      <c r="N1845" t="str">
        <f t="shared" si="228"/>
        <v>Invalid</v>
      </c>
      <c r="O1845" t="str">
        <f t="shared" ca="1" si="229"/>
        <v>Outdated</v>
      </c>
      <c r="P1845" t="str">
        <f t="shared" si="230"/>
        <v/>
      </c>
      <c r="Q1845" t="str">
        <f t="shared" si="231"/>
        <v/>
      </c>
    </row>
    <row r="1846" spans="1:17" x14ac:dyDescent="0.45">
      <c r="A1846" t="s">
        <v>2648</v>
      </c>
      <c r="B1846" t="s">
        <v>95</v>
      </c>
      <c r="C1846" t="s">
        <v>2245</v>
      </c>
      <c r="D1846" t="s">
        <v>101</v>
      </c>
      <c r="E1846" s="8">
        <v>414.05</v>
      </c>
      <c r="F1846" s="9">
        <v>45822.666684444448</v>
      </c>
      <c r="H1846" t="s">
        <v>145</v>
      </c>
      <c r="I1846" t="s">
        <v>82</v>
      </c>
      <c r="J1846" t="str">
        <f t="shared" si="224"/>
        <v/>
      </c>
      <c r="K1846" t="str">
        <f t="shared" si="225"/>
        <v/>
      </c>
      <c r="L1846" t="str">
        <f t="shared" si="226"/>
        <v/>
      </c>
      <c r="M1846" t="str">
        <f t="shared" si="227"/>
        <v>Invalid</v>
      </c>
      <c r="N1846" t="str">
        <f t="shared" si="228"/>
        <v/>
      </c>
      <c r="O1846" t="str">
        <f t="shared" ca="1" si="229"/>
        <v>Outdated</v>
      </c>
      <c r="P1846" t="str">
        <f t="shared" si="230"/>
        <v>Damaged</v>
      </c>
      <c r="Q1846" t="str">
        <f t="shared" si="231"/>
        <v/>
      </c>
    </row>
    <row r="1847" spans="1:17" x14ac:dyDescent="0.45">
      <c r="A1847" t="s">
        <v>2649</v>
      </c>
      <c r="B1847" t="s">
        <v>72</v>
      </c>
      <c r="C1847" t="s">
        <v>715</v>
      </c>
      <c r="D1847" t="s">
        <v>85</v>
      </c>
      <c r="E1847" s="8">
        <v>9221.3700000000008</v>
      </c>
      <c r="F1847" s="9">
        <v>45523.666684444448</v>
      </c>
      <c r="G1847" t="s">
        <v>75</v>
      </c>
      <c r="H1847" t="s">
        <v>128</v>
      </c>
      <c r="I1847" t="s">
        <v>88</v>
      </c>
      <c r="J1847" t="str">
        <f t="shared" si="224"/>
        <v/>
      </c>
      <c r="K1847" t="str">
        <f t="shared" si="225"/>
        <v/>
      </c>
      <c r="L1847" t="str">
        <f t="shared" si="226"/>
        <v/>
      </c>
      <c r="M1847" t="str">
        <f t="shared" si="227"/>
        <v/>
      </c>
      <c r="N1847" t="str">
        <f t="shared" si="228"/>
        <v>Invalid</v>
      </c>
      <c r="O1847" t="str">
        <f t="shared" ca="1" si="229"/>
        <v>Outdated</v>
      </c>
      <c r="P1847" t="str">
        <f t="shared" si="230"/>
        <v>Late Delivery</v>
      </c>
      <c r="Q1847" t="str">
        <f t="shared" si="231"/>
        <v/>
      </c>
    </row>
    <row r="1848" spans="1:17" x14ac:dyDescent="0.45">
      <c r="A1848" t="s">
        <v>2650</v>
      </c>
      <c r="B1848" t="s">
        <v>95</v>
      </c>
      <c r="C1848" t="s">
        <v>1878</v>
      </c>
      <c r="D1848" t="s">
        <v>85</v>
      </c>
      <c r="E1848" s="8">
        <v>8546.26</v>
      </c>
      <c r="F1848" s="9">
        <v>45418.666684444448</v>
      </c>
      <c r="G1848" t="s">
        <v>97</v>
      </c>
      <c r="I1848" t="s">
        <v>77</v>
      </c>
      <c r="J1848" t="str">
        <f t="shared" si="224"/>
        <v/>
      </c>
      <c r="K1848" t="str">
        <f t="shared" si="225"/>
        <v/>
      </c>
      <c r="L1848" t="str">
        <f t="shared" si="226"/>
        <v/>
      </c>
      <c r="M1848" t="str">
        <f t="shared" si="227"/>
        <v/>
      </c>
      <c r="N1848" t="str">
        <f t="shared" si="228"/>
        <v>Invalid</v>
      </c>
      <c r="O1848" t="str">
        <f t="shared" ca="1" si="229"/>
        <v>Outdated</v>
      </c>
      <c r="P1848" t="str">
        <f t="shared" si="230"/>
        <v>Late Delivery</v>
      </c>
      <c r="Q1848" t="str">
        <f t="shared" si="231"/>
        <v/>
      </c>
    </row>
    <row r="1849" spans="1:17" x14ac:dyDescent="0.45">
      <c r="A1849" t="s">
        <v>2651</v>
      </c>
      <c r="B1849" t="s">
        <v>72</v>
      </c>
      <c r="C1849" t="s">
        <v>2400</v>
      </c>
      <c r="D1849" t="s">
        <v>85</v>
      </c>
      <c r="E1849" s="8">
        <v>2062.2800000000002</v>
      </c>
      <c r="F1849" s="9">
        <v>45386.666684444448</v>
      </c>
      <c r="G1849" t="s">
        <v>75</v>
      </c>
      <c r="H1849" t="s">
        <v>81</v>
      </c>
      <c r="I1849" t="s">
        <v>119</v>
      </c>
      <c r="J1849" t="str">
        <f t="shared" si="224"/>
        <v/>
      </c>
      <c r="K1849" t="str">
        <f t="shared" si="225"/>
        <v/>
      </c>
      <c r="L1849" t="str">
        <f t="shared" si="226"/>
        <v/>
      </c>
      <c r="M1849" t="str">
        <f t="shared" si="227"/>
        <v/>
      </c>
      <c r="N1849" t="str">
        <f t="shared" si="228"/>
        <v/>
      </c>
      <c r="O1849" t="str">
        <f t="shared" ca="1" si="229"/>
        <v>Outdated</v>
      </c>
      <c r="P1849" t="str">
        <f t="shared" si="230"/>
        <v>Late Delivery</v>
      </c>
      <c r="Q1849" t="str">
        <f t="shared" si="231"/>
        <v/>
      </c>
    </row>
    <row r="1850" spans="1:17" x14ac:dyDescent="0.45">
      <c r="A1850" t="s">
        <v>2652</v>
      </c>
      <c r="B1850" t="s">
        <v>109</v>
      </c>
      <c r="C1850" t="s">
        <v>2653</v>
      </c>
      <c r="D1850" t="s">
        <v>74</v>
      </c>
      <c r="E1850" s="8">
        <v>5955.64</v>
      </c>
      <c r="F1850" s="9">
        <v>45800.666684444448</v>
      </c>
      <c r="G1850" t="s">
        <v>111</v>
      </c>
      <c r="H1850" t="s">
        <v>145</v>
      </c>
      <c r="I1850" t="s">
        <v>112</v>
      </c>
      <c r="J1850" t="str">
        <f t="shared" si="224"/>
        <v/>
      </c>
      <c r="K1850" t="str">
        <f t="shared" si="225"/>
        <v/>
      </c>
      <c r="L1850" t="str">
        <f t="shared" si="226"/>
        <v/>
      </c>
      <c r="M1850" t="str">
        <f t="shared" si="227"/>
        <v/>
      </c>
      <c r="N1850" t="str">
        <f t="shared" si="228"/>
        <v/>
      </c>
      <c r="O1850" t="str">
        <f t="shared" ca="1" si="229"/>
        <v>Outdated</v>
      </c>
      <c r="P1850" t="str">
        <f t="shared" si="230"/>
        <v>Wrong Item</v>
      </c>
      <c r="Q1850" t="str">
        <f t="shared" si="231"/>
        <v/>
      </c>
    </row>
    <row r="1851" spans="1:17" x14ac:dyDescent="0.45">
      <c r="A1851" t="s">
        <v>2654</v>
      </c>
      <c r="B1851" t="s">
        <v>99</v>
      </c>
      <c r="C1851" t="s">
        <v>1375</v>
      </c>
      <c r="D1851" t="s">
        <v>101</v>
      </c>
      <c r="E1851" s="8">
        <v>9342.77</v>
      </c>
      <c r="F1851" s="9">
        <v>45745.666684444448</v>
      </c>
      <c r="G1851" t="s">
        <v>102</v>
      </c>
      <c r="H1851" t="s">
        <v>81</v>
      </c>
      <c r="I1851" t="s">
        <v>163</v>
      </c>
      <c r="J1851" t="str">
        <f t="shared" si="224"/>
        <v/>
      </c>
      <c r="K1851" t="str">
        <f t="shared" si="225"/>
        <v/>
      </c>
      <c r="L1851" t="str">
        <f t="shared" si="226"/>
        <v/>
      </c>
      <c r="M1851" t="str">
        <f t="shared" si="227"/>
        <v/>
      </c>
      <c r="N1851" t="str">
        <f t="shared" si="228"/>
        <v/>
      </c>
      <c r="O1851" t="str">
        <f t="shared" ca="1" si="229"/>
        <v>Outdated</v>
      </c>
      <c r="P1851" t="str">
        <f t="shared" si="230"/>
        <v>Damaged</v>
      </c>
      <c r="Q1851" t="str">
        <f t="shared" si="231"/>
        <v/>
      </c>
    </row>
    <row r="1852" spans="1:17" x14ac:dyDescent="0.45">
      <c r="A1852" t="s">
        <v>2655</v>
      </c>
      <c r="B1852" t="s">
        <v>95</v>
      </c>
      <c r="C1852" t="s">
        <v>246</v>
      </c>
      <c r="D1852" t="s">
        <v>85</v>
      </c>
      <c r="E1852" s="8">
        <v>6894.89</v>
      </c>
      <c r="F1852" s="9">
        <v>45281.666684444448</v>
      </c>
      <c r="G1852" t="s">
        <v>97</v>
      </c>
      <c r="I1852" t="s">
        <v>119</v>
      </c>
      <c r="J1852" t="str">
        <f t="shared" si="224"/>
        <v/>
      </c>
      <c r="K1852" t="str">
        <f t="shared" si="225"/>
        <v/>
      </c>
      <c r="L1852" t="str">
        <f t="shared" si="226"/>
        <v/>
      </c>
      <c r="M1852" t="str">
        <f t="shared" si="227"/>
        <v/>
      </c>
      <c r="N1852" t="str">
        <f t="shared" si="228"/>
        <v>Invalid</v>
      </c>
      <c r="O1852" t="str">
        <f t="shared" ca="1" si="229"/>
        <v>Outdated</v>
      </c>
      <c r="P1852" t="str">
        <f t="shared" si="230"/>
        <v>Late Delivery</v>
      </c>
      <c r="Q1852" t="str">
        <f t="shared" si="231"/>
        <v/>
      </c>
    </row>
    <row r="1853" spans="1:17" x14ac:dyDescent="0.45">
      <c r="A1853" t="s">
        <v>2656</v>
      </c>
      <c r="B1853" t="s">
        <v>99</v>
      </c>
      <c r="C1853" t="s">
        <v>1722</v>
      </c>
      <c r="D1853" t="s">
        <v>92</v>
      </c>
      <c r="E1853" s="8">
        <v>6752.03</v>
      </c>
      <c r="F1853" s="9">
        <v>45469.666684444448</v>
      </c>
      <c r="G1853" t="s">
        <v>102</v>
      </c>
      <c r="H1853" t="s">
        <v>116</v>
      </c>
      <c r="I1853" t="s">
        <v>77</v>
      </c>
      <c r="J1853" t="str">
        <f t="shared" si="224"/>
        <v/>
      </c>
      <c r="K1853" t="str">
        <f t="shared" si="225"/>
        <v/>
      </c>
      <c r="L1853" t="str">
        <f t="shared" si="226"/>
        <v/>
      </c>
      <c r="M1853" t="str">
        <f t="shared" si="227"/>
        <v/>
      </c>
      <c r="N1853" t="str">
        <f t="shared" si="228"/>
        <v/>
      </c>
      <c r="O1853" t="str">
        <f t="shared" ca="1" si="229"/>
        <v>Outdated</v>
      </c>
      <c r="P1853" t="str">
        <f t="shared" si="230"/>
        <v>Not As Described</v>
      </c>
      <c r="Q1853" t="str">
        <f t="shared" si="231"/>
        <v/>
      </c>
    </row>
    <row r="1854" spans="1:17" x14ac:dyDescent="0.45">
      <c r="A1854" t="s">
        <v>2657</v>
      </c>
      <c r="B1854" t="s">
        <v>109</v>
      </c>
      <c r="C1854" t="s">
        <v>2658</v>
      </c>
      <c r="E1854" s="8">
        <v>2606.69</v>
      </c>
      <c r="F1854" s="9">
        <v>45211.666684444448</v>
      </c>
      <c r="G1854" t="s">
        <v>111</v>
      </c>
      <c r="H1854" t="s">
        <v>107</v>
      </c>
      <c r="I1854" t="s">
        <v>119</v>
      </c>
      <c r="J1854" t="str">
        <f t="shared" si="224"/>
        <v>Missing</v>
      </c>
      <c r="K1854" t="str">
        <f t="shared" si="225"/>
        <v/>
      </c>
      <c r="L1854" t="str">
        <f t="shared" si="226"/>
        <v/>
      </c>
      <c r="M1854" t="str">
        <f t="shared" si="227"/>
        <v/>
      </c>
      <c r="N1854" t="str">
        <f t="shared" si="228"/>
        <v/>
      </c>
      <c r="O1854" t="str">
        <f t="shared" ca="1" si="229"/>
        <v>Outdated</v>
      </c>
      <c r="P1854" t="str">
        <f t="shared" si="230"/>
        <v/>
      </c>
      <c r="Q1854" t="str">
        <f t="shared" si="231"/>
        <v/>
      </c>
    </row>
    <row r="1855" spans="1:17" x14ac:dyDescent="0.45">
      <c r="A1855" t="s">
        <v>2659</v>
      </c>
      <c r="B1855" t="s">
        <v>172</v>
      </c>
      <c r="C1855" t="s">
        <v>1032</v>
      </c>
      <c r="D1855" t="s">
        <v>85</v>
      </c>
      <c r="E1855" s="8">
        <v>4439.33</v>
      </c>
      <c r="F1855" s="9">
        <v>45724.666684444448</v>
      </c>
      <c r="G1855" t="s">
        <v>174</v>
      </c>
      <c r="H1855" t="s">
        <v>145</v>
      </c>
      <c r="I1855" t="s">
        <v>112</v>
      </c>
      <c r="J1855" t="str">
        <f t="shared" si="224"/>
        <v/>
      </c>
      <c r="K1855" t="str">
        <f t="shared" si="225"/>
        <v/>
      </c>
      <c r="L1855" t="str">
        <f t="shared" si="226"/>
        <v/>
      </c>
      <c r="M1855" t="str">
        <f t="shared" si="227"/>
        <v/>
      </c>
      <c r="N1855" t="str">
        <f t="shared" si="228"/>
        <v/>
      </c>
      <c r="O1855" t="str">
        <f t="shared" ca="1" si="229"/>
        <v>Outdated</v>
      </c>
      <c r="P1855" t="str">
        <f t="shared" si="230"/>
        <v>Late Delivery</v>
      </c>
      <c r="Q1855" t="str">
        <f t="shared" si="231"/>
        <v/>
      </c>
    </row>
    <row r="1856" spans="1:17" x14ac:dyDescent="0.45">
      <c r="A1856" t="s">
        <v>2660</v>
      </c>
      <c r="B1856" t="s">
        <v>138</v>
      </c>
      <c r="C1856" t="s">
        <v>723</v>
      </c>
      <c r="D1856" t="s">
        <v>74</v>
      </c>
      <c r="E1856" s="8">
        <v>2164.65</v>
      </c>
      <c r="F1856" s="9">
        <v>45807.666684444448</v>
      </c>
      <c r="G1856" t="s">
        <v>140</v>
      </c>
      <c r="H1856" t="s">
        <v>87</v>
      </c>
      <c r="I1856" t="s">
        <v>119</v>
      </c>
      <c r="J1856" t="str">
        <f t="shared" si="224"/>
        <v/>
      </c>
      <c r="K1856" t="str">
        <f t="shared" si="225"/>
        <v/>
      </c>
      <c r="L1856" t="str">
        <f t="shared" si="226"/>
        <v/>
      </c>
      <c r="M1856" t="str">
        <f t="shared" si="227"/>
        <v/>
      </c>
      <c r="N1856" t="str">
        <f t="shared" si="228"/>
        <v>Invalid</v>
      </c>
      <c r="O1856" t="str">
        <f t="shared" ca="1" si="229"/>
        <v>Outdated</v>
      </c>
      <c r="P1856" t="str">
        <f t="shared" si="230"/>
        <v>Wrong Item</v>
      </c>
      <c r="Q1856" t="str">
        <f t="shared" si="231"/>
        <v/>
      </c>
    </row>
    <row r="1857" spans="1:17" x14ac:dyDescent="0.45">
      <c r="A1857" t="s">
        <v>2661</v>
      </c>
      <c r="B1857" t="s">
        <v>79</v>
      </c>
      <c r="C1857" t="s">
        <v>864</v>
      </c>
      <c r="D1857" t="s">
        <v>74</v>
      </c>
      <c r="E1857" s="8">
        <v>2585.63</v>
      </c>
      <c r="F1857" s="9">
        <v>45272.666684444448</v>
      </c>
      <c r="G1857" t="s">
        <v>86</v>
      </c>
      <c r="H1857" t="s">
        <v>145</v>
      </c>
      <c r="I1857" t="s">
        <v>163</v>
      </c>
      <c r="J1857" t="str">
        <f t="shared" si="224"/>
        <v/>
      </c>
      <c r="K1857" t="str">
        <f t="shared" si="225"/>
        <v/>
      </c>
      <c r="L1857" t="str">
        <f t="shared" si="226"/>
        <v/>
      </c>
      <c r="M1857" t="str">
        <f t="shared" si="227"/>
        <v/>
      </c>
      <c r="N1857" t="str">
        <f t="shared" si="228"/>
        <v/>
      </c>
      <c r="O1857" t="str">
        <f t="shared" ca="1" si="229"/>
        <v>Outdated</v>
      </c>
      <c r="P1857" t="str">
        <f t="shared" si="230"/>
        <v>Wrong Item</v>
      </c>
      <c r="Q1857" t="str">
        <f t="shared" si="231"/>
        <v/>
      </c>
    </row>
    <row r="1858" spans="1:17" x14ac:dyDescent="0.45">
      <c r="A1858" t="s">
        <v>1424</v>
      </c>
      <c r="B1858" t="s">
        <v>79</v>
      </c>
      <c r="C1858" t="s">
        <v>766</v>
      </c>
      <c r="D1858" t="s">
        <v>74</v>
      </c>
      <c r="E1858" s="8">
        <v>11886.38</v>
      </c>
      <c r="F1858" s="9">
        <v>45486.666684444448</v>
      </c>
      <c r="I1858" t="s">
        <v>112</v>
      </c>
      <c r="J1858" t="str">
        <f t="shared" ref="J1858:J1921" si="232">IF(OR(ISBLANK(C1858),ISBLANK(D1858)),"Missing","")</f>
        <v/>
      </c>
      <c r="K1858" t="str">
        <f t="shared" ref="K1858:K1921" si="233">IF(COUNTIF($A$2:$A$2501,A1858)&gt;1,"Duplicate","")</f>
        <v>Duplicate</v>
      </c>
      <c r="L1858" t="str">
        <f t="shared" ref="L1858:L1921" si="234">IF(OR(E1858=0,E1858&gt;10000),"Unusual","")</f>
        <v>Unusual</v>
      </c>
      <c r="M1858" t="str">
        <f t="shared" ref="M1858:M1921" si="235">IF(OR(ISBLANK(G1858),ISERROR(FIND("@",G1858)),ISERROR(FIND(".",G1858,FIND("@",G1858)+1))),"Invalid","")</f>
        <v>Invalid</v>
      </c>
      <c r="N1858" t="str">
        <f t="shared" ref="N1858:N1921" si="236">IF(COUNTIF($S$2:$S$6,H1858)=0,"Invalid","")</f>
        <v>Invalid</v>
      </c>
      <c r="O1858" t="str">
        <f t="shared" ref="O1858:O1921" ca="1" si="237">IF(F1858&lt;EDATE(TODAY(),-12),"Outdated","")</f>
        <v>Outdated</v>
      </c>
      <c r="P1858" t="str">
        <f t="shared" ref="P1858:P1921" si="238">IF(ISBLANK(D1858),"",PROPER(TRIM(D1858)))</f>
        <v>Wrong Item</v>
      </c>
      <c r="Q1858" t="str">
        <f t="shared" ref="Q1858:Q1921" si="239">IF(ISBLANK(D1858),"",IF(EXACT(D1858,P1858),"","Inconsistent"))</f>
        <v/>
      </c>
    </row>
    <row r="1859" spans="1:17" x14ac:dyDescent="0.45">
      <c r="A1859" t="s">
        <v>2662</v>
      </c>
      <c r="B1859" t="s">
        <v>79</v>
      </c>
      <c r="C1859" t="s">
        <v>1977</v>
      </c>
      <c r="D1859" t="s">
        <v>74</v>
      </c>
      <c r="E1859" s="8">
        <v>8979.32</v>
      </c>
      <c r="F1859" s="9">
        <v>45445.666684444448</v>
      </c>
      <c r="H1859" t="s">
        <v>116</v>
      </c>
      <c r="I1859" t="s">
        <v>82</v>
      </c>
      <c r="J1859" t="str">
        <f t="shared" si="232"/>
        <v/>
      </c>
      <c r="K1859" t="str">
        <f t="shared" si="233"/>
        <v/>
      </c>
      <c r="L1859" t="str">
        <f t="shared" si="234"/>
        <v/>
      </c>
      <c r="M1859" t="str">
        <f t="shared" si="235"/>
        <v>Invalid</v>
      </c>
      <c r="N1859" t="str">
        <f t="shared" si="236"/>
        <v/>
      </c>
      <c r="O1859" t="str">
        <f t="shared" ca="1" si="237"/>
        <v>Outdated</v>
      </c>
      <c r="P1859" t="str">
        <f t="shared" si="238"/>
        <v>Wrong Item</v>
      </c>
      <c r="Q1859" t="str">
        <f t="shared" si="239"/>
        <v/>
      </c>
    </row>
    <row r="1860" spans="1:17" x14ac:dyDescent="0.45">
      <c r="A1860" t="s">
        <v>2663</v>
      </c>
      <c r="B1860" t="s">
        <v>109</v>
      </c>
      <c r="C1860" t="s">
        <v>731</v>
      </c>
      <c r="D1860" t="s">
        <v>101</v>
      </c>
      <c r="E1860" s="8">
        <v>11627.07</v>
      </c>
      <c r="F1860" s="9">
        <v>45799.666684444448</v>
      </c>
      <c r="G1860" t="s">
        <v>111</v>
      </c>
      <c r="H1860" t="s">
        <v>81</v>
      </c>
      <c r="I1860" t="s">
        <v>119</v>
      </c>
      <c r="J1860" t="str">
        <f t="shared" si="232"/>
        <v/>
      </c>
      <c r="K1860" t="str">
        <f t="shared" si="233"/>
        <v/>
      </c>
      <c r="L1860" t="str">
        <f t="shared" si="234"/>
        <v>Unusual</v>
      </c>
      <c r="M1860" t="str">
        <f t="shared" si="235"/>
        <v/>
      </c>
      <c r="N1860" t="str">
        <f t="shared" si="236"/>
        <v/>
      </c>
      <c r="O1860" t="str">
        <f t="shared" ca="1" si="237"/>
        <v>Outdated</v>
      </c>
      <c r="P1860" t="str">
        <f t="shared" si="238"/>
        <v>Damaged</v>
      </c>
      <c r="Q1860" t="str">
        <f t="shared" si="239"/>
        <v/>
      </c>
    </row>
    <row r="1861" spans="1:17" x14ac:dyDescent="0.45">
      <c r="A1861" t="s">
        <v>2664</v>
      </c>
      <c r="B1861" t="s">
        <v>109</v>
      </c>
      <c r="C1861" t="s">
        <v>492</v>
      </c>
      <c r="D1861" t="s">
        <v>74</v>
      </c>
      <c r="E1861" s="8">
        <v>2642.93</v>
      </c>
      <c r="F1861" s="9">
        <v>45843.666684444448</v>
      </c>
      <c r="G1861" t="s">
        <v>111</v>
      </c>
      <c r="H1861" t="s">
        <v>76</v>
      </c>
      <c r="I1861" t="s">
        <v>163</v>
      </c>
      <c r="J1861" t="str">
        <f t="shared" si="232"/>
        <v/>
      </c>
      <c r="K1861" t="str">
        <f t="shared" si="233"/>
        <v/>
      </c>
      <c r="L1861" t="str">
        <f t="shared" si="234"/>
        <v/>
      </c>
      <c r="M1861" t="str">
        <f t="shared" si="235"/>
        <v/>
      </c>
      <c r="N1861" t="str">
        <f t="shared" si="236"/>
        <v/>
      </c>
      <c r="O1861" t="str">
        <f t="shared" ca="1" si="237"/>
        <v>Outdated</v>
      </c>
      <c r="P1861" t="str">
        <f t="shared" si="238"/>
        <v>Wrong Item</v>
      </c>
      <c r="Q1861" t="str">
        <f t="shared" si="239"/>
        <v/>
      </c>
    </row>
    <row r="1862" spans="1:17" x14ac:dyDescent="0.45">
      <c r="A1862" t="s">
        <v>2665</v>
      </c>
      <c r="B1862" t="s">
        <v>172</v>
      </c>
      <c r="C1862" t="s">
        <v>2011</v>
      </c>
      <c r="D1862" t="s">
        <v>74</v>
      </c>
      <c r="E1862" s="8">
        <v>8912.77</v>
      </c>
      <c r="F1862" s="9">
        <v>45806.666684444448</v>
      </c>
      <c r="H1862" t="s">
        <v>118</v>
      </c>
      <c r="I1862" t="s">
        <v>77</v>
      </c>
      <c r="J1862" t="str">
        <f t="shared" si="232"/>
        <v/>
      </c>
      <c r="K1862" t="str">
        <f t="shared" si="233"/>
        <v/>
      </c>
      <c r="L1862" t="str">
        <f t="shared" si="234"/>
        <v/>
      </c>
      <c r="M1862" t="str">
        <f t="shared" si="235"/>
        <v>Invalid</v>
      </c>
      <c r="N1862" t="str">
        <f t="shared" si="236"/>
        <v>Invalid</v>
      </c>
      <c r="O1862" t="str">
        <f t="shared" ca="1" si="237"/>
        <v>Outdated</v>
      </c>
      <c r="P1862" t="str">
        <f t="shared" si="238"/>
        <v>Wrong Item</v>
      </c>
      <c r="Q1862" t="str">
        <f t="shared" si="239"/>
        <v/>
      </c>
    </row>
    <row r="1863" spans="1:17" x14ac:dyDescent="0.45">
      <c r="A1863" t="s">
        <v>2666</v>
      </c>
      <c r="B1863" t="s">
        <v>138</v>
      </c>
      <c r="C1863" t="s">
        <v>864</v>
      </c>
      <c r="D1863" t="s">
        <v>74</v>
      </c>
      <c r="E1863" s="8">
        <v>5682.83</v>
      </c>
      <c r="F1863" s="9">
        <v>45529.666684444448</v>
      </c>
      <c r="G1863" t="s">
        <v>140</v>
      </c>
      <c r="H1863" t="s">
        <v>133</v>
      </c>
      <c r="I1863" t="s">
        <v>88</v>
      </c>
      <c r="J1863" t="str">
        <f t="shared" si="232"/>
        <v/>
      </c>
      <c r="K1863" t="str">
        <f t="shared" si="233"/>
        <v/>
      </c>
      <c r="L1863" t="str">
        <f t="shared" si="234"/>
        <v/>
      </c>
      <c r="M1863" t="str">
        <f t="shared" si="235"/>
        <v/>
      </c>
      <c r="N1863" t="str">
        <f t="shared" si="236"/>
        <v>Invalid</v>
      </c>
      <c r="O1863" t="str">
        <f t="shared" ca="1" si="237"/>
        <v>Outdated</v>
      </c>
      <c r="P1863" t="str">
        <f t="shared" si="238"/>
        <v>Wrong Item</v>
      </c>
      <c r="Q1863" t="str">
        <f t="shared" si="239"/>
        <v/>
      </c>
    </row>
    <row r="1864" spans="1:17" x14ac:dyDescent="0.45">
      <c r="A1864" t="s">
        <v>2667</v>
      </c>
      <c r="B1864" t="s">
        <v>90</v>
      </c>
      <c r="C1864" t="s">
        <v>1483</v>
      </c>
      <c r="D1864" t="s">
        <v>74</v>
      </c>
      <c r="E1864" s="8">
        <v>11159.31</v>
      </c>
      <c r="F1864" s="9">
        <v>45260.666684444448</v>
      </c>
      <c r="G1864" t="s">
        <v>93</v>
      </c>
      <c r="H1864" t="s">
        <v>107</v>
      </c>
      <c r="I1864" t="s">
        <v>163</v>
      </c>
      <c r="J1864" t="str">
        <f t="shared" si="232"/>
        <v/>
      </c>
      <c r="K1864" t="str">
        <f t="shared" si="233"/>
        <v/>
      </c>
      <c r="L1864" t="str">
        <f t="shared" si="234"/>
        <v>Unusual</v>
      </c>
      <c r="M1864" t="str">
        <f t="shared" si="235"/>
        <v/>
      </c>
      <c r="N1864" t="str">
        <f t="shared" si="236"/>
        <v/>
      </c>
      <c r="O1864" t="str">
        <f t="shared" ca="1" si="237"/>
        <v>Outdated</v>
      </c>
      <c r="P1864" t="str">
        <f t="shared" si="238"/>
        <v>Wrong Item</v>
      </c>
      <c r="Q1864" t="str">
        <f t="shared" si="239"/>
        <v/>
      </c>
    </row>
    <row r="1865" spans="1:17" x14ac:dyDescent="0.45">
      <c r="A1865" t="s">
        <v>2668</v>
      </c>
      <c r="B1865" t="s">
        <v>79</v>
      </c>
      <c r="C1865" t="s">
        <v>371</v>
      </c>
      <c r="D1865" t="s">
        <v>74</v>
      </c>
      <c r="E1865" s="8">
        <v>11561.81</v>
      </c>
      <c r="F1865" s="9">
        <v>45737.666684444448</v>
      </c>
      <c r="G1865" t="s">
        <v>86</v>
      </c>
      <c r="H1865" t="s">
        <v>145</v>
      </c>
      <c r="I1865" t="s">
        <v>82</v>
      </c>
      <c r="J1865" t="str">
        <f t="shared" si="232"/>
        <v/>
      </c>
      <c r="K1865" t="str">
        <f t="shared" si="233"/>
        <v/>
      </c>
      <c r="L1865" t="str">
        <f t="shared" si="234"/>
        <v>Unusual</v>
      </c>
      <c r="M1865" t="str">
        <f t="shared" si="235"/>
        <v/>
      </c>
      <c r="N1865" t="str">
        <f t="shared" si="236"/>
        <v/>
      </c>
      <c r="O1865" t="str">
        <f t="shared" ca="1" si="237"/>
        <v>Outdated</v>
      </c>
      <c r="P1865" t="str">
        <f t="shared" si="238"/>
        <v>Wrong Item</v>
      </c>
      <c r="Q1865" t="str">
        <f t="shared" si="239"/>
        <v/>
      </c>
    </row>
    <row r="1866" spans="1:17" x14ac:dyDescent="0.45">
      <c r="A1866" t="s">
        <v>2669</v>
      </c>
      <c r="B1866" t="s">
        <v>104</v>
      </c>
      <c r="C1866" t="s">
        <v>1146</v>
      </c>
      <c r="D1866" t="s">
        <v>74</v>
      </c>
      <c r="E1866" s="8">
        <v>7566.25</v>
      </c>
      <c r="F1866" s="9">
        <v>45853.666684444448</v>
      </c>
      <c r="G1866" t="s">
        <v>115</v>
      </c>
      <c r="H1866" t="s">
        <v>76</v>
      </c>
      <c r="I1866" t="s">
        <v>82</v>
      </c>
      <c r="J1866" t="str">
        <f t="shared" si="232"/>
        <v/>
      </c>
      <c r="K1866" t="str">
        <f t="shared" si="233"/>
        <v/>
      </c>
      <c r="L1866" t="str">
        <f t="shared" si="234"/>
        <v/>
      </c>
      <c r="M1866" t="str">
        <f t="shared" si="235"/>
        <v/>
      </c>
      <c r="N1866" t="str">
        <f t="shared" si="236"/>
        <v/>
      </c>
      <c r="O1866" t="str">
        <f t="shared" ca="1" si="237"/>
        <v/>
      </c>
      <c r="P1866" t="str">
        <f t="shared" si="238"/>
        <v>Wrong Item</v>
      </c>
      <c r="Q1866" t="str">
        <f t="shared" si="239"/>
        <v/>
      </c>
    </row>
    <row r="1867" spans="1:17" x14ac:dyDescent="0.45">
      <c r="A1867" t="s">
        <v>2670</v>
      </c>
      <c r="B1867" t="s">
        <v>79</v>
      </c>
      <c r="C1867" t="s">
        <v>1904</v>
      </c>
      <c r="D1867" t="s">
        <v>101</v>
      </c>
      <c r="E1867" s="8">
        <v>4441.07</v>
      </c>
      <c r="F1867" s="9">
        <v>45214.666684444448</v>
      </c>
      <c r="G1867" t="s">
        <v>86</v>
      </c>
      <c r="H1867" t="s">
        <v>87</v>
      </c>
      <c r="I1867" t="s">
        <v>119</v>
      </c>
      <c r="J1867" t="str">
        <f t="shared" si="232"/>
        <v/>
      </c>
      <c r="K1867" t="str">
        <f t="shared" si="233"/>
        <v/>
      </c>
      <c r="L1867" t="str">
        <f t="shared" si="234"/>
        <v/>
      </c>
      <c r="M1867" t="str">
        <f t="shared" si="235"/>
        <v/>
      </c>
      <c r="N1867" t="str">
        <f t="shared" si="236"/>
        <v>Invalid</v>
      </c>
      <c r="O1867" t="str">
        <f t="shared" ca="1" si="237"/>
        <v>Outdated</v>
      </c>
      <c r="P1867" t="str">
        <f t="shared" si="238"/>
        <v>Damaged</v>
      </c>
      <c r="Q1867" t="str">
        <f t="shared" si="239"/>
        <v/>
      </c>
    </row>
    <row r="1868" spans="1:17" x14ac:dyDescent="0.45">
      <c r="A1868" t="s">
        <v>2671</v>
      </c>
      <c r="B1868" t="s">
        <v>90</v>
      </c>
      <c r="C1868" t="s">
        <v>1945</v>
      </c>
      <c r="D1868" t="s">
        <v>85</v>
      </c>
      <c r="E1868" s="8">
        <v>0</v>
      </c>
      <c r="F1868" s="9">
        <v>45445.666684444448</v>
      </c>
      <c r="G1868" t="s">
        <v>93</v>
      </c>
      <c r="H1868" t="s">
        <v>145</v>
      </c>
      <c r="I1868" t="s">
        <v>88</v>
      </c>
      <c r="J1868" t="str">
        <f t="shared" si="232"/>
        <v/>
      </c>
      <c r="K1868" t="str">
        <f t="shared" si="233"/>
        <v/>
      </c>
      <c r="L1868" t="str">
        <f t="shared" si="234"/>
        <v>Unusual</v>
      </c>
      <c r="M1868" t="str">
        <f t="shared" si="235"/>
        <v/>
      </c>
      <c r="N1868" t="str">
        <f t="shared" si="236"/>
        <v/>
      </c>
      <c r="O1868" t="str">
        <f t="shared" ca="1" si="237"/>
        <v>Outdated</v>
      </c>
      <c r="P1868" t="str">
        <f t="shared" si="238"/>
        <v>Late Delivery</v>
      </c>
      <c r="Q1868" t="str">
        <f t="shared" si="239"/>
        <v/>
      </c>
    </row>
    <row r="1869" spans="1:17" x14ac:dyDescent="0.45">
      <c r="A1869" t="s">
        <v>2672</v>
      </c>
      <c r="B1869" t="s">
        <v>95</v>
      </c>
      <c r="C1869" t="s">
        <v>2673</v>
      </c>
      <c r="D1869" t="s">
        <v>74</v>
      </c>
      <c r="E1869" s="8">
        <v>9050.7800000000007</v>
      </c>
      <c r="F1869" s="9">
        <v>45700.666684444448</v>
      </c>
      <c r="G1869" t="s">
        <v>97</v>
      </c>
      <c r="H1869" t="s">
        <v>136</v>
      </c>
      <c r="I1869" t="s">
        <v>119</v>
      </c>
      <c r="J1869" t="str">
        <f t="shared" si="232"/>
        <v/>
      </c>
      <c r="K1869" t="str">
        <f t="shared" si="233"/>
        <v/>
      </c>
      <c r="L1869" t="str">
        <f t="shared" si="234"/>
        <v/>
      </c>
      <c r="M1869" t="str">
        <f t="shared" si="235"/>
        <v/>
      </c>
      <c r="N1869" t="str">
        <f t="shared" si="236"/>
        <v>Invalid</v>
      </c>
      <c r="O1869" t="str">
        <f t="shared" ca="1" si="237"/>
        <v>Outdated</v>
      </c>
      <c r="P1869" t="str">
        <f t="shared" si="238"/>
        <v>Wrong Item</v>
      </c>
      <c r="Q1869" t="str">
        <f t="shared" si="239"/>
        <v/>
      </c>
    </row>
    <row r="1870" spans="1:17" x14ac:dyDescent="0.45">
      <c r="A1870" t="s">
        <v>2674</v>
      </c>
      <c r="B1870" t="s">
        <v>172</v>
      </c>
      <c r="C1870" t="s">
        <v>892</v>
      </c>
      <c r="D1870" t="s">
        <v>101</v>
      </c>
      <c r="E1870" s="8">
        <v>1798.06</v>
      </c>
      <c r="F1870" s="9">
        <v>45513.666684444448</v>
      </c>
      <c r="G1870" t="s">
        <v>174</v>
      </c>
      <c r="H1870" t="s">
        <v>81</v>
      </c>
      <c r="I1870" t="s">
        <v>82</v>
      </c>
      <c r="J1870" t="str">
        <f t="shared" si="232"/>
        <v/>
      </c>
      <c r="K1870" t="str">
        <f t="shared" si="233"/>
        <v/>
      </c>
      <c r="L1870" t="str">
        <f t="shared" si="234"/>
        <v/>
      </c>
      <c r="M1870" t="str">
        <f t="shared" si="235"/>
        <v/>
      </c>
      <c r="N1870" t="str">
        <f t="shared" si="236"/>
        <v/>
      </c>
      <c r="O1870" t="str">
        <f t="shared" ca="1" si="237"/>
        <v>Outdated</v>
      </c>
      <c r="P1870" t="str">
        <f t="shared" si="238"/>
        <v>Damaged</v>
      </c>
      <c r="Q1870" t="str">
        <f t="shared" si="239"/>
        <v/>
      </c>
    </row>
    <row r="1871" spans="1:17" x14ac:dyDescent="0.45">
      <c r="A1871" t="s">
        <v>2675</v>
      </c>
      <c r="B1871" t="s">
        <v>99</v>
      </c>
      <c r="D1871" t="s">
        <v>101</v>
      </c>
      <c r="E1871" s="8">
        <v>11374.04</v>
      </c>
      <c r="F1871" s="9">
        <v>45786.666684444448</v>
      </c>
      <c r="G1871" t="s">
        <v>102</v>
      </c>
      <c r="H1871" t="s">
        <v>145</v>
      </c>
      <c r="I1871" t="s">
        <v>163</v>
      </c>
      <c r="J1871" t="str">
        <f t="shared" si="232"/>
        <v>Missing</v>
      </c>
      <c r="K1871" t="str">
        <f t="shared" si="233"/>
        <v/>
      </c>
      <c r="L1871" t="str">
        <f t="shared" si="234"/>
        <v>Unusual</v>
      </c>
      <c r="M1871" t="str">
        <f t="shared" si="235"/>
        <v/>
      </c>
      <c r="N1871" t="str">
        <f t="shared" si="236"/>
        <v/>
      </c>
      <c r="O1871" t="str">
        <f t="shared" ca="1" si="237"/>
        <v>Outdated</v>
      </c>
      <c r="P1871" t="str">
        <f t="shared" si="238"/>
        <v>Damaged</v>
      </c>
      <c r="Q1871" t="str">
        <f t="shared" si="239"/>
        <v/>
      </c>
    </row>
    <row r="1872" spans="1:17" x14ac:dyDescent="0.45">
      <c r="A1872" t="s">
        <v>2676</v>
      </c>
      <c r="B1872" t="s">
        <v>99</v>
      </c>
      <c r="C1872" t="s">
        <v>1975</v>
      </c>
      <c r="D1872" t="s">
        <v>74</v>
      </c>
      <c r="E1872" s="8">
        <v>10892.18</v>
      </c>
      <c r="F1872" s="9">
        <v>45464.666684444448</v>
      </c>
      <c r="G1872" t="s">
        <v>102</v>
      </c>
      <c r="I1872" t="s">
        <v>112</v>
      </c>
      <c r="J1872" t="str">
        <f t="shared" si="232"/>
        <v/>
      </c>
      <c r="K1872" t="str">
        <f t="shared" si="233"/>
        <v/>
      </c>
      <c r="L1872" t="str">
        <f t="shared" si="234"/>
        <v>Unusual</v>
      </c>
      <c r="M1872" t="str">
        <f t="shared" si="235"/>
        <v/>
      </c>
      <c r="N1872" t="str">
        <f t="shared" si="236"/>
        <v>Invalid</v>
      </c>
      <c r="O1872" t="str">
        <f t="shared" ca="1" si="237"/>
        <v>Outdated</v>
      </c>
      <c r="P1872" t="str">
        <f t="shared" si="238"/>
        <v>Wrong Item</v>
      </c>
      <c r="Q1872" t="str">
        <f t="shared" si="239"/>
        <v/>
      </c>
    </row>
    <row r="1873" spans="1:17" x14ac:dyDescent="0.45">
      <c r="A1873" t="s">
        <v>2677</v>
      </c>
      <c r="B1873" t="s">
        <v>90</v>
      </c>
      <c r="C1873" t="s">
        <v>898</v>
      </c>
      <c r="D1873" t="s">
        <v>74</v>
      </c>
      <c r="E1873" s="8">
        <v>6518.64</v>
      </c>
      <c r="F1873" s="9">
        <v>45258.666684444448</v>
      </c>
      <c r="G1873" t="s">
        <v>93</v>
      </c>
      <c r="H1873" t="s">
        <v>133</v>
      </c>
      <c r="I1873" t="s">
        <v>112</v>
      </c>
      <c r="J1873" t="str">
        <f t="shared" si="232"/>
        <v/>
      </c>
      <c r="K1873" t="str">
        <f t="shared" si="233"/>
        <v>Duplicate</v>
      </c>
      <c r="L1873" t="str">
        <f t="shared" si="234"/>
        <v/>
      </c>
      <c r="M1873" t="str">
        <f t="shared" si="235"/>
        <v/>
      </c>
      <c r="N1873" t="str">
        <f t="shared" si="236"/>
        <v>Invalid</v>
      </c>
      <c r="O1873" t="str">
        <f t="shared" ca="1" si="237"/>
        <v>Outdated</v>
      </c>
      <c r="P1873" t="str">
        <f t="shared" si="238"/>
        <v>Wrong Item</v>
      </c>
      <c r="Q1873" t="str">
        <f t="shared" si="239"/>
        <v/>
      </c>
    </row>
    <row r="1874" spans="1:17" x14ac:dyDescent="0.45">
      <c r="A1874" t="s">
        <v>2678</v>
      </c>
      <c r="B1874" t="s">
        <v>79</v>
      </c>
      <c r="C1874" t="s">
        <v>2679</v>
      </c>
      <c r="D1874" t="s">
        <v>85</v>
      </c>
      <c r="E1874" s="8">
        <v>0</v>
      </c>
      <c r="F1874" s="9">
        <v>45814.666684444448</v>
      </c>
      <c r="G1874" t="s">
        <v>86</v>
      </c>
      <c r="H1874" t="s">
        <v>118</v>
      </c>
      <c r="I1874" t="s">
        <v>163</v>
      </c>
      <c r="J1874" t="str">
        <f t="shared" si="232"/>
        <v/>
      </c>
      <c r="K1874" t="str">
        <f t="shared" si="233"/>
        <v/>
      </c>
      <c r="L1874" t="str">
        <f t="shared" si="234"/>
        <v>Unusual</v>
      </c>
      <c r="M1874" t="str">
        <f t="shared" si="235"/>
        <v/>
      </c>
      <c r="N1874" t="str">
        <f t="shared" si="236"/>
        <v>Invalid</v>
      </c>
      <c r="O1874" t="str">
        <f t="shared" ca="1" si="237"/>
        <v>Outdated</v>
      </c>
      <c r="P1874" t="str">
        <f t="shared" si="238"/>
        <v>Late Delivery</v>
      </c>
      <c r="Q1874" t="str">
        <f t="shared" si="239"/>
        <v/>
      </c>
    </row>
    <row r="1875" spans="1:17" x14ac:dyDescent="0.45">
      <c r="A1875" t="s">
        <v>2680</v>
      </c>
      <c r="B1875" t="s">
        <v>99</v>
      </c>
      <c r="C1875" t="s">
        <v>1764</v>
      </c>
      <c r="D1875" t="s">
        <v>92</v>
      </c>
      <c r="E1875" s="8">
        <v>7643.3</v>
      </c>
      <c r="F1875" s="9">
        <v>45847.666684444448</v>
      </c>
      <c r="G1875" t="s">
        <v>102</v>
      </c>
      <c r="H1875" t="s">
        <v>76</v>
      </c>
      <c r="I1875" t="s">
        <v>88</v>
      </c>
      <c r="J1875" t="str">
        <f t="shared" si="232"/>
        <v/>
      </c>
      <c r="K1875" t="str">
        <f t="shared" si="233"/>
        <v/>
      </c>
      <c r="L1875" t="str">
        <f t="shared" si="234"/>
        <v/>
      </c>
      <c r="M1875" t="str">
        <f t="shared" si="235"/>
        <v/>
      </c>
      <c r="N1875" t="str">
        <f t="shared" si="236"/>
        <v/>
      </c>
      <c r="O1875" t="str">
        <f t="shared" ca="1" si="237"/>
        <v/>
      </c>
      <c r="P1875" t="str">
        <f t="shared" si="238"/>
        <v>Not As Described</v>
      </c>
      <c r="Q1875" t="str">
        <f t="shared" si="239"/>
        <v/>
      </c>
    </row>
    <row r="1876" spans="1:17" x14ac:dyDescent="0.45">
      <c r="A1876" t="s">
        <v>2681</v>
      </c>
      <c r="B1876" t="s">
        <v>90</v>
      </c>
      <c r="C1876" t="s">
        <v>715</v>
      </c>
      <c r="D1876" t="s">
        <v>74</v>
      </c>
      <c r="E1876" s="8">
        <v>6947.25</v>
      </c>
      <c r="F1876" s="9">
        <v>45829.666684444448</v>
      </c>
      <c r="G1876" t="s">
        <v>93</v>
      </c>
      <c r="H1876" t="s">
        <v>107</v>
      </c>
      <c r="I1876" t="s">
        <v>163</v>
      </c>
      <c r="J1876" t="str">
        <f t="shared" si="232"/>
        <v/>
      </c>
      <c r="K1876" t="str">
        <f t="shared" si="233"/>
        <v/>
      </c>
      <c r="L1876" t="str">
        <f t="shared" si="234"/>
        <v/>
      </c>
      <c r="M1876" t="str">
        <f t="shared" si="235"/>
        <v/>
      </c>
      <c r="N1876" t="str">
        <f t="shared" si="236"/>
        <v/>
      </c>
      <c r="O1876" t="str">
        <f t="shared" ca="1" si="237"/>
        <v>Outdated</v>
      </c>
      <c r="P1876" t="str">
        <f t="shared" si="238"/>
        <v>Wrong Item</v>
      </c>
      <c r="Q1876" t="str">
        <f t="shared" si="239"/>
        <v/>
      </c>
    </row>
    <row r="1877" spans="1:17" x14ac:dyDescent="0.45">
      <c r="A1877" t="s">
        <v>2682</v>
      </c>
      <c r="B1877" t="s">
        <v>109</v>
      </c>
      <c r="D1877" t="s">
        <v>74</v>
      </c>
      <c r="E1877" s="8">
        <v>8242.6299999999992</v>
      </c>
      <c r="F1877" s="9">
        <v>45667.666684444448</v>
      </c>
      <c r="G1877" t="s">
        <v>111</v>
      </c>
      <c r="H1877" t="s">
        <v>118</v>
      </c>
      <c r="I1877" t="s">
        <v>88</v>
      </c>
      <c r="J1877" t="str">
        <f t="shared" si="232"/>
        <v>Missing</v>
      </c>
      <c r="K1877" t="str">
        <f t="shared" si="233"/>
        <v/>
      </c>
      <c r="L1877" t="str">
        <f t="shared" si="234"/>
        <v/>
      </c>
      <c r="M1877" t="str">
        <f t="shared" si="235"/>
        <v/>
      </c>
      <c r="N1877" t="str">
        <f t="shared" si="236"/>
        <v>Invalid</v>
      </c>
      <c r="O1877" t="str">
        <f t="shared" ca="1" si="237"/>
        <v>Outdated</v>
      </c>
      <c r="P1877" t="str">
        <f t="shared" si="238"/>
        <v>Wrong Item</v>
      </c>
      <c r="Q1877" t="str">
        <f t="shared" si="239"/>
        <v/>
      </c>
    </row>
    <row r="1878" spans="1:17" x14ac:dyDescent="0.45">
      <c r="A1878" t="s">
        <v>2683</v>
      </c>
      <c r="B1878" t="s">
        <v>72</v>
      </c>
      <c r="C1878" t="s">
        <v>2684</v>
      </c>
      <c r="D1878" t="s">
        <v>148</v>
      </c>
      <c r="E1878" s="8">
        <v>3736.07</v>
      </c>
      <c r="F1878" s="9">
        <v>45223.666684444448</v>
      </c>
      <c r="G1878" t="s">
        <v>75</v>
      </c>
      <c r="H1878" t="s">
        <v>136</v>
      </c>
      <c r="I1878" t="s">
        <v>82</v>
      </c>
      <c r="J1878" t="str">
        <f t="shared" si="232"/>
        <v/>
      </c>
      <c r="K1878" t="str">
        <f t="shared" si="233"/>
        <v/>
      </c>
      <c r="L1878" t="str">
        <f t="shared" si="234"/>
        <v/>
      </c>
      <c r="M1878" t="str">
        <f t="shared" si="235"/>
        <v/>
      </c>
      <c r="N1878" t="str">
        <f t="shared" si="236"/>
        <v>Invalid</v>
      </c>
      <c r="O1878" t="str">
        <f t="shared" ca="1" si="237"/>
        <v>Outdated</v>
      </c>
      <c r="P1878" t="str">
        <f t="shared" si="238"/>
        <v>Wrong Item</v>
      </c>
      <c r="Q1878" t="str">
        <f t="shared" si="239"/>
        <v>Inconsistent</v>
      </c>
    </row>
    <row r="1879" spans="1:17" x14ac:dyDescent="0.45">
      <c r="A1879" t="s">
        <v>2685</v>
      </c>
      <c r="B1879" t="s">
        <v>109</v>
      </c>
      <c r="C1879" t="s">
        <v>2686</v>
      </c>
      <c r="D1879" t="s">
        <v>101</v>
      </c>
      <c r="E1879" s="8">
        <v>11778.95</v>
      </c>
      <c r="F1879" s="9">
        <v>45789.666684444448</v>
      </c>
      <c r="H1879" t="s">
        <v>81</v>
      </c>
      <c r="I1879" t="s">
        <v>119</v>
      </c>
      <c r="J1879" t="str">
        <f t="shared" si="232"/>
        <v/>
      </c>
      <c r="K1879" t="str">
        <f t="shared" si="233"/>
        <v/>
      </c>
      <c r="L1879" t="str">
        <f t="shared" si="234"/>
        <v>Unusual</v>
      </c>
      <c r="M1879" t="str">
        <f t="shared" si="235"/>
        <v>Invalid</v>
      </c>
      <c r="N1879" t="str">
        <f t="shared" si="236"/>
        <v/>
      </c>
      <c r="O1879" t="str">
        <f t="shared" ca="1" si="237"/>
        <v>Outdated</v>
      </c>
      <c r="P1879" t="str">
        <f t="shared" si="238"/>
        <v>Damaged</v>
      </c>
      <c r="Q1879" t="str">
        <f t="shared" si="239"/>
        <v/>
      </c>
    </row>
    <row r="1880" spans="1:17" x14ac:dyDescent="0.45">
      <c r="A1880" t="s">
        <v>2687</v>
      </c>
      <c r="B1880" t="s">
        <v>79</v>
      </c>
      <c r="C1880" t="s">
        <v>170</v>
      </c>
      <c r="D1880" t="s">
        <v>74</v>
      </c>
      <c r="E1880" s="8">
        <v>11431.99</v>
      </c>
      <c r="F1880" s="9">
        <v>45814.666684444448</v>
      </c>
      <c r="G1880" t="s">
        <v>278</v>
      </c>
      <c r="H1880" t="s">
        <v>128</v>
      </c>
      <c r="I1880" t="s">
        <v>163</v>
      </c>
      <c r="J1880" t="str">
        <f t="shared" si="232"/>
        <v/>
      </c>
      <c r="K1880" t="str">
        <f t="shared" si="233"/>
        <v/>
      </c>
      <c r="L1880" t="str">
        <f t="shared" si="234"/>
        <v>Unusual</v>
      </c>
      <c r="M1880" t="str">
        <f t="shared" si="235"/>
        <v>Invalid</v>
      </c>
      <c r="N1880" t="str">
        <f t="shared" si="236"/>
        <v>Invalid</v>
      </c>
      <c r="O1880" t="str">
        <f t="shared" ca="1" si="237"/>
        <v>Outdated</v>
      </c>
      <c r="P1880" t="str">
        <f t="shared" si="238"/>
        <v>Wrong Item</v>
      </c>
      <c r="Q1880" t="str">
        <f t="shared" si="239"/>
        <v/>
      </c>
    </row>
    <row r="1881" spans="1:17" x14ac:dyDescent="0.45">
      <c r="A1881" t="s">
        <v>2688</v>
      </c>
      <c r="B1881" t="s">
        <v>90</v>
      </c>
      <c r="C1881" t="s">
        <v>448</v>
      </c>
      <c r="D1881" t="s">
        <v>148</v>
      </c>
      <c r="E1881" s="8">
        <v>9443.14</v>
      </c>
      <c r="F1881" s="9">
        <v>45561.666684444448</v>
      </c>
      <c r="G1881" t="s">
        <v>93</v>
      </c>
      <c r="H1881" t="s">
        <v>87</v>
      </c>
      <c r="I1881" t="s">
        <v>82</v>
      </c>
      <c r="J1881" t="str">
        <f t="shared" si="232"/>
        <v/>
      </c>
      <c r="K1881" t="str">
        <f t="shared" si="233"/>
        <v/>
      </c>
      <c r="L1881" t="str">
        <f t="shared" si="234"/>
        <v/>
      </c>
      <c r="M1881" t="str">
        <f t="shared" si="235"/>
        <v/>
      </c>
      <c r="N1881" t="str">
        <f t="shared" si="236"/>
        <v>Invalid</v>
      </c>
      <c r="O1881" t="str">
        <f t="shared" ca="1" si="237"/>
        <v>Outdated</v>
      </c>
      <c r="P1881" t="str">
        <f t="shared" si="238"/>
        <v>Wrong Item</v>
      </c>
      <c r="Q1881" t="str">
        <f t="shared" si="239"/>
        <v>Inconsistent</v>
      </c>
    </row>
    <row r="1882" spans="1:17" x14ac:dyDescent="0.45">
      <c r="A1882" t="s">
        <v>2689</v>
      </c>
      <c r="B1882" t="s">
        <v>95</v>
      </c>
      <c r="C1882" t="s">
        <v>1891</v>
      </c>
      <c r="E1882" s="8">
        <v>992.82</v>
      </c>
      <c r="F1882" s="9">
        <v>45648.666684444448</v>
      </c>
      <c r="G1882" t="s">
        <v>336</v>
      </c>
      <c r="H1882" t="s">
        <v>136</v>
      </c>
      <c r="I1882" t="s">
        <v>82</v>
      </c>
      <c r="J1882" t="str">
        <f t="shared" si="232"/>
        <v>Missing</v>
      </c>
      <c r="K1882" t="str">
        <f t="shared" si="233"/>
        <v>Duplicate</v>
      </c>
      <c r="L1882" t="str">
        <f t="shared" si="234"/>
        <v/>
      </c>
      <c r="M1882" t="str">
        <f t="shared" si="235"/>
        <v>Invalid</v>
      </c>
      <c r="N1882" t="str">
        <f t="shared" si="236"/>
        <v>Invalid</v>
      </c>
      <c r="O1882" t="str">
        <f t="shared" ca="1" si="237"/>
        <v>Outdated</v>
      </c>
      <c r="P1882" t="str">
        <f t="shared" si="238"/>
        <v/>
      </c>
      <c r="Q1882" t="str">
        <f t="shared" si="239"/>
        <v/>
      </c>
    </row>
    <row r="1883" spans="1:17" x14ac:dyDescent="0.45">
      <c r="A1883" t="s">
        <v>2690</v>
      </c>
      <c r="B1883" t="s">
        <v>99</v>
      </c>
      <c r="C1883" t="s">
        <v>2691</v>
      </c>
      <c r="D1883" t="s">
        <v>101</v>
      </c>
      <c r="E1883" s="8">
        <v>8125.22</v>
      </c>
      <c r="F1883" s="9">
        <v>45498.666684444448</v>
      </c>
      <c r="G1883" t="s">
        <v>102</v>
      </c>
      <c r="H1883" t="s">
        <v>107</v>
      </c>
      <c r="I1883" t="s">
        <v>119</v>
      </c>
      <c r="J1883" t="str">
        <f t="shared" si="232"/>
        <v/>
      </c>
      <c r="K1883" t="str">
        <f t="shared" si="233"/>
        <v/>
      </c>
      <c r="L1883" t="str">
        <f t="shared" si="234"/>
        <v/>
      </c>
      <c r="M1883" t="str">
        <f t="shared" si="235"/>
        <v/>
      </c>
      <c r="N1883" t="str">
        <f t="shared" si="236"/>
        <v/>
      </c>
      <c r="O1883" t="str">
        <f t="shared" ca="1" si="237"/>
        <v>Outdated</v>
      </c>
      <c r="P1883" t="str">
        <f t="shared" si="238"/>
        <v>Damaged</v>
      </c>
      <c r="Q1883" t="str">
        <f t="shared" si="239"/>
        <v/>
      </c>
    </row>
    <row r="1884" spans="1:17" x14ac:dyDescent="0.45">
      <c r="A1884" t="s">
        <v>2692</v>
      </c>
      <c r="B1884" t="s">
        <v>99</v>
      </c>
      <c r="C1884" t="s">
        <v>2693</v>
      </c>
      <c r="D1884" t="s">
        <v>85</v>
      </c>
      <c r="E1884" s="8">
        <v>956.86</v>
      </c>
      <c r="F1884" s="9">
        <v>45146.666684444448</v>
      </c>
      <c r="G1884" t="s">
        <v>285</v>
      </c>
      <c r="H1884" t="s">
        <v>81</v>
      </c>
      <c r="I1884" t="s">
        <v>119</v>
      </c>
      <c r="J1884" t="str">
        <f t="shared" si="232"/>
        <v/>
      </c>
      <c r="K1884" t="str">
        <f t="shared" si="233"/>
        <v/>
      </c>
      <c r="L1884" t="str">
        <f t="shared" si="234"/>
        <v/>
      </c>
      <c r="M1884" t="str">
        <f t="shared" si="235"/>
        <v>Invalid</v>
      </c>
      <c r="N1884" t="str">
        <f t="shared" si="236"/>
        <v/>
      </c>
      <c r="O1884" t="str">
        <f t="shared" ca="1" si="237"/>
        <v>Outdated</v>
      </c>
      <c r="P1884" t="str">
        <f t="shared" si="238"/>
        <v>Late Delivery</v>
      </c>
      <c r="Q1884" t="str">
        <f t="shared" si="239"/>
        <v/>
      </c>
    </row>
    <row r="1885" spans="1:17" x14ac:dyDescent="0.45">
      <c r="A1885" t="s">
        <v>2694</v>
      </c>
      <c r="B1885" t="s">
        <v>99</v>
      </c>
      <c r="C1885" t="s">
        <v>590</v>
      </c>
      <c r="D1885" t="s">
        <v>74</v>
      </c>
      <c r="E1885" s="8">
        <v>946.82</v>
      </c>
      <c r="F1885" s="9">
        <v>45499.666684444448</v>
      </c>
      <c r="G1885" t="s">
        <v>102</v>
      </c>
      <c r="H1885" t="s">
        <v>145</v>
      </c>
      <c r="I1885" t="s">
        <v>77</v>
      </c>
      <c r="J1885" t="str">
        <f t="shared" si="232"/>
        <v/>
      </c>
      <c r="K1885" t="str">
        <f t="shared" si="233"/>
        <v/>
      </c>
      <c r="L1885" t="str">
        <f t="shared" si="234"/>
        <v/>
      </c>
      <c r="M1885" t="str">
        <f t="shared" si="235"/>
        <v/>
      </c>
      <c r="N1885" t="str">
        <f t="shared" si="236"/>
        <v/>
      </c>
      <c r="O1885" t="str">
        <f t="shared" ca="1" si="237"/>
        <v>Outdated</v>
      </c>
      <c r="P1885" t="str">
        <f t="shared" si="238"/>
        <v>Wrong Item</v>
      </c>
      <c r="Q1885" t="str">
        <f t="shared" si="239"/>
        <v/>
      </c>
    </row>
    <row r="1886" spans="1:17" x14ac:dyDescent="0.45">
      <c r="A1886" t="s">
        <v>2695</v>
      </c>
      <c r="B1886" t="s">
        <v>90</v>
      </c>
      <c r="C1886" t="s">
        <v>2696</v>
      </c>
      <c r="D1886" t="s">
        <v>74</v>
      </c>
      <c r="E1886" s="8">
        <v>0</v>
      </c>
      <c r="F1886" s="9">
        <v>45444.666684444448</v>
      </c>
      <c r="G1886" t="s">
        <v>93</v>
      </c>
      <c r="H1886" t="s">
        <v>118</v>
      </c>
      <c r="I1886" t="s">
        <v>163</v>
      </c>
      <c r="J1886" t="str">
        <f t="shared" si="232"/>
        <v/>
      </c>
      <c r="K1886" t="str">
        <f t="shared" si="233"/>
        <v/>
      </c>
      <c r="L1886" t="str">
        <f t="shared" si="234"/>
        <v>Unusual</v>
      </c>
      <c r="M1886" t="str">
        <f t="shared" si="235"/>
        <v/>
      </c>
      <c r="N1886" t="str">
        <f t="shared" si="236"/>
        <v>Invalid</v>
      </c>
      <c r="O1886" t="str">
        <f t="shared" ca="1" si="237"/>
        <v>Outdated</v>
      </c>
      <c r="P1886" t="str">
        <f t="shared" si="238"/>
        <v>Wrong Item</v>
      </c>
      <c r="Q1886" t="str">
        <f t="shared" si="239"/>
        <v/>
      </c>
    </row>
    <row r="1887" spans="1:17" x14ac:dyDescent="0.45">
      <c r="A1887" t="s">
        <v>2697</v>
      </c>
      <c r="B1887" t="s">
        <v>109</v>
      </c>
      <c r="C1887" t="s">
        <v>127</v>
      </c>
      <c r="D1887" t="s">
        <v>85</v>
      </c>
      <c r="E1887" s="8">
        <v>1617.57</v>
      </c>
      <c r="F1887" s="9">
        <v>45312.666684444448</v>
      </c>
      <c r="G1887" t="s">
        <v>111</v>
      </c>
      <c r="H1887" t="s">
        <v>118</v>
      </c>
      <c r="I1887" t="s">
        <v>77</v>
      </c>
      <c r="J1887" t="str">
        <f t="shared" si="232"/>
        <v/>
      </c>
      <c r="K1887" t="str">
        <f t="shared" si="233"/>
        <v/>
      </c>
      <c r="L1887" t="str">
        <f t="shared" si="234"/>
        <v/>
      </c>
      <c r="M1887" t="str">
        <f t="shared" si="235"/>
        <v/>
      </c>
      <c r="N1887" t="str">
        <f t="shared" si="236"/>
        <v>Invalid</v>
      </c>
      <c r="O1887" t="str">
        <f t="shared" ca="1" si="237"/>
        <v>Outdated</v>
      </c>
      <c r="P1887" t="str">
        <f t="shared" si="238"/>
        <v>Late Delivery</v>
      </c>
      <c r="Q1887" t="str">
        <f t="shared" si="239"/>
        <v/>
      </c>
    </row>
    <row r="1888" spans="1:17" x14ac:dyDescent="0.45">
      <c r="A1888" t="s">
        <v>2698</v>
      </c>
      <c r="B1888" t="s">
        <v>95</v>
      </c>
      <c r="C1888" t="s">
        <v>1906</v>
      </c>
      <c r="D1888" t="s">
        <v>74</v>
      </c>
      <c r="E1888" s="8">
        <v>5643.41</v>
      </c>
      <c r="F1888" s="9">
        <v>45347.666684444448</v>
      </c>
      <c r="G1888" t="s">
        <v>97</v>
      </c>
      <c r="H1888" t="s">
        <v>145</v>
      </c>
      <c r="I1888" t="s">
        <v>163</v>
      </c>
      <c r="J1888" t="str">
        <f t="shared" si="232"/>
        <v/>
      </c>
      <c r="K1888" t="str">
        <f t="shared" si="233"/>
        <v/>
      </c>
      <c r="L1888" t="str">
        <f t="shared" si="234"/>
        <v/>
      </c>
      <c r="M1888" t="str">
        <f t="shared" si="235"/>
        <v/>
      </c>
      <c r="N1888" t="str">
        <f t="shared" si="236"/>
        <v/>
      </c>
      <c r="O1888" t="str">
        <f t="shared" ca="1" si="237"/>
        <v>Outdated</v>
      </c>
      <c r="P1888" t="str">
        <f t="shared" si="238"/>
        <v>Wrong Item</v>
      </c>
      <c r="Q1888" t="str">
        <f t="shared" si="239"/>
        <v/>
      </c>
    </row>
    <row r="1889" spans="1:17" x14ac:dyDescent="0.45">
      <c r="A1889" t="s">
        <v>2699</v>
      </c>
      <c r="B1889" t="s">
        <v>90</v>
      </c>
      <c r="C1889" t="s">
        <v>2284</v>
      </c>
      <c r="D1889" t="s">
        <v>101</v>
      </c>
      <c r="E1889" s="8">
        <v>11137.27</v>
      </c>
      <c r="F1889" s="9">
        <v>45477.666684444448</v>
      </c>
      <c r="G1889" t="s">
        <v>93</v>
      </c>
      <c r="H1889" t="s">
        <v>145</v>
      </c>
      <c r="I1889" t="s">
        <v>112</v>
      </c>
      <c r="J1889" t="str">
        <f t="shared" si="232"/>
        <v/>
      </c>
      <c r="K1889" t="str">
        <f t="shared" si="233"/>
        <v/>
      </c>
      <c r="L1889" t="str">
        <f t="shared" si="234"/>
        <v>Unusual</v>
      </c>
      <c r="M1889" t="str">
        <f t="shared" si="235"/>
        <v/>
      </c>
      <c r="N1889" t="str">
        <f t="shared" si="236"/>
        <v/>
      </c>
      <c r="O1889" t="str">
        <f t="shared" ca="1" si="237"/>
        <v>Outdated</v>
      </c>
      <c r="P1889" t="str">
        <f t="shared" si="238"/>
        <v>Damaged</v>
      </c>
      <c r="Q1889" t="str">
        <f t="shared" si="239"/>
        <v/>
      </c>
    </row>
    <row r="1890" spans="1:17" x14ac:dyDescent="0.45">
      <c r="A1890" t="s">
        <v>2700</v>
      </c>
      <c r="B1890" t="s">
        <v>79</v>
      </c>
      <c r="C1890" t="s">
        <v>781</v>
      </c>
      <c r="D1890" t="s">
        <v>155</v>
      </c>
      <c r="E1890" s="8">
        <v>4243.09</v>
      </c>
      <c r="F1890" s="9">
        <v>45625.666684444448</v>
      </c>
      <c r="H1890" t="s">
        <v>128</v>
      </c>
      <c r="I1890" t="s">
        <v>82</v>
      </c>
      <c r="J1890" t="str">
        <f t="shared" si="232"/>
        <v/>
      </c>
      <c r="K1890" t="str">
        <f t="shared" si="233"/>
        <v/>
      </c>
      <c r="L1890" t="str">
        <f t="shared" si="234"/>
        <v/>
      </c>
      <c r="M1890" t="str">
        <f t="shared" si="235"/>
        <v>Invalid</v>
      </c>
      <c r="N1890" t="str">
        <f t="shared" si="236"/>
        <v>Invalid</v>
      </c>
      <c r="O1890" t="str">
        <f t="shared" ca="1" si="237"/>
        <v>Outdated</v>
      </c>
      <c r="P1890" t="str">
        <f t="shared" si="238"/>
        <v>Damaged</v>
      </c>
      <c r="Q1890" t="str">
        <f t="shared" si="239"/>
        <v>Inconsistent</v>
      </c>
    </row>
    <row r="1891" spans="1:17" x14ac:dyDescent="0.45">
      <c r="A1891" t="s">
        <v>2701</v>
      </c>
      <c r="B1891" t="s">
        <v>172</v>
      </c>
      <c r="C1891" t="s">
        <v>858</v>
      </c>
      <c r="D1891" t="s">
        <v>106</v>
      </c>
      <c r="E1891" s="8">
        <v>5314.2</v>
      </c>
      <c r="F1891" s="9">
        <v>45324.666684444448</v>
      </c>
      <c r="G1891" t="s">
        <v>174</v>
      </c>
      <c r="H1891" t="s">
        <v>81</v>
      </c>
      <c r="I1891" t="s">
        <v>112</v>
      </c>
      <c r="J1891" t="str">
        <f t="shared" si="232"/>
        <v/>
      </c>
      <c r="K1891" t="str">
        <f t="shared" si="233"/>
        <v/>
      </c>
      <c r="L1891" t="str">
        <f t="shared" si="234"/>
        <v/>
      </c>
      <c r="M1891" t="str">
        <f t="shared" si="235"/>
        <v/>
      </c>
      <c r="N1891" t="str">
        <f t="shared" si="236"/>
        <v/>
      </c>
      <c r="O1891" t="str">
        <f t="shared" ca="1" si="237"/>
        <v>Outdated</v>
      </c>
      <c r="P1891" t="str">
        <f t="shared" si="238"/>
        <v>Damaged</v>
      </c>
      <c r="Q1891" t="str">
        <f t="shared" si="239"/>
        <v>Inconsistent</v>
      </c>
    </row>
    <row r="1892" spans="1:17" x14ac:dyDescent="0.45">
      <c r="A1892" t="s">
        <v>636</v>
      </c>
      <c r="B1892" t="s">
        <v>79</v>
      </c>
      <c r="C1892" t="s">
        <v>2702</v>
      </c>
      <c r="D1892" t="s">
        <v>74</v>
      </c>
      <c r="E1892" s="8">
        <v>8678.75</v>
      </c>
      <c r="F1892" s="9">
        <v>45359.666684444448</v>
      </c>
      <c r="G1892" t="s">
        <v>86</v>
      </c>
      <c r="H1892" t="s">
        <v>136</v>
      </c>
      <c r="I1892" t="s">
        <v>163</v>
      </c>
      <c r="J1892" t="str">
        <f t="shared" si="232"/>
        <v/>
      </c>
      <c r="K1892" t="str">
        <f t="shared" si="233"/>
        <v>Duplicate</v>
      </c>
      <c r="L1892" t="str">
        <f t="shared" si="234"/>
        <v/>
      </c>
      <c r="M1892" t="str">
        <f t="shared" si="235"/>
        <v/>
      </c>
      <c r="N1892" t="str">
        <f t="shared" si="236"/>
        <v>Invalid</v>
      </c>
      <c r="O1892" t="str">
        <f t="shared" ca="1" si="237"/>
        <v>Outdated</v>
      </c>
      <c r="P1892" t="str">
        <f t="shared" si="238"/>
        <v>Wrong Item</v>
      </c>
      <c r="Q1892" t="str">
        <f t="shared" si="239"/>
        <v/>
      </c>
    </row>
    <row r="1893" spans="1:17" x14ac:dyDescent="0.45">
      <c r="A1893" t="s">
        <v>2703</v>
      </c>
      <c r="B1893" t="s">
        <v>72</v>
      </c>
      <c r="C1893" t="s">
        <v>2704</v>
      </c>
      <c r="D1893" t="s">
        <v>85</v>
      </c>
      <c r="E1893" s="8">
        <v>9500.59</v>
      </c>
      <c r="F1893" s="9">
        <v>45268.666684444448</v>
      </c>
      <c r="H1893" t="s">
        <v>145</v>
      </c>
      <c r="I1893" t="s">
        <v>112</v>
      </c>
      <c r="J1893" t="str">
        <f t="shared" si="232"/>
        <v/>
      </c>
      <c r="K1893" t="str">
        <f t="shared" si="233"/>
        <v/>
      </c>
      <c r="L1893" t="str">
        <f t="shared" si="234"/>
        <v/>
      </c>
      <c r="M1893" t="str">
        <f t="shared" si="235"/>
        <v>Invalid</v>
      </c>
      <c r="N1893" t="str">
        <f t="shared" si="236"/>
        <v/>
      </c>
      <c r="O1893" t="str">
        <f t="shared" ca="1" si="237"/>
        <v>Outdated</v>
      </c>
      <c r="P1893" t="str">
        <f t="shared" si="238"/>
        <v>Late Delivery</v>
      </c>
      <c r="Q1893" t="str">
        <f t="shared" si="239"/>
        <v/>
      </c>
    </row>
    <row r="1894" spans="1:17" x14ac:dyDescent="0.45">
      <c r="A1894" t="s">
        <v>2705</v>
      </c>
      <c r="B1894" t="s">
        <v>172</v>
      </c>
      <c r="C1894" t="s">
        <v>671</v>
      </c>
      <c r="D1894" t="s">
        <v>85</v>
      </c>
      <c r="E1894" s="8">
        <v>9440</v>
      </c>
      <c r="F1894" s="9">
        <v>45286.666684444448</v>
      </c>
      <c r="G1894" t="s">
        <v>174</v>
      </c>
      <c r="H1894" t="s">
        <v>136</v>
      </c>
      <c r="I1894" t="s">
        <v>88</v>
      </c>
      <c r="J1894" t="str">
        <f t="shared" si="232"/>
        <v/>
      </c>
      <c r="K1894" t="str">
        <f t="shared" si="233"/>
        <v/>
      </c>
      <c r="L1894" t="str">
        <f t="shared" si="234"/>
        <v/>
      </c>
      <c r="M1894" t="str">
        <f t="shared" si="235"/>
        <v/>
      </c>
      <c r="N1894" t="str">
        <f t="shared" si="236"/>
        <v>Invalid</v>
      </c>
      <c r="O1894" t="str">
        <f t="shared" ca="1" si="237"/>
        <v>Outdated</v>
      </c>
      <c r="P1894" t="str">
        <f t="shared" si="238"/>
        <v>Late Delivery</v>
      </c>
      <c r="Q1894" t="str">
        <f t="shared" si="239"/>
        <v/>
      </c>
    </row>
    <row r="1895" spans="1:17" x14ac:dyDescent="0.45">
      <c r="A1895" t="s">
        <v>2706</v>
      </c>
      <c r="B1895" t="s">
        <v>79</v>
      </c>
      <c r="C1895" t="s">
        <v>2707</v>
      </c>
      <c r="D1895" t="s">
        <v>148</v>
      </c>
      <c r="E1895" s="8">
        <v>10289.82</v>
      </c>
      <c r="F1895" s="9">
        <v>45207.666684444448</v>
      </c>
      <c r="H1895" t="s">
        <v>145</v>
      </c>
      <c r="I1895" t="s">
        <v>82</v>
      </c>
      <c r="J1895" t="str">
        <f t="shared" si="232"/>
        <v/>
      </c>
      <c r="K1895" t="str">
        <f t="shared" si="233"/>
        <v/>
      </c>
      <c r="L1895" t="str">
        <f t="shared" si="234"/>
        <v>Unusual</v>
      </c>
      <c r="M1895" t="str">
        <f t="shared" si="235"/>
        <v>Invalid</v>
      </c>
      <c r="N1895" t="str">
        <f t="shared" si="236"/>
        <v/>
      </c>
      <c r="O1895" t="str">
        <f t="shared" ca="1" si="237"/>
        <v>Outdated</v>
      </c>
      <c r="P1895" t="str">
        <f t="shared" si="238"/>
        <v>Wrong Item</v>
      </c>
      <c r="Q1895" t="str">
        <f t="shared" si="239"/>
        <v>Inconsistent</v>
      </c>
    </row>
    <row r="1896" spans="1:17" x14ac:dyDescent="0.45">
      <c r="A1896" t="s">
        <v>2708</v>
      </c>
      <c r="B1896" t="s">
        <v>95</v>
      </c>
      <c r="C1896" t="s">
        <v>2709</v>
      </c>
      <c r="D1896" t="s">
        <v>101</v>
      </c>
      <c r="E1896" s="8">
        <v>0</v>
      </c>
      <c r="F1896" s="9">
        <v>45430.666684444448</v>
      </c>
      <c r="G1896" t="s">
        <v>97</v>
      </c>
      <c r="I1896" t="s">
        <v>88</v>
      </c>
      <c r="J1896" t="str">
        <f t="shared" si="232"/>
        <v/>
      </c>
      <c r="K1896" t="str">
        <f t="shared" si="233"/>
        <v/>
      </c>
      <c r="L1896" t="str">
        <f t="shared" si="234"/>
        <v>Unusual</v>
      </c>
      <c r="M1896" t="str">
        <f t="shared" si="235"/>
        <v/>
      </c>
      <c r="N1896" t="str">
        <f t="shared" si="236"/>
        <v>Invalid</v>
      </c>
      <c r="O1896" t="str">
        <f t="shared" ca="1" si="237"/>
        <v>Outdated</v>
      </c>
      <c r="P1896" t="str">
        <f t="shared" si="238"/>
        <v>Damaged</v>
      </c>
      <c r="Q1896" t="str">
        <f t="shared" si="239"/>
        <v/>
      </c>
    </row>
    <row r="1897" spans="1:17" x14ac:dyDescent="0.45">
      <c r="A1897" t="s">
        <v>2710</v>
      </c>
      <c r="B1897" t="s">
        <v>138</v>
      </c>
      <c r="C1897" t="s">
        <v>1297</v>
      </c>
      <c r="D1897" t="s">
        <v>74</v>
      </c>
      <c r="E1897" s="8">
        <v>8851.24</v>
      </c>
      <c r="F1897" s="9">
        <v>45231.666684444448</v>
      </c>
      <c r="G1897" t="s">
        <v>140</v>
      </c>
      <c r="H1897" t="s">
        <v>87</v>
      </c>
      <c r="I1897" t="s">
        <v>88</v>
      </c>
      <c r="J1897" t="str">
        <f t="shared" si="232"/>
        <v/>
      </c>
      <c r="K1897" t="str">
        <f t="shared" si="233"/>
        <v/>
      </c>
      <c r="L1897" t="str">
        <f t="shared" si="234"/>
        <v/>
      </c>
      <c r="M1897" t="str">
        <f t="shared" si="235"/>
        <v/>
      </c>
      <c r="N1897" t="str">
        <f t="shared" si="236"/>
        <v>Invalid</v>
      </c>
      <c r="O1897" t="str">
        <f t="shared" ca="1" si="237"/>
        <v>Outdated</v>
      </c>
      <c r="P1897" t="str">
        <f t="shared" si="238"/>
        <v>Wrong Item</v>
      </c>
      <c r="Q1897" t="str">
        <f t="shared" si="239"/>
        <v/>
      </c>
    </row>
    <row r="1898" spans="1:17" x14ac:dyDescent="0.45">
      <c r="A1898" t="s">
        <v>2711</v>
      </c>
      <c r="B1898" t="s">
        <v>138</v>
      </c>
      <c r="C1898" t="s">
        <v>2712</v>
      </c>
      <c r="D1898" t="s">
        <v>74</v>
      </c>
      <c r="E1898" s="8">
        <v>2130.86</v>
      </c>
      <c r="F1898" s="9">
        <v>45647.666684444448</v>
      </c>
      <c r="H1898" t="s">
        <v>128</v>
      </c>
      <c r="I1898" t="s">
        <v>163</v>
      </c>
      <c r="J1898" t="str">
        <f t="shared" si="232"/>
        <v/>
      </c>
      <c r="K1898" t="str">
        <f t="shared" si="233"/>
        <v/>
      </c>
      <c r="L1898" t="str">
        <f t="shared" si="234"/>
        <v/>
      </c>
      <c r="M1898" t="str">
        <f t="shared" si="235"/>
        <v>Invalid</v>
      </c>
      <c r="N1898" t="str">
        <f t="shared" si="236"/>
        <v>Invalid</v>
      </c>
      <c r="O1898" t="str">
        <f t="shared" ca="1" si="237"/>
        <v>Outdated</v>
      </c>
      <c r="P1898" t="str">
        <f t="shared" si="238"/>
        <v>Wrong Item</v>
      </c>
      <c r="Q1898" t="str">
        <f t="shared" si="239"/>
        <v/>
      </c>
    </row>
    <row r="1899" spans="1:17" x14ac:dyDescent="0.45">
      <c r="A1899" t="s">
        <v>2713</v>
      </c>
      <c r="B1899" t="s">
        <v>138</v>
      </c>
      <c r="C1899" t="s">
        <v>2087</v>
      </c>
      <c r="D1899" t="s">
        <v>101</v>
      </c>
      <c r="E1899" s="8">
        <v>4041.51</v>
      </c>
      <c r="F1899" s="9">
        <v>45680.666684444448</v>
      </c>
      <c r="G1899" t="s">
        <v>140</v>
      </c>
      <c r="H1899" t="s">
        <v>118</v>
      </c>
      <c r="I1899" t="s">
        <v>88</v>
      </c>
      <c r="J1899" t="str">
        <f t="shared" si="232"/>
        <v/>
      </c>
      <c r="K1899" t="str">
        <f t="shared" si="233"/>
        <v/>
      </c>
      <c r="L1899" t="str">
        <f t="shared" si="234"/>
        <v/>
      </c>
      <c r="M1899" t="str">
        <f t="shared" si="235"/>
        <v/>
      </c>
      <c r="N1899" t="str">
        <f t="shared" si="236"/>
        <v>Invalid</v>
      </c>
      <c r="O1899" t="str">
        <f t="shared" ca="1" si="237"/>
        <v>Outdated</v>
      </c>
      <c r="P1899" t="str">
        <f t="shared" si="238"/>
        <v>Damaged</v>
      </c>
      <c r="Q1899" t="str">
        <f t="shared" si="239"/>
        <v/>
      </c>
    </row>
    <row r="1900" spans="1:17" x14ac:dyDescent="0.45">
      <c r="A1900" t="s">
        <v>2714</v>
      </c>
      <c r="B1900" t="s">
        <v>72</v>
      </c>
      <c r="C1900" t="s">
        <v>2715</v>
      </c>
      <c r="D1900" t="s">
        <v>101</v>
      </c>
      <c r="E1900" s="8">
        <v>9979.18</v>
      </c>
      <c r="F1900" s="9">
        <v>45667.666684444448</v>
      </c>
      <c r="G1900" t="s">
        <v>75</v>
      </c>
      <c r="H1900" t="s">
        <v>76</v>
      </c>
      <c r="I1900" t="s">
        <v>163</v>
      </c>
      <c r="J1900" t="str">
        <f t="shared" si="232"/>
        <v/>
      </c>
      <c r="K1900" t="str">
        <f t="shared" si="233"/>
        <v/>
      </c>
      <c r="L1900" t="str">
        <f t="shared" si="234"/>
        <v/>
      </c>
      <c r="M1900" t="str">
        <f t="shared" si="235"/>
        <v/>
      </c>
      <c r="N1900" t="str">
        <f t="shared" si="236"/>
        <v/>
      </c>
      <c r="O1900" t="str">
        <f t="shared" ca="1" si="237"/>
        <v>Outdated</v>
      </c>
      <c r="P1900" t="str">
        <f t="shared" si="238"/>
        <v>Damaged</v>
      </c>
      <c r="Q1900" t="str">
        <f t="shared" si="239"/>
        <v/>
      </c>
    </row>
    <row r="1901" spans="1:17" x14ac:dyDescent="0.45">
      <c r="A1901" t="s">
        <v>2716</v>
      </c>
      <c r="B1901" t="s">
        <v>72</v>
      </c>
      <c r="C1901" t="s">
        <v>2658</v>
      </c>
      <c r="D1901" t="s">
        <v>92</v>
      </c>
      <c r="E1901" s="8">
        <v>9001.11</v>
      </c>
      <c r="F1901" s="9">
        <v>45166.666684444448</v>
      </c>
      <c r="G1901" t="s">
        <v>75</v>
      </c>
      <c r="H1901" t="s">
        <v>133</v>
      </c>
      <c r="I1901" t="s">
        <v>119</v>
      </c>
      <c r="J1901" t="str">
        <f t="shared" si="232"/>
        <v/>
      </c>
      <c r="K1901" t="str">
        <f t="shared" si="233"/>
        <v/>
      </c>
      <c r="L1901" t="str">
        <f t="shared" si="234"/>
        <v/>
      </c>
      <c r="M1901" t="str">
        <f t="shared" si="235"/>
        <v/>
      </c>
      <c r="N1901" t="str">
        <f t="shared" si="236"/>
        <v>Invalid</v>
      </c>
      <c r="O1901" t="str">
        <f t="shared" ca="1" si="237"/>
        <v>Outdated</v>
      </c>
      <c r="P1901" t="str">
        <f t="shared" si="238"/>
        <v>Not As Described</v>
      </c>
      <c r="Q1901" t="str">
        <f t="shared" si="239"/>
        <v/>
      </c>
    </row>
    <row r="1902" spans="1:17" x14ac:dyDescent="0.45">
      <c r="A1902" t="s">
        <v>2717</v>
      </c>
      <c r="B1902" t="s">
        <v>138</v>
      </c>
      <c r="C1902" t="s">
        <v>834</v>
      </c>
      <c r="D1902" t="s">
        <v>92</v>
      </c>
      <c r="E1902" s="8">
        <v>5641.15</v>
      </c>
      <c r="F1902" s="9">
        <v>45805.666684444448</v>
      </c>
      <c r="H1902" t="s">
        <v>136</v>
      </c>
      <c r="I1902" t="s">
        <v>77</v>
      </c>
      <c r="J1902" t="str">
        <f t="shared" si="232"/>
        <v/>
      </c>
      <c r="K1902" t="str">
        <f t="shared" si="233"/>
        <v/>
      </c>
      <c r="L1902" t="str">
        <f t="shared" si="234"/>
        <v/>
      </c>
      <c r="M1902" t="str">
        <f t="shared" si="235"/>
        <v>Invalid</v>
      </c>
      <c r="N1902" t="str">
        <f t="shared" si="236"/>
        <v>Invalid</v>
      </c>
      <c r="O1902" t="str">
        <f t="shared" ca="1" si="237"/>
        <v>Outdated</v>
      </c>
      <c r="P1902" t="str">
        <f t="shared" si="238"/>
        <v>Not As Described</v>
      </c>
      <c r="Q1902" t="str">
        <f t="shared" si="239"/>
        <v/>
      </c>
    </row>
    <row r="1903" spans="1:17" x14ac:dyDescent="0.45">
      <c r="A1903" t="s">
        <v>2718</v>
      </c>
      <c r="B1903" t="s">
        <v>99</v>
      </c>
      <c r="C1903" t="s">
        <v>1904</v>
      </c>
      <c r="D1903" t="s">
        <v>101</v>
      </c>
      <c r="E1903" s="8">
        <v>4712.5</v>
      </c>
      <c r="F1903" s="9">
        <v>45472.666684444448</v>
      </c>
      <c r="G1903" t="s">
        <v>102</v>
      </c>
      <c r="H1903" t="s">
        <v>81</v>
      </c>
      <c r="I1903" t="s">
        <v>119</v>
      </c>
      <c r="J1903" t="str">
        <f t="shared" si="232"/>
        <v/>
      </c>
      <c r="K1903" t="str">
        <f t="shared" si="233"/>
        <v/>
      </c>
      <c r="L1903" t="str">
        <f t="shared" si="234"/>
        <v/>
      </c>
      <c r="M1903" t="str">
        <f t="shared" si="235"/>
        <v/>
      </c>
      <c r="N1903" t="str">
        <f t="shared" si="236"/>
        <v/>
      </c>
      <c r="O1903" t="str">
        <f t="shared" ca="1" si="237"/>
        <v>Outdated</v>
      </c>
      <c r="P1903" t="str">
        <f t="shared" si="238"/>
        <v>Damaged</v>
      </c>
      <c r="Q1903" t="str">
        <f t="shared" si="239"/>
        <v/>
      </c>
    </row>
    <row r="1904" spans="1:17" x14ac:dyDescent="0.45">
      <c r="A1904" t="s">
        <v>2719</v>
      </c>
      <c r="B1904" t="s">
        <v>172</v>
      </c>
      <c r="C1904" t="s">
        <v>794</v>
      </c>
      <c r="D1904" t="s">
        <v>85</v>
      </c>
      <c r="E1904" s="8">
        <v>1490.84</v>
      </c>
      <c r="F1904" s="9">
        <v>45760.666684444448</v>
      </c>
      <c r="G1904" t="s">
        <v>174</v>
      </c>
      <c r="H1904" t="s">
        <v>116</v>
      </c>
      <c r="I1904" t="s">
        <v>77</v>
      </c>
      <c r="J1904" t="str">
        <f t="shared" si="232"/>
        <v/>
      </c>
      <c r="K1904" t="str">
        <f t="shared" si="233"/>
        <v>Duplicate</v>
      </c>
      <c r="L1904" t="str">
        <f t="shared" si="234"/>
        <v/>
      </c>
      <c r="M1904" t="str">
        <f t="shared" si="235"/>
        <v/>
      </c>
      <c r="N1904" t="str">
        <f t="shared" si="236"/>
        <v/>
      </c>
      <c r="O1904" t="str">
        <f t="shared" ca="1" si="237"/>
        <v>Outdated</v>
      </c>
      <c r="P1904" t="str">
        <f t="shared" si="238"/>
        <v>Late Delivery</v>
      </c>
      <c r="Q1904" t="str">
        <f t="shared" si="239"/>
        <v/>
      </c>
    </row>
    <row r="1905" spans="1:17" x14ac:dyDescent="0.45">
      <c r="A1905" t="s">
        <v>2720</v>
      </c>
      <c r="B1905" t="s">
        <v>172</v>
      </c>
      <c r="C1905" t="s">
        <v>575</v>
      </c>
      <c r="D1905" t="s">
        <v>74</v>
      </c>
      <c r="E1905" s="8">
        <v>7981.59</v>
      </c>
      <c r="F1905" s="9">
        <v>45262.666684444448</v>
      </c>
      <c r="G1905" t="s">
        <v>174</v>
      </c>
      <c r="H1905" t="s">
        <v>133</v>
      </c>
      <c r="I1905" t="s">
        <v>112</v>
      </c>
      <c r="J1905" t="str">
        <f t="shared" si="232"/>
        <v/>
      </c>
      <c r="K1905" t="str">
        <f t="shared" si="233"/>
        <v/>
      </c>
      <c r="L1905" t="str">
        <f t="shared" si="234"/>
        <v/>
      </c>
      <c r="M1905" t="str">
        <f t="shared" si="235"/>
        <v/>
      </c>
      <c r="N1905" t="str">
        <f t="shared" si="236"/>
        <v>Invalid</v>
      </c>
      <c r="O1905" t="str">
        <f t="shared" ca="1" si="237"/>
        <v>Outdated</v>
      </c>
      <c r="P1905" t="str">
        <f t="shared" si="238"/>
        <v>Wrong Item</v>
      </c>
      <c r="Q1905" t="str">
        <f t="shared" si="239"/>
        <v/>
      </c>
    </row>
    <row r="1906" spans="1:17" x14ac:dyDescent="0.45">
      <c r="A1906" t="s">
        <v>2721</v>
      </c>
      <c r="B1906" t="s">
        <v>99</v>
      </c>
      <c r="C1906" t="s">
        <v>2309</v>
      </c>
      <c r="D1906" t="s">
        <v>148</v>
      </c>
      <c r="E1906" s="8">
        <v>11438.01</v>
      </c>
      <c r="F1906" s="9">
        <v>45739.666684444448</v>
      </c>
      <c r="G1906" t="s">
        <v>102</v>
      </c>
      <c r="H1906" t="s">
        <v>116</v>
      </c>
      <c r="I1906" t="s">
        <v>119</v>
      </c>
      <c r="J1906" t="str">
        <f t="shared" si="232"/>
        <v/>
      </c>
      <c r="K1906" t="str">
        <f t="shared" si="233"/>
        <v>Duplicate</v>
      </c>
      <c r="L1906" t="str">
        <f t="shared" si="234"/>
        <v>Unusual</v>
      </c>
      <c r="M1906" t="str">
        <f t="shared" si="235"/>
        <v/>
      </c>
      <c r="N1906" t="str">
        <f t="shared" si="236"/>
        <v/>
      </c>
      <c r="O1906" t="str">
        <f t="shared" ca="1" si="237"/>
        <v>Outdated</v>
      </c>
      <c r="P1906" t="str">
        <f t="shared" si="238"/>
        <v>Wrong Item</v>
      </c>
      <c r="Q1906" t="str">
        <f t="shared" si="239"/>
        <v>Inconsistent</v>
      </c>
    </row>
    <row r="1907" spans="1:17" x14ac:dyDescent="0.45">
      <c r="A1907" t="s">
        <v>2722</v>
      </c>
      <c r="B1907" t="s">
        <v>109</v>
      </c>
      <c r="C1907" t="s">
        <v>393</v>
      </c>
      <c r="D1907" t="s">
        <v>155</v>
      </c>
      <c r="E1907" s="8">
        <v>2639.99</v>
      </c>
      <c r="F1907" s="9">
        <v>45513.666684444448</v>
      </c>
      <c r="G1907" t="s">
        <v>111</v>
      </c>
      <c r="H1907" t="s">
        <v>145</v>
      </c>
      <c r="I1907" t="s">
        <v>112</v>
      </c>
      <c r="J1907" t="str">
        <f t="shared" si="232"/>
        <v/>
      </c>
      <c r="K1907" t="str">
        <f t="shared" si="233"/>
        <v/>
      </c>
      <c r="L1907" t="str">
        <f t="shared" si="234"/>
        <v/>
      </c>
      <c r="M1907" t="str">
        <f t="shared" si="235"/>
        <v/>
      </c>
      <c r="N1907" t="str">
        <f t="shared" si="236"/>
        <v/>
      </c>
      <c r="O1907" t="str">
        <f t="shared" ca="1" si="237"/>
        <v>Outdated</v>
      </c>
      <c r="P1907" t="str">
        <f t="shared" si="238"/>
        <v>Damaged</v>
      </c>
      <c r="Q1907" t="str">
        <f t="shared" si="239"/>
        <v>Inconsistent</v>
      </c>
    </row>
    <row r="1908" spans="1:17" x14ac:dyDescent="0.45">
      <c r="A1908" t="s">
        <v>2723</v>
      </c>
      <c r="B1908" t="s">
        <v>138</v>
      </c>
      <c r="C1908" t="s">
        <v>338</v>
      </c>
      <c r="D1908" t="s">
        <v>106</v>
      </c>
      <c r="E1908" s="8">
        <v>8104.85</v>
      </c>
      <c r="F1908" s="9">
        <v>45285.666684444448</v>
      </c>
      <c r="G1908" t="s">
        <v>140</v>
      </c>
      <c r="H1908" t="s">
        <v>81</v>
      </c>
      <c r="I1908" t="s">
        <v>119</v>
      </c>
      <c r="J1908" t="str">
        <f t="shared" si="232"/>
        <v/>
      </c>
      <c r="K1908" t="str">
        <f t="shared" si="233"/>
        <v/>
      </c>
      <c r="L1908" t="str">
        <f t="shared" si="234"/>
        <v/>
      </c>
      <c r="M1908" t="str">
        <f t="shared" si="235"/>
        <v/>
      </c>
      <c r="N1908" t="str">
        <f t="shared" si="236"/>
        <v/>
      </c>
      <c r="O1908" t="str">
        <f t="shared" ca="1" si="237"/>
        <v>Outdated</v>
      </c>
      <c r="P1908" t="str">
        <f t="shared" si="238"/>
        <v>Damaged</v>
      </c>
      <c r="Q1908" t="str">
        <f t="shared" si="239"/>
        <v>Inconsistent</v>
      </c>
    </row>
    <row r="1909" spans="1:17" x14ac:dyDescent="0.45">
      <c r="A1909" t="s">
        <v>2302</v>
      </c>
      <c r="B1909" t="s">
        <v>99</v>
      </c>
      <c r="C1909" t="s">
        <v>1076</v>
      </c>
      <c r="D1909" t="s">
        <v>148</v>
      </c>
      <c r="E1909" s="8">
        <v>955.7</v>
      </c>
      <c r="F1909" s="9">
        <v>45294.666684444448</v>
      </c>
      <c r="H1909" t="s">
        <v>136</v>
      </c>
      <c r="I1909" t="s">
        <v>119</v>
      </c>
      <c r="J1909" t="str">
        <f t="shared" si="232"/>
        <v/>
      </c>
      <c r="K1909" t="str">
        <f t="shared" si="233"/>
        <v>Duplicate</v>
      </c>
      <c r="L1909" t="str">
        <f t="shared" si="234"/>
        <v/>
      </c>
      <c r="M1909" t="str">
        <f t="shared" si="235"/>
        <v>Invalid</v>
      </c>
      <c r="N1909" t="str">
        <f t="shared" si="236"/>
        <v>Invalid</v>
      </c>
      <c r="O1909" t="str">
        <f t="shared" ca="1" si="237"/>
        <v>Outdated</v>
      </c>
      <c r="P1909" t="str">
        <f t="shared" si="238"/>
        <v>Wrong Item</v>
      </c>
      <c r="Q1909" t="str">
        <f t="shared" si="239"/>
        <v>Inconsistent</v>
      </c>
    </row>
    <row r="1910" spans="1:17" x14ac:dyDescent="0.45">
      <c r="A1910" t="s">
        <v>2724</v>
      </c>
      <c r="B1910" t="s">
        <v>90</v>
      </c>
      <c r="C1910" t="s">
        <v>243</v>
      </c>
      <c r="D1910" t="s">
        <v>74</v>
      </c>
      <c r="E1910" s="8">
        <v>11374.44</v>
      </c>
      <c r="F1910" s="9">
        <v>45313.666684444448</v>
      </c>
      <c r="G1910" t="s">
        <v>93</v>
      </c>
      <c r="H1910" t="s">
        <v>76</v>
      </c>
      <c r="I1910" t="s">
        <v>119</v>
      </c>
      <c r="J1910" t="str">
        <f t="shared" si="232"/>
        <v/>
      </c>
      <c r="K1910" t="str">
        <f t="shared" si="233"/>
        <v/>
      </c>
      <c r="L1910" t="str">
        <f t="shared" si="234"/>
        <v>Unusual</v>
      </c>
      <c r="M1910" t="str">
        <f t="shared" si="235"/>
        <v/>
      </c>
      <c r="N1910" t="str">
        <f t="shared" si="236"/>
        <v/>
      </c>
      <c r="O1910" t="str">
        <f t="shared" ca="1" si="237"/>
        <v>Outdated</v>
      </c>
      <c r="P1910" t="str">
        <f t="shared" si="238"/>
        <v>Wrong Item</v>
      </c>
      <c r="Q1910" t="str">
        <f t="shared" si="239"/>
        <v/>
      </c>
    </row>
    <row r="1911" spans="1:17" x14ac:dyDescent="0.45">
      <c r="A1911" t="s">
        <v>2725</v>
      </c>
      <c r="B1911" t="s">
        <v>172</v>
      </c>
      <c r="C1911" t="s">
        <v>1585</v>
      </c>
      <c r="D1911" t="s">
        <v>74</v>
      </c>
      <c r="E1911" s="8">
        <v>10873.31</v>
      </c>
      <c r="F1911" s="9">
        <v>45837.666684444448</v>
      </c>
      <c r="G1911" t="s">
        <v>174</v>
      </c>
      <c r="H1911" t="s">
        <v>145</v>
      </c>
      <c r="I1911" t="s">
        <v>88</v>
      </c>
      <c r="J1911" t="str">
        <f t="shared" si="232"/>
        <v/>
      </c>
      <c r="K1911" t="str">
        <f t="shared" si="233"/>
        <v/>
      </c>
      <c r="L1911" t="str">
        <f t="shared" si="234"/>
        <v>Unusual</v>
      </c>
      <c r="M1911" t="str">
        <f t="shared" si="235"/>
        <v/>
      </c>
      <c r="N1911" t="str">
        <f t="shared" si="236"/>
        <v/>
      </c>
      <c r="O1911" t="str">
        <f t="shared" ca="1" si="237"/>
        <v>Outdated</v>
      </c>
      <c r="P1911" t="str">
        <f t="shared" si="238"/>
        <v>Wrong Item</v>
      </c>
      <c r="Q1911" t="str">
        <f t="shared" si="239"/>
        <v/>
      </c>
    </row>
    <row r="1912" spans="1:17" x14ac:dyDescent="0.45">
      <c r="A1912" t="s">
        <v>2726</v>
      </c>
      <c r="B1912" t="s">
        <v>90</v>
      </c>
      <c r="C1912" t="s">
        <v>218</v>
      </c>
      <c r="D1912" t="s">
        <v>85</v>
      </c>
      <c r="E1912" s="8">
        <v>1768.95</v>
      </c>
      <c r="F1912" s="9">
        <v>45767.666684444448</v>
      </c>
      <c r="G1912" t="s">
        <v>93</v>
      </c>
      <c r="H1912" t="s">
        <v>76</v>
      </c>
      <c r="I1912" t="s">
        <v>82</v>
      </c>
      <c r="J1912" t="str">
        <f t="shared" si="232"/>
        <v/>
      </c>
      <c r="K1912" t="str">
        <f t="shared" si="233"/>
        <v/>
      </c>
      <c r="L1912" t="str">
        <f t="shared" si="234"/>
        <v/>
      </c>
      <c r="M1912" t="str">
        <f t="shared" si="235"/>
        <v/>
      </c>
      <c r="N1912" t="str">
        <f t="shared" si="236"/>
        <v/>
      </c>
      <c r="O1912" t="str">
        <f t="shared" ca="1" si="237"/>
        <v>Outdated</v>
      </c>
      <c r="P1912" t="str">
        <f t="shared" si="238"/>
        <v>Late Delivery</v>
      </c>
      <c r="Q1912" t="str">
        <f t="shared" si="239"/>
        <v/>
      </c>
    </row>
    <row r="1913" spans="1:17" x14ac:dyDescent="0.45">
      <c r="A1913" t="s">
        <v>2727</v>
      </c>
      <c r="B1913" t="s">
        <v>99</v>
      </c>
      <c r="C1913" t="s">
        <v>2686</v>
      </c>
      <c r="D1913" t="s">
        <v>155</v>
      </c>
      <c r="E1913" s="8">
        <v>5225.59</v>
      </c>
      <c r="F1913" s="9">
        <v>45297.666684444448</v>
      </c>
      <c r="G1913" t="s">
        <v>102</v>
      </c>
      <c r="H1913" t="s">
        <v>116</v>
      </c>
      <c r="I1913" t="s">
        <v>112</v>
      </c>
      <c r="J1913" t="str">
        <f t="shared" si="232"/>
        <v/>
      </c>
      <c r="K1913" t="str">
        <f t="shared" si="233"/>
        <v/>
      </c>
      <c r="L1913" t="str">
        <f t="shared" si="234"/>
        <v/>
      </c>
      <c r="M1913" t="str">
        <f t="shared" si="235"/>
        <v/>
      </c>
      <c r="N1913" t="str">
        <f t="shared" si="236"/>
        <v/>
      </c>
      <c r="O1913" t="str">
        <f t="shared" ca="1" si="237"/>
        <v>Outdated</v>
      </c>
      <c r="P1913" t="str">
        <f t="shared" si="238"/>
        <v>Damaged</v>
      </c>
      <c r="Q1913" t="str">
        <f t="shared" si="239"/>
        <v>Inconsistent</v>
      </c>
    </row>
    <row r="1914" spans="1:17" x14ac:dyDescent="0.45">
      <c r="A1914" t="s">
        <v>2599</v>
      </c>
      <c r="B1914" t="s">
        <v>99</v>
      </c>
      <c r="C1914" t="s">
        <v>1132</v>
      </c>
      <c r="D1914" t="s">
        <v>74</v>
      </c>
      <c r="E1914" s="8">
        <v>8243.26</v>
      </c>
      <c r="F1914" s="9">
        <v>45576.666684444448</v>
      </c>
      <c r="G1914" t="s">
        <v>102</v>
      </c>
      <c r="H1914" t="s">
        <v>76</v>
      </c>
      <c r="I1914" t="s">
        <v>119</v>
      </c>
      <c r="J1914" t="str">
        <f t="shared" si="232"/>
        <v/>
      </c>
      <c r="K1914" t="str">
        <f t="shared" si="233"/>
        <v>Duplicate</v>
      </c>
      <c r="L1914" t="str">
        <f t="shared" si="234"/>
        <v/>
      </c>
      <c r="M1914" t="str">
        <f t="shared" si="235"/>
        <v/>
      </c>
      <c r="N1914" t="str">
        <f t="shared" si="236"/>
        <v/>
      </c>
      <c r="O1914" t="str">
        <f t="shared" ca="1" si="237"/>
        <v>Outdated</v>
      </c>
      <c r="P1914" t="str">
        <f t="shared" si="238"/>
        <v>Wrong Item</v>
      </c>
      <c r="Q1914" t="str">
        <f t="shared" si="239"/>
        <v/>
      </c>
    </row>
    <row r="1915" spans="1:17" x14ac:dyDescent="0.45">
      <c r="A1915" t="s">
        <v>2728</v>
      </c>
      <c r="B1915" t="s">
        <v>79</v>
      </c>
      <c r="D1915" t="s">
        <v>74</v>
      </c>
      <c r="E1915" s="8">
        <v>2158.7600000000002</v>
      </c>
      <c r="F1915" s="9">
        <v>45172.666684444448</v>
      </c>
      <c r="G1915" t="s">
        <v>86</v>
      </c>
      <c r="I1915" t="s">
        <v>88</v>
      </c>
      <c r="J1915" t="str">
        <f t="shared" si="232"/>
        <v>Missing</v>
      </c>
      <c r="K1915" t="str">
        <f t="shared" si="233"/>
        <v/>
      </c>
      <c r="L1915" t="str">
        <f t="shared" si="234"/>
        <v/>
      </c>
      <c r="M1915" t="str">
        <f t="shared" si="235"/>
        <v/>
      </c>
      <c r="N1915" t="str">
        <f t="shared" si="236"/>
        <v>Invalid</v>
      </c>
      <c r="O1915" t="str">
        <f t="shared" ca="1" si="237"/>
        <v>Outdated</v>
      </c>
      <c r="P1915" t="str">
        <f t="shared" si="238"/>
        <v>Wrong Item</v>
      </c>
      <c r="Q1915" t="str">
        <f t="shared" si="239"/>
        <v/>
      </c>
    </row>
    <row r="1916" spans="1:17" x14ac:dyDescent="0.45">
      <c r="A1916" t="s">
        <v>2729</v>
      </c>
      <c r="B1916" t="s">
        <v>79</v>
      </c>
      <c r="C1916" t="s">
        <v>819</v>
      </c>
      <c r="E1916" s="8">
        <v>9013.77</v>
      </c>
      <c r="F1916" s="9">
        <v>45548.666684444448</v>
      </c>
      <c r="G1916" t="s">
        <v>86</v>
      </c>
      <c r="H1916" t="s">
        <v>128</v>
      </c>
      <c r="I1916" t="s">
        <v>119</v>
      </c>
      <c r="J1916" t="str">
        <f t="shared" si="232"/>
        <v>Missing</v>
      </c>
      <c r="K1916" t="str">
        <f t="shared" si="233"/>
        <v/>
      </c>
      <c r="L1916" t="str">
        <f t="shared" si="234"/>
        <v/>
      </c>
      <c r="M1916" t="str">
        <f t="shared" si="235"/>
        <v/>
      </c>
      <c r="N1916" t="str">
        <f t="shared" si="236"/>
        <v>Invalid</v>
      </c>
      <c r="O1916" t="str">
        <f t="shared" ca="1" si="237"/>
        <v>Outdated</v>
      </c>
      <c r="P1916" t="str">
        <f t="shared" si="238"/>
        <v/>
      </c>
      <c r="Q1916" t="str">
        <f t="shared" si="239"/>
        <v/>
      </c>
    </row>
    <row r="1917" spans="1:17" x14ac:dyDescent="0.45">
      <c r="A1917" t="s">
        <v>2730</v>
      </c>
      <c r="B1917" t="s">
        <v>95</v>
      </c>
      <c r="C1917" t="s">
        <v>1780</v>
      </c>
      <c r="D1917" t="s">
        <v>74</v>
      </c>
      <c r="E1917" s="8">
        <v>3804.88</v>
      </c>
      <c r="F1917" s="9">
        <v>45501.666684444448</v>
      </c>
      <c r="G1917" t="s">
        <v>97</v>
      </c>
      <c r="H1917" t="s">
        <v>145</v>
      </c>
      <c r="I1917" t="s">
        <v>82</v>
      </c>
      <c r="J1917" t="str">
        <f t="shared" si="232"/>
        <v/>
      </c>
      <c r="K1917" t="str">
        <f t="shared" si="233"/>
        <v/>
      </c>
      <c r="L1917" t="str">
        <f t="shared" si="234"/>
        <v/>
      </c>
      <c r="M1917" t="str">
        <f t="shared" si="235"/>
        <v/>
      </c>
      <c r="N1917" t="str">
        <f t="shared" si="236"/>
        <v/>
      </c>
      <c r="O1917" t="str">
        <f t="shared" ca="1" si="237"/>
        <v>Outdated</v>
      </c>
      <c r="P1917" t="str">
        <f t="shared" si="238"/>
        <v>Wrong Item</v>
      </c>
      <c r="Q1917" t="str">
        <f t="shared" si="239"/>
        <v/>
      </c>
    </row>
    <row r="1918" spans="1:17" x14ac:dyDescent="0.45">
      <c r="A1918" t="s">
        <v>2731</v>
      </c>
      <c r="B1918" t="s">
        <v>95</v>
      </c>
      <c r="C1918" t="s">
        <v>2354</v>
      </c>
      <c r="D1918" t="s">
        <v>101</v>
      </c>
      <c r="E1918" s="8">
        <v>4422.21</v>
      </c>
      <c r="F1918" s="9">
        <v>45820.666684444448</v>
      </c>
      <c r="G1918" t="s">
        <v>97</v>
      </c>
      <c r="H1918" t="s">
        <v>145</v>
      </c>
      <c r="I1918" t="s">
        <v>112</v>
      </c>
      <c r="J1918" t="str">
        <f t="shared" si="232"/>
        <v/>
      </c>
      <c r="K1918" t="str">
        <f t="shared" si="233"/>
        <v/>
      </c>
      <c r="L1918" t="str">
        <f t="shared" si="234"/>
        <v/>
      </c>
      <c r="M1918" t="str">
        <f t="shared" si="235"/>
        <v/>
      </c>
      <c r="N1918" t="str">
        <f t="shared" si="236"/>
        <v/>
      </c>
      <c r="O1918" t="str">
        <f t="shared" ca="1" si="237"/>
        <v>Outdated</v>
      </c>
      <c r="P1918" t="str">
        <f t="shared" si="238"/>
        <v>Damaged</v>
      </c>
      <c r="Q1918" t="str">
        <f t="shared" si="239"/>
        <v/>
      </c>
    </row>
    <row r="1919" spans="1:17" x14ac:dyDescent="0.45">
      <c r="A1919" t="s">
        <v>2732</v>
      </c>
      <c r="B1919" t="s">
        <v>72</v>
      </c>
      <c r="C1919" t="s">
        <v>239</v>
      </c>
      <c r="D1919" t="s">
        <v>92</v>
      </c>
      <c r="E1919" s="8">
        <v>0</v>
      </c>
      <c r="F1919" s="9">
        <v>45371.666684444448</v>
      </c>
      <c r="G1919" t="s">
        <v>75</v>
      </c>
      <c r="H1919" t="s">
        <v>128</v>
      </c>
      <c r="I1919" t="s">
        <v>88</v>
      </c>
      <c r="J1919" t="str">
        <f t="shared" si="232"/>
        <v/>
      </c>
      <c r="K1919" t="str">
        <f t="shared" si="233"/>
        <v/>
      </c>
      <c r="L1919" t="str">
        <f t="shared" si="234"/>
        <v>Unusual</v>
      </c>
      <c r="M1919" t="str">
        <f t="shared" si="235"/>
        <v/>
      </c>
      <c r="N1919" t="str">
        <f t="shared" si="236"/>
        <v>Invalid</v>
      </c>
      <c r="O1919" t="str">
        <f t="shared" ca="1" si="237"/>
        <v>Outdated</v>
      </c>
      <c r="P1919" t="str">
        <f t="shared" si="238"/>
        <v>Not As Described</v>
      </c>
      <c r="Q1919" t="str">
        <f t="shared" si="239"/>
        <v/>
      </c>
    </row>
    <row r="1920" spans="1:17" x14ac:dyDescent="0.45">
      <c r="A1920" t="s">
        <v>2733</v>
      </c>
      <c r="B1920" t="s">
        <v>72</v>
      </c>
      <c r="C1920" t="s">
        <v>2079</v>
      </c>
      <c r="D1920" t="s">
        <v>74</v>
      </c>
      <c r="E1920" s="8">
        <v>8442.1</v>
      </c>
      <c r="F1920" s="9">
        <v>45582.666684444448</v>
      </c>
      <c r="G1920" t="s">
        <v>75</v>
      </c>
      <c r="H1920" t="s">
        <v>116</v>
      </c>
      <c r="I1920" t="s">
        <v>77</v>
      </c>
      <c r="J1920" t="str">
        <f t="shared" si="232"/>
        <v/>
      </c>
      <c r="K1920" t="str">
        <f t="shared" si="233"/>
        <v/>
      </c>
      <c r="L1920" t="str">
        <f t="shared" si="234"/>
        <v/>
      </c>
      <c r="M1920" t="str">
        <f t="shared" si="235"/>
        <v/>
      </c>
      <c r="N1920" t="str">
        <f t="shared" si="236"/>
        <v/>
      </c>
      <c r="O1920" t="str">
        <f t="shared" ca="1" si="237"/>
        <v>Outdated</v>
      </c>
      <c r="P1920" t="str">
        <f t="shared" si="238"/>
        <v>Wrong Item</v>
      </c>
      <c r="Q1920" t="str">
        <f t="shared" si="239"/>
        <v/>
      </c>
    </row>
    <row r="1921" spans="1:17" x14ac:dyDescent="0.45">
      <c r="A1921" t="s">
        <v>2734</v>
      </c>
      <c r="B1921" t="s">
        <v>138</v>
      </c>
      <c r="C1921" t="s">
        <v>796</v>
      </c>
      <c r="D1921" t="s">
        <v>74</v>
      </c>
      <c r="E1921" s="8">
        <v>5878.72</v>
      </c>
      <c r="F1921" s="9">
        <v>45753.666684444448</v>
      </c>
      <c r="G1921" t="s">
        <v>140</v>
      </c>
      <c r="H1921" t="s">
        <v>87</v>
      </c>
      <c r="I1921" t="s">
        <v>77</v>
      </c>
      <c r="J1921" t="str">
        <f t="shared" si="232"/>
        <v/>
      </c>
      <c r="K1921" t="str">
        <f t="shared" si="233"/>
        <v/>
      </c>
      <c r="L1921" t="str">
        <f t="shared" si="234"/>
        <v/>
      </c>
      <c r="M1921" t="str">
        <f t="shared" si="235"/>
        <v/>
      </c>
      <c r="N1921" t="str">
        <f t="shared" si="236"/>
        <v>Invalid</v>
      </c>
      <c r="O1921" t="str">
        <f t="shared" ca="1" si="237"/>
        <v>Outdated</v>
      </c>
      <c r="P1921" t="str">
        <f t="shared" si="238"/>
        <v>Wrong Item</v>
      </c>
      <c r="Q1921" t="str">
        <f t="shared" si="239"/>
        <v/>
      </c>
    </row>
    <row r="1922" spans="1:17" x14ac:dyDescent="0.45">
      <c r="A1922" t="s">
        <v>2735</v>
      </c>
      <c r="B1922" t="s">
        <v>79</v>
      </c>
      <c r="C1922" t="s">
        <v>1057</v>
      </c>
      <c r="D1922" t="s">
        <v>92</v>
      </c>
      <c r="E1922" s="8">
        <v>0</v>
      </c>
      <c r="F1922" s="9">
        <v>45419.666684444448</v>
      </c>
      <c r="G1922" t="s">
        <v>86</v>
      </c>
      <c r="H1922" t="s">
        <v>133</v>
      </c>
      <c r="I1922" t="s">
        <v>163</v>
      </c>
      <c r="J1922" t="str">
        <f t="shared" ref="J1922:J1985" si="240">IF(OR(ISBLANK(C1922),ISBLANK(D1922)),"Missing","")</f>
        <v/>
      </c>
      <c r="K1922" t="str">
        <f t="shared" ref="K1922:K1985" si="241">IF(COUNTIF($A$2:$A$2501,A1922)&gt;1,"Duplicate","")</f>
        <v/>
      </c>
      <c r="L1922" t="str">
        <f t="shared" ref="L1922:L1985" si="242">IF(OR(E1922=0,E1922&gt;10000),"Unusual","")</f>
        <v>Unusual</v>
      </c>
      <c r="M1922" t="str">
        <f t="shared" ref="M1922:M1985" si="243">IF(OR(ISBLANK(G1922),ISERROR(FIND("@",G1922)),ISERROR(FIND(".",G1922,FIND("@",G1922)+1))),"Invalid","")</f>
        <v/>
      </c>
      <c r="N1922" t="str">
        <f t="shared" ref="N1922:N1985" si="244">IF(COUNTIF($S$2:$S$6,H1922)=0,"Invalid","")</f>
        <v>Invalid</v>
      </c>
      <c r="O1922" t="str">
        <f t="shared" ref="O1922:O1985" ca="1" si="245">IF(F1922&lt;EDATE(TODAY(),-12),"Outdated","")</f>
        <v>Outdated</v>
      </c>
      <c r="P1922" t="str">
        <f t="shared" ref="P1922:P1985" si="246">IF(ISBLANK(D1922),"",PROPER(TRIM(D1922)))</f>
        <v>Not As Described</v>
      </c>
      <c r="Q1922" t="str">
        <f t="shared" ref="Q1922:Q1985" si="247">IF(ISBLANK(D1922),"",IF(EXACT(D1922,P1922),"","Inconsistent"))</f>
        <v/>
      </c>
    </row>
    <row r="1923" spans="1:17" x14ac:dyDescent="0.45">
      <c r="A1923" t="s">
        <v>2736</v>
      </c>
      <c r="B1923" t="s">
        <v>138</v>
      </c>
      <c r="C1923" t="s">
        <v>132</v>
      </c>
      <c r="D1923" t="s">
        <v>85</v>
      </c>
      <c r="E1923" s="8">
        <v>5002.0200000000004</v>
      </c>
      <c r="F1923" s="9">
        <v>45587.666684444448</v>
      </c>
      <c r="H1923" t="s">
        <v>107</v>
      </c>
      <c r="I1923" t="s">
        <v>163</v>
      </c>
      <c r="J1923" t="str">
        <f t="shared" si="240"/>
        <v/>
      </c>
      <c r="K1923" t="str">
        <f t="shared" si="241"/>
        <v/>
      </c>
      <c r="L1923" t="str">
        <f t="shared" si="242"/>
        <v/>
      </c>
      <c r="M1923" t="str">
        <f t="shared" si="243"/>
        <v>Invalid</v>
      </c>
      <c r="N1923" t="str">
        <f t="shared" si="244"/>
        <v/>
      </c>
      <c r="O1923" t="str">
        <f t="shared" ca="1" si="245"/>
        <v>Outdated</v>
      </c>
      <c r="P1923" t="str">
        <f t="shared" si="246"/>
        <v>Late Delivery</v>
      </c>
      <c r="Q1923" t="str">
        <f t="shared" si="247"/>
        <v/>
      </c>
    </row>
    <row r="1924" spans="1:17" x14ac:dyDescent="0.45">
      <c r="A1924" t="s">
        <v>2737</v>
      </c>
      <c r="B1924" t="s">
        <v>99</v>
      </c>
      <c r="C1924" t="s">
        <v>335</v>
      </c>
      <c r="D1924" t="s">
        <v>106</v>
      </c>
      <c r="E1924" s="8">
        <v>5151.8599999999997</v>
      </c>
      <c r="F1924" s="9">
        <v>45367.666684444448</v>
      </c>
      <c r="G1924" t="s">
        <v>102</v>
      </c>
      <c r="H1924" t="s">
        <v>76</v>
      </c>
      <c r="I1924" t="s">
        <v>163</v>
      </c>
      <c r="J1924" t="str">
        <f t="shared" si="240"/>
        <v/>
      </c>
      <c r="K1924" t="str">
        <f t="shared" si="241"/>
        <v/>
      </c>
      <c r="L1924" t="str">
        <f t="shared" si="242"/>
        <v/>
      </c>
      <c r="M1924" t="str">
        <f t="shared" si="243"/>
        <v/>
      </c>
      <c r="N1924" t="str">
        <f t="shared" si="244"/>
        <v/>
      </c>
      <c r="O1924" t="str">
        <f t="shared" ca="1" si="245"/>
        <v>Outdated</v>
      </c>
      <c r="P1924" t="str">
        <f t="shared" si="246"/>
        <v>Damaged</v>
      </c>
      <c r="Q1924" t="str">
        <f t="shared" si="247"/>
        <v>Inconsistent</v>
      </c>
    </row>
    <row r="1925" spans="1:17" x14ac:dyDescent="0.45">
      <c r="A1925" t="s">
        <v>2738</v>
      </c>
      <c r="B1925" t="s">
        <v>138</v>
      </c>
      <c r="C1925" t="s">
        <v>870</v>
      </c>
      <c r="D1925" t="s">
        <v>101</v>
      </c>
      <c r="E1925" s="8">
        <v>7249.31</v>
      </c>
      <c r="F1925" s="9">
        <v>45674.666684444448</v>
      </c>
      <c r="G1925" t="s">
        <v>140</v>
      </c>
      <c r="H1925" t="s">
        <v>145</v>
      </c>
      <c r="I1925" t="s">
        <v>119</v>
      </c>
      <c r="J1925" t="str">
        <f t="shared" si="240"/>
        <v/>
      </c>
      <c r="K1925" t="str">
        <f t="shared" si="241"/>
        <v/>
      </c>
      <c r="L1925" t="str">
        <f t="shared" si="242"/>
        <v/>
      </c>
      <c r="M1925" t="str">
        <f t="shared" si="243"/>
        <v/>
      </c>
      <c r="N1925" t="str">
        <f t="shared" si="244"/>
        <v/>
      </c>
      <c r="O1925" t="str">
        <f t="shared" ca="1" si="245"/>
        <v>Outdated</v>
      </c>
      <c r="P1925" t="str">
        <f t="shared" si="246"/>
        <v>Damaged</v>
      </c>
      <c r="Q1925" t="str">
        <f t="shared" si="247"/>
        <v/>
      </c>
    </row>
    <row r="1926" spans="1:17" x14ac:dyDescent="0.45">
      <c r="A1926" t="s">
        <v>2739</v>
      </c>
      <c r="B1926" t="s">
        <v>99</v>
      </c>
      <c r="D1926" t="s">
        <v>74</v>
      </c>
      <c r="E1926" s="8">
        <v>11236.16</v>
      </c>
      <c r="F1926" s="9">
        <v>45372.666684444448</v>
      </c>
      <c r="G1926" t="s">
        <v>285</v>
      </c>
      <c r="H1926" t="s">
        <v>145</v>
      </c>
      <c r="I1926" t="s">
        <v>112</v>
      </c>
      <c r="J1926" t="str">
        <f t="shared" si="240"/>
        <v>Missing</v>
      </c>
      <c r="K1926" t="str">
        <f t="shared" si="241"/>
        <v/>
      </c>
      <c r="L1926" t="str">
        <f t="shared" si="242"/>
        <v>Unusual</v>
      </c>
      <c r="M1926" t="str">
        <f t="shared" si="243"/>
        <v>Invalid</v>
      </c>
      <c r="N1926" t="str">
        <f t="shared" si="244"/>
        <v/>
      </c>
      <c r="O1926" t="str">
        <f t="shared" ca="1" si="245"/>
        <v>Outdated</v>
      </c>
      <c r="P1926" t="str">
        <f t="shared" si="246"/>
        <v>Wrong Item</v>
      </c>
      <c r="Q1926" t="str">
        <f t="shared" si="247"/>
        <v/>
      </c>
    </row>
    <row r="1927" spans="1:17" x14ac:dyDescent="0.45">
      <c r="A1927" t="s">
        <v>2740</v>
      </c>
      <c r="B1927" t="s">
        <v>172</v>
      </c>
      <c r="C1927" t="s">
        <v>2427</v>
      </c>
      <c r="D1927" t="s">
        <v>92</v>
      </c>
      <c r="E1927" s="8">
        <v>144.75</v>
      </c>
      <c r="F1927" s="9">
        <v>45444.666684444448</v>
      </c>
      <c r="G1927" t="s">
        <v>174</v>
      </c>
      <c r="H1927" t="s">
        <v>87</v>
      </c>
      <c r="I1927" t="s">
        <v>77</v>
      </c>
      <c r="J1927" t="str">
        <f t="shared" si="240"/>
        <v/>
      </c>
      <c r="K1927" t="str">
        <f t="shared" si="241"/>
        <v>Duplicate</v>
      </c>
      <c r="L1927" t="str">
        <f t="shared" si="242"/>
        <v/>
      </c>
      <c r="M1927" t="str">
        <f t="shared" si="243"/>
        <v/>
      </c>
      <c r="N1927" t="str">
        <f t="shared" si="244"/>
        <v>Invalid</v>
      </c>
      <c r="O1927" t="str">
        <f t="shared" ca="1" si="245"/>
        <v>Outdated</v>
      </c>
      <c r="P1927" t="str">
        <f t="shared" si="246"/>
        <v>Not As Described</v>
      </c>
      <c r="Q1927" t="str">
        <f t="shared" si="247"/>
        <v/>
      </c>
    </row>
    <row r="1928" spans="1:17" x14ac:dyDescent="0.45">
      <c r="A1928" t="s">
        <v>2740</v>
      </c>
      <c r="B1928" t="s">
        <v>79</v>
      </c>
      <c r="C1928" t="s">
        <v>717</v>
      </c>
      <c r="D1928" t="s">
        <v>85</v>
      </c>
      <c r="E1928" s="8">
        <v>0</v>
      </c>
      <c r="F1928" s="9">
        <v>45608.666684444448</v>
      </c>
      <c r="G1928" t="s">
        <v>86</v>
      </c>
      <c r="H1928" t="s">
        <v>76</v>
      </c>
      <c r="I1928" t="s">
        <v>77</v>
      </c>
      <c r="J1928" t="str">
        <f t="shared" si="240"/>
        <v/>
      </c>
      <c r="K1928" t="str">
        <f t="shared" si="241"/>
        <v>Duplicate</v>
      </c>
      <c r="L1928" t="str">
        <f t="shared" si="242"/>
        <v>Unusual</v>
      </c>
      <c r="M1928" t="str">
        <f t="shared" si="243"/>
        <v/>
      </c>
      <c r="N1928" t="str">
        <f t="shared" si="244"/>
        <v/>
      </c>
      <c r="O1928" t="str">
        <f t="shared" ca="1" si="245"/>
        <v>Outdated</v>
      </c>
      <c r="P1928" t="str">
        <f t="shared" si="246"/>
        <v>Late Delivery</v>
      </c>
      <c r="Q1928" t="str">
        <f t="shared" si="247"/>
        <v/>
      </c>
    </row>
    <row r="1929" spans="1:17" x14ac:dyDescent="0.45">
      <c r="A1929" t="s">
        <v>2741</v>
      </c>
      <c r="B1929" t="s">
        <v>95</v>
      </c>
      <c r="C1929" t="s">
        <v>1061</v>
      </c>
      <c r="D1929" t="s">
        <v>74</v>
      </c>
      <c r="E1929" s="8">
        <v>3349.02</v>
      </c>
      <c r="F1929" s="9">
        <v>45326.666684444448</v>
      </c>
      <c r="G1929" t="s">
        <v>97</v>
      </c>
      <c r="I1929" t="s">
        <v>82</v>
      </c>
      <c r="J1929" t="str">
        <f t="shared" si="240"/>
        <v/>
      </c>
      <c r="K1929" t="str">
        <f t="shared" si="241"/>
        <v/>
      </c>
      <c r="L1929" t="str">
        <f t="shared" si="242"/>
        <v/>
      </c>
      <c r="M1929" t="str">
        <f t="shared" si="243"/>
        <v/>
      </c>
      <c r="N1929" t="str">
        <f t="shared" si="244"/>
        <v>Invalid</v>
      </c>
      <c r="O1929" t="str">
        <f t="shared" ca="1" si="245"/>
        <v>Outdated</v>
      </c>
      <c r="P1929" t="str">
        <f t="shared" si="246"/>
        <v>Wrong Item</v>
      </c>
      <c r="Q1929" t="str">
        <f t="shared" si="247"/>
        <v/>
      </c>
    </row>
    <row r="1930" spans="1:17" x14ac:dyDescent="0.45">
      <c r="A1930" t="s">
        <v>2742</v>
      </c>
      <c r="B1930" t="s">
        <v>138</v>
      </c>
      <c r="C1930" t="s">
        <v>2629</v>
      </c>
      <c r="D1930" t="s">
        <v>92</v>
      </c>
      <c r="E1930" s="8">
        <v>2427.33</v>
      </c>
      <c r="F1930" s="9">
        <v>45504.666684444448</v>
      </c>
      <c r="G1930" t="s">
        <v>140</v>
      </c>
      <c r="H1930" t="s">
        <v>145</v>
      </c>
      <c r="I1930" t="s">
        <v>163</v>
      </c>
      <c r="J1930" t="str">
        <f t="shared" si="240"/>
        <v/>
      </c>
      <c r="K1930" t="str">
        <f t="shared" si="241"/>
        <v/>
      </c>
      <c r="L1930" t="str">
        <f t="shared" si="242"/>
        <v/>
      </c>
      <c r="M1930" t="str">
        <f t="shared" si="243"/>
        <v/>
      </c>
      <c r="N1930" t="str">
        <f t="shared" si="244"/>
        <v/>
      </c>
      <c r="O1930" t="str">
        <f t="shared" ca="1" si="245"/>
        <v>Outdated</v>
      </c>
      <c r="P1930" t="str">
        <f t="shared" si="246"/>
        <v>Not As Described</v>
      </c>
      <c r="Q1930" t="str">
        <f t="shared" si="247"/>
        <v/>
      </c>
    </row>
    <row r="1931" spans="1:17" x14ac:dyDescent="0.45">
      <c r="A1931" t="s">
        <v>2743</v>
      </c>
      <c r="B1931" t="s">
        <v>79</v>
      </c>
      <c r="C1931" t="s">
        <v>2744</v>
      </c>
      <c r="D1931" t="s">
        <v>74</v>
      </c>
      <c r="E1931" s="8">
        <v>6055.69</v>
      </c>
      <c r="F1931" s="9">
        <v>45822.666684444448</v>
      </c>
      <c r="H1931" t="s">
        <v>107</v>
      </c>
      <c r="I1931" t="s">
        <v>112</v>
      </c>
      <c r="J1931" t="str">
        <f t="shared" si="240"/>
        <v/>
      </c>
      <c r="K1931" t="str">
        <f t="shared" si="241"/>
        <v/>
      </c>
      <c r="L1931" t="str">
        <f t="shared" si="242"/>
        <v/>
      </c>
      <c r="M1931" t="str">
        <f t="shared" si="243"/>
        <v>Invalid</v>
      </c>
      <c r="N1931" t="str">
        <f t="shared" si="244"/>
        <v/>
      </c>
      <c r="O1931" t="str">
        <f t="shared" ca="1" si="245"/>
        <v>Outdated</v>
      </c>
      <c r="P1931" t="str">
        <f t="shared" si="246"/>
        <v>Wrong Item</v>
      </c>
      <c r="Q1931" t="str">
        <f t="shared" si="247"/>
        <v/>
      </c>
    </row>
    <row r="1932" spans="1:17" x14ac:dyDescent="0.45">
      <c r="A1932" t="s">
        <v>270</v>
      </c>
      <c r="B1932" t="s">
        <v>172</v>
      </c>
      <c r="C1932" t="s">
        <v>926</v>
      </c>
      <c r="D1932" t="s">
        <v>101</v>
      </c>
      <c r="E1932" s="8">
        <v>7395.25</v>
      </c>
      <c r="F1932" s="9">
        <v>45712.666684444448</v>
      </c>
      <c r="G1932" t="s">
        <v>174</v>
      </c>
      <c r="H1932" t="s">
        <v>107</v>
      </c>
      <c r="I1932" t="s">
        <v>112</v>
      </c>
      <c r="J1932" t="str">
        <f t="shared" si="240"/>
        <v/>
      </c>
      <c r="K1932" t="str">
        <f t="shared" si="241"/>
        <v>Duplicate</v>
      </c>
      <c r="L1932" t="str">
        <f t="shared" si="242"/>
        <v/>
      </c>
      <c r="M1932" t="str">
        <f t="shared" si="243"/>
        <v/>
      </c>
      <c r="N1932" t="str">
        <f t="shared" si="244"/>
        <v/>
      </c>
      <c r="O1932" t="str">
        <f t="shared" ca="1" si="245"/>
        <v>Outdated</v>
      </c>
      <c r="P1932" t="str">
        <f t="shared" si="246"/>
        <v>Damaged</v>
      </c>
      <c r="Q1932" t="str">
        <f t="shared" si="247"/>
        <v/>
      </c>
    </row>
    <row r="1933" spans="1:17" x14ac:dyDescent="0.45">
      <c r="A1933" t="s">
        <v>2745</v>
      </c>
      <c r="B1933" t="s">
        <v>90</v>
      </c>
      <c r="C1933" t="s">
        <v>1606</v>
      </c>
      <c r="D1933" t="s">
        <v>74</v>
      </c>
      <c r="E1933" s="8">
        <v>11512.56</v>
      </c>
      <c r="F1933" s="9">
        <v>45579.666684444448</v>
      </c>
      <c r="G1933" t="s">
        <v>93</v>
      </c>
      <c r="I1933" t="s">
        <v>112</v>
      </c>
      <c r="J1933" t="str">
        <f t="shared" si="240"/>
        <v/>
      </c>
      <c r="K1933" t="str">
        <f t="shared" si="241"/>
        <v/>
      </c>
      <c r="L1933" t="str">
        <f t="shared" si="242"/>
        <v>Unusual</v>
      </c>
      <c r="M1933" t="str">
        <f t="shared" si="243"/>
        <v/>
      </c>
      <c r="N1933" t="str">
        <f t="shared" si="244"/>
        <v>Invalid</v>
      </c>
      <c r="O1933" t="str">
        <f t="shared" ca="1" si="245"/>
        <v>Outdated</v>
      </c>
      <c r="P1933" t="str">
        <f t="shared" si="246"/>
        <v>Wrong Item</v>
      </c>
      <c r="Q1933" t="str">
        <f t="shared" si="247"/>
        <v/>
      </c>
    </row>
    <row r="1934" spans="1:17" x14ac:dyDescent="0.45">
      <c r="A1934" t="s">
        <v>2746</v>
      </c>
      <c r="B1934" t="s">
        <v>95</v>
      </c>
      <c r="C1934" t="s">
        <v>1599</v>
      </c>
      <c r="D1934" t="s">
        <v>101</v>
      </c>
      <c r="E1934" s="8">
        <v>3734.32</v>
      </c>
      <c r="F1934" s="9">
        <v>45600.666684444448</v>
      </c>
      <c r="G1934" t="s">
        <v>97</v>
      </c>
      <c r="H1934" t="s">
        <v>133</v>
      </c>
      <c r="I1934" t="s">
        <v>82</v>
      </c>
      <c r="J1934" t="str">
        <f t="shared" si="240"/>
        <v/>
      </c>
      <c r="K1934" t="str">
        <f t="shared" si="241"/>
        <v/>
      </c>
      <c r="L1934" t="str">
        <f t="shared" si="242"/>
        <v/>
      </c>
      <c r="M1934" t="str">
        <f t="shared" si="243"/>
        <v/>
      </c>
      <c r="N1934" t="str">
        <f t="shared" si="244"/>
        <v>Invalid</v>
      </c>
      <c r="O1934" t="str">
        <f t="shared" ca="1" si="245"/>
        <v>Outdated</v>
      </c>
      <c r="P1934" t="str">
        <f t="shared" si="246"/>
        <v>Damaged</v>
      </c>
      <c r="Q1934" t="str">
        <f t="shared" si="247"/>
        <v/>
      </c>
    </row>
    <row r="1935" spans="1:17" x14ac:dyDescent="0.45">
      <c r="A1935" t="s">
        <v>2747</v>
      </c>
      <c r="B1935" t="s">
        <v>104</v>
      </c>
      <c r="C1935" t="s">
        <v>446</v>
      </c>
      <c r="D1935" t="s">
        <v>101</v>
      </c>
      <c r="E1935" s="8">
        <v>10401.17</v>
      </c>
      <c r="F1935" s="9">
        <v>45416.666684444448</v>
      </c>
      <c r="G1935" t="s">
        <v>115</v>
      </c>
      <c r="H1935" t="s">
        <v>136</v>
      </c>
      <c r="I1935" t="s">
        <v>77</v>
      </c>
      <c r="J1935" t="str">
        <f t="shared" si="240"/>
        <v/>
      </c>
      <c r="K1935" t="str">
        <f t="shared" si="241"/>
        <v/>
      </c>
      <c r="L1935" t="str">
        <f t="shared" si="242"/>
        <v>Unusual</v>
      </c>
      <c r="M1935" t="str">
        <f t="shared" si="243"/>
        <v/>
      </c>
      <c r="N1935" t="str">
        <f t="shared" si="244"/>
        <v>Invalid</v>
      </c>
      <c r="O1935" t="str">
        <f t="shared" ca="1" si="245"/>
        <v>Outdated</v>
      </c>
      <c r="P1935" t="str">
        <f t="shared" si="246"/>
        <v>Damaged</v>
      </c>
      <c r="Q1935" t="str">
        <f t="shared" si="247"/>
        <v/>
      </c>
    </row>
    <row r="1936" spans="1:17" x14ac:dyDescent="0.45">
      <c r="A1936" t="s">
        <v>2677</v>
      </c>
      <c r="B1936" t="s">
        <v>79</v>
      </c>
      <c r="C1936" t="s">
        <v>1804</v>
      </c>
      <c r="D1936" t="s">
        <v>85</v>
      </c>
      <c r="E1936" s="8">
        <v>11918.71</v>
      </c>
      <c r="F1936" s="9">
        <v>45519.666684444448</v>
      </c>
      <c r="G1936" t="s">
        <v>86</v>
      </c>
      <c r="H1936" t="s">
        <v>145</v>
      </c>
      <c r="I1936" t="s">
        <v>82</v>
      </c>
      <c r="J1936" t="str">
        <f t="shared" si="240"/>
        <v/>
      </c>
      <c r="K1936" t="str">
        <f t="shared" si="241"/>
        <v>Duplicate</v>
      </c>
      <c r="L1936" t="str">
        <f t="shared" si="242"/>
        <v>Unusual</v>
      </c>
      <c r="M1936" t="str">
        <f t="shared" si="243"/>
        <v/>
      </c>
      <c r="N1936" t="str">
        <f t="shared" si="244"/>
        <v/>
      </c>
      <c r="O1936" t="str">
        <f t="shared" ca="1" si="245"/>
        <v>Outdated</v>
      </c>
      <c r="P1936" t="str">
        <f t="shared" si="246"/>
        <v>Late Delivery</v>
      </c>
      <c r="Q1936" t="str">
        <f t="shared" si="247"/>
        <v/>
      </c>
    </row>
    <row r="1937" spans="1:17" x14ac:dyDescent="0.45">
      <c r="A1937" t="s">
        <v>2748</v>
      </c>
      <c r="B1937" t="s">
        <v>109</v>
      </c>
      <c r="C1937" t="s">
        <v>2749</v>
      </c>
      <c r="D1937" t="s">
        <v>92</v>
      </c>
      <c r="E1937" s="8">
        <v>0</v>
      </c>
      <c r="F1937" s="9">
        <v>45642.666684444448</v>
      </c>
      <c r="G1937" t="s">
        <v>111</v>
      </c>
      <c r="H1937" t="s">
        <v>107</v>
      </c>
      <c r="I1937" t="s">
        <v>77</v>
      </c>
      <c r="J1937" t="str">
        <f t="shared" si="240"/>
        <v/>
      </c>
      <c r="K1937" t="str">
        <f t="shared" si="241"/>
        <v/>
      </c>
      <c r="L1937" t="str">
        <f t="shared" si="242"/>
        <v>Unusual</v>
      </c>
      <c r="M1937" t="str">
        <f t="shared" si="243"/>
        <v/>
      </c>
      <c r="N1937" t="str">
        <f t="shared" si="244"/>
        <v/>
      </c>
      <c r="O1937" t="str">
        <f t="shared" ca="1" si="245"/>
        <v>Outdated</v>
      </c>
      <c r="P1937" t="str">
        <f t="shared" si="246"/>
        <v>Not As Described</v>
      </c>
      <c r="Q1937" t="str">
        <f t="shared" si="247"/>
        <v/>
      </c>
    </row>
    <row r="1938" spans="1:17" x14ac:dyDescent="0.45">
      <c r="A1938" t="s">
        <v>2750</v>
      </c>
      <c r="B1938" t="s">
        <v>79</v>
      </c>
      <c r="C1938" t="s">
        <v>2751</v>
      </c>
      <c r="D1938" t="s">
        <v>155</v>
      </c>
      <c r="E1938" s="8">
        <v>7477.94</v>
      </c>
      <c r="F1938" s="9">
        <v>45668.666684444448</v>
      </c>
      <c r="G1938" t="s">
        <v>278</v>
      </c>
      <c r="H1938" t="s">
        <v>133</v>
      </c>
      <c r="I1938" t="s">
        <v>88</v>
      </c>
      <c r="J1938" t="str">
        <f t="shared" si="240"/>
        <v/>
      </c>
      <c r="K1938" t="str">
        <f t="shared" si="241"/>
        <v/>
      </c>
      <c r="L1938" t="str">
        <f t="shared" si="242"/>
        <v/>
      </c>
      <c r="M1938" t="str">
        <f t="shared" si="243"/>
        <v>Invalid</v>
      </c>
      <c r="N1938" t="str">
        <f t="shared" si="244"/>
        <v>Invalid</v>
      </c>
      <c r="O1938" t="str">
        <f t="shared" ca="1" si="245"/>
        <v>Outdated</v>
      </c>
      <c r="P1938" t="str">
        <f t="shared" si="246"/>
        <v>Damaged</v>
      </c>
      <c r="Q1938" t="str">
        <f t="shared" si="247"/>
        <v>Inconsistent</v>
      </c>
    </row>
    <row r="1939" spans="1:17" x14ac:dyDescent="0.45">
      <c r="A1939" t="s">
        <v>2752</v>
      </c>
      <c r="B1939" t="s">
        <v>99</v>
      </c>
      <c r="C1939" t="s">
        <v>999</v>
      </c>
      <c r="D1939" t="s">
        <v>74</v>
      </c>
      <c r="E1939" s="8">
        <v>1399.24</v>
      </c>
      <c r="F1939" s="9">
        <v>45556.666684444448</v>
      </c>
      <c r="H1939" t="s">
        <v>116</v>
      </c>
      <c r="I1939" t="s">
        <v>82</v>
      </c>
      <c r="J1939" t="str">
        <f t="shared" si="240"/>
        <v/>
      </c>
      <c r="K1939" t="str">
        <f t="shared" si="241"/>
        <v/>
      </c>
      <c r="L1939" t="str">
        <f t="shared" si="242"/>
        <v/>
      </c>
      <c r="M1939" t="str">
        <f t="shared" si="243"/>
        <v>Invalid</v>
      </c>
      <c r="N1939" t="str">
        <f t="shared" si="244"/>
        <v/>
      </c>
      <c r="O1939" t="str">
        <f t="shared" ca="1" si="245"/>
        <v>Outdated</v>
      </c>
      <c r="P1939" t="str">
        <f t="shared" si="246"/>
        <v>Wrong Item</v>
      </c>
      <c r="Q1939" t="str">
        <f t="shared" si="247"/>
        <v/>
      </c>
    </row>
    <row r="1940" spans="1:17" x14ac:dyDescent="0.45">
      <c r="A1940" t="s">
        <v>2363</v>
      </c>
      <c r="B1940" t="s">
        <v>109</v>
      </c>
      <c r="C1940" t="s">
        <v>1596</v>
      </c>
      <c r="D1940" t="s">
        <v>74</v>
      </c>
      <c r="E1940" s="8">
        <v>305.37</v>
      </c>
      <c r="F1940" s="9">
        <v>45293.666684444448</v>
      </c>
      <c r="G1940" t="s">
        <v>111</v>
      </c>
      <c r="H1940" t="s">
        <v>118</v>
      </c>
      <c r="I1940" t="s">
        <v>77</v>
      </c>
      <c r="J1940" t="str">
        <f t="shared" si="240"/>
        <v/>
      </c>
      <c r="K1940" t="str">
        <f t="shared" si="241"/>
        <v>Duplicate</v>
      </c>
      <c r="L1940" t="str">
        <f t="shared" si="242"/>
        <v/>
      </c>
      <c r="M1940" t="str">
        <f t="shared" si="243"/>
        <v/>
      </c>
      <c r="N1940" t="str">
        <f t="shared" si="244"/>
        <v>Invalid</v>
      </c>
      <c r="O1940" t="str">
        <f t="shared" ca="1" si="245"/>
        <v>Outdated</v>
      </c>
      <c r="P1940" t="str">
        <f t="shared" si="246"/>
        <v>Wrong Item</v>
      </c>
      <c r="Q1940" t="str">
        <f t="shared" si="247"/>
        <v/>
      </c>
    </row>
    <row r="1941" spans="1:17" x14ac:dyDescent="0.45">
      <c r="A1941" t="s">
        <v>2753</v>
      </c>
      <c r="B1941" t="s">
        <v>138</v>
      </c>
      <c r="C1941" t="s">
        <v>123</v>
      </c>
      <c r="D1941" t="s">
        <v>74</v>
      </c>
      <c r="E1941" s="8">
        <v>10712.91</v>
      </c>
      <c r="F1941" s="9">
        <v>45332.666684444448</v>
      </c>
      <c r="G1941" t="s">
        <v>140</v>
      </c>
      <c r="H1941" t="s">
        <v>87</v>
      </c>
      <c r="I1941" t="s">
        <v>119</v>
      </c>
      <c r="J1941" t="str">
        <f t="shared" si="240"/>
        <v/>
      </c>
      <c r="K1941" t="str">
        <f t="shared" si="241"/>
        <v/>
      </c>
      <c r="L1941" t="str">
        <f t="shared" si="242"/>
        <v>Unusual</v>
      </c>
      <c r="M1941" t="str">
        <f t="shared" si="243"/>
        <v/>
      </c>
      <c r="N1941" t="str">
        <f t="shared" si="244"/>
        <v>Invalid</v>
      </c>
      <c r="O1941" t="str">
        <f t="shared" ca="1" si="245"/>
        <v>Outdated</v>
      </c>
      <c r="P1941" t="str">
        <f t="shared" si="246"/>
        <v>Wrong Item</v>
      </c>
      <c r="Q1941" t="str">
        <f t="shared" si="247"/>
        <v/>
      </c>
    </row>
    <row r="1942" spans="1:17" x14ac:dyDescent="0.45">
      <c r="A1942" t="s">
        <v>2754</v>
      </c>
      <c r="B1942" t="s">
        <v>172</v>
      </c>
      <c r="C1942" t="s">
        <v>1018</v>
      </c>
      <c r="D1942" t="s">
        <v>74</v>
      </c>
      <c r="E1942" s="8">
        <v>8394.5300000000007</v>
      </c>
      <c r="F1942" s="9">
        <v>45747.666684444448</v>
      </c>
      <c r="G1942" t="s">
        <v>236</v>
      </c>
      <c r="H1942" t="s">
        <v>87</v>
      </c>
      <c r="I1942" t="s">
        <v>119</v>
      </c>
      <c r="J1942" t="str">
        <f t="shared" si="240"/>
        <v/>
      </c>
      <c r="K1942" t="str">
        <f t="shared" si="241"/>
        <v/>
      </c>
      <c r="L1942" t="str">
        <f t="shared" si="242"/>
        <v/>
      </c>
      <c r="M1942" t="str">
        <f t="shared" si="243"/>
        <v>Invalid</v>
      </c>
      <c r="N1942" t="str">
        <f t="shared" si="244"/>
        <v>Invalid</v>
      </c>
      <c r="O1942" t="str">
        <f t="shared" ca="1" si="245"/>
        <v>Outdated</v>
      </c>
      <c r="P1942" t="str">
        <f t="shared" si="246"/>
        <v>Wrong Item</v>
      </c>
      <c r="Q1942" t="str">
        <f t="shared" si="247"/>
        <v/>
      </c>
    </row>
    <row r="1943" spans="1:17" x14ac:dyDescent="0.45">
      <c r="A1943" t="s">
        <v>2755</v>
      </c>
      <c r="B1943" t="s">
        <v>109</v>
      </c>
      <c r="C1943" t="s">
        <v>1542</v>
      </c>
      <c r="D1943" t="s">
        <v>92</v>
      </c>
      <c r="E1943" s="8">
        <v>6144.38</v>
      </c>
      <c r="F1943" s="9">
        <v>45269.666684444448</v>
      </c>
      <c r="H1943" t="s">
        <v>76</v>
      </c>
      <c r="I1943" t="s">
        <v>112</v>
      </c>
      <c r="J1943" t="str">
        <f t="shared" si="240"/>
        <v/>
      </c>
      <c r="K1943" t="str">
        <f t="shared" si="241"/>
        <v/>
      </c>
      <c r="L1943" t="str">
        <f t="shared" si="242"/>
        <v/>
      </c>
      <c r="M1943" t="str">
        <f t="shared" si="243"/>
        <v>Invalid</v>
      </c>
      <c r="N1943" t="str">
        <f t="shared" si="244"/>
        <v/>
      </c>
      <c r="O1943" t="str">
        <f t="shared" ca="1" si="245"/>
        <v>Outdated</v>
      </c>
      <c r="P1943" t="str">
        <f t="shared" si="246"/>
        <v>Not As Described</v>
      </c>
      <c r="Q1943" t="str">
        <f t="shared" si="247"/>
        <v/>
      </c>
    </row>
    <row r="1944" spans="1:17" x14ac:dyDescent="0.45">
      <c r="A1944" t="s">
        <v>2756</v>
      </c>
      <c r="B1944" t="s">
        <v>138</v>
      </c>
      <c r="C1944" t="s">
        <v>687</v>
      </c>
      <c r="D1944" t="s">
        <v>92</v>
      </c>
      <c r="E1944" s="8">
        <v>4092.21</v>
      </c>
      <c r="F1944" s="9">
        <v>45384.666684444448</v>
      </c>
      <c r="G1944" t="s">
        <v>140</v>
      </c>
      <c r="H1944" t="s">
        <v>133</v>
      </c>
      <c r="I1944" t="s">
        <v>88</v>
      </c>
      <c r="J1944" t="str">
        <f t="shared" si="240"/>
        <v/>
      </c>
      <c r="K1944" t="str">
        <f t="shared" si="241"/>
        <v/>
      </c>
      <c r="L1944" t="str">
        <f t="shared" si="242"/>
        <v/>
      </c>
      <c r="M1944" t="str">
        <f t="shared" si="243"/>
        <v/>
      </c>
      <c r="N1944" t="str">
        <f t="shared" si="244"/>
        <v>Invalid</v>
      </c>
      <c r="O1944" t="str">
        <f t="shared" ca="1" si="245"/>
        <v>Outdated</v>
      </c>
      <c r="P1944" t="str">
        <f t="shared" si="246"/>
        <v>Not As Described</v>
      </c>
      <c r="Q1944" t="str">
        <f t="shared" si="247"/>
        <v/>
      </c>
    </row>
    <row r="1945" spans="1:17" x14ac:dyDescent="0.45">
      <c r="A1945" t="s">
        <v>2757</v>
      </c>
      <c r="B1945" t="s">
        <v>138</v>
      </c>
      <c r="C1945" t="s">
        <v>970</v>
      </c>
      <c r="D1945" t="s">
        <v>92</v>
      </c>
      <c r="E1945" s="8">
        <v>9854.4</v>
      </c>
      <c r="F1945" s="9">
        <v>45181.666684444448</v>
      </c>
      <c r="G1945" t="s">
        <v>140</v>
      </c>
      <c r="H1945" t="s">
        <v>133</v>
      </c>
      <c r="I1945" t="s">
        <v>77</v>
      </c>
      <c r="J1945" t="str">
        <f t="shared" si="240"/>
        <v/>
      </c>
      <c r="K1945" t="str">
        <f t="shared" si="241"/>
        <v/>
      </c>
      <c r="L1945" t="str">
        <f t="shared" si="242"/>
        <v/>
      </c>
      <c r="M1945" t="str">
        <f t="shared" si="243"/>
        <v/>
      </c>
      <c r="N1945" t="str">
        <f t="shared" si="244"/>
        <v>Invalid</v>
      </c>
      <c r="O1945" t="str">
        <f t="shared" ca="1" si="245"/>
        <v>Outdated</v>
      </c>
      <c r="P1945" t="str">
        <f t="shared" si="246"/>
        <v>Not As Described</v>
      </c>
      <c r="Q1945" t="str">
        <f t="shared" si="247"/>
        <v/>
      </c>
    </row>
    <row r="1946" spans="1:17" x14ac:dyDescent="0.45">
      <c r="A1946" t="s">
        <v>2758</v>
      </c>
      <c r="B1946" t="s">
        <v>138</v>
      </c>
      <c r="D1946" t="s">
        <v>74</v>
      </c>
      <c r="E1946" s="8">
        <v>6443.08</v>
      </c>
      <c r="F1946" s="9">
        <v>45784.666684444448</v>
      </c>
      <c r="G1946" t="s">
        <v>140</v>
      </c>
      <c r="H1946" t="s">
        <v>87</v>
      </c>
      <c r="I1946" t="s">
        <v>88</v>
      </c>
      <c r="J1946" t="str">
        <f t="shared" si="240"/>
        <v>Missing</v>
      </c>
      <c r="K1946" t="str">
        <f t="shared" si="241"/>
        <v/>
      </c>
      <c r="L1946" t="str">
        <f t="shared" si="242"/>
        <v/>
      </c>
      <c r="M1946" t="str">
        <f t="shared" si="243"/>
        <v/>
      </c>
      <c r="N1946" t="str">
        <f t="shared" si="244"/>
        <v>Invalid</v>
      </c>
      <c r="O1946" t="str">
        <f t="shared" ca="1" si="245"/>
        <v>Outdated</v>
      </c>
      <c r="P1946" t="str">
        <f t="shared" si="246"/>
        <v>Wrong Item</v>
      </c>
      <c r="Q1946" t="str">
        <f t="shared" si="247"/>
        <v/>
      </c>
    </row>
    <row r="1947" spans="1:17" x14ac:dyDescent="0.45">
      <c r="A1947" t="s">
        <v>2759</v>
      </c>
      <c r="B1947" t="s">
        <v>99</v>
      </c>
      <c r="C1947" t="s">
        <v>1325</v>
      </c>
      <c r="D1947" t="s">
        <v>101</v>
      </c>
      <c r="E1947" s="8">
        <v>1457.58</v>
      </c>
      <c r="F1947" s="9">
        <v>45620.666684444448</v>
      </c>
      <c r="G1947" t="s">
        <v>102</v>
      </c>
      <c r="H1947" t="s">
        <v>128</v>
      </c>
      <c r="I1947" t="s">
        <v>163</v>
      </c>
      <c r="J1947" t="str">
        <f t="shared" si="240"/>
        <v/>
      </c>
      <c r="K1947" t="str">
        <f t="shared" si="241"/>
        <v/>
      </c>
      <c r="L1947" t="str">
        <f t="shared" si="242"/>
        <v/>
      </c>
      <c r="M1947" t="str">
        <f t="shared" si="243"/>
        <v/>
      </c>
      <c r="N1947" t="str">
        <f t="shared" si="244"/>
        <v>Invalid</v>
      </c>
      <c r="O1947" t="str">
        <f t="shared" ca="1" si="245"/>
        <v>Outdated</v>
      </c>
      <c r="P1947" t="str">
        <f t="shared" si="246"/>
        <v>Damaged</v>
      </c>
      <c r="Q1947" t="str">
        <f t="shared" si="247"/>
        <v/>
      </c>
    </row>
    <row r="1948" spans="1:17" x14ac:dyDescent="0.45">
      <c r="A1948" t="s">
        <v>2760</v>
      </c>
      <c r="B1948" t="s">
        <v>109</v>
      </c>
      <c r="C1948" t="s">
        <v>685</v>
      </c>
      <c r="D1948" t="s">
        <v>85</v>
      </c>
      <c r="E1948" s="8">
        <v>8433.49</v>
      </c>
      <c r="F1948" s="9">
        <v>45508.666684444448</v>
      </c>
      <c r="G1948" t="s">
        <v>111</v>
      </c>
      <c r="I1948" t="s">
        <v>77</v>
      </c>
      <c r="J1948" t="str">
        <f t="shared" si="240"/>
        <v/>
      </c>
      <c r="K1948" t="str">
        <f t="shared" si="241"/>
        <v/>
      </c>
      <c r="L1948" t="str">
        <f t="shared" si="242"/>
        <v/>
      </c>
      <c r="M1948" t="str">
        <f t="shared" si="243"/>
        <v/>
      </c>
      <c r="N1948" t="str">
        <f t="shared" si="244"/>
        <v>Invalid</v>
      </c>
      <c r="O1948" t="str">
        <f t="shared" ca="1" si="245"/>
        <v>Outdated</v>
      </c>
      <c r="P1948" t="str">
        <f t="shared" si="246"/>
        <v>Late Delivery</v>
      </c>
      <c r="Q1948" t="str">
        <f t="shared" si="247"/>
        <v/>
      </c>
    </row>
    <row r="1949" spans="1:17" x14ac:dyDescent="0.45">
      <c r="A1949" t="s">
        <v>242</v>
      </c>
      <c r="B1949" t="s">
        <v>72</v>
      </c>
      <c r="C1949" t="s">
        <v>1636</v>
      </c>
      <c r="D1949" t="s">
        <v>74</v>
      </c>
      <c r="E1949" s="8">
        <v>2919.28</v>
      </c>
      <c r="F1949" s="9">
        <v>45695.666684444448</v>
      </c>
      <c r="G1949" t="s">
        <v>75</v>
      </c>
      <c r="H1949" t="s">
        <v>87</v>
      </c>
      <c r="I1949" t="s">
        <v>82</v>
      </c>
      <c r="J1949" t="str">
        <f t="shared" si="240"/>
        <v/>
      </c>
      <c r="K1949" t="str">
        <f t="shared" si="241"/>
        <v>Duplicate</v>
      </c>
      <c r="L1949" t="str">
        <f t="shared" si="242"/>
        <v/>
      </c>
      <c r="M1949" t="str">
        <f t="shared" si="243"/>
        <v/>
      </c>
      <c r="N1949" t="str">
        <f t="shared" si="244"/>
        <v>Invalid</v>
      </c>
      <c r="O1949" t="str">
        <f t="shared" ca="1" si="245"/>
        <v>Outdated</v>
      </c>
      <c r="P1949" t="str">
        <f t="shared" si="246"/>
        <v>Wrong Item</v>
      </c>
      <c r="Q1949" t="str">
        <f t="shared" si="247"/>
        <v/>
      </c>
    </row>
    <row r="1950" spans="1:17" x14ac:dyDescent="0.45">
      <c r="A1950" t="s">
        <v>2761</v>
      </c>
      <c r="B1950" t="s">
        <v>172</v>
      </c>
      <c r="C1950" t="s">
        <v>1279</v>
      </c>
      <c r="D1950" t="s">
        <v>85</v>
      </c>
      <c r="E1950" s="8">
        <v>8914.9</v>
      </c>
      <c r="F1950" s="9">
        <v>45233.666684444448</v>
      </c>
      <c r="G1950" t="s">
        <v>174</v>
      </c>
      <c r="H1950" t="s">
        <v>76</v>
      </c>
      <c r="I1950" t="s">
        <v>77</v>
      </c>
      <c r="J1950" t="str">
        <f t="shared" si="240"/>
        <v/>
      </c>
      <c r="K1950" t="str">
        <f t="shared" si="241"/>
        <v/>
      </c>
      <c r="L1950" t="str">
        <f t="shared" si="242"/>
        <v/>
      </c>
      <c r="M1950" t="str">
        <f t="shared" si="243"/>
        <v/>
      </c>
      <c r="N1950" t="str">
        <f t="shared" si="244"/>
        <v/>
      </c>
      <c r="O1950" t="str">
        <f t="shared" ca="1" si="245"/>
        <v>Outdated</v>
      </c>
      <c r="P1950" t="str">
        <f t="shared" si="246"/>
        <v>Late Delivery</v>
      </c>
      <c r="Q1950" t="str">
        <f t="shared" si="247"/>
        <v/>
      </c>
    </row>
    <row r="1951" spans="1:17" x14ac:dyDescent="0.45">
      <c r="A1951" t="s">
        <v>2762</v>
      </c>
      <c r="B1951" t="s">
        <v>90</v>
      </c>
      <c r="C1951" t="s">
        <v>2763</v>
      </c>
      <c r="D1951" t="s">
        <v>106</v>
      </c>
      <c r="E1951" s="8">
        <v>9820.83</v>
      </c>
      <c r="F1951" s="9">
        <v>45856.666684444448</v>
      </c>
      <c r="G1951" t="s">
        <v>93</v>
      </c>
      <c r="H1951" t="s">
        <v>133</v>
      </c>
      <c r="I1951" t="s">
        <v>112</v>
      </c>
      <c r="J1951" t="str">
        <f t="shared" si="240"/>
        <v/>
      </c>
      <c r="K1951" t="str">
        <f t="shared" si="241"/>
        <v/>
      </c>
      <c r="L1951" t="str">
        <f t="shared" si="242"/>
        <v/>
      </c>
      <c r="M1951" t="str">
        <f t="shared" si="243"/>
        <v/>
      </c>
      <c r="N1951" t="str">
        <f t="shared" si="244"/>
        <v>Invalid</v>
      </c>
      <c r="O1951" t="str">
        <f t="shared" ca="1" si="245"/>
        <v/>
      </c>
      <c r="P1951" t="str">
        <f t="shared" si="246"/>
        <v>Damaged</v>
      </c>
      <c r="Q1951" t="str">
        <f t="shared" si="247"/>
        <v>Inconsistent</v>
      </c>
    </row>
    <row r="1952" spans="1:17" x14ac:dyDescent="0.45">
      <c r="A1952" t="s">
        <v>2764</v>
      </c>
      <c r="B1952" t="s">
        <v>79</v>
      </c>
      <c r="C1952" t="s">
        <v>1813</v>
      </c>
      <c r="D1952" t="s">
        <v>101</v>
      </c>
      <c r="E1952" s="8">
        <v>2306.0700000000002</v>
      </c>
      <c r="F1952" s="9">
        <v>45656.666684444448</v>
      </c>
      <c r="G1952" t="s">
        <v>86</v>
      </c>
      <c r="H1952" t="s">
        <v>81</v>
      </c>
      <c r="I1952" t="s">
        <v>112</v>
      </c>
      <c r="J1952" t="str">
        <f t="shared" si="240"/>
        <v/>
      </c>
      <c r="K1952" t="str">
        <f t="shared" si="241"/>
        <v/>
      </c>
      <c r="L1952" t="str">
        <f t="shared" si="242"/>
        <v/>
      </c>
      <c r="M1952" t="str">
        <f t="shared" si="243"/>
        <v/>
      </c>
      <c r="N1952" t="str">
        <f t="shared" si="244"/>
        <v/>
      </c>
      <c r="O1952" t="str">
        <f t="shared" ca="1" si="245"/>
        <v>Outdated</v>
      </c>
      <c r="P1952" t="str">
        <f t="shared" si="246"/>
        <v>Damaged</v>
      </c>
      <c r="Q1952" t="str">
        <f t="shared" si="247"/>
        <v/>
      </c>
    </row>
    <row r="1953" spans="1:17" x14ac:dyDescent="0.45">
      <c r="A1953" t="s">
        <v>2765</v>
      </c>
      <c r="B1953" t="s">
        <v>99</v>
      </c>
      <c r="C1953" t="s">
        <v>1299</v>
      </c>
      <c r="D1953" t="s">
        <v>92</v>
      </c>
      <c r="E1953" s="8">
        <v>0</v>
      </c>
      <c r="F1953" s="9">
        <v>45255.666684444448</v>
      </c>
      <c r="G1953" t="s">
        <v>102</v>
      </c>
      <c r="H1953" t="s">
        <v>87</v>
      </c>
      <c r="I1953" t="s">
        <v>82</v>
      </c>
      <c r="J1953" t="str">
        <f t="shared" si="240"/>
        <v/>
      </c>
      <c r="K1953" t="str">
        <f t="shared" si="241"/>
        <v/>
      </c>
      <c r="L1953" t="str">
        <f t="shared" si="242"/>
        <v>Unusual</v>
      </c>
      <c r="M1953" t="str">
        <f t="shared" si="243"/>
        <v/>
      </c>
      <c r="N1953" t="str">
        <f t="shared" si="244"/>
        <v>Invalid</v>
      </c>
      <c r="O1953" t="str">
        <f t="shared" ca="1" si="245"/>
        <v>Outdated</v>
      </c>
      <c r="P1953" t="str">
        <f t="shared" si="246"/>
        <v>Not As Described</v>
      </c>
      <c r="Q1953" t="str">
        <f t="shared" si="247"/>
        <v/>
      </c>
    </row>
    <row r="1954" spans="1:17" x14ac:dyDescent="0.45">
      <c r="A1954" t="s">
        <v>2766</v>
      </c>
      <c r="B1954" t="s">
        <v>95</v>
      </c>
      <c r="C1954" t="s">
        <v>1207</v>
      </c>
      <c r="D1954" t="s">
        <v>85</v>
      </c>
      <c r="E1954" s="8">
        <v>1548.05</v>
      </c>
      <c r="F1954" s="9">
        <v>45419.666684444448</v>
      </c>
      <c r="G1954" t="s">
        <v>97</v>
      </c>
      <c r="H1954" t="s">
        <v>87</v>
      </c>
      <c r="I1954" t="s">
        <v>77</v>
      </c>
      <c r="J1954" t="str">
        <f t="shared" si="240"/>
        <v/>
      </c>
      <c r="K1954" t="str">
        <f t="shared" si="241"/>
        <v/>
      </c>
      <c r="L1954" t="str">
        <f t="shared" si="242"/>
        <v/>
      </c>
      <c r="M1954" t="str">
        <f t="shared" si="243"/>
        <v/>
      </c>
      <c r="N1954" t="str">
        <f t="shared" si="244"/>
        <v>Invalid</v>
      </c>
      <c r="O1954" t="str">
        <f t="shared" ca="1" si="245"/>
        <v>Outdated</v>
      </c>
      <c r="P1954" t="str">
        <f t="shared" si="246"/>
        <v>Late Delivery</v>
      </c>
      <c r="Q1954" t="str">
        <f t="shared" si="247"/>
        <v/>
      </c>
    </row>
    <row r="1955" spans="1:17" x14ac:dyDescent="0.45">
      <c r="A1955" t="s">
        <v>2767</v>
      </c>
      <c r="B1955" t="s">
        <v>90</v>
      </c>
      <c r="C1955" t="s">
        <v>338</v>
      </c>
      <c r="D1955" t="s">
        <v>74</v>
      </c>
      <c r="E1955" s="8">
        <v>7596.35</v>
      </c>
      <c r="F1955" s="9">
        <v>45213.666684444448</v>
      </c>
      <c r="G1955" t="s">
        <v>93</v>
      </c>
      <c r="H1955" t="s">
        <v>116</v>
      </c>
      <c r="I1955" t="s">
        <v>119</v>
      </c>
      <c r="J1955" t="str">
        <f t="shared" si="240"/>
        <v/>
      </c>
      <c r="K1955" t="str">
        <f t="shared" si="241"/>
        <v/>
      </c>
      <c r="L1955" t="str">
        <f t="shared" si="242"/>
        <v/>
      </c>
      <c r="M1955" t="str">
        <f t="shared" si="243"/>
        <v/>
      </c>
      <c r="N1955" t="str">
        <f t="shared" si="244"/>
        <v/>
      </c>
      <c r="O1955" t="str">
        <f t="shared" ca="1" si="245"/>
        <v>Outdated</v>
      </c>
      <c r="P1955" t="str">
        <f t="shared" si="246"/>
        <v>Wrong Item</v>
      </c>
      <c r="Q1955" t="str">
        <f t="shared" si="247"/>
        <v/>
      </c>
    </row>
    <row r="1956" spans="1:17" x14ac:dyDescent="0.45">
      <c r="A1956" t="s">
        <v>2768</v>
      </c>
      <c r="B1956" t="s">
        <v>172</v>
      </c>
      <c r="C1956" t="s">
        <v>2769</v>
      </c>
      <c r="D1956" t="s">
        <v>85</v>
      </c>
      <c r="E1956" s="8">
        <v>3110.88</v>
      </c>
      <c r="F1956" s="9">
        <v>45292.666684444448</v>
      </c>
      <c r="G1956" t="s">
        <v>174</v>
      </c>
      <c r="H1956" t="s">
        <v>107</v>
      </c>
      <c r="I1956" t="s">
        <v>112</v>
      </c>
      <c r="J1956" t="str">
        <f t="shared" si="240"/>
        <v/>
      </c>
      <c r="K1956" t="str">
        <f t="shared" si="241"/>
        <v/>
      </c>
      <c r="L1956" t="str">
        <f t="shared" si="242"/>
        <v/>
      </c>
      <c r="M1956" t="str">
        <f t="shared" si="243"/>
        <v/>
      </c>
      <c r="N1956" t="str">
        <f t="shared" si="244"/>
        <v/>
      </c>
      <c r="O1956" t="str">
        <f t="shared" ca="1" si="245"/>
        <v>Outdated</v>
      </c>
      <c r="P1956" t="str">
        <f t="shared" si="246"/>
        <v>Late Delivery</v>
      </c>
      <c r="Q1956" t="str">
        <f t="shared" si="247"/>
        <v/>
      </c>
    </row>
    <row r="1957" spans="1:17" x14ac:dyDescent="0.45">
      <c r="A1957" t="s">
        <v>2770</v>
      </c>
      <c r="B1957" t="s">
        <v>99</v>
      </c>
      <c r="C1957" t="s">
        <v>915</v>
      </c>
      <c r="D1957" t="s">
        <v>101</v>
      </c>
      <c r="E1957" s="8">
        <v>254.07</v>
      </c>
      <c r="F1957" s="9">
        <v>45407.666684444448</v>
      </c>
      <c r="I1957" t="s">
        <v>112</v>
      </c>
      <c r="J1957" t="str">
        <f t="shared" si="240"/>
        <v/>
      </c>
      <c r="K1957" t="str">
        <f t="shared" si="241"/>
        <v/>
      </c>
      <c r="L1957" t="str">
        <f t="shared" si="242"/>
        <v/>
      </c>
      <c r="M1957" t="str">
        <f t="shared" si="243"/>
        <v>Invalid</v>
      </c>
      <c r="N1957" t="str">
        <f t="shared" si="244"/>
        <v>Invalid</v>
      </c>
      <c r="O1957" t="str">
        <f t="shared" ca="1" si="245"/>
        <v>Outdated</v>
      </c>
      <c r="P1957" t="str">
        <f t="shared" si="246"/>
        <v>Damaged</v>
      </c>
      <c r="Q1957" t="str">
        <f t="shared" si="247"/>
        <v/>
      </c>
    </row>
    <row r="1958" spans="1:17" x14ac:dyDescent="0.45">
      <c r="A1958" t="s">
        <v>2771</v>
      </c>
      <c r="B1958" t="s">
        <v>90</v>
      </c>
      <c r="C1958" t="s">
        <v>208</v>
      </c>
      <c r="D1958" t="s">
        <v>74</v>
      </c>
      <c r="E1958" s="8">
        <v>8627.91</v>
      </c>
      <c r="F1958" s="9">
        <v>45588.666684444448</v>
      </c>
      <c r="G1958" t="s">
        <v>93</v>
      </c>
      <c r="H1958" t="s">
        <v>128</v>
      </c>
      <c r="I1958" t="s">
        <v>82</v>
      </c>
      <c r="J1958" t="str">
        <f t="shared" si="240"/>
        <v/>
      </c>
      <c r="K1958" t="str">
        <f t="shared" si="241"/>
        <v/>
      </c>
      <c r="L1958" t="str">
        <f t="shared" si="242"/>
        <v/>
      </c>
      <c r="M1958" t="str">
        <f t="shared" si="243"/>
        <v/>
      </c>
      <c r="N1958" t="str">
        <f t="shared" si="244"/>
        <v>Invalid</v>
      </c>
      <c r="O1958" t="str">
        <f t="shared" ca="1" si="245"/>
        <v>Outdated</v>
      </c>
      <c r="P1958" t="str">
        <f t="shared" si="246"/>
        <v>Wrong Item</v>
      </c>
      <c r="Q1958" t="str">
        <f t="shared" si="247"/>
        <v/>
      </c>
    </row>
    <row r="1959" spans="1:17" x14ac:dyDescent="0.45">
      <c r="A1959" t="s">
        <v>2772</v>
      </c>
      <c r="B1959" t="s">
        <v>79</v>
      </c>
      <c r="C1959" t="s">
        <v>2773</v>
      </c>
      <c r="D1959" t="s">
        <v>85</v>
      </c>
      <c r="E1959" s="8">
        <v>4993.42</v>
      </c>
      <c r="F1959" s="9">
        <v>45653.666684444448</v>
      </c>
      <c r="G1959" t="s">
        <v>278</v>
      </c>
      <c r="H1959" t="s">
        <v>76</v>
      </c>
      <c r="I1959" t="s">
        <v>163</v>
      </c>
      <c r="J1959" t="str">
        <f t="shared" si="240"/>
        <v/>
      </c>
      <c r="K1959" t="str">
        <f t="shared" si="241"/>
        <v/>
      </c>
      <c r="L1959" t="str">
        <f t="shared" si="242"/>
        <v/>
      </c>
      <c r="M1959" t="str">
        <f t="shared" si="243"/>
        <v>Invalid</v>
      </c>
      <c r="N1959" t="str">
        <f t="shared" si="244"/>
        <v/>
      </c>
      <c r="O1959" t="str">
        <f t="shared" ca="1" si="245"/>
        <v>Outdated</v>
      </c>
      <c r="P1959" t="str">
        <f t="shared" si="246"/>
        <v>Late Delivery</v>
      </c>
      <c r="Q1959" t="str">
        <f t="shared" si="247"/>
        <v/>
      </c>
    </row>
    <row r="1960" spans="1:17" x14ac:dyDescent="0.45">
      <c r="A1960" t="s">
        <v>2774</v>
      </c>
      <c r="B1960" t="s">
        <v>138</v>
      </c>
      <c r="C1960" t="s">
        <v>91</v>
      </c>
      <c r="D1960" t="s">
        <v>148</v>
      </c>
      <c r="E1960" s="8">
        <v>0</v>
      </c>
      <c r="F1960" s="9">
        <v>45278.666684444448</v>
      </c>
      <c r="G1960" t="s">
        <v>140</v>
      </c>
      <c r="H1960" t="s">
        <v>128</v>
      </c>
      <c r="I1960" t="s">
        <v>112</v>
      </c>
      <c r="J1960" t="str">
        <f t="shared" si="240"/>
        <v/>
      </c>
      <c r="K1960" t="str">
        <f t="shared" si="241"/>
        <v/>
      </c>
      <c r="L1960" t="str">
        <f t="shared" si="242"/>
        <v>Unusual</v>
      </c>
      <c r="M1960" t="str">
        <f t="shared" si="243"/>
        <v/>
      </c>
      <c r="N1960" t="str">
        <f t="shared" si="244"/>
        <v>Invalid</v>
      </c>
      <c r="O1960" t="str">
        <f t="shared" ca="1" si="245"/>
        <v>Outdated</v>
      </c>
      <c r="P1960" t="str">
        <f t="shared" si="246"/>
        <v>Wrong Item</v>
      </c>
      <c r="Q1960" t="str">
        <f t="shared" si="247"/>
        <v>Inconsistent</v>
      </c>
    </row>
    <row r="1961" spans="1:17" x14ac:dyDescent="0.45">
      <c r="A1961" t="s">
        <v>2775</v>
      </c>
      <c r="B1961" t="s">
        <v>138</v>
      </c>
      <c r="C1961" t="s">
        <v>332</v>
      </c>
      <c r="D1961" t="s">
        <v>101</v>
      </c>
      <c r="E1961" s="8">
        <v>757.14</v>
      </c>
      <c r="F1961" s="9">
        <v>45575.666684444448</v>
      </c>
      <c r="G1961" t="s">
        <v>140</v>
      </c>
      <c r="H1961" t="s">
        <v>76</v>
      </c>
      <c r="I1961" t="s">
        <v>119</v>
      </c>
      <c r="J1961" t="str">
        <f t="shared" si="240"/>
        <v/>
      </c>
      <c r="K1961" t="str">
        <f t="shared" si="241"/>
        <v/>
      </c>
      <c r="L1961" t="str">
        <f t="shared" si="242"/>
        <v/>
      </c>
      <c r="M1961" t="str">
        <f t="shared" si="243"/>
        <v/>
      </c>
      <c r="N1961" t="str">
        <f t="shared" si="244"/>
        <v/>
      </c>
      <c r="O1961" t="str">
        <f t="shared" ca="1" si="245"/>
        <v>Outdated</v>
      </c>
      <c r="P1961" t="str">
        <f t="shared" si="246"/>
        <v>Damaged</v>
      </c>
      <c r="Q1961" t="str">
        <f t="shared" si="247"/>
        <v/>
      </c>
    </row>
    <row r="1962" spans="1:17" x14ac:dyDescent="0.45">
      <c r="A1962" t="s">
        <v>2776</v>
      </c>
      <c r="B1962" t="s">
        <v>172</v>
      </c>
      <c r="C1962" t="s">
        <v>1257</v>
      </c>
      <c r="D1962" t="s">
        <v>101</v>
      </c>
      <c r="E1962" s="8">
        <v>7803.01</v>
      </c>
      <c r="F1962" s="9">
        <v>45221.666684444448</v>
      </c>
      <c r="G1962" t="s">
        <v>174</v>
      </c>
      <c r="H1962" t="s">
        <v>107</v>
      </c>
      <c r="I1962" t="s">
        <v>77</v>
      </c>
      <c r="J1962" t="str">
        <f t="shared" si="240"/>
        <v/>
      </c>
      <c r="K1962" t="str">
        <f t="shared" si="241"/>
        <v/>
      </c>
      <c r="L1962" t="str">
        <f t="shared" si="242"/>
        <v/>
      </c>
      <c r="M1962" t="str">
        <f t="shared" si="243"/>
        <v/>
      </c>
      <c r="N1962" t="str">
        <f t="shared" si="244"/>
        <v/>
      </c>
      <c r="O1962" t="str">
        <f t="shared" ca="1" si="245"/>
        <v>Outdated</v>
      </c>
      <c r="P1962" t="str">
        <f t="shared" si="246"/>
        <v>Damaged</v>
      </c>
      <c r="Q1962" t="str">
        <f t="shared" si="247"/>
        <v/>
      </c>
    </row>
    <row r="1963" spans="1:17" x14ac:dyDescent="0.45">
      <c r="A1963" t="s">
        <v>2777</v>
      </c>
      <c r="B1963" t="s">
        <v>79</v>
      </c>
      <c r="C1963" t="s">
        <v>631</v>
      </c>
      <c r="D1963" t="s">
        <v>148</v>
      </c>
      <c r="E1963" s="8">
        <v>4176.3599999999997</v>
      </c>
      <c r="F1963" s="9">
        <v>45355.666684444448</v>
      </c>
      <c r="G1963" t="s">
        <v>86</v>
      </c>
      <c r="H1963" t="s">
        <v>87</v>
      </c>
      <c r="I1963" t="s">
        <v>163</v>
      </c>
      <c r="J1963" t="str">
        <f t="shared" si="240"/>
        <v/>
      </c>
      <c r="K1963" t="str">
        <f t="shared" si="241"/>
        <v/>
      </c>
      <c r="L1963" t="str">
        <f t="shared" si="242"/>
        <v/>
      </c>
      <c r="M1963" t="str">
        <f t="shared" si="243"/>
        <v/>
      </c>
      <c r="N1963" t="str">
        <f t="shared" si="244"/>
        <v>Invalid</v>
      </c>
      <c r="O1963" t="str">
        <f t="shared" ca="1" si="245"/>
        <v>Outdated</v>
      </c>
      <c r="P1963" t="str">
        <f t="shared" si="246"/>
        <v>Wrong Item</v>
      </c>
      <c r="Q1963" t="str">
        <f t="shared" si="247"/>
        <v>Inconsistent</v>
      </c>
    </row>
    <row r="1964" spans="1:17" x14ac:dyDescent="0.45">
      <c r="A1964" t="s">
        <v>2778</v>
      </c>
      <c r="B1964" t="s">
        <v>90</v>
      </c>
      <c r="C1964" t="s">
        <v>1371</v>
      </c>
      <c r="E1964" s="8">
        <v>11742.94</v>
      </c>
      <c r="F1964" s="9">
        <v>45589.666684444448</v>
      </c>
      <c r="G1964" t="s">
        <v>93</v>
      </c>
      <c r="H1964" t="s">
        <v>133</v>
      </c>
      <c r="I1964" t="s">
        <v>163</v>
      </c>
      <c r="J1964" t="str">
        <f t="shared" si="240"/>
        <v>Missing</v>
      </c>
      <c r="K1964" t="str">
        <f t="shared" si="241"/>
        <v/>
      </c>
      <c r="L1964" t="str">
        <f t="shared" si="242"/>
        <v>Unusual</v>
      </c>
      <c r="M1964" t="str">
        <f t="shared" si="243"/>
        <v/>
      </c>
      <c r="N1964" t="str">
        <f t="shared" si="244"/>
        <v>Invalid</v>
      </c>
      <c r="O1964" t="str">
        <f t="shared" ca="1" si="245"/>
        <v>Outdated</v>
      </c>
      <c r="P1964" t="str">
        <f t="shared" si="246"/>
        <v/>
      </c>
      <c r="Q1964" t="str">
        <f t="shared" si="247"/>
        <v/>
      </c>
    </row>
    <row r="1965" spans="1:17" x14ac:dyDescent="0.45">
      <c r="A1965" t="s">
        <v>2779</v>
      </c>
      <c r="B1965" t="s">
        <v>104</v>
      </c>
      <c r="C1965" t="s">
        <v>610</v>
      </c>
      <c r="D1965" t="s">
        <v>92</v>
      </c>
      <c r="E1965" s="8">
        <v>4995.13</v>
      </c>
      <c r="F1965" s="9">
        <v>45485.666684444448</v>
      </c>
      <c r="G1965" t="s">
        <v>115</v>
      </c>
      <c r="H1965" t="s">
        <v>107</v>
      </c>
      <c r="I1965" t="s">
        <v>82</v>
      </c>
      <c r="J1965" t="str">
        <f t="shared" si="240"/>
        <v/>
      </c>
      <c r="K1965" t="str">
        <f t="shared" si="241"/>
        <v/>
      </c>
      <c r="L1965" t="str">
        <f t="shared" si="242"/>
        <v/>
      </c>
      <c r="M1965" t="str">
        <f t="shared" si="243"/>
        <v/>
      </c>
      <c r="N1965" t="str">
        <f t="shared" si="244"/>
        <v/>
      </c>
      <c r="O1965" t="str">
        <f t="shared" ca="1" si="245"/>
        <v>Outdated</v>
      </c>
      <c r="P1965" t="str">
        <f t="shared" si="246"/>
        <v>Not As Described</v>
      </c>
      <c r="Q1965" t="str">
        <f t="shared" si="247"/>
        <v/>
      </c>
    </row>
    <row r="1966" spans="1:17" x14ac:dyDescent="0.45">
      <c r="A1966" t="s">
        <v>2780</v>
      </c>
      <c r="B1966" t="s">
        <v>138</v>
      </c>
      <c r="D1966" t="s">
        <v>74</v>
      </c>
      <c r="E1966" s="8">
        <v>3631.11</v>
      </c>
      <c r="F1966" s="9">
        <v>45155.666684444448</v>
      </c>
      <c r="G1966" t="s">
        <v>140</v>
      </c>
      <c r="H1966" t="s">
        <v>133</v>
      </c>
      <c r="I1966" t="s">
        <v>119</v>
      </c>
      <c r="J1966" t="str">
        <f t="shared" si="240"/>
        <v>Missing</v>
      </c>
      <c r="K1966" t="str">
        <f t="shared" si="241"/>
        <v/>
      </c>
      <c r="L1966" t="str">
        <f t="shared" si="242"/>
        <v/>
      </c>
      <c r="M1966" t="str">
        <f t="shared" si="243"/>
        <v/>
      </c>
      <c r="N1966" t="str">
        <f t="shared" si="244"/>
        <v>Invalid</v>
      </c>
      <c r="O1966" t="str">
        <f t="shared" ca="1" si="245"/>
        <v>Outdated</v>
      </c>
      <c r="P1966" t="str">
        <f t="shared" si="246"/>
        <v>Wrong Item</v>
      </c>
      <c r="Q1966" t="str">
        <f t="shared" si="247"/>
        <v/>
      </c>
    </row>
    <row r="1967" spans="1:17" x14ac:dyDescent="0.45">
      <c r="A1967" t="s">
        <v>2781</v>
      </c>
      <c r="B1967" t="s">
        <v>72</v>
      </c>
      <c r="C1967" t="s">
        <v>1981</v>
      </c>
      <c r="D1967" t="s">
        <v>155</v>
      </c>
      <c r="E1967" s="8">
        <v>6386.95</v>
      </c>
      <c r="F1967" s="9">
        <v>45552.666684444448</v>
      </c>
      <c r="G1967" t="s">
        <v>521</v>
      </c>
      <c r="H1967" t="s">
        <v>107</v>
      </c>
      <c r="I1967" t="s">
        <v>112</v>
      </c>
      <c r="J1967" t="str">
        <f t="shared" si="240"/>
        <v/>
      </c>
      <c r="K1967" t="str">
        <f t="shared" si="241"/>
        <v/>
      </c>
      <c r="L1967" t="str">
        <f t="shared" si="242"/>
        <v/>
      </c>
      <c r="M1967" t="str">
        <f t="shared" si="243"/>
        <v>Invalid</v>
      </c>
      <c r="N1967" t="str">
        <f t="shared" si="244"/>
        <v/>
      </c>
      <c r="O1967" t="str">
        <f t="shared" ca="1" si="245"/>
        <v>Outdated</v>
      </c>
      <c r="P1967" t="str">
        <f t="shared" si="246"/>
        <v>Damaged</v>
      </c>
      <c r="Q1967" t="str">
        <f t="shared" si="247"/>
        <v>Inconsistent</v>
      </c>
    </row>
    <row r="1968" spans="1:17" x14ac:dyDescent="0.45">
      <c r="A1968" t="s">
        <v>2034</v>
      </c>
      <c r="B1968" t="s">
        <v>90</v>
      </c>
      <c r="C1968" t="s">
        <v>733</v>
      </c>
      <c r="D1968" t="s">
        <v>74</v>
      </c>
      <c r="E1968" s="8">
        <v>5865.35</v>
      </c>
      <c r="F1968" s="9">
        <v>45182.666684444448</v>
      </c>
      <c r="G1968" t="s">
        <v>93</v>
      </c>
      <c r="H1968" t="s">
        <v>87</v>
      </c>
      <c r="I1968" t="s">
        <v>82</v>
      </c>
      <c r="J1968" t="str">
        <f t="shared" si="240"/>
        <v/>
      </c>
      <c r="K1968" t="str">
        <f t="shared" si="241"/>
        <v>Duplicate</v>
      </c>
      <c r="L1968" t="str">
        <f t="shared" si="242"/>
        <v/>
      </c>
      <c r="M1968" t="str">
        <f t="shared" si="243"/>
        <v/>
      </c>
      <c r="N1968" t="str">
        <f t="shared" si="244"/>
        <v>Invalid</v>
      </c>
      <c r="O1968" t="str">
        <f t="shared" ca="1" si="245"/>
        <v>Outdated</v>
      </c>
      <c r="P1968" t="str">
        <f t="shared" si="246"/>
        <v>Wrong Item</v>
      </c>
      <c r="Q1968" t="str">
        <f t="shared" si="247"/>
        <v/>
      </c>
    </row>
    <row r="1969" spans="1:17" x14ac:dyDescent="0.45">
      <c r="A1969" t="s">
        <v>2782</v>
      </c>
      <c r="B1969" t="s">
        <v>138</v>
      </c>
      <c r="C1969" t="s">
        <v>2783</v>
      </c>
      <c r="D1969" t="s">
        <v>85</v>
      </c>
      <c r="E1969" s="8">
        <v>2535.42</v>
      </c>
      <c r="F1969" s="9">
        <v>45533.666684444448</v>
      </c>
      <c r="G1969" t="s">
        <v>140</v>
      </c>
      <c r="H1969" t="s">
        <v>128</v>
      </c>
      <c r="I1969" t="s">
        <v>119</v>
      </c>
      <c r="J1969" t="str">
        <f t="shared" si="240"/>
        <v/>
      </c>
      <c r="K1969" t="str">
        <f t="shared" si="241"/>
        <v/>
      </c>
      <c r="L1969" t="str">
        <f t="shared" si="242"/>
        <v/>
      </c>
      <c r="M1969" t="str">
        <f t="shared" si="243"/>
        <v/>
      </c>
      <c r="N1969" t="str">
        <f t="shared" si="244"/>
        <v>Invalid</v>
      </c>
      <c r="O1969" t="str">
        <f t="shared" ca="1" si="245"/>
        <v>Outdated</v>
      </c>
      <c r="P1969" t="str">
        <f t="shared" si="246"/>
        <v>Late Delivery</v>
      </c>
      <c r="Q1969" t="str">
        <f t="shared" si="247"/>
        <v/>
      </c>
    </row>
    <row r="1970" spans="1:17" x14ac:dyDescent="0.45">
      <c r="A1970" t="s">
        <v>2784</v>
      </c>
      <c r="B1970" t="s">
        <v>90</v>
      </c>
      <c r="C1970" t="s">
        <v>1118</v>
      </c>
      <c r="D1970" t="s">
        <v>74</v>
      </c>
      <c r="E1970" s="8">
        <v>4093.23</v>
      </c>
      <c r="F1970" s="9">
        <v>45642.666684444448</v>
      </c>
      <c r="G1970" t="s">
        <v>93</v>
      </c>
      <c r="I1970" t="s">
        <v>112</v>
      </c>
      <c r="J1970" t="str">
        <f t="shared" si="240"/>
        <v/>
      </c>
      <c r="K1970" t="str">
        <f t="shared" si="241"/>
        <v/>
      </c>
      <c r="L1970" t="str">
        <f t="shared" si="242"/>
        <v/>
      </c>
      <c r="M1970" t="str">
        <f t="shared" si="243"/>
        <v/>
      </c>
      <c r="N1970" t="str">
        <f t="shared" si="244"/>
        <v>Invalid</v>
      </c>
      <c r="O1970" t="str">
        <f t="shared" ca="1" si="245"/>
        <v>Outdated</v>
      </c>
      <c r="P1970" t="str">
        <f t="shared" si="246"/>
        <v>Wrong Item</v>
      </c>
      <c r="Q1970" t="str">
        <f t="shared" si="247"/>
        <v/>
      </c>
    </row>
    <row r="1971" spans="1:17" x14ac:dyDescent="0.45">
      <c r="A1971" t="s">
        <v>2785</v>
      </c>
      <c r="B1971" t="s">
        <v>172</v>
      </c>
      <c r="C1971" t="s">
        <v>2786</v>
      </c>
      <c r="D1971" t="s">
        <v>85</v>
      </c>
      <c r="E1971" s="8">
        <v>8102.27</v>
      </c>
      <c r="F1971" s="9">
        <v>45510.666684444448</v>
      </c>
      <c r="G1971" t="s">
        <v>174</v>
      </c>
      <c r="H1971" t="s">
        <v>133</v>
      </c>
      <c r="I1971" t="s">
        <v>77</v>
      </c>
      <c r="J1971" t="str">
        <f t="shared" si="240"/>
        <v/>
      </c>
      <c r="K1971" t="str">
        <f t="shared" si="241"/>
        <v/>
      </c>
      <c r="L1971" t="str">
        <f t="shared" si="242"/>
        <v/>
      </c>
      <c r="M1971" t="str">
        <f t="shared" si="243"/>
        <v/>
      </c>
      <c r="N1971" t="str">
        <f t="shared" si="244"/>
        <v>Invalid</v>
      </c>
      <c r="O1971" t="str">
        <f t="shared" ca="1" si="245"/>
        <v>Outdated</v>
      </c>
      <c r="P1971" t="str">
        <f t="shared" si="246"/>
        <v>Late Delivery</v>
      </c>
      <c r="Q1971" t="str">
        <f t="shared" si="247"/>
        <v/>
      </c>
    </row>
    <row r="1972" spans="1:17" x14ac:dyDescent="0.45">
      <c r="A1972" t="s">
        <v>2787</v>
      </c>
      <c r="B1972" t="s">
        <v>95</v>
      </c>
      <c r="C1972" t="s">
        <v>726</v>
      </c>
      <c r="D1972" t="s">
        <v>101</v>
      </c>
      <c r="E1972" s="8">
        <v>5549.88</v>
      </c>
      <c r="F1972" s="9">
        <v>45369.666684444448</v>
      </c>
      <c r="G1972" t="s">
        <v>97</v>
      </c>
      <c r="H1972" t="s">
        <v>116</v>
      </c>
      <c r="I1972" t="s">
        <v>119</v>
      </c>
      <c r="J1972" t="str">
        <f t="shared" si="240"/>
        <v/>
      </c>
      <c r="K1972" t="str">
        <f t="shared" si="241"/>
        <v/>
      </c>
      <c r="L1972" t="str">
        <f t="shared" si="242"/>
        <v/>
      </c>
      <c r="M1972" t="str">
        <f t="shared" si="243"/>
        <v/>
      </c>
      <c r="N1972" t="str">
        <f t="shared" si="244"/>
        <v/>
      </c>
      <c r="O1972" t="str">
        <f t="shared" ca="1" si="245"/>
        <v>Outdated</v>
      </c>
      <c r="P1972" t="str">
        <f t="shared" si="246"/>
        <v>Damaged</v>
      </c>
      <c r="Q1972" t="str">
        <f t="shared" si="247"/>
        <v/>
      </c>
    </row>
    <row r="1973" spans="1:17" x14ac:dyDescent="0.45">
      <c r="A1973" t="s">
        <v>2788</v>
      </c>
      <c r="B1973" t="s">
        <v>138</v>
      </c>
      <c r="C1973" t="s">
        <v>2789</v>
      </c>
      <c r="D1973" t="s">
        <v>101</v>
      </c>
      <c r="E1973" s="8">
        <v>3418.27</v>
      </c>
      <c r="F1973" s="9">
        <v>45523.666684444448</v>
      </c>
      <c r="G1973" t="s">
        <v>140</v>
      </c>
      <c r="H1973" t="s">
        <v>118</v>
      </c>
      <c r="I1973" t="s">
        <v>88</v>
      </c>
      <c r="J1973" t="str">
        <f t="shared" si="240"/>
        <v/>
      </c>
      <c r="K1973" t="str">
        <f t="shared" si="241"/>
        <v/>
      </c>
      <c r="L1973" t="str">
        <f t="shared" si="242"/>
        <v/>
      </c>
      <c r="M1973" t="str">
        <f t="shared" si="243"/>
        <v/>
      </c>
      <c r="N1973" t="str">
        <f t="shared" si="244"/>
        <v>Invalid</v>
      </c>
      <c r="O1973" t="str">
        <f t="shared" ca="1" si="245"/>
        <v>Outdated</v>
      </c>
      <c r="P1973" t="str">
        <f t="shared" si="246"/>
        <v>Damaged</v>
      </c>
      <c r="Q1973" t="str">
        <f t="shared" si="247"/>
        <v/>
      </c>
    </row>
    <row r="1974" spans="1:17" x14ac:dyDescent="0.45">
      <c r="A1974" t="s">
        <v>2790</v>
      </c>
      <c r="B1974" t="s">
        <v>90</v>
      </c>
      <c r="C1974" t="s">
        <v>1614</v>
      </c>
      <c r="D1974" t="s">
        <v>101</v>
      </c>
      <c r="E1974" s="8">
        <v>0</v>
      </c>
      <c r="F1974" s="9">
        <v>45211.666684444448</v>
      </c>
      <c r="G1974" t="s">
        <v>93</v>
      </c>
      <c r="H1974" t="s">
        <v>76</v>
      </c>
      <c r="I1974" t="s">
        <v>82</v>
      </c>
      <c r="J1974" t="str">
        <f t="shared" si="240"/>
        <v/>
      </c>
      <c r="K1974" t="str">
        <f t="shared" si="241"/>
        <v/>
      </c>
      <c r="L1974" t="str">
        <f t="shared" si="242"/>
        <v>Unusual</v>
      </c>
      <c r="M1974" t="str">
        <f t="shared" si="243"/>
        <v/>
      </c>
      <c r="N1974" t="str">
        <f t="shared" si="244"/>
        <v/>
      </c>
      <c r="O1974" t="str">
        <f t="shared" ca="1" si="245"/>
        <v>Outdated</v>
      </c>
      <c r="P1974" t="str">
        <f t="shared" si="246"/>
        <v>Damaged</v>
      </c>
      <c r="Q1974" t="str">
        <f t="shared" si="247"/>
        <v/>
      </c>
    </row>
    <row r="1975" spans="1:17" x14ac:dyDescent="0.45">
      <c r="A1975" t="s">
        <v>2791</v>
      </c>
      <c r="B1975" t="s">
        <v>95</v>
      </c>
      <c r="C1975" t="s">
        <v>2792</v>
      </c>
      <c r="D1975" t="s">
        <v>74</v>
      </c>
      <c r="E1975" s="8">
        <v>3030.82</v>
      </c>
      <c r="F1975" s="9">
        <v>45511.666684444448</v>
      </c>
      <c r="G1975" t="s">
        <v>97</v>
      </c>
      <c r="H1975" t="s">
        <v>133</v>
      </c>
      <c r="I1975" t="s">
        <v>163</v>
      </c>
      <c r="J1975" t="str">
        <f t="shared" si="240"/>
        <v/>
      </c>
      <c r="K1975" t="str">
        <f t="shared" si="241"/>
        <v/>
      </c>
      <c r="L1975" t="str">
        <f t="shared" si="242"/>
        <v/>
      </c>
      <c r="M1975" t="str">
        <f t="shared" si="243"/>
        <v/>
      </c>
      <c r="N1975" t="str">
        <f t="shared" si="244"/>
        <v>Invalid</v>
      </c>
      <c r="O1975" t="str">
        <f t="shared" ca="1" si="245"/>
        <v>Outdated</v>
      </c>
      <c r="P1975" t="str">
        <f t="shared" si="246"/>
        <v>Wrong Item</v>
      </c>
      <c r="Q1975" t="str">
        <f t="shared" si="247"/>
        <v/>
      </c>
    </row>
    <row r="1976" spans="1:17" x14ac:dyDescent="0.45">
      <c r="A1976" t="s">
        <v>2793</v>
      </c>
      <c r="B1976" t="s">
        <v>95</v>
      </c>
      <c r="C1976" t="s">
        <v>1369</v>
      </c>
      <c r="D1976" t="s">
        <v>85</v>
      </c>
      <c r="E1976" s="8">
        <v>8964.1</v>
      </c>
      <c r="F1976" s="9">
        <v>45357.666684444448</v>
      </c>
      <c r="G1976" t="s">
        <v>97</v>
      </c>
      <c r="H1976" t="s">
        <v>145</v>
      </c>
      <c r="I1976" t="s">
        <v>88</v>
      </c>
      <c r="J1976" t="str">
        <f t="shared" si="240"/>
        <v/>
      </c>
      <c r="K1976" t="str">
        <f t="shared" si="241"/>
        <v/>
      </c>
      <c r="L1976" t="str">
        <f t="shared" si="242"/>
        <v/>
      </c>
      <c r="M1976" t="str">
        <f t="shared" si="243"/>
        <v/>
      </c>
      <c r="N1976" t="str">
        <f t="shared" si="244"/>
        <v/>
      </c>
      <c r="O1976" t="str">
        <f t="shared" ca="1" si="245"/>
        <v>Outdated</v>
      </c>
      <c r="P1976" t="str">
        <f t="shared" si="246"/>
        <v>Late Delivery</v>
      </c>
      <c r="Q1976" t="str">
        <f t="shared" si="247"/>
        <v/>
      </c>
    </row>
    <row r="1977" spans="1:17" x14ac:dyDescent="0.45">
      <c r="A1977" t="s">
        <v>2794</v>
      </c>
      <c r="B1977" t="s">
        <v>72</v>
      </c>
      <c r="C1977" t="s">
        <v>1977</v>
      </c>
      <c r="D1977" t="s">
        <v>148</v>
      </c>
      <c r="E1977" s="8">
        <v>11497.47</v>
      </c>
      <c r="F1977" s="9">
        <v>45156.666684444448</v>
      </c>
      <c r="G1977" t="s">
        <v>75</v>
      </c>
      <c r="H1977" t="s">
        <v>76</v>
      </c>
      <c r="I1977" t="s">
        <v>119</v>
      </c>
      <c r="J1977" t="str">
        <f t="shared" si="240"/>
        <v/>
      </c>
      <c r="K1977" t="str">
        <f t="shared" si="241"/>
        <v/>
      </c>
      <c r="L1977" t="str">
        <f t="shared" si="242"/>
        <v>Unusual</v>
      </c>
      <c r="M1977" t="str">
        <f t="shared" si="243"/>
        <v/>
      </c>
      <c r="N1977" t="str">
        <f t="shared" si="244"/>
        <v/>
      </c>
      <c r="O1977" t="str">
        <f t="shared" ca="1" si="245"/>
        <v>Outdated</v>
      </c>
      <c r="P1977" t="str">
        <f t="shared" si="246"/>
        <v>Wrong Item</v>
      </c>
      <c r="Q1977" t="str">
        <f t="shared" si="247"/>
        <v>Inconsistent</v>
      </c>
    </row>
    <row r="1978" spans="1:17" x14ac:dyDescent="0.45">
      <c r="A1978" t="s">
        <v>2795</v>
      </c>
      <c r="B1978" t="s">
        <v>95</v>
      </c>
      <c r="C1978" t="s">
        <v>2796</v>
      </c>
      <c r="D1978" t="s">
        <v>106</v>
      </c>
      <c r="E1978" s="8">
        <v>0</v>
      </c>
      <c r="F1978" s="9">
        <v>45454.666684444448</v>
      </c>
      <c r="H1978" t="s">
        <v>145</v>
      </c>
      <c r="I1978" t="s">
        <v>163</v>
      </c>
      <c r="J1978" t="str">
        <f t="shared" si="240"/>
        <v/>
      </c>
      <c r="K1978" t="str">
        <f t="shared" si="241"/>
        <v/>
      </c>
      <c r="L1978" t="str">
        <f t="shared" si="242"/>
        <v>Unusual</v>
      </c>
      <c r="M1978" t="str">
        <f t="shared" si="243"/>
        <v>Invalid</v>
      </c>
      <c r="N1978" t="str">
        <f t="shared" si="244"/>
        <v/>
      </c>
      <c r="O1978" t="str">
        <f t="shared" ca="1" si="245"/>
        <v>Outdated</v>
      </c>
      <c r="P1978" t="str">
        <f t="shared" si="246"/>
        <v>Damaged</v>
      </c>
      <c r="Q1978" t="str">
        <f t="shared" si="247"/>
        <v>Inconsistent</v>
      </c>
    </row>
    <row r="1979" spans="1:17" x14ac:dyDescent="0.45">
      <c r="A1979" t="s">
        <v>2797</v>
      </c>
      <c r="B1979" t="s">
        <v>79</v>
      </c>
      <c r="C1979" t="s">
        <v>1450</v>
      </c>
      <c r="D1979" t="s">
        <v>74</v>
      </c>
      <c r="E1979" s="8">
        <v>8196.2199999999993</v>
      </c>
      <c r="F1979" s="9">
        <v>45229.666684444448</v>
      </c>
      <c r="G1979" t="s">
        <v>86</v>
      </c>
      <c r="H1979" t="s">
        <v>81</v>
      </c>
      <c r="I1979" t="s">
        <v>112</v>
      </c>
      <c r="J1979" t="str">
        <f t="shared" si="240"/>
        <v/>
      </c>
      <c r="K1979" t="str">
        <f t="shared" si="241"/>
        <v/>
      </c>
      <c r="L1979" t="str">
        <f t="shared" si="242"/>
        <v/>
      </c>
      <c r="M1979" t="str">
        <f t="shared" si="243"/>
        <v/>
      </c>
      <c r="N1979" t="str">
        <f t="shared" si="244"/>
        <v/>
      </c>
      <c r="O1979" t="str">
        <f t="shared" ca="1" si="245"/>
        <v>Outdated</v>
      </c>
      <c r="P1979" t="str">
        <f t="shared" si="246"/>
        <v>Wrong Item</v>
      </c>
      <c r="Q1979" t="str">
        <f t="shared" si="247"/>
        <v/>
      </c>
    </row>
    <row r="1980" spans="1:17" x14ac:dyDescent="0.45">
      <c r="A1980" t="s">
        <v>2798</v>
      </c>
      <c r="B1980" t="s">
        <v>95</v>
      </c>
      <c r="C1980" t="s">
        <v>1483</v>
      </c>
      <c r="D1980" t="s">
        <v>92</v>
      </c>
      <c r="E1980" s="8">
        <v>182.56</v>
      </c>
      <c r="F1980" s="9">
        <v>45793.666684444448</v>
      </c>
      <c r="G1980" t="s">
        <v>97</v>
      </c>
      <c r="H1980" t="s">
        <v>81</v>
      </c>
      <c r="I1980" t="s">
        <v>163</v>
      </c>
      <c r="J1980" t="str">
        <f t="shared" si="240"/>
        <v/>
      </c>
      <c r="K1980" t="str">
        <f t="shared" si="241"/>
        <v/>
      </c>
      <c r="L1980" t="str">
        <f t="shared" si="242"/>
        <v/>
      </c>
      <c r="M1980" t="str">
        <f t="shared" si="243"/>
        <v/>
      </c>
      <c r="N1980" t="str">
        <f t="shared" si="244"/>
        <v/>
      </c>
      <c r="O1980" t="str">
        <f t="shared" ca="1" si="245"/>
        <v>Outdated</v>
      </c>
      <c r="P1980" t="str">
        <f t="shared" si="246"/>
        <v>Not As Described</v>
      </c>
      <c r="Q1980" t="str">
        <f t="shared" si="247"/>
        <v/>
      </c>
    </row>
    <row r="1981" spans="1:17" x14ac:dyDescent="0.45">
      <c r="A1981" t="s">
        <v>2799</v>
      </c>
      <c r="B1981" t="s">
        <v>104</v>
      </c>
      <c r="C1981" t="s">
        <v>1247</v>
      </c>
      <c r="D1981" t="s">
        <v>92</v>
      </c>
      <c r="E1981" s="8">
        <v>1745.9</v>
      </c>
      <c r="F1981" s="9">
        <v>45471.666684444448</v>
      </c>
      <c r="G1981" t="s">
        <v>115</v>
      </c>
      <c r="H1981" t="s">
        <v>128</v>
      </c>
      <c r="I1981" t="s">
        <v>119</v>
      </c>
      <c r="J1981" t="str">
        <f t="shared" si="240"/>
        <v/>
      </c>
      <c r="K1981" t="str">
        <f t="shared" si="241"/>
        <v/>
      </c>
      <c r="L1981" t="str">
        <f t="shared" si="242"/>
        <v/>
      </c>
      <c r="M1981" t="str">
        <f t="shared" si="243"/>
        <v/>
      </c>
      <c r="N1981" t="str">
        <f t="shared" si="244"/>
        <v>Invalid</v>
      </c>
      <c r="O1981" t="str">
        <f t="shared" ca="1" si="245"/>
        <v>Outdated</v>
      </c>
      <c r="P1981" t="str">
        <f t="shared" si="246"/>
        <v>Not As Described</v>
      </c>
      <c r="Q1981" t="str">
        <f t="shared" si="247"/>
        <v/>
      </c>
    </row>
    <row r="1982" spans="1:17" x14ac:dyDescent="0.45">
      <c r="A1982" t="s">
        <v>2800</v>
      </c>
      <c r="B1982" t="s">
        <v>90</v>
      </c>
      <c r="C1982" t="s">
        <v>1804</v>
      </c>
      <c r="D1982" t="s">
        <v>101</v>
      </c>
      <c r="E1982" s="8">
        <v>186.75</v>
      </c>
      <c r="F1982" s="9">
        <v>45277.666684444448</v>
      </c>
      <c r="G1982" t="s">
        <v>93</v>
      </c>
      <c r="H1982" t="s">
        <v>118</v>
      </c>
      <c r="I1982" t="s">
        <v>119</v>
      </c>
      <c r="J1982" t="str">
        <f t="shared" si="240"/>
        <v/>
      </c>
      <c r="K1982" t="str">
        <f t="shared" si="241"/>
        <v/>
      </c>
      <c r="L1982" t="str">
        <f t="shared" si="242"/>
        <v/>
      </c>
      <c r="M1982" t="str">
        <f t="shared" si="243"/>
        <v/>
      </c>
      <c r="N1982" t="str">
        <f t="shared" si="244"/>
        <v>Invalid</v>
      </c>
      <c r="O1982" t="str">
        <f t="shared" ca="1" si="245"/>
        <v>Outdated</v>
      </c>
      <c r="P1982" t="str">
        <f t="shared" si="246"/>
        <v>Damaged</v>
      </c>
      <c r="Q1982" t="str">
        <f t="shared" si="247"/>
        <v/>
      </c>
    </row>
    <row r="1983" spans="1:17" x14ac:dyDescent="0.45">
      <c r="A1983" t="s">
        <v>2242</v>
      </c>
      <c r="B1983" t="s">
        <v>95</v>
      </c>
      <c r="C1983" t="s">
        <v>1609</v>
      </c>
      <c r="D1983" t="s">
        <v>74</v>
      </c>
      <c r="E1983" s="8">
        <v>5217.62</v>
      </c>
      <c r="F1983" s="9">
        <v>45268.666684444448</v>
      </c>
      <c r="G1983" t="s">
        <v>97</v>
      </c>
      <c r="H1983" t="s">
        <v>133</v>
      </c>
      <c r="I1983" t="s">
        <v>119</v>
      </c>
      <c r="J1983" t="str">
        <f t="shared" si="240"/>
        <v/>
      </c>
      <c r="K1983" t="str">
        <f t="shared" si="241"/>
        <v>Duplicate</v>
      </c>
      <c r="L1983" t="str">
        <f t="shared" si="242"/>
        <v/>
      </c>
      <c r="M1983" t="str">
        <f t="shared" si="243"/>
        <v/>
      </c>
      <c r="N1983" t="str">
        <f t="shared" si="244"/>
        <v>Invalid</v>
      </c>
      <c r="O1983" t="str">
        <f t="shared" ca="1" si="245"/>
        <v>Outdated</v>
      </c>
      <c r="P1983" t="str">
        <f t="shared" si="246"/>
        <v>Wrong Item</v>
      </c>
      <c r="Q1983" t="str">
        <f t="shared" si="247"/>
        <v/>
      </c>
    </row>
    <row r="1984" spans="1:17" x14ac:dyDescent="0.45">
      <c r="A1984" t="s">
        <v>2801</v>
      </c>
      <c r="B1984" t="s">
        <v>109</v>
      </c>
      <c r="C1984" t="s">
        <v>2802</v>
      </c>
      <c r="D1984" t="s">
        <v>92</v>
      </c>
      <c r="E1984" s="8">
        <v>1290.74</v>
      </c>
      <c r="F1984" s="9">
        <v>45167.666684444448</v>
      </c>
      <c r="H1984" t="s">
        <v>87</v>
      </c>
      <c r="I1984" t="s">
        <v>88</v>
      </c>
      <c r="J1984" t="str">
        <f t="shared" si="240"/>
        <v/>
      </c>
      <c r="K1984" t="str">
        <f t="shared" si="241"/>
        <v/>
      </c>
      <c r="L1984" t="str">
        <f t="shared" si="242"/>
        <v/>
      </c>
      <c r="M1984" t="str">
        <f t="shared" si="243"/>
        <v>Invalid</v>
      </c>
      <c r="N1984" t="str">
        <f t="shared" si="244"/>
        <v>Invalid</v>
      </c>
      <c r="O1984" t="str">
        <f t="shared" ca="1" si="245"/>
        <v>Outdated</v>
      </c>
      <c r="P1984" t="str">
        <f t="shared" si="246"/>
        <v>Not As Described</v>
      </c>
      <c r="Q1984" t="str">
        <f t="shared" si="247"/>
        <v/>
      </c>
    </row>
    <row r="1985" spans="1:17" x14ac:dyDescent="0.45">
      <c r="A1985" t="s">
        <v>2803</v>
      </c>
      <c r="B1985" t="s">
        <v>79</v>
      </c>
      <c r="C1985" t="s">
        <v>395</v>
      </c>
      <c r="D1985" t="s">
        <v>155</v>
      </c>
      <c r="E1985" s="8">
        <v>1479.67</v>
      </c>
      <c r="F1985" s="9">
        <v>45421.666684444448</v>
      </c>
      <c r="G1985" t="s">
        <v>86</v>
      </c>
      <c r="H1985" t="s">
        <v>87</v>
      </c>
      <c r="I1985" t="s">
        <v>77</v>
      </c>
      <c r="J1985" t="str">
        <f t="shared" si="240"/>
        <v/>
      </c>
      <c r="K1985" t="str">
        <f t="shared" si="241"/>
        <v/>
      </c>
      <c r="L1985" t="str">
        <f t="shared" si="242"/>
        <v/>
      </c>
      <c r="M1985" t="str">
        <f t="shared" si="243"/>
        <v/>
      </c>
      <c r="N1985" t="str">
        <f t="shared" si="244"/>
        <v>Invalid</v>
      </c>
      <c r="O1985" t="str">
        <f t="shared" ca="1" si="245"/>
        <v>Outdated</v>
      </c>
      <c r="P1985" t="str">
        <f t="shared" si="246"/>
        <v>Damaged</v>
      </c>
      <c r="Q1985" t="str">
        <f t="shared" si="247"/>
        <v>Inconsistent</v>
      </c>
    </row>
    <row r="1986" spans="1:17" x14ac:dyDescent="0.45">
      <c r="A1986" t="s">
        <v>2804</v>
      </c>
      <c r="B1986" t="s">
        <v>99</v>
      </c>
      <c r="C1986" t="s">
        <v>401</v>
      </c>
      <c r="D1986" t="s">
        <v>85</v>
      </c>
      <c r="E1986" s="8">
        <v>7502.6</v>
      </c>
      <c r="F1986" s="9">
        <v>45611.666684444448</v>
      </c>
      <c r="H1986" t="s">
        <v>87</v>
      </c>
      <c r="I1986" t="s">
        <v>82</v>
      </c>
      <c r="J1986" t="str">
        <f t="shared" ref="J1986:J2049" si="248">IF(OR(ISBLANK(C1986),ISBLANK(D1986)),"Missing","")</f>
        <v/>
      </c>
      <c r="K1986" t="str">
        <f t="shared" ref="K1986:K2049" si="249">IF(COUNTIF($A$2:$A$2501,A1986)&gt;1,"Duplicate","")</f>
        <v/>
      </c>
      <c r="L1986" t="str">
        <f t="shared" ref="L1986:L2049" si="250">IF(OR(E1986=0,E1986&gt;10000),"Unusual","")</f>
        <v/>
      </c>
      <c r="M1986" t="str">
        <f t="shared" ref="M1986:M2049" si="251">IF(OR(ISBLANK(G1986),ISERROR(FIND("@",G1986)),ISERROR(FIND(".",G1986,FIND("@",G1986)+1))),"Invalid","")</f>
        <v>Invalid</v>
      </c>
      <c r="N1986" t="str">
        <f t="shared" ref="N1986:N2049" si="252">IF(COUNTIF($S$2:$S$6,H1986)=0,"Invalid","")</f>
        <v>Invalid</v>
      </c>
      <c r="O1986" t="str">
        <f t="shared" ref="O1986:O2049" ca="1" si="253">IF(F1986&lt;EDATE(TODAY(),-12),"Outdated","")</f>
        <v>Outdated</v>
      </c>
      <c r="P1986" t="str">
        <f t="shared" ref="P1986:P2049" si="254">IF(ISBLANK(D1986),"",PROPER(TRIM(D1986)))</f>
        <v>Late Delivery</v>
      </c>
      <c r="Q1986" t="str">
        <f t="shared" ref="Q1986:Q2049" si="255">IF(ISBLANK(D1986),"",IF(EXACT(D1986,P1986),"","Inconsistent"))</f>
        <v/>
      </c>
    </row>
    <row r="1987" spans="1:17" x14ac:dyDescent="0.45">
      <c r="A1987" t="s">
        <v>2805</v>
      </c>
      <c r="B1987" t="s">
        <v>79</v>
      </c>
      <c r="C1987" t="s">
        <v>1656</v>
      </c>
      <c r="D1987" t="s">
        <v>101</v>
      </c>
      <c r="E1987" s="8">
        <v>8143.79</v>
      </c>
      <c r="F1987" s="9">
        <v>45840.666684444448</v>
      </c>
      <c r="G1987" t="s">
        <v>86</v>
      </c>
      <c r="H1987" t="s">
        <v>118</v>
      </c>
      <c r="I1987" t="s">
        <v>112</v>
      </c>
      <c r="J1987" t="str">
        <f t="shared" si="248"/>
        <v/>
      </c>
      <c r="K1987" t="str">
        <f t="shared" si="249"/>
        <v/>
      </c>
      <c r="L1987" t="str">
        <f t="shared" si="250"/>
        <v/>
      </c>
      <c r="M1987" t="str">
        <f t="shared" si="251"/>
        <v/>
      </c>
      <c r="N1987" t="str">
        <f t="shared" si="252"/>
        <v>Invalid</v>
      </c>
      <c r="O1987" t="str">
        <f t="shared" ca="1" si="253"/>
        <v>Outdated</v>
      </c>
      <c r="P1987" t="str">
        <f t="shared" si="254"/>
        <v>Damaged</v>
      </c>
      <c r="Q1987" t="str">
        <f t="shared" si="255"/>
        <v/>
      </c>
    </row>
    <row r="1988" spans="1:17" x14ac:dyDescent="0.45">
      <c r="A1988" t="s">
        <v>2806</v>
      </c>
      <c r="B1988" t="s">
        <v>172</v>
      </c>
      <c r="C1988" t="s">
        <v>530</v>
      </c>
      <c r="D1988" t="s">
        <v>85</v>
      </c>
      <c r="E1988" s="8">
        <v>0</v>
      </c>
      <c r="F1988" s="9">
        <v>45270.666684444448</v>
      </c>
      <c r="G1988" t="s">
        <v>174</v>
      </c>
      <c r="H1988" t="s">
        <v>87</v>
      </c>
      <c r="I1988" t="s">
        <v>88</v>
      </c>
      <c r="J1988" t="str">
        <f t="shared" si="248"/>
        <v/>
      </c>
      <c r="K1988" t="str">
        <f t="shared" si="249"/>
        <v/>
      </c>
      <c r="L1988" t="str">
        <f t="shared" si="250"/>
        <v>Unusual</v>
      </c>
      <c r="M1988" t="str">
        <f t="shared" si="251"/>
        <v/>
      </c>
      <c r="N1988" t="str">
        <f t="shared" si="252"/>
        <v>Invalid</v>
      </c>
      <c r="O1988" t="str">
        <f t="shared" ca="1" si="253"/>
        <v>Outdated</v>
      </c>
      <c r="P1988" t="str">
        <f t="shared" si="254"/>
        <v>Late Delivery</v>
      </c>
      <c r="Q1988" t="str">
        <f t="shared" si="255"/>
        <v/>
      </c>
    </row>
    <row r="1989" spans="1:17" x14ac:dyDescent="0.45">
      <c r="A1989" t="s">
        <v>2807</v>
      </c>
      <c r="B1989" t="s">
        <v>99</v>
      </c>
      <c r="C1989" t="s">
        <v>2808</v>
      </c>
      <c r="D1989" t="s">
        <v>74</v>
      </c>
      <c r="E1989" s="8">
        <v>3455.74</v>
      </c>
      <c r="F1989" s="9">
        <v>45850.666684444448</v>
      </c>
      <c r="H1989" t="s">
        <v>133</v>
      </c>
      <c r="I1989" t="s">
        <v>88</v>
      </c>
      <c r="J1989" t="str">
        <f t="shared" si="248"/>
        <v/>
      </c>
      <c r="K1989" t="str">
        <f t="shared" si="249"/>
        <v/>
      </c>
      <c r="L1989" t="str">
        <f t="shared" si="250"/>
        <v/>
      </c>
      <c r="M1989" t="str">
        <f t="shared" si="251"/>
        <v>Invalid</v>
      </c>
      <c r="N1989" t="str">
        <f t="shared" si="252"/>
        <v>Invalid</v>
      </c>
      <c r="O1989" t="str">
        <f t="shared" ca="1" si="253"/>
        <v/>
      </c>
      <c r="P1989" t="str">
        <f t="shared" si="254"/>
        <v>Wrong Item</v>
      </c>
      <c r="Q1989" t="str">
        <f t="shared" si="255"/>
        <v/>
      </c>
    </row>
    <row r="1990" spans="1:17" x14ac:dyDescent="0.45">
      <c r="A1990" t="s">
        <v>2809</v>
      </c>
      <c r="B1990" t="s">
        <v>72</v>
      </c>
      <c r="C1990" t="s">
        <v>198</v>
      </c>
      <c r="D1990" t="s">
        <v>92</v>
      </c>
      <c r="E1990" s="8">
        <v>10413.379999999999</v>
      </c>
      <c r="F1990" s="9">
        <v>45608.666684444448</v>
      </c>
      <c r="G1990" t="s">
        <v>75</v>
      </c>
      <c r="H1990" t="s">
        <v>107</v>
      </c>
      <c r="I1990" t="s">
        <v>112</v>
      </c>
      <c r="J1990" t="str">
        <f t="shared" si="248"/>
        <v/>
      </c>
      <c r="K1990" t="str">
        <f t="shared" si="249"/>
        <v/>
      </c>
      <c r="L1990" t="str">
        <f t="shared" si="250"/>
        <v>Unusual</v>
      </c>
      <c r="M1990" t="str">
        <f t="shared" si="251"/>
        <v/>
      </c>
      <c r="N1990" t="str">
        <f t="shared" si="252"/>
        <v/>
      </c>
      <c r="O1990" t="str">
        <f t="shared" ca="1" si="253"/>
        <v>Outdated</v>
      </c>
      <c r="P1990" t="str">
        <f t="shared" si="254"/>
        <v>Not As Described</v>
      </c>
      <c r="Q1990" t="str">
        <f t="shared" si="255"/>
        <v/>
      </c>
    </row>
    <row r="1991" spans="1:17" x14ac:dyDescent="0.45">
      <c r="A1991" t="s">
        <v>2810</v>
      </c>
      <c r="B1991" t="s">
        <v>79</v>
      </c>
      <c r="C1991" t="s">
        <v>2299</v>
      </c>
      <c r="D1991" t="s">
        <v>92</v>
      </c>
      <c r="E1991" s="8">
        <v>853.86</v>
      </c>
      <c r="F1991" s="9">
        <v>45587.666684444448</v>
      </c>
      <c r="G1991" t="s">
        <v>86</v>
      </c>
      <c r="H1991" t="s">
        <v>136</v>
      </c>
      <c r="I1991" t="s">
        <v>112</v>
      </c>
      <c r="J1991" t="str">
        <f t="shared" si="248"/>
        <v/>
      </c>
      <c r="K1991" t="str">
        <f t="shared" si="249"/>
        <v/>
      </c>
      <c r="L1991" t="str">
        <f t="shared" si="250"/>
        <v/>
      </c>
      <c r="M1991" t="str">
        <f t="shared" si="251"/>
        <v/>
      </c>
      <c r="N1991" t="str">
        <f t="shared" si="252"/>
        <v>Invalid</v>
      </c>
      <c r="O1991" t="str">
        <f t="shared" ca="1" si="253"/>
        <v>Outdated</v>
      </c>
      <c r="P1991" t="str">
        <f t="shared" si="254"/>
        <v>Not As Described</v>
      </c>
      <c r="Q1991" t="str">
        <f t="shared" si="255"/>
        <v/>
      </c>
    </row>
    <row r="1992" spans="1:17" x14ac:dyDescent="0.45">
      <c r="A1992" t="s">
        <v>2811</v>
      </c>
      <c r="B1992" t="s">
        <v>172</v>
      </c>
      <c r="C1992" t="s">
        <v>877</v>
      </c>
      <c r="D1992" t="s">
        <v>74</v>
      </c>
      <c r="E1992" s="8">
        <v>10658.28</v>
      </c>
      <c r="F1992" s="9">
        <v>45758.666684444448</v>
      </c>
      <c r="G1992" t="s">
        <v>174</v>
      </c>
      <c r="I1992" t="s">
        <v>119</v>
      </c>
      <c r="J1992" t="str">
        <f t="shared" si="248"/>
        <v/>
      </c>
      <c r="K1992" t="str">
        <f t="shared" si="249"/>
        <v/>
      </c>
      <c r="L1992" t="str">
        <f t="shared" si="250"/>
        <v>Unusual</v>
      </c>
      <c r="M1992" t="str">
        <f t="shared" si="251"/>
        <v/>
      </c>
      <c r="N1992" t="str">
        <f t="shared" si="252"/>
        <v>Invalid</v>
      </c>
      <c r="O1992" t="str">
        <f t="shared" ca="1" si="253"/>
        <v>Outdated</v>
      </c>
      <c r="P1992" t="str">
        <f t="shared" si="254"/>
        <v>Wrong Item</v>
      </c>
      <c r="Q1992" t="str">
        <f t="shared" si="255"/>
        <v/>
      </c>
    </row>
    <row r="1993" spans="1:17" x14ac:dyDescent="0.45">
      <c r="A1993" t="s">
        <v>2812</v>
      </c>
      <c r="B1993" t="s">
        <v>79</v>
      </c>
      <c r="C1993" t="s">
        <v>499</v>
      </c>
      <c r="D1993" t="s">
        <v>148</v>
      </c>
      <c r="E1993" s="8">
        <v>10140.98</v>
      </c>
      <c r="F1993" s="9">
        <v>45133.666684444448</v>
      </c>
      <c r="H1993" t="s">
        <v>116</v>
      </c>
      <c r="I1993" t="s">
        <v>119</v>
      </c>
      <c r="J1993" t="str">
        <f t="shared" si="248"/>
        <v/>
      </c>
      <c r="K1993" t="str">
        <f t="shared" si="249"/>
        <v/>
      </c>
      <c r="L1993" t="str">
        <f t="shared" si="250"/>
        <v>Unusual</v>
      </c>
      <c r="M1993" t="str">
        <f t="shared" si="251"/>
        <v>Invalid</v>
      </c>
      <c r="N1993" t="str">
        <f t="shared" si="252"/>
        <v/>
      </c>
      <c r="O1993" t="str">
        <f t="shared" ca="1" si="253"/>
        <v>Outdated</v>
      </c>
      <c r="P1993" t="str">
        <f t="shared" si="254"/>
        <v>Wrong Item</v>
      </c>
      <c r="Q1993" t="str">
        <f t="shared" si="255"/>
        <v>Inconsistent</v>
      </c>
    </row>
    <row r="1994" spans="1:17" x14ac:dyDescent="0.45">
      <c r="A1994" t="s">
        <v>2813</v>
      </c>
      <c r="B1994" t="s">
        <v>95</v>
      </c>
      <c r="D1994" t="s">
        <v>101</v>
      </c>
      <c r="E1994" s="8">
        <v>2129.1799999999998</v>
      </c>
      <c r="F1994" s="9">
        <v>45209.666684444448</v>
      </c>
      <c r="G1994" t="s">
        <v>97</v>
      </c>
      <c r="H1994" t="s">
        <v>87</v>
      </c>
      <c r="I1994" t="s">
        <v>82</v>
      </c>
      <c r="J1994" t="str">
        <f t="shared" si="248"/>
        <v>Missing</v>
      </c>
      <c r="K1994" t="str">
        <f t="shared" si="249"/>
        <v/>
      </c>
      <c r="L1994" t="str">
        <f t="shared" si="250"/>
        <v/>
      </c>
      <c r="M1994" t="str">
        <f t="shared" si="251"/>
        <v/>
      </c>
      <c r="N1994" t="str">
        <f t="shared" si="252"/>
        <v>Invalid</v>
      </c>
      <c r="O1994" t="str">
        <f t="shared" ca="1" si="253"/>
        <v>Outdated</v>
      </c>
      <c r="P1994" t="str">
        <f t="shared" si="254"/>
        <v>Damaged</v>
      </c>
      <c r="Q1994" t="str">
        <f t="shared" si="255"/>
        <v/>
      </c>
    </row>
    <row r="1995" spans="1:17" x14ac:dyDescent="0.45">
      <c r="A1995" t="s">
        <v>2814</v>
      </c>
      <c r="B1995" t="s">
        <v>138</v>
      </c>
      <c r="C1995" t="s">
        <v>2815</v>
      </c>
      <c r="D1995" t="s">
        <v>106</v>
      </c>
      <c r="E1995" s="8">
        <v>5935.17</v>
      </c>
      <c r="F1995" s="9">
        <v>45147.666684444448</v>
      </c>
      <c r="G1995" t="s">
        <v>140</v>
      </c>
      <c r="H1995" t="s">
        <v>81</v>
      </c>
      <c r="I1995" t="s">
        <v>77</v>
      </c>
      <c r="J1995" t="str">
        <f t="shared" si="248"/>
        <v/>
      </c>
      <c r="K1995" t="str">
        <f t="shared" si="249"/>
        <v/>
      </c>
      <c r="L1995" t="str">
        <f t="shared" si="250"/>
        <v/>
      </c>
      <c r="M1995" t="str">
        <f t="shared" si="251"/>
        <v/>
      </c>
      <c r="N1995" t="str">
        <f t="shared" si="252"/>
        <v/>
      </c>
      <c r="O1995" t="str">
        <f t="shared" ca="1" si="253"/>
        <v>Outdated</v>
      </c>
      <c r="P1995" t="str">
        <f t="shared" si="254"/>
        <v>Damaged</v>
      </c>
      <c r="Q1995" t="str">
        <f t="shared" si="255"/>
        <v>Inconsistent</v>
      </c>
    </row>
    <row r="1996" spans="1:17" x14ac:dyDescent="0.45">
      <c r="A1996" t="s">
        <v>2816</v>
      </c>
      <c r="B1996" t="s">
        <v>138</v>
      </c>
      <c r="C1996" t="s">
        <v>1806</v>
      </c>
      <c r="D1996" t="s">
        <v>101</v>
      </c>
      <c r="E1996" s="8">
        <v>6465.27</v>
      </c>
      <c r="F1996" s="9">
        <v>45390.666684444448</v>
      </c>
      <c r="G1996" t="s">
        <v>140</v>
      </c>
      <c r="H1996" t="s">
        <v>116</v>
      </c>
      <c r="I1996" t="s">
        <v>82</v>
      </c>
      <c r="J1996" t="str">
        <f t="shared" si="248"/>
        <v/>
      </c>
      <c r="K1996" t="str">
        <f t="shared" si="249"/>
        <v/>
      </c>
      <c r="L1996" t="str">
        <f t="shared" si="250"/>
        <v/>
      </c>
      <c r="M1996" t="str">
        <f t="shared" si="251"/>
        <v/>
      </c>
      <c r="N1996" t="str">
        <f t="shared" si="252"/>
        <v/>
      </c>
      <c r="O1996" t="str">
        <f t="shared" ca="1" si="253"/>
        <v>Outdated</v>
      </c>
      <c r="P1996" t="str">
        <f t="shared" si="254"/>
        <v>Damaged</v>
      </c>
      <c r="Q1996" t="str">
        <f t="shared" si="255"/>
        <v/>
      </c>
    </row>
    <row r="1997" spans="1:17" x14ac:dyDescent="0.45">
      <c r="A1997" t="s">
        <v>2817</v>
      </c>
      <c r="B1997" t="s">
        <v>172</v>
      </c>
      <c r="C1997" t="s">
        <v>749</v>
      </c>
      <c r="D1997" t="s">
        <v>74</v>
      </c>
      <c r="E1997" s="8">
        <v>4394.8900000000003</v>
      </c>
      <c r="F1997" s="9">
        <v>45348.666684444448</v>
      </c>
      <c r="G1997" t="s">
        <v>236</v>
      </c>
      <c r="H1997" t="s">
        <v>87</v>
      </c>
      <c r="I1997" t="s">
        <v>163</v>
      </c>
      <c r="J1997" t="str">
        <f t="shared" si="248"/>
        <v/>
      </c>
      <c r="K1997" t="str">
        <f t="shared" si="249"/>
        <v/>
      </c>
      <c r="L1997" t="str">
        <f t="shared" si="250"/>
        <v/>
      </c>
      <c r="M1997" t="str">
        <f t="shared" si="251"/>
        <v>Invalid</v>
      </c>
      <c r="N1997" t="str">
        <f t="shared" si="252"/>
        <v>Invalid</v>
      </c>
      <c r="O1997" t="str">
        <f t="shared" ca="1" si="253"/>
        <v>Outdated</v>
      </c>
      <c r="P1997" t="str">
        <f t="shared" si="254"/>
        <v>Wrong Item</v>
      </c>
      <c r="Q1997" t="str">
        <f t="shared" si="255"/>
        <v/>
      </c>
    </row>
    <row r="1998" spans="1:17" x14ac:dyDescent="0.45">
      <c r="A1998" t="s">
        <v>2818</v>
      </c>
      <c r="B1998" t="s">
        <v>79</v>
      </c>
      <c r="D1998" t="s">
        <v>101</v>
      </c>
      <c r="E1998" s="8">
        <v>1573.45</v>
      </c>
      <c r="F1998" s="9">
        <v>45281.666684444448</v>
      </c>
      <c r="G1998" t="s">
        <v>86</v>
      </c>
      <c r="I1998" t="s">
        <v>163</v>
      </c>
      <c r="J1998" t="str">
        <f t="shared" si="248"/>
        <v>Missing</v>
      </c>
      <c r="K1998" t="str">
        <f t="shared" si="249"/>
        <v/>
      </c>
      <c r="L1998" t="str">
        <f t="shared" si="250"/>
        <v/>
      </c>
      <c r="M1998" t="str">
        <f t="shared" si="251"/>
        <v/>
      </c>
      <c r="N1998" t="str">
        <f t="shared" si="252"/>
        <v>Invalid</v>
      </c>
      <c r="O1998" t="str">
        <f t="shared" ca="1" si="253"/>
        <v>Outdated</v>
      </c>
      <c r="P1998" t="str">
        <f t="shared" si="254"/>
        <v>Damaged</v>
      </c>
      <c r="Q1998" t="str">
        <f t="shared" si="255"/>
        <v/>
      </c>
    </row>
    <row r="1999" spans="1:17" x14ac:dyDescent="0.45">
      <c r="A1999" t="s">
        <v>2819</v>
      </c>
      <c r="B1999" t="s">
        <v>172</v>
      </c>
      <c r="C1999" t="s">
        <v>1202</v>
      </c>
      <c r="D1999" t="s">
        <v>101</v>
      </c>
      <c r="E1999" s="8">
        <v>9725.64</v>
      </c>
      <c r="F1999" s="9">
        <v>45689.666684444448</v>
      </c>
      <c r="G1999" t="s">
        <v>174</v>
      </c>
      <c r="H1999" t="s">
        <v>76</v>
      </c>
      <c r="I1999" t="s">
        <v>77</v>
      </c>
      <c r="J1999" t="str">
        <f t="shared" si="248"/>
        <v/>
      </c>
      <c r="K1999" t="str">
        <f t="shared" si="249"/>
        <v/>
      </c>
      <c r="L1999" t="str">
        <f t="shared" si="250"/>
        <v/>
      </c>
      <c r="M1999" t="str">
        <f t="shared" si="251"/>
        <v/>
      </c>
      <c r="N1999" t="str">
        <f t="shared" si="252"/>
        <v/>
      </c>
      <c r="O1999" t="str">
        <f t="shared" ca="1" si="253"/>
        <v>Outdated</v>
      </c>
      <c r="P1999" t="str">
        <f t="shared" si="254"/>
        <v>Damaged</v>
      </c>
      <c r="Q1999" t="str">
        <f t="shared" si="255"/>
        <v/>
      </c>
    </row>
    <row r="2000" spans="1:17" x14ac:dyDescent="0.45">
      <c r="A2000" t="s">
        <v>2820</v>
      </c>
      <c r="B2000" t="s">
        <v>72</v>
      </c>
      <c r="C2000" t="s">
        <v>743</v>
      </c>
      <c r="D2000" t="s">
        <v>74</v>
      </c>
      <c r="E2000" s="8">
        <v>4938.7700000000004</v>
      </c>
      <c r="F2000" s="9">
        <v>45751.666684444448</v>
      </c>
      <c r="G2000" t="s">
        <v>75</v>
      </c>
      <c r="H2000" t="s">
        <v>145</v>
      </c>
      <c r="I2000" t="s">
        <v>82</v>
      </c>
      <c r="J2000" t="str">
        <f t="shared" si="248"/>
        <v/>
      </c>
      <c r="K2000" t="str">
        <f t="shared" si="249"/>
        <v/>
      </c>
      <c r="L2000" t="str">
        <f t="shared" si="250"/>
        <v/>
      </c>
      <c r="M2000" t="str">
        <f t="shared" si="251"/>
        <v/>
      </c>
      <c r="N2000" t="str">
        <f t="shared" si="252"/>
        <v/>
      </c>
      <c r="O2000" t="str">
        <f t="shared" ca="1" si="253"/>
        <v>Outdated</v>
      </c>
      <c r="P2000" t="str">
        <f t="shared" si="254"/>
        <v>Wrong Item</v>
      </c>
      <c r="Q2000" t="str">
        <f t="shared" si="255"/>
        <v/>
      </c>
    </row>
    <row r="2001" spans="1:17" x14ac:dyDescent="0.45">
      <c r="A2001" t="s">
        <v>2821</v>
      </c>
      <c r="B2001" t="s">
        <v>138</v>
      </c>
      <c r="C2001" t="s">
        <v>367</v>
      </c>
      <c r="D2001" t="s">
        <v>85</v>
      </c>
      <c r="E2001" s="8">
        <v>403.8</v>
      </c>
      <c r="F2001" s="9">
        <v>45668.666684444448</v>
      </c>
      <c r="H2001" t="s">
        <v>87</v>
      </c>
      <c r="I2001" t="s">
        <v>88</v>
      </c>
      <c r="J2001" t="str">
        <f t="shared" si="248"/>
        <v/>
      </c>
      <c r="K2001" t="str">
        <f t="shared" si="249"/>
        <v/>
      </c>
      <c r="L2001" t="str">
        <f t="shared" si="250"/>
        <v/>
      </c>
      <c r="M2001" t="str">
        <f t="shared" si="251"/>
        <v>Invalid</v>
      </c>
      <c r="N2001" t="str">
        <f t="shared" si="252"/>
        <v>Invalid</v>
      </c>
      <c r="O2001" t="str">
        <f t="shared" ca="1" si="253"/>
        <v>Outdated</v>
      </c>
      <c r="P2001" t="str">
        <f t="shared" si="254"/>
        <v>Late Delivery</v>
      </c>
      <c r="Q2001" t="str">
        <f t="shared" si="255"/>
        <v/>
      </c>
    </row>
    <row r="2002" spans="1:17" x14ac:dyDescent="0.45">
      <c r="A2002" t="s">
        <v>2126</v>
      </c>
      <c r="B2002" t="s">
        <v>109</v>
      </c>
      <c r="C2002" t="s">
        <v>1362</v>
      </c>
      <c r="D2002" t="s">
        <v>85</v>
      </c>
      <c r="E2002" s="8">
        <v>4855.2700000000004</v>
      </c>
      <c r="F2002" s="9">
        <v>45561.666684444448</v>
      </c>
      <c r="H2002" t="s">
        <v>107</v>
      </c>
      <c r="I2002" t="s">
        <v>82</v>
      </c>
      <c r="J2002" t="str">
        <f t="shared" si="248"/>
        <v/>
      </c>
      <c r="K2002" t="str">
        <f t="shared" si="249"/>
        <v>Duplicate</v>
      </c>
      <c r="L2002" t="str">
        <f t="shared" si="250"/>
        <v/>
      </c>
      <c r="M2002" t="str">
        <f t="shared" si="251"/>
        <v>Invalid</v>
      </c>
      <c r="N2002" t="str">
        <f t="shared" si="252"/>
        <v/>
      </c>
      <c r="O2002" t="str">
        <f t="shared" ca="1" si="253"/>
        <v>Outdated</v>
      </c>
      <c r="P2002" t="str">
        <f t="shared" si="254"/>
        <v>Late Delivery</v>
      </c>
      <c r="Q2002" t="str">
        <f t="shared" si="255"/>
        <v/>
      </c>
    </row>
    <row r="2003" spans="1:17" x14ac:dyDescent="0.45">
      <c r="A2003" t="s">
        <v>2822</v>
      </c>
      <c r="B2003" t="s">
        <v>99</v>
      </c>
      <c r="C2003" t="s">
        <v>459</v>
      </c>
      <c r="D2003" t="s">
        <v>92</v>
      </c>
      <c r="E2003" s="8">
        <v>10484.07</v>
      </c>
      <c r="F2003" s="9">
        <v>45241.666684444448</v>
      </c>
      <c r="G2003" t="s">
        <v>285</v>
      </c>
      <c r="H2003" t="s">
        <v>118</v>
      </c>
      <c r="I2003" t="s">
        <v>77</v>
      </c>
      <c r="J2003" t="str">
        <f t="shared" si="248"/>
        <v/>
      </c>
      <c r="K2003" t="str">
        <f t="shared" si="249"/>
        <v/>
      </c>
      <c r="L2003" t="str">
        <f t="shared" si="250"/>
        <v>Unusual</v>
      </c>
      <c r="M2003" t="str">
        <f t="shared" si="251"/>
        <v>Invalid</v>
      </c>
      <c r="N2003" t="str">
        <f t="shared" si="252"/>
        <v>Invalid</v>
      </c>
      <c r="O2003" t="str">
        <f t="shared" ca="1" si="253"/>
        <v>Outdated</v>
      </c>
      <c r="P2003" t="str">
        <f t="shared" si="254"/>
        <v>Not As Described</v>
      </c>
      <c r="Q2003" t="str">
        <f t="shared" si="255"/>
        <v/>
      </c>
    </row>
    <row r="2004" spans="1:17" x14ac:dyDescent="0.45">
      <c r="A2004" t="s">
        <v>2823</v>
      </c>
      <c r="B2004" t="s">
        <v>95</v>
      </c>
      <c r="C2004" t="s">
        <v>2824</v>
      </c>
      <c r="D2004" t="s">
        <v>74</v>
      </c>
      <c r="E2004" s="8">
        <v>254.31</v>
      </c>
      <c r="F2004" s="9">
        <v>45423.666684444448</v>
      </c>
      <c r="G2004" t="s">
        <v>97</v>
      </c>
      <c r="H2004" t="s">
        <v>128</v>
      </c>
      <c r="I2004" t="s">
        <v>163</v>
      </c>
      <c r="J2004" t="str">
        <f t="shared" si="248"/>
        <v/>
      </c>
      <c r="K2004" t="str">
        <f t="shared" si="249"/>
        <v/>
      </c>
      <c r="L2004" t="str">
        <f t="shared" si="250"/>
        <v/>
      </c>
      <c r="M2004" t="str">
        <f t="shared" si="251"/>
        <v/>
      </c>
      <c r="N2004" t="str">
        <f t="shared" si="252"/>
        <v>Invalid</v>
      </c>
      <c r="O2004" t="str">
        <f t="shared" ca="1" si="253"/>
        <v>Outdated</v>
      </c>
      <c r="P2004" t="str">
        <f t="shared" si="254"/>
        <v>Wrong Item</v>
      </c>
      <c r="Q2004" t="str">
        <f t="shared" si="255"/>
        <v/>
      </c>
    </row>
    <row r="2005" spans="1:17" x14ac:dyDescent="0.45">
      <c r="A2005" t="s">
        <v>2825</v>
      </c>
      <c r="B2005" t="s">
        <v>109</v>
      </c>
      <c r="C2005" t="s">
        <v>482</v>
      </c>
      <c r="D2005" t="s">
        <v>85</v>
      </c>
      <c r="E2005" s="8">
        <v>5707.45</v>
      </c>
      <c r="F2005" s="9">
        <v>45371.666684444448</v>
      </c>
      <c r="G2005" t="s">
        <v>111</v>
      </c>
      <c r="H2005" t="s">
        <v>133</v>
      </c>
      <c r="I2005" t="s">
        <v>82</v>
      </c>
      <c r="J2005" t="str">
        <f t="shared" si="248"/>
        <v/>
      </c>
      <c r="K2005" t="str">
        <f t="shared" si="249"/>
        <v/>
      </c>
      <c r="L2005" t="str">
        <f t="shared" si="250"/>
        <v/>
      </c>
      <c r="M2005" t="str">
        <f t="shared" si="251"/>
        <v/>
      </c>
      <c r="N2005" t="str">
        <f t="shared" si="252"/>
        <v>Invalid</v>
      </c>
      <c r="O2005" t="str">
        <f t="shared" ca="1" si="253"/>
        <v>Outdated</v>
      </c>
      <c r="P2005" t="str">
        <f t="shared" si="254"/>
        <v>Late Delivery</v>
      </c>
      <c r="Q2005" t="str">
        <f t="shared" si="255"/>
        <v/>
      </c>
    </row>
    <row r="2006" spans="1:17" x14ac:dyDescent="0.45">
      <c r="A2006" t="s">
        <v>2826</v>
      </c>
      <c r="B2006" t="s">
        <v>109</v>
      </c>
      <c r="C2006" t="s">
        <v>543</v>
      </c>
      <c r="D2006" t="s">
        <v>74</v>
      </c>
      <c r="E2006" s="8">
        <v>10324.44</v>
      </c>
      <c r="F2006" s="9">
        <v>45436.666684444448</v>
      </c>
      <c r="G2006" t="s">
        <v>111</v>
      </c>
      <c r="H2006" t="s">
        <v>136</v>
      </c>
      <c r="I2006" t="s">
        <v>82</v>
      </c>
      <c r="J2006" t="str">
        <f t="shared" si="248"/>
        <v/>
      </c>
      <c r="K2006" t="str">
        <f t="shared" si="249"/>
        <v/>
      </c>
      <c r="L2006" t="str">
        <f t="shared" si="250"/>
        <v>Unusual</v>
      </c>
      <c r="M2006" t="str">
        <f t="shared" si="251"/>
        <v/>
      </c>
      <c r="N2006" t="str">
        <f t="shared" si="252"/>
        <v>Invalid</v>
      </c>
      <c r="O2006" t="str">
        <f t="shared" ca="1" si="253"/>
        <v>Outdated</v>
      </c>
      <c r="P2006" t="str">
        <f t="shared" si="254"/>
        <v>Wrong Item</v>
      </c>
      <c r="Q2006" t="str">
        <f t="shared" si="255"/>
        <v/>
      </c>
    </row>
    <row r="2007" spans="1:17" x14ac:dyDescent="0.45">
      <c r="A2007" t="s">
        <v>2827</v>
      </c>
      <c r="B2007" t="s">
        <v>90</v>
      </c>
      <c r="C2007" t="s">
        <v>1186</v>
      </c>
      <c r="D2007" t="s">
        <v>92</v>
      </c>
      <c r="E2007" s="8">
        <v>8275.6299999999992</v>
      </c>
      <c r="F2007" s="9">
        <v>45252.666684444448</v>
      </c>
      <c r="G2007" t="s">
        <v>93</v>
      </c>
      <c r="H2007" t="s">
        <v>118</v>
      </c>
      <c r="I2007" t="s">
        <v>163</v>
      </c>
      <c r="J2007" t="str">
        <f t="shared" si="248"/>
        <v/>
      </c>
      <c r="K2007" t="str">
        <f t="shared" si="249"/>
        <v/>
      </c>
      <c r="L2007" t="str">
        <f t="shared" si="250"/>
        <v/>
      </c>
      <c r="M2007" t="str">
        <f t="shared" si="251"/>
        <v/>
      </c>
      <c r="N2007" t="str">
        <f t="shared" si="252"/>
        <v>Invalid</v>
      </c>
      <c r="O2007" t="str">
        <f t="shared" ca="1" si="253"/>
        <v>Outdated</v>
      </c>
      <c r="P2007" t="str">
        <f t="shared" si="254"/>
        <v>Not As Described</v>
      </c>
      <c r="Q2007" t="str">
        <f t="shared" si="255"/>
        <v/>
      </c>
    </row>
    <row r="2008" spans="1:17" x14ac:dyDescent="0.45">
      <c r="A2008" t="s">
        <v>2828</v>
      </c>
      <c r="B2008" t="s">
        <v>109</v>
      </c>
      <c r="C2008" t="s">
        <v>663</v>
      </c>
      <c r="D2008" t="s">
        <v>74</v>
      </c>
      <c r="E2008" s="8">
        <v>5275.87</v>
      </c>
      <c r="F2008" s="9">
        <v>45176.666684444448</v>
      </c>
      <c r="G2008" t="s">
        <v>307</v>
      </c>
      <c r="H2008" t="s">
        <v>81</v>
      </c>
      <c r="I2008" t="s">
        <v>119</v>
      </c>
      <c r="J2008" t="str">
        <f t="shared" si="248"/>
        <v/>
      </c>
      <c r="K2008" t="str">
        <f t="shared" si="249"/>
        <v/>
      </c>
      <c r="L2008" t="str">
        <f t="shared" si="250"/>
        <v/>
      </c>
      <c r="M2008" t="str">
        <f t="shared" si="251"/>
        <v>Invalid</v>
      </c>
      <c r="N2008" t="str">
        <f t="shared" si="252"/>
        <v/>
      </c>
      <c r="O2008" t="str">
        <f t="shared" ca="1" si="253"/>
        <v>Outdated</v>
      </c>
      <c r="P2008" t="str">
        <f t="shared" si="254"/>
        <v>Wrong Item</v>
      </c>
      <c r="Q2008" t="str">
        <f t="shared" si="255"/>
        <v/>
      </c>
    </row>
    <row r="2009" spans="1:17" x14ac:dyDescent="0.45">
      <c r="A2009" t="s">
        <v>2829</v>
      </c>
      <c r="B2009" t="s">
        <v>99</v>
      </c>
      <c r="C2009" t="s">
        <v>181</v>
      </c>
      <c r="D2009" t="s">
        <v>155</v>
      </c>
      <c r="E2009" s="8">
        <v>4931.0600000000004</v>
      </c>
      <c r="F2009" s="9">
        <v>45372.666684444448</v>
      </c>
      <c r="G2009" t="s">
        <v>102</v>
      </c>
      <c r="H2009" t="s">
        <v>136</v>
      </c>
      <c r="I2009" t="s">
        <v>82</v>
      </c>
      <c r="J2009" t="str">
        <f t="shared" si="248"/>
        <v/>
      </c>
      <c r="K2009" t="str">
        <f t="shared" si="249"/>
        <v/>
      </c>
      <c r="L2009" t="str">
        <f t="shared" si="250"/>
        <v/>
      </c>
      <c r="M2009" t="str">
        <f t="shared" si="251"/>
        <v/>
      </c>
      <c r="N2009" t="str">
        <f t="shared" si="252"/>
        <v>Invalid</v>
      </c>
      <c r="O2009" t="str">
        <f t="shared" ca="1" si="253"/>
        <v>Outdated</v>
      </c>
      <c r="P2009" t="str">
        <f t="shared" si="254"/>
        <v>Damaged</v>
      </c>
      <c r="Q2009" t="str">
        <f t="shared" si="255"/>
        <v>Inconsistent</v>
      </c>
    </row>
    <row r="2010" spans="1:17" x14ac:dyDescent="0.45">
      <c r="A2010" t="s">
        <v>2830</v>
      </c>
      <c r="B2010" t="s">
        <v>99</v>
      </c>
      <c r="C2010" t="s">
        <v>2108</v>
      </c>
      <c r="D2010" t="s">
        <v>92</v>
      </c>
      <c r="E2010" s="8">
        <v>3005.32</v>
      </c>
      <c r="F2010" s="9">
        <v>45557.666684444448</v>
      </c>
      <c r="G2010" t="s">
        <v>102</v>
      </c>
      <c r="H2010" t="s">
        <v>87</v>
      </c>
      <c r="I2010" t="s">
        <v>82</v>
      </c>
      <c r="J2010" t="str">
        <f t="shared" si="248"/>
        <v/>
      </c>
      <c r="K2010" t="str">
        <f t="shared" si="249"/>
        <v/>
      </c>
      <c r="L2010" t="str">
        <f t="shared" si="250"/>
        <v/>
      </c>
      <c r="M2010" t="str">
        <f t="shared" si="251"/>
        <v/>
      </c>
      <c r="N2010" t="str">
        <f t="shared" si="252"/>
        <v>Invalid</v>
      </c>
      <c r="O2010" t="str">
        <f t="shared" ca="1" si="253"/>
        <v>Outdated</v>
      </c>
      <c r="P2010" t="str">
        <f t="shared" si="254"/>
        <v>Not As Described</v>
      </c>
      <c r="Q2010" t="str">
        <f t="shared" si="255"/>
        <v/>
      </c>
    </row>
    <row r="2011" spans="1:17" x14ac:dyDescent="0.45">
      <c r="A2011" t="s">
        <v>2831</v>
      </c>
      <c r="B2011" t="s">
        <v>95</v>
      </c>
      <c r="C2011" t="s">
        <v>1764</v>
      </c>
      <c r="D2011" t="s">
        <v>85</v>
      </c>
      <c r="E2011" s="8">
        <v>3997.03</v>
      </c>
      <c r="F2011" s="9">
        <v>45782.666684444448</v>
      </c>
      <c r="H2011" t="s">
        <v>87</v>
      </c>
      <c r="I2011" t="s">
        <v>77</v>
      </c>
      <c r="J2011" t="str">
        <f t="shared" si="248"/>
        <v/>
      </c>
      <c r="K2011" t="str">
        <f t="shared" si="249"/>
        <v/>
      </c>
      <c r="L2011" t="str">
        <f t="shared" si="250"/>
        <v/>
      </c>
      <c r="M2011" t="str">
        <f t="shared" si="251"/>
        <v>Invalid</v>
      </c>
      <c r="N2011" t="str">
        <f t="shared" si="252"/>
        <v>Invalid</v>
      </c>
      <c r="O2011" t="str">
        <f t="shared" ca="1" si="253"/>
        <v>Outdated</v>
      </c>
      <c r="P2011" t="str">
        <f t="shared" si="254"/>
        <v>Late Delivery</v>
      </c>
      <c r="Q2011" t="str">
        <f t="shared" si="255"/>
        <v/>
      </c>
    </row>
    <row r="2012" spans="1:17" x14ac:dyDescent="0.45">
      <c r="A2012" t="s">
        <v>2832</v>
      </c>
      <c r="B2012" t="s">
        <v>172</v>
      </c>
      <c r="C2012" t="s">
        <v>552</v>
      </c>
      <c r="D2012" t="s">
        <v>101</v>
      </c>
      <c r="E2012" s="8">
        <v>1158.6099999999999</v>
      </c>
      <c r="F2012" s="9">
        <v>45765.666684444448</v>
      </c>
      <c r="G2012" t="s">
        <v>174</v>
      </c>
      <c r="H2012" t="s">
        <v>145</v>
      </c>
      <c r="I2012" t="s">
        <v>82</v>
      </c>
      <c r="J2012" t="str">
        <f t="shared" si="248"/>
        <v/>
      </c>
      <c r="K2012" t="str">
        <f t="shared" si="249"/>
        <v/>
      </c>
      <c r="L2012" t="str">
        <f t="shared" si="250"/>
        <v/>
      </c>
      <c r="M2012" t="str">
        <f t="shared" si="251"/>
        <v/>
      </c>
      <c r="N2012" t="str">
        <f t="shared" si="252"/>
        <v/>
      </c>
      <c r="O2012" t="str">
        <f t="shared" ca="1" si="253"/>
        <v>Outdated</v>
      </c>
      <c r="P2012" t="str">
        <f t="shared" si="254"/>
        <v>Damaged</v>
      </c>
      <c r="Q2012" t="str">
        <f t="shared" si="255"/>
        <v/>
      </c>
    </row>
    <row r="2013" spans="1:17" x14ac:dyDescent="0.45">
      <c r="A2013" t="s">
        <v>2833</v>
      </c>
      <c r="B2013" t="s">
        <v>104</v>
      </c>
      <c r="C2013" t="s">
        <v>1320</v>
      </c>
      <c r="D2013" t="s">
        <v>74</v>
      </c>
      <c r="E2013" s="8">
        <v>0</v>
      </c>
      <c r="F2013" s="9">
        <v>45596.666684444448</v>
      </c>
      <c r="G2013" t="s">
        <v>247</v>
      </c>
      <c r="H2013" t="s">
        <v>145</v>
      </c>
      <c r="I2013" t="s">
        <v>88</v>
      </c>
      <c r="J2013" t="str">
        <f t="shared" si="248"/>
        <v/>
      </c>
      <c r="K2013" t="str">
        <f t="shared" si="249"/>
        <v/>
      </c>
      <c r="L2013" t="str">
        <f t="shared" si="250"/>
        <v>Unusual</v>
      </c>
      <c r="M2013" t="str">
        <f t="shared" si="251"/>
        <v>Invalid</v>
      </c>
      <c r="N2013" t="str">
        <f t="shared" si="252"/>
        <v/>
      </c>
      <c r="O2013" t="str">
        <f t="shared" ca="1" si="253"/>
        <v>Outdated</v>
      </c>
      <c r="P2013" t="str">
        <f t="shared" si="254"/>
        <v>Wrong Item</v>
      </c>
      <c r="Q2013" t="str">
        <f t="shared" si="255"/>
        <v/>
      </c>
    </row>
    <row r="2014" spans="1:17" x14ac:dyDescent="0.45">
      <c r="A2014" t="s">
        <v>2834</v>
      </c>
      <c r="B2014" t="s">
        <v>104</v>
      </c>
      <c r="C2014" t="s">
        <v>2835</v>
      </c>
      <c r="D2014" t="s">
        <v>101</v>
      </c>
      <c r="E2014" s="8">
        <v>2251.33</v>
      </c>
      <c r="F2014" s="9">
        <v>45192.666684444448</v>
      </c>
      <c r="G2014" t="s">
        <v>115</v>
      </c>
      <c r="H2014" t="s">
        <v>133</v>
      </c>
      <c r="I2014" t="s">
        <v>77</v>
      </c>
      <c r="J2014" t="str">
        <f t="shared" si="248"/>
        <v/>
      </c>
      <c r="K2014" t="str">
        <f t="shared" si="249"/>
        <v/>
      </c>
      <c r="L2014" t="str">
        <f t="shared" si="250"/>
        <v/>
      </c>
      <c r="M2014" t="str">
        <f t="shared" si="251"/>
        <v/>
      </c>
      <c r="N2014" t="str">
        <f t="shared" si="252"/>
        <v>Invalid</v>
      </c>
      <c r="O2014" t="str">
        <f t="shared" ca="1" si="253"/>
        <v>Outdated</v>
      </c>
      <c r="P2014" t="str">
        <f t="shared" si="254"/>
        <v>Damaged</v>
      </c>
      <c r="Q2014" t="str">
        <f t="shared" si="255"/>
        <v/>
      </c>
    </row>
    <row r="2015" spans="1:17" x14ac:dyDescent="0.45">
      <c r="A2015" t="s">
        <v>2836</v>
      </c>
      <c r="B2015" t="s">
        <v>79</v>
      </c>
      <c r="C2015" t="s">
        <v>870</v>
      </c>
      <c r="D2015" t="s">
        <v>148</v>
      </c>
      <c r="E2015" s="8">
        <v>0</v>
      </c>
      <c r="F2015" s="9">
        <v>45241.666684444448</v>
      </c>
      <c r="G2015" t="s">
        <v>86</v>
      </c>
      <c r="H2015" t="s">
        <v>81</v>
      </c>
      <c r="I2015" t="s">
        <v>88</v>
      </c>
      <c r="J2015" t="str">
        <f t="shared" si="248"/>
        <v/>
      </c>
      <c r="K2015" t="str">
        <f t="shared" si="249"/>
        <v/>
      </c>
      <c r="L2015" t="str">
        <f t="shared" si="250"/>
        <v>Unusual</v>
      </c>
      <c r="M2015" t="str">
        <f t="shared" si="251"/>
        <v/>
      </c>
      <c r="N2015" t="str">
        <f t="shared" si="252"/>
        <v/>
      </c>
      <c r="O2015" t="str">
        <f t="shared" ca="1" si="253"/>
        <v>Outdated</v>
      </c>
      <c r="P2015" t="str">
        <f t="shared" si="254"/>
        <v>Wrong Item</v>
      </c>
      <c r="Q2015" t="str">
        <f t="shared" si="255"/>
        <v>Inconsistent</v>
      </c>
    </row>
    <row r="2016" spans="1:17" x14ac:dyDescent="0.45">
      <c r="A2016" t="s">
        <v>1798</v>
      </c>
      <c r="B2016" t="s">
        <v>79</v>
      </c>
      <c r="C2016" t="s">
        <v>794</v>
      </c>
      <c r="D2016" t="s">
        <v>155</v>
      </c>
      <c r="E2016" s="8">
        <v>8159.74</v>
      </c>
      <c r="F2016" s="9">
        <v>45639.666684444448</v>
      </c>
      <c r="G2016" t="s">
        <v>86</v>
      </c>
      <c r="H2016" t="s">
        <v>118</v>
      </c>
      <c r="I2016" t="s">
        <v>163</v>
      </c>
      <c r="J2016" t="str">
        <f t="shared" si="248"/>
        <v/>
      </c>
      <c r="K2016" t="str">
        <f t="shared" si="249"/>
        <v>Duplicate</v>
      </c>
      <c r="L2016" t="str">
        <f t="shared" si="250"/>
        <v/>
      </c>
      <c r="M2016" t="str">
        <f t="shared" si="251"/>
        <v/>
      </c>
      <c r="N2016" t="str">
        <f t="shared" si="252"/>
        <v>Invalid</v>
      </c>
      <c r="O2016" t="str">
        <f t="shared" ca="1" si="253"/>
        <v>Outdated</v>
      </c>
      <c r="P2016" t="str">
        <f t="shared" si="254"/>
        <v>Damaged</v>
      </c>
      <c r="Q2016" t="str">
        <f t="shared" si="255"/>
        <v>Inconsistent</v>
      </c>
    </row>
    <row r="2017" spans="1:17" x14ac:dyDescent="0.45">
      <c r="A2017" t="s">
        <v>2837</v>
      </c>
      <c r="B2017" t="s">
        <v>99</v>
      </c>
      <c r="C2017" t="s">
        <v>821</v>
      </c>
      <c r="D2017" t="s">
        <v>74</v>
      </c>
      <c r="E2017" s="8">
        <v>0</v>
      </c>
      <c r="F2017" s="9">
        <v>45739.666684444448</v>
      </c>
      <c r="G2017" t="s">
        <v>102</v>
      </c>
      <c r="H2017" t="s">
        <v>136</v>
      </c>
      <c r="I2017" t="s">
        <v>119</v>
      </c>
      <c r="J2017" t="str">
        <f t="shared" si="248"/>
        <v/>
      </c>
      <c r="K2017" t="str">
        <f t="shared" si="249"/>
        <v/>
      </c>
      <c r="L2017" t="str">
        <f t="shared" si="250"/>
        <v>Unusual</v>
      </c>
      <c r="M2017" t="str">
        <f t="shared" si="251"/>
        <v/>
      </c>
      <c r="N2017" t="str">
        <f t="shared" si="252"/>
        <v>Invalid</v>
      </c>
      <c r="O2017" t="str">
        <f t="shared" ca="1" si="253"/>
        <v>Outdated</v>
      </c>
      <c r="P2017" t="str">
        <f t="shared" si="254"/>
        <v>Wrong Item</v>
      </c>
      <c r="Q2017" t="str">
        <f t="shared" si="255"/>
        <v/>
      </c>
    </row>
    <row r="2018" spans="1:17" x14ac:dyDescent="0.45">
      <c r="A2018" t="s">
        <v>2838</v>
      </c>
      <c r="B2018" t="s">
        <v>79</v>
      </c>
      <c r="D2018" t="s">
        <v>85</v>
      </c>
      <c r="E2018" s="8">
        <v>8923.5400000000009</v>
      </c>
      <c r="F2018" s="9">
        <v>45676.666684444448</v>
      </c>
      <c r="G2018" t="s">
        <v>86</v>
      </c>
      <c r="H2018" t="s">
        <v>136</v>
      </c>
      <c r="I2018" t="s">
        <v>82</v>
      </c>
      <c r="J2018" t="str">
        <f t="shared" si="248"/>
        <v>Missing</v>
      </c>
      <c r="K2018" t="str">
        <f t="shared" si="249"/>
        <v/>
      </c>
      <c r="L2018" t="str">
        <f t="shared" si="250"/>
        <v/>
      </c>
      <c r="M2018" t="str">
        <f t="shared" si="251"/>
        <v/>
      </c>
      <c r="N2018" t="str">
        <f t="shared" si="252"/>
        <v>Invalid</v>
      </c>
      <c r="O2018" t="str">
        <f t="shared" ca="1" si="253"/>
        <v>Outdated</v>
      </c>
      <c r="P2018" t="str">
        <f t="shared" si="254"/>
        <v>Late Delivery</v>
      </c>
      <c r="Q2018" t="str">
        <f t="shared" si="255"/>
        <v/>
      </c>
    </row>
    <row r="2019" spans="1:17" x14ac:dyDescent="0.45">
      <c r="A2019" t="s">
        <v>2839</v>
      </c>
      <c r="B2019" t="s">
        <v>90</v>
      </c>
      <c r="C2019" t="s">
        <v>1294</v>
      </c>
      <c r="D2019" t="s">
        <v>92</v>
      </c>
      <c r="E2019" s="8">
        <v>8006.28</v>
      </c>
      <c r="F2019" s="9">
        <v>45144.666684444448</v>
      </c>
      <c r="G2019" t="s">
        <v>93</v>
      </c>
      <c r="H2019" t="s">
        <v>81</v>
      </c>
      <c r="I2019" t="s">
        <v>77</v>
      </c>
      <c r="J2019" t="str">
        <f t="shared" si="248"/>
        <v/>
      </c>
      <c r="K2019" t="str">
        <f t="shared" si="249"/>
        <v/>
      </c>
      <c r="L2019" t="str">
        <f t="shared" si="250"/>
        <v/>
      </c>
      <c r="M2019" t="str">
        <f t="shared" si="251"/>
        <v/>
      </c>
      <c r="N2019" t="str">
        <f t="shared" si="252"/>
        <v/>
      </c>
      <c r="O2019" t="str">
        <f t="shared" ca="1" si="253"/>
        <v>Outdated</v>
      </c>
      <c r="P2019" t="str">
        <f t="shared" si="254"/>
        <v>Not As Described</v>
      </c>
      <c r="Q2019" t="str">
        <f t="shared" si="255"/>
        <v/>
      </c>
    </row>
    <row r="2020" spans="1:17" x14ac:dyDescent="0.45">
      <c r="A2020" t="s">
        <v>2840</v>
      </c>
      <c r="B2020" t="s">
        <v>79</v>
      </c>
      <c r="C2020" t="s">
        <v>1667</v>
      </c>
      <c r="D2020" t="s">
        <v>85</v>
      </c>
      <c r="E2020" s="8">
        <v>8598.64</v>
      </c>
      <c r="F2020" s="9">
        <v>45775.666684444448</v>
      </c>
      <c r="G2020" t="s">
        <v>86</v>
      </c>
      <c r="H2020" t="s">
        <v>136</v>
      </c>
      <c r="I2020" t="s">
        <v>88</v>
      </c>
      <c r="J2020" t="str">
        <f t="shared" si="248"/>
        <v/>
      </c>
      <c r="K2020" t="str">
        <f t="shared" si="249"/>
        <v/>
      </c>
      <c r="L2020" t="str">
        <f t="shared" si="250"/>
        <v/>
      </c>
      <c r="M2020" t="str">
        <f t="shared" si="251"/>
        <v/>
      </c>
      <c r="N2020" t="str">
        <f t="shared" si="252"/>
        <v>Invalid</v>
      </c>
      <c r="O2020" t="str">
        <f t="shared" ca="1" si="253"/>
        <v>Outdated</v>
      </c>
      <c r="P2020" t="str">
        <f t="shared" si="254"/>
        <v>Late Delivery</v>
      </c>
      <c r="Q2020" t="str">
        <f t="shared" si="255"/>
        <v/>
      </c>
    </row>
    <row r="2021" spans="1:17" x14ac:dyDescent="0.45">
      <c r="A2021" t="s">
        <v>2841</v>
      </c>
      <c r="B2021" t="s">
        <v>72</v>
      </c>
      <c r="C2021" t="s">
        <v>2842</v>
      </c>
      <c r="D2021" t="s">
        <v>74</v>
      </c>
      <c r="E2021" s="8">
        <v>2541.59</v>
      </c>
      <c r="F2021" s="9">
        <v>45655.666684444448</v>
      </c>
      <c r="G2021" t="s">
        <v>75</v>
      </c>
      <c r="H2021" t="s">
        <v>136</v>
      </c>
      <c r="I2021" t="s">
        <v>77</v>
      </c>
      <c r="J2021" t="str">
        <f t="shared" si="248"/>
        <v/>
      </c>
      <c r="K2021" t="str">
        <f t="shared" si="249"/>
        <v/>
      </c>
      <c r="L2021" t="str">
        <f t="shared" si="250"/>
        <v/>
      </c>
      <c r="M2021" t="str">
        <f t="shared" si="251"/>
        <v/>
      </c>
      <c r="N2021" t="str">
        <f t="shared" si="252"/>
        <v>Invalid</v>
      </c>
      <c r="O2021" t="str">
        <f t="shared" ca="1" si="253"/>
        <v>Outdated</v>
      </c>
      <c r="P2021" t="str">
        <f t="shared" si="254"/>
        <v>Wrong Item</v>
      </c>
      <c r="Q2021" t="str">
        <f t="shared" si="255"/>
        <v/>
      </c>
    </row>
    <row r="2022" spans="1:17" x14ac:dyDescent="0.45">
      <c r="A2022" t="s">
        <v>2843</v>
      </c>
      <c r="B2022" t="s">
        <v>72</v>
      </c>
      <c r="C2022" t="s">
        <v>2684</v>
      </c>
      <c r="D2022" t="s">
        <v>74</v>
      </c>
      <c r="E2022" s="8">
        <v>5128.8500000000004</v>
      </c>
      <c r="F2022" s="9">
        <v>45716.666684444448</v>
      </c>
      <c r="G2022" t="s">
        <v>75</v>
      </c>
      <c r="H2022" t="s">
        <v>76</v>
      </c>
      <c r="I2022" t="s">
        <v>77</v>
      </c>
      <c r="J2022" t="str">
        <f t="shared" si="248"/>
        <v/>
      </c>
      <c r="K2022" t="str">
        <f t="shared" si="249"/>
        <v/>
      </c>
      <c r="L2022" t="str">
        <f t="shared" si="250"/>
        <v/>
      </c>
      <c r="M2022" t="str">
        <f t="shared" si="251"/>
        <v/>
      </c>
      <c r="N2022" t="str">
        <f t="shared" si="252"/>
        <v/>
      </c>
      <c r="O2022" t="str">
        <f t="shared" ca="1" si="253"/>
        <v>Outdated</v>
      </c>
      <c r="P2022" t="str">
        <f t="shared" si="254"/>
        <v>Wrong Item</v>
      </c>
      <c r="Q2022" t="str">
        <f t="shared" si="255"/>
        <v/>
      </c>
    </row>
    <row r="2023" spans="1:17" x14ac:dyDescent="0.45">
      <c r="A2023" t="s">
        <v>2844</v>
      </c>
      <c r="B2023" t="s">
        <v>90</v>
      </c>
      <c r="C2023" t="s">
        <v>1636</v>
      </c>
      <c r="D2023" t="s">
        <v>101</v>
      </c>
      <c r="E2023" s="8">
        <v>8674.81</v>
      </c>
      <c r="F2023" s="9">
        <v>45375.666684444448</v>
      </c>
      <c r="G2023" t="s">
        <v>93</v>
      </c>
      <c r="H2023" t="s">
        <v>107</v>
      </c>
      <c r="I2023" t="s">
        <v>119</v>
      </c>
      <c r="J2023" t="str">
        <f t="shared" si="248"/>
        <v/>
      </c>
      <c r="K2023" t="str">
        <f t="shared" si="249"/>
        <v/>
      </c>
      <c r="L2023" t="str">
        <f t="shared" si="250"/>
        <v/>
      </c>
      <c r="M2023" t="str">
        <f t="shared" si="251"/>
        <v/>
      </c>
      <c r="N2023" t="str">
        <f t="shared" si="252"/>
        <v/>
      </c>
      <c r="O2023" t="str">
        <f t="shared" ca="1" si="253"/>
        <v>Outdated</v>
      </c>
      <c r="P2023" t="str">
        <f t="shared" si="254"/>
        <v>Damaged</v>
      </c>
      <c r="Q2023" t="str">
        <f t="shared" si="255"/>
        <v/>
      </c>
    </row>
    <row r="2024" spans="1:17" x14ac:dyDescent="0.45">
      <c r="A2024" t="s">
        <v>2845</v>
      </c>
      <c r="B2024" t="s">
        <v>109</v>
      </c>
      <c r="C2024" t="s">
        <v>901</v>
      </c>
      <c r="E2024" s="8">
        <v>8740.23</v>
      </c>
      <c r="F2024" s="9">
        <v>45275.666684444448</v>
      </c>
      <c r="G2024" t="s">
        <v>111</v>
      </c>
      <c r="I2024" t="s">
        <v>112</v>
      </c>
      <c r="J2024" t="str">
        <f t="shared" si="248"/>
        <v>Missing</v>
      </c>
      <c r="K2024" t="str">
        <f t="shared" si="249"/>
        <v/>
      </c>
      <c r="L2024" t="str">
        <f t="shared" si="250"/>
        <v/>
      </c>
      <c r="M2024" t="str">
        <f t="shared" si="251"/>
        <v/>
      </c>
      <c r="N2024" t="str">
        <f t="shared" si="252"/>
        <v>Invalid</v>
      </c>
      <c r="O2024" t="str">
        <f t="shared" ca="1" si="253"/>
        <v>Outdated</v>
      </c>
      <c r="P2024" t="str">
        <f t="shared" si="254"/>
        <v/>
      </c>
      <c r="Q2024" t="str">
        <f t="shared" si="255"/>
        <v/>
      </c>
    </row>
    <row r="2025" spans="1:17" x14ac:dyDescent="0.45">
      <c r="A2025" t="s">
        <v>2846</v>
      </c>
      <c r="B2025" t="s">
        <v>72</v>
      </c>
      <c r="C2025" t="s">
        <v>1711</v>
      </c>
      <c r="D2025" t="s">
        <v>85</v>
      </c>
      <c r="E2025" s="8">
        <v>6062.72</v>
      </c>
      <c r="F2025" s="9">
        <v>45426.666684444448</v>
      </c>
      <c r="G2025" t="s">
        <v>75</v>
      </c>
      <c r="H2025" t="s">
        <v>133</v>
      </c>
      <c r="I2025" t="s">
        <v>163</v>
      </c>
      <c r="J2025" t="str">
        <f t="shared" si="248"/>
        <v/>
      </c>
      <c r="K2025" t="str">
        <f t="shared" si="249"/>
        <v/>
      </c>
      <c r="L2025" t="str">
        <f t="shared" si="250"/>
        <v/>
      </c>
      <c r="M2025" t="str">
        <f t="shared" si="251"/>
        <v/>
      </c>
      <c r="N2025" t="str">
        <f t="shared" si="252"/>
        <v>Invalid</v>
      </c>
      <c r="O2025" t="str">
        <f t="shared" ca="1" si="253"/>
        <v>Outdated</v>
      </c>
      <c r="P2025" t="str">
        <f t="shared" si="254"/>
        <v>Late Delivery</v>
      </c>
      <c r="Q2025" t="str">
        <f t="shared" si="255"/>
        <v/>
      </c>
    </row>
    <row r="2026" spans="1:17" x14ac:dyDescent="0.45">
      <c r="A2026" t="s">
        <v>2847</v>
      </c>
      <c r="B2026" t="s">
        <v>104</v>
      </c>
      <c r="C2026" t="s">
        <v>433</v>
      </c>
      <c r="D2026" t="s">
        <v>85</v>
      </c>
      <c r="E2026" s="8">
        <v>8171.14</v>
      </c>
      <c r="F2026" s="9">
        <v>45567.666684444448</v>
      </c>
      <c r="G2026" t="s">
        <v>115</v>
      </c>
      <c r="H2026" t="s">
        <v>136</v>
      </c>
      <c r="I2026" t="s">
        <v>112</v>
      </c>
      <c r="J2026" t="str">
        <f t="shared" si="248"/>
        <v/>
      </c>
      <c r="K2026" t="str">
        <f t="shared" si="249"/>
        <v/>
      </c>
      <c r="L2026" t="str">
        <f t="shared" si="250"/>
        <v/>
      </c>
      <c r="M2026" t="str">
        <f t="shared" si="251"/>
        <v/>
      </c>
      <c r="N2026" t="str">
        <f t="shared" si="252"/>
        <v>Invalid</v>
      </c>
      <c r="O2026" t="str">
        <f t="shared" ca="1" si="253"/>
        <v>Outdated</v>
      </c>
      <c r="P2026" t="str">
        <f t="shared" si="254"/>
        <v>Late Delivery</v>
      </c>
      <c r="Q2026" t="str">
        <f t="shared" si="255"/>
        <v/>
      </c>
    </row>
    <row r="2027" spans="1:17" x14ac:dyDescent="0.45">
      <c r="A2027" t="s">
        <v>2848</v>
      </c>
      <c r="B2027" t="s">
        <v>104</v>
      </c>
      <c r="C2027" t="s">
        <v>1094</v>
      </c>
      <c r="D2027" t="s">
        <v>155</v>
      </c>
      <c r="E2027" s="8">
        <v>10689.92</v>
      </c>
      <c r="F2027" s="9">
        <v>45129.666684444448</v>
      </c>
      <c r="G2027" t="s">
        <v>115</v>
      </c>
      <c r="H2027" t="s">
        <v>76</v>
      </c>
      <c r="I2027" t="s">
        <v>77</v>
      </c>
      <c r="J2027" t="str">
        <f t="shared" si="248"/>
        <v/>
      </c>
      <c r="K2027" t="str">
        <f t="shared" si="249"/>
        <v/>
      </c>
      <c r="L2027" t="str">
        <f t="shared" si="250"/>
        <v>Unusual</v>
      </c>
      <c r="M2027" t="str">
        <f t="shared" si="251"/>
        <v/>
      </c>
      <c r="N2027" t="str">
        <f t="shared" si="252"/>
        <v/>
      </c>
      <c r="O2027" t="str">
        <f t="shared" ca="1" si="253"/>
        <v>Outdated</v>
      </c>
      <c r="P2027" t="str">
        <f t="shared" si="254"/>
        <v>Damaged</v>
      </c>
      <c r="Q2027" t="str">
        <f t="shared" si="255"/>
        <v>Inconsistent</v>
      </c>
    </row>
    <row r="2028" spans="1:17" x14ac:dyDescent="0.45">
      <c r="A2028" t="s">
        <v>2849</v>
      </c>
      <c r="B2028" t="s">
        <v>72</v>
      </c>
      <c r="C2028" t="s">
        <v>2111</v>
      </c>
      <c r="D2028" t="s">
        <v>85</v>
      </c>
      <c r="E2028" s="8">
        <v>8402.58</v>
      </c>
      <c r="F2028" s="9">
        <v>45757.666684444448</v>
      </c>
      <c r="G2028" t="s">
        <v>75</v>
      </c>
      <c r="H2028" t="s">
        <v>107</v>
      </c>
      <c r="I2028" t="s">
        <v>112</v>
      </c>
      <c r="J2028" t="str">
        <f t="shared" si="248"/>
        <v/>
      </c>
      <c r="K2028" t="str">
        <f t="shared" si="249"/>
        <v/>
      </c>
      <c r="L2028" t="str">
        <f t="shared" si="250"/>
        <v/>
      </c>
      <c r="M2028" t="str">
        <f t="shared" si="251"/>
        <v/>
      </c>
      <c r="N2028" t="str">
        <f t="shared" si="252"/>
        <v/>
      </c>
      <c r="O2028" t="str">
        <f t="shared" ca="1" si="253"/>
        <v>Outdated</v>
      </c>
      <c r="P2028" t="str">
        <f t="shared" si="254"/>
        <v>Late Delivery</v>
      </c>
      <c r="Q2028" t="str">
        <f t="shared" si="255"/>
        <v/>
      </c>
    </row>
    <row r="2029" spans="1:17" x14ac:dyDescent="0.45">
      <c r="A2029" t="s">
        <v>1152</v>
      </c>
      <c r="B2029" t="s">
        <v>79</v>
      </c>
      <c r="C2029" t="s">
        <v>737</v>
      </c>
      <c r="D2029" t="s">
        <v>148</v>
      </c>
      <c r="E2029" s="8">
        <v>1995.74</v>
      </c>
      <c r="F2029" s="9">
        <v>45489.666684444448</v>
      </c>
      <c r="G2029" t="s">
        <v>278</v>
      </c>
      <c r="H2029" t="s">
        <v>145</v>
      </c>
      <c r="I2029" t="s">
        <v>82</v>
      </c>
      <c r="J2029" t="str">
        <f t="shared" si="248"/>
        <v/>
      </c>
      <c r="K2029" t="str">
        <f t="shared" si="249"/>
        <v>Duplicate</v>
      </c>
      <c r="L2029" t="str">
        <f t="shared" si="250"/>
        <v/>
      </c>
      <c r="M2029" t="str">
        <f t="shared" si="251"/>
        <v>Invalid</v>
      </c>
      <c r="N2029" t="str">
        <f t="shared" si="252"/>
        <v/>
      </c>
      <c r="O2029" t="str">
        <f t="shared" ca="1" si="253"/>
        <v>Outdated</v>
      </c>
      <c r="P2029" t="str">
        <f t="shared" si="254"/>
        <v>Wrong Item</v>
      </c>
      <c r="Q2029" t="str">
        <f t="shared" si="255"/>
        <v>Inconsistent</v>
      </c>
    </row>
    <row r="2030" spans="1:17" x14ac:dyDescent="0.45">
      <c r="A2030" t="s">
        <v>2850</v>
      </c>
      <c r="B2030" t="s">
        <v>104</v>
      </c>
      <c r="C2030" t="s">
        <v>1299</v>
      </c>
      <c r="D2030" t="s">
        <v>85</v>
      </c>
      <c r="E2030" s="8">
        <v>3498.93</v>
      </c>
      <c r="F2030" s="9">
        <v>45374.666684444448</v>
      </c>
      <c r="I2030" t="s">
        <v>163</v>
      </c>
      <c r="J2030" t="str">
        <f t="shared" si="248"/>
        <v/>
      </c>
      <c r="K2030" t="str">
        <f t="shared" si="249"/>
        <v/>
      </c>
      <c r="L2030" t="str">
        <f t="shared" si="250"/>
        <v/>
      </c>
      <c r="M2030" t="str">
        <f t="shared" si="251"/>
        <v>Invalid</v>
      </c>
      <c r="N2030" t="str">
        <f t="shared" si="252"/>
        <v>Invalid</v>
      </c>
      <c r="O2030" t="str">
        <f t="shared" ca="1" si="253"/>
        <v>Outdated</v>
      </c>
      <c r="P2030" t="str">
        <f t="shared" si="254"/>
        <v>Late Delivery</v>
      </c>
      <c r="Q2030" t="str">
        <f t="shared" si="255"/>
        <v/>
      </c>
    </row>
    <row r="2031" spans="1:17" x14ac:dyDescent="0.45">
      <c r="A2031" t="s">
        <v>2851</v>
      </c>
      <c r="B2031" t="s">
        <v>72</v>
      </c>
      <c r="C2031" t="s">
        <v>162</v>
      </c>
      <c r="D2031" t="s">
        <v>74</v>
      </c>
      <c r="E2031" s="8">
        <v>2859.45</v>
      </c>
      <c r="F2031" s="9">
        <v>45712.666684444448</v>
      </c>
      <c r="G2031" t="s">
        <v>75</v>
      </c>
      <c r="I2031" t="s">
        <v>119</v>
      </c>
      <c r="J2031" t="str">
        <f t="shared" si="248"/>
        <v/>
      </c>
      <c r="K2031" t="str">
        <f t="shared" si="249"/>
        <v/>
      </c>
      <c r="L2031" t="str">
        <f t="shared" si="250"/>
        <v/>
      </c>
      <c r="M2031" t="str">
        <f t="shared" si="251"/>
        <v/>
      </c>
      <c r="N2031" t="str">
        <f t="shared" si="252"/>
        <v>Invalid</v>
      </c>
      <c r="O2031" t="str">
        <f t="shared" ca="1" si="253"/>
        <v>Outdated</v>
      </c>
      <c r="P2031" t="str">
        <f t="shared" si="254"/>
        <v>Wrong Item</v>
      </c>
      <c r="Q2031" t="str">
        <f t="shared" si="255"/>
        <v/>
      </c>
    </row>
    <row r="2032" spans="1:17" x14ac:dyDescent="0.45">
      <c r="A2032" t="s">
        <v>2852</v>
      </c>
      <c r="B2032" t="s">
        <v>109</v>
      </c>
      <c r="C2032" t="s">
        <v>210</v>
      </c>
      <c r="D2032" t="s">
        <v>155</v>
      </c>
      <c r="E2032" s="8">
        <v>10415.57</v>
      </c>
      <c r="F2032" s="9">
        <v>45554.666684444448</v>
      </c>
      <c r="G2032" t="s">
        <v>307</v>
      </c>
      <c r="H2032" t="s">
        <v>136</v>
      </c>
      <c r="I2032" t="s">
        <v>112</v>
      </c>
      <c r="J2032" t="str">
        <f t="shared" si="248"/>
        <v/>
      </c>
      <c r="K2032" t="str">
        <f t="shared" si="249"/>
        <v>Duplicate</v>
      </c>
      <c r="L2032" t="str">
        <f t="shared" si="250"/>
        <v>Unusual</v>
      </c>
      <c r="M2032" t="str">
        <f t="shared" si="251"/>
        <v>Invalid</v>
      </c>
      <c r="N2032" t="str">
        <f t="shared" si="252"/>
        <v>Invalid</v>
      </c>
      <c r="O2032" t="str">
        <f t="shared" ca="1" si="253"/>
        <v>Outdated</v>
      </c>
      <c r="P2032" t="str">
        <f t="shared" si="254"/>
        <v>Damaged</v>
      </c>
      <c r="Q2032" t="str">
        <f t="shared" si="255"/>
        <v>Inconsistent</v>
      </c>
    </row>
    <row r="2033" spans="1:17" x14ac:dyDescent="0.45">
      <c r="A2033" t="s">
        <v>2853</v>
      </c>
      <c r="B2033" t="s">
        <v>95</v>
      </c>
      <c r="C2033" t="s">
        <v>2686</v>
      </c>
      <c r="D2033" t="s">
        <v>85</v>
      </c>
      <c r="E2033" s="8">
        <v>5675.77</v>
      </c>
      <c r="F2033" s="9">
        <v>45319.666684444448</v>
      </c>
      <c r="G2033" t="s">
        <v>336</v>
      </c>
      <c r="H2033" t="s">
        <v>76</v>
      </c>
      <c r="I2033" t="s">
        <v>88</v>
      </c>
      <c r="J2033" t="str">
        <f t="shared" si="248"/>
        <v/>
      </c>
      <c r="K2033" t="str">
        <f t="shared" si="249"/>
        <v/>
      </c>
      <c r="L2033" t="str">
        <f t="shared" si="250"/>
        <v/>
      </c>
      <c r="M2033" t="str">
        <f t="shared" si="251"/>
        <v>Invalid</v>
      </c>
      <c r="N2033" t="str">
        <f t="shared" si="252"/>
        <v/>
      </c>
      <c r="O2033" t="str">
        <f t="shared" ca="1" si="253"/>
        <v>Outdated</v>
      </c>
      <c r="P2033" t="str">
        <f t="shared" si="254"/>
        <v>Late Delivery</v>
      </c>
      <c r="Q2033" t="str">
        <f t="shared" si="255"/>
        <v/>
      </c>
    </row>
    <row r="2034" spans="1:17" x14ac:dyDescent="0.45">
      <c r="A2034" t="s">
        <v>1147</v>
      </c>
      <c r="B2034" t="s">
        <v>79</v>
      </c>
      <c r="C2034" t="s">
        <v>1552</v>
      </c>
      <c r="D2034" t="s">
        <v>74</v>
      </c>
      <c r="E2034" s="8">
        <v>7286.75</v>
      </c>
      <c r="F2034" s="9">
        <v>45808.666684444448</v>
      </c>
      <c r="G2034" t="s">
        <v>278</v>
      </c>
      <c r="H2034" t="s">
        <v>81</v>
      </c>
      <c r="I2034" t="s">
        <v>77</v>
      </c>
      <c r="J2034" t="str">
        <f t="shared" si="248"/>
        <v/>
      </c>
      <c r="K2034" t="str">
        <f t="shared" si="249"/>
        <v>Duplicate</v>
      </c>
      <c r="L2034" t="str">
        <f t="shared" si="250"/>
        <v/>
      </c>
      <c r="M2034" t="str">
        <f t="shared" si="251"/>
        <v>Invalid</v>
      </c>
      <c r="N2034" t="str">
        <f t="shared" si="252"/>
        <v/>
      </c>
      <c r="O2034" t="str">
        <f t="shared" ca="1" si="253"/>
        <v>Outdated</v>
      </c>
      <c r="P2034" t="str">
        <f t="shared" si="254"/>
        <v>Wrong Item</v>
      </c>
      <c r="Q2034" t="str">
        <f t="shared" si="255"/>
        <v/>
      </c>
    </row>
    <row r="2035" spans="1:17" x14ac:dyDescent="0.45">
      <c r="A2035" t="s">
        <v>2854</v>
      </c>
      <c r="B2035" t="s">
        <v>79</v>
      </c>
      <c r="C2035" t="s">
        <v>597</v>
      </c>
      <c r="D2035" t="s">
        <v>101</v>
      </c>
      <c r="E2035" s="8">
        <v>4555.57</v>
      </c>
      <c r="F2035" s="9">
        <v>45812.666684444448</v>
      </c>
      <c r="G2035" t="s">
        <v>86</v>
      </c>
      <c r="H2035" t="s">
        <v>116</v>
      </c>
      <c r="I2035" t="s">
        <v>77</v>
      </c>
      <c r="J2035" t="str">
        <f t="shared" si="248"/>
        <v/>
      </c>
      <c r="K2035" t="str">
        <f t="shared" si="249"/>
        <v/>
      </c>
      <c r="L2035" t="str">
        <f t="shared" si="250"/>
        <v/>
      </c>
      <c r="M2035" t="str">
        <f t="shared" si="251"/>
        <v/>
      </c>
      <c r="N2035" t="str">
        <f t="shared" si="252"/>
        <v/>
      </c>
      <c r="O2035" t="str">
        <f t="shared" ca="1" si="253"/>
        <v>Outdated</v>
      </c>
      <c r="P2035" t="str">
        <f t="shared" si="254"/>
        <v>Damaged</v>
      </c>
      <c r="Q2035" t="str">
        <f t="shared" si="255"/>
        <v/>
      </c>
    </row>
    <row r="2036" spans="1:17" x14ac:dyDescent="0.45">
      <c r="A2036" t="s">
        <v>2855</v>
      </c>
      <c r="B2036" t="s">
        <v>72</v>
      </c>
      <c r="C2036" t="s">
        <v>2357</v>
      </c>
      <c r="D2036" t="s">
        <v>74</v>
      </c>
      <c r="E2036" s="8">
        <v>7069.6</v>
      </c>
      <c r="F2036" s="9">
        <v>45215.666684444448</v>
      </c>
      <c r="G2036" t="s">
        <v>75</v>
      </c>
      <c r="H2036" t="s">
        <v>116</v>
      </c>
      <c r="I2036" t="s">
        <v>163</v>
      </c>
      <c r="J2036" t="str">
        <f t="shared" si="248"/>
        <v/>
      </c>
      <c r="K2036" t="str">
        <f t="shared" si="249"/>
        <v/>
      </c>
      <c r="L2036" t="str">
        <f t="shared" si="250"/>
        <v/>
      </c>
      <c r="M2036" t="str">
        <f t="shared" si="251"/>
        <v/>
      </c>
      <c r="N2036" t="str">
        <f t="shared" si="252"/>
        <v/>
      </c>
      <c r="O2036" t="str">
        <f t="shared" ca="1" si="253"/>
        <v>Outdated</v>
      </c>
      <c r="P2036" t="str">
        <f t="shared" si="254"/>
        <v>Wrong Item</v>
      </c>
      <c r="Q2036" t="str">
        <f t="shared" si="255"/>
        <v/>
      </c>
    </row>
    <row r="2037" spans="1:17" x14ac:dyDescent="0.45">
      <c r="A2037" t="s">
        <v>2856</v>
      </c>
      <c r="B2037" t="s">
        <v>172</v>
      </c>
      <c r="C2037" t="s">
        <v>2857</v>
      </c>
      <c r="D2037" t="s">
        <v>85</v>
      </c>
      <c r="E2037" s="8">
        <v>5420.9</v>
      </c>
      <c r="F2037" s="9">
        <v>45664.666684444448</v>
      </c>
      <c r="G2037" t="s">
        <v>174</v>
      </c>
      <c r="H2037" t="s">
        <v>136</v>
      </c>
      <c r="I2037" t="s">
        <v>82</v>
      </c>
      <c r="J2037" t="str">
        <f t="shared" si="248"/>
        <v/>
      </c>
      <c r="K2037" t="str">
        <f t="shared" si="249"/>
        <v/>
      </c>
      <c r="L2037" t="str">
        <f t="shared" si="250"/>
        <v/>
      </c>
      <c r="M2037" t="str">
        <f t="shared" si="251"/>
        <v/>
      </c>
      <c r="N2037" t="str">
        <f t="shared" si="252"/>
        <v>Invalid</v>
      </c>
      <c r="O2037" t="str">
        <f t="shared" ca="1" si="253"/>
        <v>Outdated</v>
      </c>
      <c r="P2037" t="str">
        <f t="shared" si="254"/>
        <v>Late Delivery</v>
      </c>
      <c r="Q2037" t="str">
        <f t="shared" si="255"/>
        <v/>
      </c>
    </row>
    <row r="2038" spans="1:17" x14ac:dyDescent="0.45">
      <c r="A2038" t="s">
        <v>2858</v>
      </c>
      <c r="B2038" t="s">
        <v>138</v>
      </c>
      <c r="C2038" t="s">
        <v>1938</v>
      </c>
      <c r="D2038" t="s">
        <v>148</v>
      </c>
      <c r="E2038" s="8">
        <v>1006.15</v>
      </c>
      <c r="F2038" s="9">
        <v>45497.666684444448</v>
      </c>
      <c r="G2038" t="s">
        <v>140</v>
      </c>
      <c r="H2038" t="s">
        <v>87</v>
      </c>
      <c r="I2038" t="s">
        <v>112</v>
      </c>
      <c r="J2038" t="str">
        <f t="shared" si="248"/>
        <v/>
      </c>
      <c r="K2038" t="str">
        <f t="shared" si="249"/>
        <v/>
      </c>
      <c r="L2038" t="str">
        <f t="shared" si="250"/>
        <v/>
      </c>
      <c r="M2038" t="str">
        <f t="shared" si="251"/>
        <v/>
      </c>
      <c r="N2038" t="str">
        <f t="shared" si="252"/>
        <v>Invalid</v>
      </c>
      <c r="O2038" t="str">
        <f t="shared" ca="1" si="253"/>
        <v>Outdated</v>
      </c>
      <c r="P2038" t="str">
        <f t="shared" si="254"/>
        <v>Wrong Item</v>
      </c>
      <c r="Q2038" t="str">
        <f t="shared" si="255"/>
        <v>Inconsistent</v>
      </c>
    </row>
    <row r="2039" spans="1:17" x14ac:dyDescent="0.45">
      <c r="A2039" t="s">
        <v>2852</v>
      </c>
      <c r="B2039" t="s">
        <v>72</v>
      </c>
      <c r="C2039" t="s">
        <v>1169</v>
      </c>
      <c r="D2039" t="s">
        <v>155</v>
      </c>
      <c r="E2039" s="8">
        <v>5028.8999999999996</v>
      </c>
      <c r="F2039" s="9">
        <v>45197.666684444448</v>
      </c>
      <c r="G2039" t="s">
        <v>75</v>
      </c>
      <c r="H2039" t="s">
        <v>87</v>
      </c>
      <c r="I2039" t="s">
        <v>77</v>
      </c>
      <c r="J2039" t="str">
        <f t="shared" si="248"/>
        <v/>
      </c>
      <c r="K2039" t="str">
        <f t="shared" si="249"/>
        <v>Duplicate</v>
      </c>
      <c r="L2039" t="str">
        <f t="shared" si="250"/>
        <v/>
      </c>
      <c r="M2039" t="str">
        <f t="shared" si="251"/>
        <v/>
      </c>
      <c r="N2039" t="str">
        <f t="shared" si="252"/>
        <v>Invalid</v>
      </c>
      <c r="O2039" t="str">
        <f t="shared" ca="1" si="253"/>
        <v>Outdated</v>
      </c>
      <c r="P2039" t="str">
        <f t="shared" si="254"/>
        <v>Damaged</v>
      </c>
      <c r="Q2039" t="str">
        <f t="shared" si="255"/>
        <v>Inconsistent</v>
      </c>
    </row>
    <row r="2040" spans="1:17" x14ac:dyDescent="0.45">
      <c r="A2040" t="s">
        <v>2859</v>
      </c>
      <c r="B2040" t="s">
        <v>90</v>
      </c>
      <c r="C2040" t="s">
        <v>1850</v>
      </c>
      <c r="D2040" t="s">
        <v>155</v>
      </c>
      <c r="E2040" s="8">
        <v>0</v>
      </c>
      <c r="F2040" s="9">
        <v>45666.666684444448</v>
      </c>
      <c r="G2040" t="s">
        <v>93</v>
      </c>
      <c r="I2040" t="s">
        <v>119</v>
      </c>
      <c r="J2040" t="str">
        <f t="shared" si="248"/>
        <v/>
      </c>
      <c r="K2040" t="str">
        <f t="shared" si="249"/>
        <v/>
      </c>
      <c r="L2040" t="str">
        <f t="shared" si="250"/>
        <v>Unusual</v>
      </c>
      <c r="M2040" t="str">
        <f t="shared" si="251"/>
        <v/>
      </c>
      <c r="N2040" t="str">
        <f t="shared" si="252"/>
        <v>Invalid</v>
      </c>
      <c r="O2040" t="str">
        <f t="shared" ca="1" si="253"/>
        <v>Outdated</v>
      </c>
      <c r="P2040" t="str">
        <f t="shared" si="254"/>
        <v>Damaged</v>
      </c>
      <c r="Q2040" t="str">
        <f t="shared" si="255"/>
        <v>Inconsistent</v>
      </c>
    </row>
    <row r="2041" spans="1:17" x14ac:dyDescent="0.45">
      <c r="A2041" t="s">
        <v>998</v>
      </c>
      <c r="B2041" t="s">
        <v>72</v>
      </c>
      <c r="C2041" t="s">
        <v>367</v>
      </c>
      <c r="D2041" t="s">
        <v>74</v>
      </c>
      <c r="E2041" s="8">
        <v>3284.52</v>
      </c>
      <c r="F2041" s="9">
        <v>45685.666684444448</v>
      </c>
      <c r="H2041" t="s">
        <v>116</v>
      </c>
      <c r="I2041" t="s">
        <v>112</v>
      </c>
      <c r="J2041" t="str">
        <f t="shared" si="248"/>
        <v/>
      </c>
      <c r="K2041" t="str">
        <f t="shared" si="249"/>
        <v>Duplicate</v>
      </c>
      <c r="L2041" t="str">
        <f t="shared" si="250"/>
        <v/>
      </c>
      <c r="M2041" t="str">
        <f t="shared" si="251"/>
        <v>Invalid</v>
      </c>
      <c r="N2041" t="str">
        <f t="shared" si="252"/>
        <v/>
      </c>
      <c r="O2041" t="str">
        <f t="shared" ca="1" si="253"/>
        <v>Outdated</v>
      </c>
      <c r="P2041" t="str">
        <f t="shared" si="254"/>
        <v>Wrong Item</v>
      </c>
      <c r="Q2041" t="str">
        <f t="shared" si="255"/>
        <v/>
      </c>
    </row>
    <row r="2042" spans="1:17" x14ac:dyDescent="0.45">
      <c r="A2042" t="s">
        <v>2860</v>
      </c>
      <c r="B2042" t="s">
        <v>79</v>
      </c>
      <c r="C2042" t="s">
        <v>2020</v>
      </c>
      <c r="D2042" t="s">
        <v>101</v>
      </c>
      <c r="E2042" s="8">
        <v>4036.93</v>
      </c>
      <c r="F2042" s="9">
        <v>45647.666684444448</v>
      </c>
      <c r="G2042" t="s">
        <v>86</v>
      </c>
      <c r="H2042" t="s">
        <v>128</v>
      </c>
      <c r="I2042" t="s">
        <v>163</v>
      </c>
      <c r="J2042" t="str">
        <f t="shared" si="248"/>
        <v/>
      </c>
      <c r="K2042" t="str">
        <f t="shared" si="249"/>
        <v/>
      </c>
      <c r="L2042" t="str">
        <f t="shared" si="250"/>
        <v/>
      </c>
      <c r="M2042" t="str">
        <f t="shared" si="251"/>
        <v/>
      </c>
      <c r="N2042" t="str">
        <f t="shared" si="252"/>
        <v>Invalid</v>
      </c>
      <c r="O2042" t="str">
        <f t="shared" ca="1" si="253"/>
        <v>Outdated</v>
      </c>
      <c r="P2042" t="str">
        <f t="shared" si="254"/>
        <v>Damaged</v>
      </c>
      <c r="Q2042" t="str">
        <f t="shared" si="255"/>
        <v/>
      </c>
    </row>
    <row r="2043" spans="1:17" x14ac:dyDescent="0.45">
      <c r="A2043" t="s">
        <v>2861</v>
      </c>
      <c r="B2043" t="s">
        <v>95</v>
      </c>
      <c r="C2043" t="s">
        <v>158</v>
      </c>
      <c r="D2043" t="s">
        <v>74</v>
      </c>
      <c r="E2043" s="8">
        <v>6119.19</v>
      </c>
      <c r="F2043" s="9">
        <v>45647.666684444448</v>
      </c>
      <c r="G2043" t="s">
        <v>97</v>
      </c>
      <c r="H2043" t="s">
        <v>145</v>
      </c>
      <c r="I2043" t="s">
        <v>77</v>
      </c>
      <c r="J2043" t="str">
        <f t="shared" si="248"/>
        <v/>
      </c>
      <c r="K2043" t="str">
        <f t="shared" si="249"/>
        <v/>
      </c>
      <c r="L2043" t="str">
        <f t="shared" si="250"/>
        <v/>
      </c>
      <c r="M2043" t="str">
        <f t="shared" si="251"/>
        <v/>
      </c>
      <c r="N2043" t="str">
        <f t="shared" si="252"/>
        <v/>
      </c>
      <c r="O2043" t="str">
        <f t="shared" ca="1" si="253"/>
        <v>Outdated</v>
      </c>
      <c r="P2043" t="str">
        <f t="shared" si="254"/>
        <v>Wrong Item</v>
      </c>
      <c r="Q2043" t="str">
        <f t="shared" si="255"/>
        <v/>
      </c>
    </row>
    <row r="2044" spans="1:17" x14ac:dyDescent="0.45">
      <c r="A2044" t="s">
        <v>2862</v>
      </c>
      <c r="B2044" t="s">
        <v>90</v>
      </c>
      <c r="C2044" t="s">
        <v>1838</v>
      </c>
      <c r="D2044" t="s">
        <v>148</v>
      </c>
      <c r="E2044" s="8">
        <v>9000.74</v>
      </c>
      <c r="F2044" s="9">
        <v>45695.666684444448</v>
      </c>
      <c r="G2044" t="s">
        <v>93</v>
      </c>
      <c r="H2044" t="s">
        <v>87</v>
      </c>
      <c r="I2044" t="s">
        <v>119</v>
      </c>
      <c r="J2044" t="str">
        <f t="shared" si="248"/>
        <v/>
      </c>
      <c r="K2044" t="str">
        <f t="shared" si="249"/>
        <v/>
      </c>
      <c r="L2044" t="str">
        <f t="shared" si="250"/>
        <v/>
      </c>
      <c r="M2044" t="str">
        <f t="shared" si="251"/>
        <v/>
      </c>
      <c r="N2044" t="str">
        <f t="shared" si="252"/>
        <v>Invalid</v>
      </c>
      <c r="O2044" t="str">
        <f t="shared" ca="1" si="253"/>
        <v>Outdated</v>
      </c>
      <c r="P2044" t="str">
        <f t="shared" si="254"/>
        <v>Wrong Item</v>
      </c>
      <c r="Q2044" t="str">
        <f t="shared" si="255"/>
        <v>Inconsistent</v>
      </c>
    </row>
    <row r="2045" spans="1:17" x14ac:dyDescent="0.45">
      <c r="A2045" t="s">
        <v>2863</v>
      </c>
      <c r="B2045" t="s">
        <v>99</v>
      </c>
      <c r="C2045" t="s">
        <v>2864</v>
      </c>
      <c r="D2045" t="s">
        <v>101</v>
      </c>
      <c r="E2045" s="8">
        <v>0</v>
      </c>
      <c r="F2045" s="9">
        <v>45148.666684444448</v>
      </c>
      <c r="H2045" t="s">
        <v>76</v>
      </c>
      <c r="I2045" t="s">
        <v>82</v>
      </c>
      <c r="J2045" t="str">
        <f t="shared" si="248"/>
        <v/>
      </c>
      <c r="K2045" t="str">
        <f t="shared" si="249"/>
        <v/>
      </c>
      <c r="L2045" t="str">
        <f t="shared" si="250"/>
        <v>Unusual</v>
      </c>
      <c r="M2045" t="str">
        <f t="shared" si="251"/>
        <v>Invalid</v>
      </c>
      <c r="N2045" t="str">
        <f t="shared" si="252"/>
        <v/>
      </c>
      <c r="O2045" t="str">
        <f t="shared" ca="1" si="253"/>
        <v>Outdated</v>
      </c>
      <c r="P2045" t="str">
        <f t="shared" si="254"/>
        <v>Damaged</v>
      </c>
      <c r="Q2045" t="str">
        <f t="shared" si="255"/>
        <v/>
      </c>
    </row>
    <row r="2046" spans="1:17" x14ac:dyDescent="0.45">
      <c r="A2046" t="s">
        <v>2865</v>
      </c>
      <c r="B2046" t="s">
        <v>99</v>
      </c>
      <c r="C2046" t="s">
        <v>2866</v>
      </c>
      <c r="D2046" t="s">
        <v>85</v>
      </c>
      <c r="E2046" s="8">
        <v>11177.07</v>
      </c>
      <c r="F2046" s="9">
        <v>45527.666684444448</v>
      </c>
      <c r="G2046" t="s">
        <v>102</v>
      </c>
      <c r="H2046" t="s">
        <v>87</v>
      </c>
      <c r="I2046" t="s">
        <v>77</v>
      </c>
      <c r="J2046" t="str">
        <f t="shared" si="248"/>
        <v/>
      </c>
      <c r="K2046" t="str">
        <f t="shared" si="249"/>
        <v/>
      </c>
      <c r="L2046" t="str">
        <f t="shared" si="250"/>
        <v>Unusual</v>
      </c>
      <c r="M2046" t="str">
        <f t="shared" si="251"/>
        <v/>
      </c>
      <c r="N2046" t="str">
        <f t="shared" si="252"/>
        <v>Invalid</v>
      </c>
      <c r="O2046" t="str">
        <f t="shared" ca="1" si="253"/>
        <v>Outdated</v>
      </c>
      <c r="P2046" t="str">
        <f t="shared" si="254"/>
        <v>Late Delivery</v>
      </c>
      <c r="Q2046" t="str">
        <f t="shared" si="255"/>
        <v/>
      </c>
    </row>
    <row r="2047" spans="1:17" x14ac:dyDescent="0.45">
      <c r="A2047" t="s">
        <v>2867</v>
      </c>
      <c r="B2047" t="s">
        <v>172</v>
      </c>
      <c r="C2047" t="s">
        <v>710</v>
      </c>
      <c r="D2047" t="s">
        <v>92</v>
      </c>
      <c r="E2047" s="8">
        <v>11113.71</v>
      </c>
      <c r="F2047" s="9">
        <v>45609.666684444448</v>
      </c>
      <c r="G2047" t="s">
        <v>236</v>
      </c>
      <c r="H2047" t="s">
        <v>107</v>
      </c>
      <c r="I2047" t="s">
        <v>77</v>
      </c>
      <c r="J2047" t="str">
        <f t="shared" si="248"/>
        <v/>
      </c>
      <c r="K2047" t="str">
        <f t="shared" si="249"/>
        <v/>
      </c>
      <c r="L2047" t="str">
        <f t="shared" si="250"/>
        <v>Unusual</v>
      </c>
      <c r="M2047" t="str">
        <f t="shared" si="251"/>
        <v>Invalid</v>
      </c>
      <c r="N2047" t="str">
        <f t="shared" si="252"/>
        <v/>
      </c>
      <c r="O2047" t="str">
        <f t="shared" ca="1" si="253"/>
        <v>Outdated</v>
      </c>
      <c r="P2047" t="str">
        <f t="shared" si="254"/>
        <v>Not As Described</v>
      </c>
      <c r="Q2047" t="str">
        <f t="shared" si="255"/>
        <v/>
      </c>
    </row>
    <row r="2048" spans="1:17" x14ac:dyDescent="0.45">
      <c r="A2048" t="s">
        <v>2719</v>
      </c>
      <c r="B2048" t="s">
        <v>109</v>
      </c>
      <c r="C2048" t="s">
        <v>2868</v>
      </c>
      <c r="D2048" t="s">
        <v>101</v>
      </c>
      <c r="E2048" s="8">
        <v>11069.23</v>
      </c>
      <c r="F2048" s="9">
        <v>45172.666684444448</v>
      </c>
      <c r="G2048" t="s">
        <v>111</v>
      </c>
      <c r="H2048" t="s">
        <v>107</v>
      </c>
      <c r="I2048" t="s">
        <v>88</v>
      </c>
      <c r="J2048" t="str">
        <f t="shared" si="248"/>
        <v/>
      </c>
      <c r="K2048" t="str">
        <f t="shared" si="249"/>
        <v>Duplicate</v>
      </c>
      <c r="L2048" t="str">
        <f t="shared" si="250"/>
        <v>Unusual</v>
      </c>
      <c r="M2048" t="str">
        <f t="shared" si="251"/>
        <v/>
      </c>
      <c r="N2048" t="str">
        <f t="shared" si="252"/>
        <v/>
      </c>
      <c r="O2048" t="str">
        <f t="shared" ca="1" si="253"/>
        <v>Outdated</v>
      </c>
      <c r="P2048" t="str">
        <f t="shared" si="254"/>
        <v>Damaged</v>
      </c>
      <c r="Q2048" t="str">
        <f t="shared" si="255"/>
        <v/>
      </c>
    </row>
    <row r="2049" spans="1:17" x14ac:dyDescent="0.45">
      <c r="A2049" t="s">
        <v>2869</v>
      </c>
      <c r="B2049" t="s">
        <v>104</v>
      </c>
      <c r="C2049" t="s">
        <v>1904</v>
      </c>
      <c r="D2049" t="s">
        <v>101</v>
      </c>
      <c r="E2049" s="8">
        <v>2827.73</v>
      </c>
      <c r="F2049" s="9">
        <v>45778.666684444448</v>
      </c>
      <c r="G2049" t="s">
        <v>115</v>
      </c>
      <c r="H2049" t="s">
        <v>128</v>
      </c>
      <c r="I2049" t="s">
        <v>163</v>
      </c>
      <c r="J2049" t="str">
        <f t="shared" si="248"/>
        <v/>
      </c>
      <c r="K2049" t="str">
        <f t="shared" si="249"/>
        <v/>
      </c>
      <c r="L2049" t="str">
        <f t="shared" si="250"/>
        <v/>
      </c>
      <c r="M2049" t="str">
        <f t="shared" si="251"/>
        <v/>
      </c>
      <c r="N2049" t="str">
        <f t="shared" si="252"/>
        <v>Invalid</v>
      </c>
      <c r="O2049" t="str">
        <f t="shared" ca="1" si="253"/>
        <v>Outdated</v>
      </c>
      <c r="P2049" t="str">
        <f t="shared" si="254"/>
        <v>Damaged</v>
      </c>
      <c r="Q2049" t="str">
        <f t="shared" si="255"/>
        <v/>
      </c>
    </row>
    <row r="2050" spans="1:17" x14ac:dyDescent="0.45">
      <c r="A2050" t="s">
        <v>2870</v>
      </c>
      <c r="B2050" t="s">
        <v>172</v>
      </c>
      <c r="C2050" t="s">
        <v>201</v>
      </c>
      <c r="D2050" t="s">
        <v>106</v>
      </c>
      <c r="E2050" s="8">
        <v>2211.1799999999998</v>
      </c>
      <c r="F2050" s="9">
        <v>45524.666684444448</v>
      </c>
      <c r="G2050" t="s">
        <v>174</v>
      </c>
      <c r="H2050" t="s">
        <v>128</v>
      </c>
      <c r="I2050" t="s">
        <v>88</v>
      </c>
      <c r="J2050" t="str">
        <f t="shared" ref="J2050:J2113" si="256">IF(OR(ISBLANK(C2050),ISBLANK(D2050)),"Missing","")</f>
        <v/>
      </c>
      <c r="K2050" t="str">
        <f t="shared" ref="K2050:K2113" si="257">IF(COUNTIF($A$2:$A$2501,A2050)&gt;1,"Duplicate","")</f>
        <v/>
      </c>
      <c r="L2050" t="str">
        <f t="shared" ref="L2050:L2113" si="258">IF(OR(E2050=0,E2050&gt;10000),"Unusual","")</f>
        <v/>
      </c>
      <c r="M2050" t="str">
        <f t="shared" ref="M2050:M2113" si="259">IF(OR(ISBLANK(G2050),ISERROR(FIND("@",G2050)),ISERROR(FIND(".",G2050,FIND("@",G2050)+1))),"Invalid","")</f>
        <v/>
      </c>
      <c r="N2050" t="str">
        <f t="shared" ref="N2050:N2113" si="260">IF(COUNTIF($S$2:$S$6,H2050)=0,"Invalid","")</f>
        <v>Invalid</v>
      </c>
      <c r="O2050" t="str">
        <f t="shared" ref="O2050:O2113" ca="1" si="261">IF(F2050&lt;EDATE(TODAY(),-12),"Outdated","")</f>
        <v>Outdated</v>
      </c>
      <c r="P2050" t="str">
        <f t="shared" ref="P2050:P2113" si="262">IF(ISBLANK(D2050),"",PROPER(TRIM(D2050)))</f>
        <v>Damaged</v>
      </c>
      <c r="Q2050" t="str">
        <f t="shared" ref="Q2050:Q2113" si="263">IF(ISBLANK(D2050),"",IF(EXACT(D2050,P2050),"","Inconsistent"))</f>
        <v>Inconsistent</v>
      </c>
    </row>
    <row r="2051" spans="1:17" x14ac:dyDescent="0.45">
      <c r="A2051" t="s">
        <v>2871</v>
      </c>
      <c r="B2051" t="s">
        <v>99</v>
      </c>
      <c r="C2051" t="s">
        <v>2621</v>
      </c>
      <c r="D2051" t="s">
        <v>106</v>
      </c>
      <c r="E2051" s="8">
        <v>3252.76</v>
      </c>
      <c r="F2051" s="9">
        <v>45510.666684444448</v>
      </c>
      <c r="G2051" t="s">
        <v>102</v>
      </c>
      <c r="H2051" t="s">
        <v>136</v>
      </c>
      <c r="I2051" t="s">
        <v>112</v>
      </c>
      <c r="J2051" t="str">
        <f t="shared" si="256"/>
        <v/>
      </c>
      <c r="K2051" t="str">
        <f t="shared" si="257"/>
        <v/>
      </c>
      <c r="L2051" t="str">
        <f t="shared" si="258"/>
        <v/>
      </c>
      <c r="M2051" t="str">
        <f t="shared" si="259"/>
        <v/>
      </c>
      <c r="N2051" t="str">
        <f t="shared" si="260"/>
        <v>Invalid</v>
      </c>
      <c r="O2051" t="str">
        <f t="shared" ca="1" si="261"/>
        <v>Outdated</v>
      </c>
      <c r="P2051" t="str">
        <f t="shared" si="262"/>
        <v>Damaged</v>
      </c>
      <c r="Q2051" t="str">
        <f t="shared" si="263"/>
        <v>Inconsistent</v>
      </c>
    </row>
    <row r="2052" spans="1:17" x14ac:dyDescent="0.45">
      <c r="A2052" t="s">
        <v>2872</v>
      </c>
      <c r="B2052" t="s">
        <v>104</v>
      </c>
      <c r="C2052" t="s">
        <v>1631</v>
      </c>
      <c r="D2052" t="s">
        <v>101</v>
      </c>
      <c r="E2052" s="8">
        <v>6173.76</v>
      </c>
      <c r="F2052" s="9">
        <v>45387.666684444448</v>
      </c>
      <c r="G2052" t="s">
        <v>115</v>
      </c>
      <c r="H2052" t="s">
        <v>87</v>
      </c>
      <c r="I2052" t="s">
        <v>82</v>
      </c>
      <c r="J2052" t="str">
        <f t="shared" si="256"/>
        <v/>
      </c>
      <c r="K2052" t="str">
        <f t="shared" si="257"/>
        <v/>
      </c>
      <c r="L2052" t="str">
        <f t="shared" si="258"/>
        <v/>
      </c>
      <c r="M2052" t="str">
        <f t="shared" si="259"/>
        <v/>
      </c>
      <c r="N2052" t="str">
        <f t="shared" si="260"/>
        <v>Invalid</v>
      </c>
      <c r="O2052" t="str">
        <f t="shared" ca="1" si="261"/>
        <v>Outdated</v>
      </c>
      <c r="P2052" t="str">
        <f t="shared" si="262"/>
        <v>Damaged</v>
      </c>
      <c r="Q2052" t="str">
        <f t="shared" si="263"/>
        <v/>
      </c>
    </row>
    <row r="2053" spans="1:17" x14ac:dyDescent="0.45">
      <c r="A2053" t="s">
        <v>2873</v>
      </c>
      <c r="B2053" t="s">
        <v>109</v>
      </c>
      <c r="C2053" t="s">
        <v>2146</v>
      </c>
      <c r="D2053" t="s">
        <v>85</v>
      </c>
      <c r="E2053" s="8">
        <v>11114.5</v>
      </c>
      <c r="F2053" s="9">
        <v>45144.666684444448</v>
      </c>
      <c r="G2053" t="s">
        <v>111</v>
      </c>
      <c r="I2053" t="s">
        <v>77</v>
      </c>
      <c r="J2053" t="str">
        <f t="shared" si="256"/>
        <v/>
      </c>
      <c r="K2053" t="str">
        <f t="shared" si="257"/>
        <v/>
      </c>
      <c r="L2053" t="str">
        <f t="shared" si="258"/>
        <v>Unusual</v>
      </c>
      <c r="M2053" t="str">
        <f t="shared" si="259"/>
        <v/>
      </c>
      <c r="N2053" t="str">
        <f t="shared" si="260"/>
        <v>Invalid</v>
      </c>
      <c r="O2053" t="str">
        <f t="shared" ca="1" si="261"/>
        <v>Outdated</v>
      </c>
      <c r="P2053" t="str">
        <f t="shared" si="262"/>
        <v>Late Delivery</v>
      </c>
      <c r="Q2053" t="str">
        <f t="shared" si="263"/>
        <v/>
      </c>
    </row>
    <row r="2054" spans="1:17" x14ac:dyDescent="0.45">
      <c r="A2054" t="s">
        <v>2467</v>
      </c>
      <c r="B2054" t="s">
        <v>104</v>
      </c>
      <c r="C2054" t="s">
        <v>1486</v>
      </c>
      <c r="D2054" t="s">
        <v>106</v>
      </c>
      <c r="E2054" s="8">
        <v>0</v>
      </c>
      <c r="F2054" s="9">
        <v>45493.666684444448</v>
      </c>
      <c r="G2054" t="s">
        <v>115</v>
      </c>
      <c r="H2054" t="s">
        <v>107</v>
      </c>
      <c r="I2054" t="s">
        <v>82</v>
      </c>
      <c r="J2054" t="str">
        <f t="shared" si="256"/>
        <v/>
      </c>
      <c r="K2054" t="str">
        <f t="shared" si="257"/>
        <v>Duplicate</v>
      </c>
      <c r="L2054" t="str">
        <f t="shared" si="258"/>
        <v>Unusual</v>
      </c>
      <c r="M2054" t="str">
        <f t="shared" si="259"/>
        <v/>
      </c>
      <c r="N2054" t="str">
        <f t="shared" si="260"/>
        <v/>
      </c>
      <c r="O2054" t="str">
        <f t="shared" ca="1" si="261"/>
        <v>Outdated</v>
      </c>
      <c r="P2054" t="str">
        <f t="shared" si="262"/>
        <v>Damaged</v>
      </c>
      <c r="Q2054" t="str">
        <f t="shared" si="263"/>
        <v>Inconsistent</v>
      </c>
    </row>
    <row r="2055" spans="1:17" x14ac:dyDescent="0.45">
      <c r="A2055" t="s">
        <v>2874</v>
      </c>
      <c r="B2055" t="s">
        <v>109</v>
      </c>
      <c r="C2055" t="s">
        <v>160</v>
      </c>
      <c r="D2055" t="s">
        <v>74</v>
      </c>
      <c r="E2055" s="8">
        <v>11055.88</v>
      </c>
      <c r="F2055" s="9">
        <v>45197.666684444448</v>
      </c>
      <c r="H2055" t="s">
        <v>87</v>
      </c>
      <c r="I2055" t="s">
        <v>82</v>
      </c>
      <c r="J2055" t="str">
        <f t="shared" si="256"/>
        <v/>
      </c>
      <c r="K2055" t="str">
        <f t="shared" si="257"/>
        <v/>
      </c>
      <c r="L2055" t="str">
        <f t="shared" si="258"/>
        <v>Unusual</v>
      </c>
      <c r="M2055" t="str">
        <f t="shared" si="259"/>
        <v>Invalid</v>
      </c>
      <c r="N2055" t="str">
        <f t="shared" si="260"/>
        <v>Invalid</v>
      </c>
      <c r="O2055" t="str">
        <f t="shared" ca="1" si="261"/>
        <v>Outdated</v>
      </c>
      <c r="P2055" t="str">
        <f t="shared" si="262"/>
        <v>Wrong Item</v>
      </c>
      <c r="Q2055" t="str">
        <f t="shared" si="263"/>
        <v/>
      </c>
    </row>
    <row r="2056" spans="1:17" x14ac:dyDescent="0.45">
      <c r="A2056" t="s">
        <v>2875</v>
      </c>
      <c r="B2056" t="s">
        <v>138</v>
      </c>
      <c r="C2056" t="s">
        <v>766</v>
      </c>
      <c r="D2056" t="s">
        <v>101</v>
      </c>
      <c r="E2056" s="8">
        <v>0</v>
      </c>
      <c r="F2056" s="9">
        <v>45481.666684444448</v>
      </c>
      <c r="G2056" t="s">
        <v>140</v>
      </c>
      <c r="H2056" t="s">
        <v>116</v>
      </c>
      <c r="I2056" t="s">
        <v>163</v>
      </c>
      <c r="J2056" t="str">
        <f t="shared" si="256"/>
        <v/>
      </c>
      <c r="K2056" t="str">
        <f t="shared" si="257"/>
        <v/>
      </c>
      <c r="L2056" t="str">
        <f t="shared" si="258"/>
        <v>Unusual</v>
      </c>
      <c r="M2056" t="str">
        <f t="shared" si="259"/>
        <v/>
      </c>
      <c r="N2056" t="str">
        <f t="shared" si="260"/>
        <v/>
      </c>
      <c r="O2056" t="str">
        <f t="shared" ca="1" si="261"/>
        <v>Outdated</v>
      </c>
      <c r="P2056" t="str">
        <f t="shared" si="262"/>
        <v>Damaged</v>
      </c>
      <c r="Q2056" t="str">
        <f t="shared" si="263"/>
        <v/>
      </c>
    </row>
    <row r="2057" spans="1:17" x14ac:dyDescent="0.45">
      <c r="A2057" t="s">
        <v>2876</v>
      </c>
      <c r="B2057" t="s">
        <v>90</v>
      </c>
      <c r="C2057" t="s">
        <v>2877</v>
      </c>
      <c r="D2057" t="s">
        <v>74</v>
      </c>
      <c r="E2057" s="8">
        <v>9757.7199999999993</v>
      </c>
      <c r="F2057" s="9">
        <v>45374.666684444448</v>
      </c>
      <c r="G2057" t="s">
        <v>93</v>
      </c>
      <c r="H2057" t="s">
        <v>116</v>
      </c>
      <c r="I2057" t="s">
        <v>88</v>
      </c>
      <c r="J2057" t="str">
        <f t="shared" si="256"/>
        <v/>
      </c>
      <c r="K2057" t="str">
        <f t="shared" si="257"/>
        <v/>
      </c>
      <c r="L2057" t="str">
        <f t="shared" si="258"/>
        <v/>
      </c>
      <c r="M2057" t="str">
        <f t="shared" si="259"/>
        <v/>
      </c>
      <c r="N2057" t="str">
        <f t="shared" si="260"/>
        <v/>
      </c>
      <c r="O2057" t="str">
        <f t="shared" ca="1" si="261"/>
        <v>Outdated</v>
      </c>
      <c r="P2057" t="str">
        <f t="shared" si="262"/>
        <v>Wrong Item</v>
      </c>
      <c r="Q2057" t="str">
        <f t="shared" si="263"/>
        <v/>
      </c>
    </row>
    <row r="2058" spans="1:17" x14ac:dyDescent="0.45">
      <c r="A2058" t="s">
        <v>2878</v>
      </c>
      <c r="B2058" t="s">
        <v>104</v>
      </c>
      <c r="C2058" t="s">
        <v>201</v>
      </c>
      <c r="D2058" t="s">
        <v>85</v>
      </c>
      <c r="E2058" s="8">
        <v>9349.1299999999992</v>
      </c>
      <c r="F2058" s="9">
        <v>45800.666684444448</v>
      </c>
      <c r="G2058" t="s">
        <v>115</v>
      </c>
      <c r="H2058" t="s">
        <v>136</v>
      </c>
      <c r="I2058" t="s">
        <v>163</v>
      </c>
      <c r="J2058" t="str">
        <f t="shared" si="256"/>
        <v/>
      </c>
      <c r="K2058" t="str">
        <f t="shared" si="257"/>
        <v/>
      </c>
      <c r="L2058" t="str">
        <f t="shared" si="258"/>
        <v/>
      </c>
      <c r="M2058" t="str">
        <f t="shared" si="259"/>
        <v/>
      </c>
      <c r="N2058" t="str">
        <f t="shared" si="260"/>
        <v>Invalid</v>
      </c>
      <c r="O2058" t="str">
        <f t="shared" ca="1" si="261"/>
        <v>Outdated</v>
      </c>
      <c r="P2058" t="str">
        <f t="shared" si="262"/>
        <v>Late Delivery</v>
      </c>
      <c r="Q2058" t="str">
        <f t="shared" si="263"/>
        <v/>
      </c>
    </row>
    <row r="2059" spans="1:17" x14ac:dyDescent="0.45">
      <c r="A2059" t="s">
        <v>2879</v>
      </c>
      <c r="B2059" t="s">
        <v>104</v>
      </c>
      <c r="C2059" t="s">
        <v>2880</v>
      </c>
      <c r="D2059" t="s">
        <v>74</v>
      </c>
      <c r="E2059" s="8">
        <v>5961.24</v>
      </c>
      <c r="F2059" s="9">
        <v>45771.666684444448</v>
      </c>
      <c r="I2059" t="s">
        <v>82</v>
      </c>
      <c r="J2059" t="str">
        <f t="shared" si="256"/>
        <v/>
      </c>
      <c r="K2059" t="str">
        <f t="shared" si="257"/>
        <v/>
      </c>
      <c r="L2059" t="str">
        <f t="shared" si="258"/>
        <v/>
      </c>
      <c r="M2059" t="str">
        <f t="shared" si="259"/>
        <v>Invalid</v>
      </c>
      <c r="N2059" t="str">
        <f t="shared" si="260"/>
        <v>Invalid</v>
      </c>
      <c r="O2059" t="str">
        <f t="shared" ca="1" si="261"/>
        <v>Outdated</v>
      </c>
      <c r="P2059" t="str">
        <f t="shared" si="262"/>
        <v>Wrong Item</v>
      </c>
      <c r="Q2059" t="str">
        <f t="shared" si="263"/>
        <v/>
      </c>
    </row>
    <row r="2060" spans="1:17" x14ac:dyDescent="0.45">
      <c r="A2060" t="s">
        <v>2881</v>
      </c>
      <c r="B2060" t="s">
        <v>104</v>
      </c>
      <c r="C2060" t="s">
        <v>2449</v>
      </c>
      <c r="D2060" t="s">
        <v>101</v>
      </c>
      <c r="E2060" s="8">
        <v>0</v>
      </c>
      <c r="F2060" s="9">
        <v>45234.666684444448</v>
      </c>
      <c r="G2060" t="s">
        <v>115</v>
      </c>
      <c r="H2060" t="s">
        <v>118</v>
      </c>
      <c r="I2060" t="s">
        <v>82</v>
      </c>
      <c r="J2060" t="str">
        <f t="shared" si="256"/>
        <v/>
      </c>
      <c r="K2060" t="str">
        <f t="shared" si="257"/>
        <v/>
      </c>
      <c r="L2060" t="str">
        <f t="shared" si="258"/>
        <v>Unusual</v>
      </c>
      <c r="M2060" t="str">
        <f t="shared" si="259"/>
        <v/>
      </c>
      <c r="N2060" t="str">
        <f t="shared" si="260"/>
        <v>Invalid</v>
      </c>
      <c r="O2060" t="str">
        <f t="shared" ca="1" si="261"/>
        <v>Outdated</v>
      </c>
      <c r="P2060" t="str">
        <f t="shared" si="262"/>
        <v>Damaged</v>
      </c>
      <c r="Q2060" t="str">
        <f t="shared" si="263"/>
        <v/>
      </c>
    </row>
    <row r="2061" spans="1:17" x14ac:dyDescent="0.45">
      <c r="A2061" t="s">
        <v>2882</v>
      </c>
      <c r="B2061" t="s">
        <v>95</v>
      </c>
      <c r="C2061" t="s">
        <v>397</v>
      </c>
      <c r="D2061" t="s">
        <v>74</v>
      </c>
      <c r="E2061" s="8">
        <v>582.79999999999995</v>
      </c>
      <c r="F2061" s="9">
        <v>45723.666684444448</v>
      </c>
      <c r="G2061" t="s">
        <v>97</v>
      </c>
      <c r="H2061" t="s">
        <v>76</v>
      </c>
      <c r="I2061" t="s">
        <v>112</v>
      </c>
      <c r="J2061" t="str">
        <f t="shared" si="256"/>
        <v/>
      </c>
      <c r="K2061" t="str">
        <f t="shared" si="257"/>
        <v>Duplicate</v>
      </c>
      <c r="L2061" t="str">
        <f t="shared" si="258"/>
        <v/>
      </c>
      <c r="M2061" t="str">
        <f t="shared" si="259"/>
        <v/>
      </c>
      <c r="N2061" t="str">
        <f t="shared" si="260"/>
        <v/>
      </c>
      <c r="O2061" t="str">
        <f t="shared" ca="1" si="261"/>
        <v>Outdated</v>
      </c>
      <c r="P2061" t="str">
        <f t="shared" si="262"/>
        <v>Wrong Item</v>
      </c>
      <c r="Q2061" t="str">
        <f t="shared" si="263"/>
        <v/>
      </c>
    </row>
    <row r="2062" spans="1:17" x14ac:dyDescent="0.45">
      <c r="A2062" t="s">
        <v>2883</v>
      </c>
      <c r="B2062" t="s">
        <v>95</v>
      </c>
      <c r="C2062" t="s">
        <v>2653</v>
      </c>
      <c r="D2062" t="s">
        <v>85</v>
      </c>
      <c r="E2062" s="8">
        <v>9604.93</v>
      </c>
      <c r="F2062" s="9">
        <v>45468.666684444448</v>
      </c>
      <c r="G2062" t="s">
        <v>97</v>
      </c>
      <c r="H2062" t="s">
        <v>107</v>
      </c>
      <c r="I2062" t="s">
        <v>119</v>
      </c>
      <c r="J2062" t="str">
        <f t="shared" si="256"/>
        <v/>
      </c>
      <c r="K2062" t="str">
        <f t="shared" si="257"/>
        <v/>
      </c>
      <c r="L2062" t="str">
        <f t="shared" si="258"/>
        <v/>
      </c>
      <c r="M2062" t="str">
        <f t="shared" si="259"/>
        <v/>
      </c>
      <c r="N2062" t="str">
        <f t="shared" si="260"/>
        <v/>
      </c>
      <c r="O2062" t="str">
        <f t="shared" ca="1" si="261"/>
        <v>Outdated</v>
      </c>
      <c r="P2062" t="str">
        <f t="shared" si="262"/>
        <v>Late Delivery</v>
      </c>
      <c r="Q2062" t="str">
        <f t="shared" si="263"/>
        <v/>
      </c>
    </row>
    <row r="2063" spans="1:17" x14ac:dyDescent="0.45">
      <c r="A2063" t="s">
        <v>2884</v>
      </c>
      <c r="B2063" t="s">
        <v>138</v>
      </c>
      <c r="C2063" t="s">
        <v>1155</v>
      </c>
      <c r="D2063" t="s">
        <v>106</v>
      </c>
      <c r="E2063" s="8">
        <v>11964.26</v>
      </c>
      <c r="F2063" s="9">
        <v>45264.666684444448</v>
      </c>
      <c r="G2063" t="s">
        <v>140</v>
      </c>
      <c r="H2063" t="s">
        <v>145</v>
      </c>
      <c r="I2063" t="s">
        <v>88</v>
      </c>
      <c r="J2063" t="str">
        <f t="shared" si="256"/>
        <v/>
      </c>
      <c r="K2063" t="str">
        <f t="shared" si="257"/>
        <v/>
      </c>
      <c r="L2063" t="str">
        <f t="shared" si="258"/>
        <v>Unusual</v>
      </c>
      <c r="M2063" t="str">
        <f t="shared" si="259"/>
        <v/>
      </c>
      <c r="N2063" t="str">
        <f t="shared" si="260"/>
        <v/>
      </c>
      <c r="O2063" t="str">
        <f t="shared" ca="1" si="261"/>
        <v>Outdated</v>
      </c>
      <c r="P2063" t="str">
        <f t="shared" si="262"/>
        <v>Damaged</v>
      </c>
      <c r="Q2063" t="str">
        <f t="shared" si="263"/>
        <v>Inconsistent</v>
      </c>
    </row>
    <row r="2064" spans="1:17" x14ac:dyDescent="0.45">
      <c r="A2064" t="s">
        <v>1851</v>
      </c>
      <c r="B2064" t="s">
        <v>138</v>
      </c>
      <c r="C2064" t="s">
        <v>1025</v>
      </c>
      <c r="E2064" s="8">
        <v>8985.93</v>
      </c>
      <c r="F2064" s="9">
        <v>45173.666684444448</v>
      </c>
      <c r="G2064" t="s">
        <v>140</v>
      </c>
      <c r="H2064" t="s">
        <v>87</v>
      </c>
      <c r="I2064" t="s">
        <v>88</v>
      </c>
      <c r="J2064" t="str">
        <f t="shared" si="256"/>
        <v>Missing</v>
      </c>
      <c r="K2064" t="str">
        <f t="shared" si="257"/>
        <v>Duplicate</v>
      </c>
      <c r="L2064" t="str">
        <f t="shared" si="258"/>
        <v/>
      </c>
      <c r="M2064" t="str">
        <f t="shared" si="259"/>
        <v/>
      </c>
      <c r="N2064" t="str">
        <f t="shared" si="260"/>
        <v>Invalid</v>
      </c>
      <c r="O2064" t="str">
        <f t="shared" ca="1" si="261"/>
        <v>Outdated</v>
      </c>
      <c r="P2064" t="str">
        <f t="shared" si="262"/>
        <v/>
      </c>
      <c r="Q2064" t="str">
        <f t="shared" si="263"/>
        <v/>
      </c>
    </row>
    <row r="2065" spans="1:17" x14ac:dyDescent="0.45">
      <c r="A2065" t="s">
        <v>2885</v>
      </c>
      <c r="B2065" t="s">
        <v>138</v>
      </c>
      <c r="C2065" t="s">
        <v>335</v>
      </c>
      <c r="E2065" s="8">
        <v>11897.18</v>
      </c>
      <c r="F2065" s="9">
        <v>45488.666684444448</v>
      </c>
      <c r="G2065" t="s">
        <v>140</v>
      </c>
      <c r="H2065" t="s">
        <v>107</v>
      </c>
      <c r="I2065" t="s">
        <v>77</v>
      </c>
      <c r="J2065" t="str">
        <f t="shared" si="256"/>
        <v>Missing</v>
      </c>
      <c r="K2065" t="str">
        <f t="shared" si="257"/>
        <v/>
      </c>
      <c r="L2065" t="str">
        <f t="shared" si="258"/>
        <v>Unusual</v>
      </c>
      <c r="M2065" t="str">
        <f t="shared" si="259"/>
        <v/>
      </c>
      <c r="N2065" t="str">
        <f t="shared" si="260"/>
        <v/>
      </c>
      <c r="O2065" t="str">
        <f t="shared" ca="1" si="261"/>
        <v>Outdated</v>
      </c>
      <c r="P2065" t="str">
        <f t="shared" si="262"/>
        <v/>
      </c>
      <c r="Q2065" t="str">
        <f t="shared" si="263"/>
        <v/>
      </c>
    </row>
    <row r="2066" spans="1:17" x14ac:dyDescent="0.45">
      <c r="A2066" t="s">
        <v>2886</v>
      </c>
      <c r="B2066" t="s">
        <v>99</v>
      </c>
      <c r="C2066" t="s">
        <v>2887</v>
      </c>
      <c r="D2066" t="s">
        <v>85</v>
      </c>
      <c r="E2066" s="8">
        <v>1968.37</v>
      </c>
      <c r="F2066" s="9">
        <v>45687.666684444448</v>
      </c>
      <c r="G2066" t="s">
        <v>102</v>
      </c>
      <c r="H2066" t="s">
        <v>81</v>
      </c>
      <c r="I2066" t="s">
        <v>82</v>
      </c>
      <c r="J2066" t="str">
        <f t="shared" si="256"/>
        <v/>
      </c>
      <c r="K2066" t="str">
        <f t="shared" si="257"/>
        <v/>
      </c>
      <c r="L2066" t="str">
        <f t="shared" si="258"/>
        <v/>
      </c>
      <c r="M2066" t="str">
        <f t="shared" si="259"/>
        <v/>
      </c>
      <c r="N2066" t="str">
        <f t="shared" si="260"/>
        <v/>
      </c>
      <c r="O2066" t="str">
        <f t="shared" ca="1" si="261"/>
        <v>Outdated</v>
      </c>
      <c r="P2066" t="str">
        <f t="shared" si="262"/>
        <v>Late Delivery</v>
      </c>
      <c r="Q2066" t="str">
        <f t="shared" si="263"/>
        <v/>
      </c>
    </row>
    <row r="2067" spans="1:17" x14ac:dyDescent="0.45">
      <c r="A2067" t="s">
        <v>2888</v>
      </c>
      <c r="B2067" t="s">
        <v>99</v>
      </c>
      <c r="C2067" t="s">
        <v>2572</v>
      </c>
      <c r="D2067" t="s">
        <v>74</v>
      </c>
      <c r="E2067" s="8">
        <v>8013.33</v>
      </c>
      <c r="F2067" s="9">
        <v>45474.666684444448</v>
      </c>
      <c r="G2067" t="s">
        <v>285</v>
      </c>
      <c r="H2067" t="s">
        <v>76</v>
      </c>
      <c r="I2067" t="s">
        <v>88</v>
      </c>
      <c r="J2067" t="str">
        <f t="shared" si="256"/>
        <v/>
      </c>
      <c r="K2067" t="str">
        <f t="shared" si="257"/>
        <v/>
      </c>
      <c r="L2067" t="str">
        <f t="shared" si="258"/>
        <v/>
      </c>
      <c r="M2067" t="str">
        <f t="shared" si="259"/>
        <v>Invalid</v>
      </c>
      <c r="N2067" t="str">
        <f t="shared" si="260"/>
        <v/>
      </c>
      <c r="O2067" t="str">
        <f t="shared" ca="1" si="261"/>
        <v>Outdated</v>
      </c>
      <c r="P2067" t="str">
        <f t="shared" si="262"/>
        <v>Wrong Item</v>
      </c>
      <c r="Q2067" t="str">
        <f t="shared" si="263"/>
        <v/>
      </c>
    </row>
    <row r="2068" spans="1:17" x14ac:dyDescent="0.45">
      <c r="A2068" t="s">
        <v>2889</v>
      </c>
      <c r="B2068" t="s">
        <v>72</v>
      </c>
      <c r="C2068" t="s">
        <v>1791</v>
      </c>
      <c r="D2068" t="s">
        <v>74</v>
      </c>
      <c r="E2068" s="8">
        <v>0</v>
      </c>
      <c r="F2068" s="9">
        <v>45786.666684444448</v>
      </c>
      <c r="G2068" t="s">
        <v>75</v>
      </c>
      <c r="H2068" t="s">
        <v>133</v>
      </c>
      <c r="I2068" t="s">
        <v>119</v>
      </c>
      <c r="J2068" t="str">
        <f t="shared" si="256"/>
        <v/>
      </c>
      <c r="K2068" t="str">
        <f t="shared" si="257"/>
        <v/>
      </c>
      <c r="L2068" t="str">
        <f t="shared" si="258"/>
        <v>Unusual</v>
      </c>
      <c r="M2068" t="str">
        <f t="shared" si="259"/>
        <v/>
      </c>
      <c r="N2068" t="str">
        <f t="shared" si="260"/>
        <v>Invalid</v>
      </c>
      <c r="O2068" t="str">
        <f t="shared" ca="1" si="261"/>
        <v>Outdated</v>
      </c>
      <c r="P2068" t="str">
        <f t="shared" si="262"/>
        <v>Wrong Item</v>
      </c>
      <c r="Q2068" t="str">
        <f t="shared" si="263"/>
        <v/>
      </c>
    </row>
    <row r="2069" spans="1:17" x14ac:dyDescent="0.45">
      <c r="A2069" t="s">
        <v>2890</v>
      </c>
      <c r="B2069" t="s">
        <v>172</v>
      </c>
      <c r="C2069" t="s">
        <v>2709</v>
      </c>
      <c r="D2069" t="s">
        <v>155</v>
      </c>
      <c r="E2069" s="8">
        <v>10597.43</v>
      </c>
      <c r="F2069" s="9">
        <v>45307.666684444448</v>
      </c>
      <c r="G2069" t="s">
        <v>174</v>
      </c>
      <c r="H2069" t="s">
        <v>81</v>
      </c>
      <c r="I2069" t="s">
        <v>163</v>
      </c>
      <c r="J2069" t="str">
        <f t="shared" si="256"/>
        <v/>
      </c>
      <c r="K2069" t="str">
        <f t="shared" si="257"/>
        <v/>
      </c>
      <c r="L2069" t="str">
        <f t="shared" si="258"/>
        <v>Unusual</v>
      </c>
      <c r="M2069" t="str">
        <f t="shared" si="259"/>
        <v/>
      </c>
      <c r="N2069" t="str">
        <f t="shared" si="260"/>
        <v/>
      </c>
      <c r="O2069" t="str">
        <f t="shared" ca="1" si="261"/>
        <v>Outdated</v>
      </c>
      <c r="P2069" t="str">
        <f t="shared" si="262"/>
        <v>Damaged</v>
      </c>
      <c r="Q2069" t="str">
        <f t="shared" si="263"/>
        <v>Inconsistent</v>
      </c>
    </row>
    <row r="2070" spans="1:17" x14ac:dyDescent="0.45">
      <c r="A2070" t="s">
        <v>2891</v>
      </c>
      <c r="B2070" t="s">
        <v>90</v>
      </c>
      <c r="C2070" t="s">
        <v>2892</v>
      </c>
      <c r="D2070" t="s">
        <v>101</v>
      </c>
      <c r="E2070" s="8">
        <v>4248.24</v>
      </c>
      <c r="F2070" s="9">
        <v>45829.666684444448</v>
      </c>
      <c r="G2070" t="s">
        <v>93</v>
      </c>
      <c r="H2070" t="s">
        <v>116</v>
      </c>
      <c r="I2070" t="s">
        <v>163</v>
      </c>
      <c r="J2070" t="str">
        <f t="shared" si="256"/>
        <v/>
      </c>
      <c r="K2070" t="str">
        <f t="shared" si="257"/>
        <v/>
      </c>
      <c r="L2070" t="str">
        <f t="shared" si="258"/>
        <v/>
      </c>
      <c r="M2070" t="str">
        <f t="shared" si="259"/>
        <v/>
      </c>
      <c r="N2070" t="str">
        <f t="shared" si="260"/>
        <v/>
      </c>
      <c r="O2070" t="str">
        <f t="shared" ca="1" si="261"/>
        <v>Outdated</v>
      </c>
      <c r="P2070" t="str">
        <f t="shared" si="262"/>
        <v>Damaged</v>
      </c>
      <c r="Q2070" t="str">
        <f t="shared" si="263"/>
        <v/>
      </c>
    </row>
    <row r="2071" spans="1:17" x14ac:dyDescent="0.45">
      <c r="A2071" t="s">
        <v>2893</v>
      </c>
      <c r="B2071" t="s">
        <v>95</v>
      </c>
      <c r="C2071" t="s">
        <v>223</v>
      </c>
      <c r="D2071" t="s">
        <v>74</v>
      </c>
      <c r="E2071" s="8">
        <v>9390.14</v>
      </c>
      <c r="F2071" s="9">
        <v>45603.666684444448</v>
      </c>
      <c r="G2071" t="s">
        <v>97</v>
      </c>
      <c r="H2071" t="s">
        <v>116</v>
      </c>
      <c r="I2071" t="s">
        <v>88</v>
      </c>
      <c r="J2071" t="str">
        <f t="shared" si="256"/>
        <v/>
      </c>
      <c r="K2071" t="str">
        <f t="shared" si="257"/>
        <v/>
      </c>
      <c r="L2071" t="str">
        <f t="shared" si="258"/>
        <v/>
      </c>
      <c r="M2071" t="str">
        <f t="shared" si="259"/>
        <v/>
      </c>
      <c r="N2071" t="str">
        <f t="shared" si="260"/>
        <v/>
      </c>
      <c r="O2071" t="str">
        <f t="shared" ca="1" si="261"/>
        <v>Outdated</v>
      </c>
      <c r="P2071" t="str">
        <f t="shared" si="262"/>
        <v>Wrong Item</v>
      </c>
      <c r="Q2071" t="str">
        <f t="shared" si="263"/>
        <v/>
      </c>
    </row>
    <row r="2072" spans="1:17" x14ac:dyDescent="0.45">
      <c r="A2072" t="s">
        <v>2894</v>
      </c>
      <c r="B2072" t="s">
        <v>109</v>
      </c>
      <c r="C2072" t="s">
        <v>2786</v>
      </c>
      <c r="D2072" t="s">
        <v>92</v>
      </c>
      <c r="E2072" s="8">
        <v>1852.34</v>
      </c>
      <c r="F2072" s="9">
        <v>45840.666684444448</v>
      </c>
      <c r="G2072" t="s">
        <v>111</v>
      </c>
      <c r="H2072" t="s">
        <v>87</v>
      </c>
      <c r="I2072" t="s">
        <v>82</v>
      </c>
      <c r="J2072" t="str">
        <f t="shared" si="256"/>
        <v/>
      </c>
      <c r="K2072" t="str">
        <f t="shared" si="257"/>
        <v/>
      </c>
      <c r="L2072" t="str">
        <f t="shared" si="258"/>
        <v/>
      </c>
      <c r="M2072" t="str">
        <f t="shared" si="259"/>
        <v/>
      </c>
      <c r="N2072" t="str">
        <f t="shared" si="260"/>
        <v>Invalid</v>
      </c>
      <c r="O2072" t="str">
        <f t="shared" ca="1" si="261"/>
        <v>Outdated</v>
      </c>
      <c r="P2072" t="str">
        <f t="shared" si="262"/>
        <v>Not As Described</v>
      </c>
      <c r="Q2072" t="str">
        <f t="shared" si="263"/>
        <v/>
      </c>
    </row>
    <row r="2073" spans="1:17" x14ac:dyDescent="0.45">
      <c r="A2073" t="s">
        <v>1886</v>
      </c>
      <c r="B2073" t="s">
        <v>90</v>
      </c>
      <c r="C2073" t="s">
        <v>2025</v>
      </c>
      <c r="D2073" t="s">
        <v>101</v>
      </c>
      <c r="E2073" s="8">
        <v>8861.81</v>
      </c>
      <c r="F2073" s="9">
        <v>45618.666684444448</v>
      </c>
      <c r="G2073" t="s">
        <v>93</v>
      </c>
      <c r="H2073" t="s">
        <v>128</v>
      </c>
      <c r="I2073" t="s">
        <v>82</v>
      </c>
      <c r="J2073" t="str">
        <f t="shared" si="256"/>
        <v/>
      </c>
      <c r="K2073" t="str">
        <f t="shared" si="257"/>
        <v>Duplicate</v>
      </c>
      <c r="L2073" t="str">
        <f t="shared" si="258"/>
        <v/>
      </c>
      <c r="M2073" t="str">
        <f t="shared" si="259"/>
        <v/>
      </c>
      <c r="N2073" t="str">
        <f t="shared" si="260"/>
        <v>Invalid</v>
      </c>
      <c r="O2073" t="str">
        <f t="shared" ca="1" si="261"/>
        <v>Outdated</v>
      </c>
      <c r="P2073" t="str">
        <f t="shared" si="262"/>
        <v>Damaged</v>
      </c>
      <c r="Q2073" t="str">
        <f t="shared" si="263"/>
        <v/>
      </c>
    </row>
    <row r="2074" spans="1:17" x14ac:dyDescent="0.45">
      <c r="A2074" t="s">
        <v>2895</v>
      </c>
      <c r="B2074" t="s">
        <v>90</v>
      </c>
      <c r="C2074" t="s">
        <v>509</v>
      </c>
      <c r="D2074" t="s">
        <v>101</v>
      </c>
      <c r="E2074" s="8">
        <v>3351.18</v>
      </c>
      <c r="F2074" s="9">
        <v>45774.666684444448</v>
      </c>
      <c r="G2074" t="s">
        <v>93</v>
      </c>
      <c r="H2074" t="s">
        <v>87</v>
      </c>
      <c r="I2074" t="s">
        <v>119</v>
      </c>
      <c r="J2074" t="str">
        <f t="shared" si="256"/>
        <v/>
      </c>
      <c r="K2074" t="str">
        <f t="shared" si="257"/>
        <v/>
      </c>
      <c r="L2074" t="str">
        <f t="shared" si="258"/>
        <v/>
      </c>
      <c r="M2074" t="str">
        <f t="shared" si="259"/>
        <v/>
      </c>
      <c r="N2074" t="str">
        <f t="shared" si="260"/>
        <v>Invalid</v>
      </c>
      <c r="O2074" t="str">
        <f t="shared" ca="1" si="261"/>
        <v>Outdated</v>
      </c>
      <c r="P2074" t="str">
        <f t="shared" si="262"/>
        <v>Damaged</v>
      </c>
      <c r="Q2074" t="str">
        <f t="shared" si="263"/>
        <v/>
      </c>
    </row>
    <row r="2075" spans="1:17" x14ac:dyDescent="0.45">
      <c r="A2075" t="s">
        <v>2896</v>
      </c>
      <c r="B2075" t="s">
        <v>109</v>
      </c>
      <c r="C2075" t="s">
        <v>1609</v>
      </c>
      <c r="D2075" t="s">
        <v>106</v>
      </c>
      <c r="E2075" s="8">
        <v>931.58</v>
      </c>
      <c r="F2075" s="9">
        <v>45314.666684444448</v>
      </c>
      <c r="G2075" t="s">
        <v>111</v>
      </c>
      <c r="H2075" t="s">
        <v>136</v>
      </c>
      <c r="I2075" t="s">
        <v>119</v>
      </c>
      <c r="J2075" t="str">
        <f t="shared" si="256"/>
        <v/>
      </c>
      <c r="K2075" t="str">
        <f t="shared" si="257"/>
        <v/>
      </c>
      <c r="L2075" t="str">
        <f t="shared" si="258"/>
        <v/>
      </c>
      <c r="M2075" t="str">
        <f t="shared" si="259"/>
        <v/>
      </c>
      <c r="N2075" t="str">
        <f t="shared" si="260"/>
        <v>Invalid</v>
      </c>
      <c r="O2075" t="str">
        <f t="shared" ca="1" si="261"/>
        <v>Outdated</v>
      </c>
      <c r="P2075" t="str">
        <f t="shared" si="262"/>
        <v>Damaged</v>
      </c>
      <c r="Q2075" t="str">
        <f t="shared" si="263"/>
        <v>Inconsistent</v>
      </c>
    </row>
    <row r="2076" spans="1:17" x14ac:dyDescent="0.45">
      <c r="A2076" t="s">
        <v>2897</v>
      </c>
      <c r="B2076" t="s">
        <v>79</v>
      </c>
      <c r="C2076" t="s">
        <v>834</v>
      </c>
      <c r="D2076" t="s">
        <v>148</v>
      </c>
      <c r="E2076" s="8">
        <v>42.93</v>
      </c>
      <c r="F2076" s="9">
        <v>45266.666684444448</v>
      </c>
      <c r="G2076" t="s">
        <v>86</v>
      </c>
      <c r="H2076" t="s">
        <v>107</v>
      </c>
      <c r="I2076" t="s">
        <v>163</v>
      </c>
      <c r="J2076" t="str">
        <f t="shared" si="256"/>
        <v/>
      </c>
      <c r="K2076" t="str">
        <f t="shared" si="257"/>
        <v/>
      </c>
      <c r="L2076" t="str">
        <f t="shared" si="258"/>
        <v/>
      </c>
      <c r="M2076" t="str">
        <f t="shared" si="259"/>
        <v/>
      </c>
      <c r="N2076" t="str">
        <f t="shared" si="260"/>
        <v/>
      </c>
      <c r="O2076" t="str">
        <f t="shared" ca="1" si="261"/>
        <v>Outdated</v>
      </c>
      <c r="P2076" t="str">
        <f t="shared" si="262"/>
        <v>Wrong Item</v>
      </c>
      <c r="Q2076" t="str">
        <f t="shared" si="263"/>
        <v>Inconsistent</v>
      </c>
    </row>
    <row r="2077" spans="1:17" x14ac:dyDescent="0.45">
      <c r="A2077" t="s">
        <v>2898</v>
      </c>
      <c r="B2077" t="s">
        <v>104</v>
      </c>
      <c r="C2077" t="s">
        <v>823</v>
      </c>
      <c r="D2077" t="s">
        <v>101</v>
      </c>
      <c r="E2077" s="8">
        <v>0</v>
      </c>
      <c r="F2077" s="9">
        <v>45192.666684444448</v>
      </c>
      <c r="H2077" t="s">
        <v>87</v>
      </c>
      <c r="I2077" t="s">
        <v>77</v>
      </c>
      <c r="J2077" t="str">
        <f t="shared" si="256"/>
        <v/>
      </c>
      <c r="K2077" t="str">
        <f t="shared" si="257"/>
        <v/>
      </c>
      <c r="L2077" t="str">
        <f t="shared" si="258"/>
        <v>Unusual</v>
      </c>
      <c r="M2077" t="str">
        <f t="shared" si="259"/>
        <v>Invalid</v>
      </c>
      <c r="N2077" t="str">
        <f t="shared" si="260"/>
        <v>Invalid</v>
      </c>
      <c r="O2077" t="str">
        <f t="shared" ca="1" si="261"/>
        <v>Outdated</v>
      </c>
      <c r="P2077" t="str">
        <f t="shared" si="262"/>
        <v>Damaged</v>
      </c>
      <c r="Q2077" t="str">
        <f t="shared" si="263"/>
        <v/>
      </c>
    </row>
    <row r="2078" spans="1:17" x14ac:dyDescent="0.45">
      <c r="A2078" t="s">
        <v>2899</v>
      </c>
      <c r="B2078" t="s">
        <v>172</v>
      </c>
      <c r="C2078" t="s">
        <v>626</v>
      </c>
      <c r="D2078" t="s">
        <v>106</v>
      </c>
      <c r="E2078" s="8">
        <v>0</v>
      </c>
      <c r="F2078" s="9">
        <v>45596.666684444448</v>
      </c>
      <c r="G2078" t="s">
        <v>174</v>
      </c>
      <c r="H2078" t="s">
        <v>76</v>
      </c>
      <c r="I2078" t="s">
        <v>112</v>
      </c>
      <c r="J2078" t="str">
        <f t="shared" si="256"/>
        <v/>
      </c>
      <c r="K2078" t="str">
        <f t="shared" si="257"/>
        <v/>
      </c>
      <c r="L2078" t="str">
        <f t="shared" si="258"/>
        <v>Unusual</v>
      </c>
      <c r="M2078" t="str">
        <f t="shared" si="259"/>
        <v/>
      </c>
      <c r="N2078" t="str">
        <f t="shared" si="260"/>
        <v/>
      </c>
      <c r="O2078" t="str">
        <f t="shared" ca="1" si="261"/>
        <v>Outdated</v>
      </c>
      <c r="P2078" t="str">
        <f t="shared" si="262"/>
        <v>Damaged</v>
      </c>
      <c r="Q2078" t="str">
        <f t="shared" si="263"/>
        <v>Inconsistent</v>
      </c>
    </row>
    <row r="2079" spans="1:17" x14ac:dyDescent="0.45">
      <c r="A2079" t="s">
        <v>2900</v>
      </c>
      <c r="B2079" t="s">
        <v>72</v>
      </c>
      <c r="C2079" t="s">
        <v>1231</v>
      </c>
      <c r="D2079" t="s">
        <v>92</v>
      </c>
      <c r="E2079" s="8">
        <v>5008.6499999999996</v>
      </c>
      <c r="F2079" s="9">
        <v>45165.666684444448</v>
      </c>
      <c r="G2079" t="s">
        <v>75</v>
      </c>
      <c r="H2079" t="s">
        <v>76</v>
      </c>
      <c r="I2079" t="s">
        <v>163</v>
      </c>
      <c r="J2079" t="str">
        <f t="shared" si="256"/>
        <v/>
      </c>
      <c r="K2079" t="str">
        <f t="shared" si="257"/>
        <v/>
      </c>
      <c r="L2079" t="str">
        <f t="shared" si="258"/>
        <v/>
      </c>
      <c r="M2079" t="str">
        <f t="shared" si="259"/>
        <v/>
      </c>
      <c r="N2079" t="str">
        <f t="shared" si="260"/>
        <v/>
      </c>
      <c r="O2079" t="str">
        <f t="shared" ca="1" si="261"/>
        <v>Outdated</v>
      </c>
      <c r="P2079" t="str">
        <f t="shared" si="262"/>
        <v>Not As Described</v>
      </c>
      <c r="Q2079" t="str">
        <f t="shared" si="263"/>
        <v/>
      </c>
    </row>
    <row r="2080" spans="1:17" x14ac:dyDescent="0.45">
      <c r="A2080" t="s">
        <v>1175</v>
      </c>
      <c r="B2080" t="s">
        <v>138</v>
      </c>
      <c r="C2080" t="s">
        <v>2560</v>
      </c>
      <c r="D2080" t="s">
        <v>92</v>
      </c>
      <c r="E2080" s="8">
        <v>10952.41</v>
      </c>
      <c r="F2080" s="9">
        <v>45428.666684444448</v>
      </c>
      <c r="G2080" t="s">
        <v>140</v>
      </c>
      <c r="H2080" t="s">
        <v>118</v>
      </c>
      <c r="I2080" t="s">
        <v>77</v>
      </c>
      <c r="J2080" t="str">
        <f t="shared" si="256"/>
        <v/>
      </c>
      <c r="K2080" t="str">
        <f t="shared" si="257"/>
        <v>Duplicate</v>
      </c>
      <c r="L2080" t="str">
        <f t="shared" si="258"/>
        <v>Unusual</v>
      </c>
      <c r="M2080" t="str">
        <f t="shared" si="259"/>
        <v/>
      </c>
      <c r="N2080" t="str">
        <f t="shared" si="260"/>
        <v>Invalid</v>
      </c>
      <c r="O2080" t="str">
        <f t="shared" ca="1" si="261"/>
        <v>Outdated</v>
      </c>
      <c r="P2080" t="str">
        <f t="shared" si="262"/>
        <v>Not As Described</v>
      </c>
      <c r="Q2080" t="str">
        <f t="shared" si="263"/>
        <v/>
      </c>
    </row>
    <row r="2081" spans="1:17" x14ac:dyDescent="0.45">
      <c r="A2081" t="s">
        <v>2901</v>
      </c>
      <c r="B2081" t="s">
        <v>109</v>
      </c>
      <c r="C2081" t="s">
        <v>957</v>
      </c>
      <c r="D2081" t="s">
        <v>74</v>
      </c>
      <c r="E2081" s="8">
        <v>4672.42</v>
      </c>
      <c r="F2081" s="9">
        <v>45334.666684444448</v>
      </c>
      <c r="G2081" t="s">
        <v>111</v>
      </c>
      <c r="H2081" t="s">
        <v>76</v>
      </c>
      <c r="I2081" t="s">
        <v>112</v>
      </c>
      <c r="J2081" t="str">
        <f t="shared" si="256"/>
        <v/>
      </c>
      <c r="K2081" t="str">
        <f t="shared" si="257"/>
        <v/>
      </c>
      <c r="L2081" t="str">
        <f t="shared" si="258"/>
        <v/>
      </c>
      <c r="M2081" t="str">
        <f t="shared" si="259"/>
        <v/>
      </c>
      <c r="N2081" t="str">
        <f t="shared" si="260"/>
        <v/>
      </c>
      <c r="O2081" t="str">
        <f t="shared" ca="1" si="261"/>
        <v>Outdated</v>
      </c>
      <c r="P2081" t="str">
        <f t="shared" si="262"/>
        <v>Wrong Item</v>
      </c>
      <c r="Q2081" t="str">
        <f t="shared" si="263"/>
        <v/>
      </c>
    </row>
    <row r="2082" spans="1:17" x14ac:dyDescent="0.45">
      <c r="A2082" t="s">
        <v>2902</v>
      </c>
      <c r="B2082" t="s">
        <v>99</v>
      </c>
      <c r="C2082" t="s">
        <v>144</v>
      </c>
      <c r="D2082" t="s">
        <v>74</v>
      </c>
      <c r="E2082" s="8">
        <v>5125.28</v>
      </c>
      <c r="F2082" s="9">
        <v>45172.666684444448</v>
      </c>
      <c r="G2082" t="s">
        <v>102</v>
      </c>
      <c r="H2082" t="s">
        <v>76</v>
      </c>
      <c r="I2082" t="s">
        <v>88</v>
      </c>
      <c r="J2082" t="str">
        <f t="shared" si="256"/>
        <v/>
      </c>
      <c r="K2082" t="str">
        <f t="shared" si="257"/>
        <v/>
      </c>
      <c r="L2082" t="str">
        <f t="shared" si="258"/>
        <v/>
      </c>
      <c r="M2082" t="str">
        <f t="shared" si="259"/>
        <v/>
      </c>
      <c r="N2082" t="str">
        <f t="shared" si="260"/>
        <v/>
      </c>
      <c r="O2082" t="str">
        <f t="shared" ca="1" si="261"/>
        <v>Outdated</v>
      </c>
      <c r="P2082" t="str">
        <f t="shared" si="262"/>
        <v>Wrong Item</v>
      </c>
      <c r="Q2082" t="str">
        <f t="shared" si="263"/>
        <v/>
      </c>
    </row>
    <row r="2083" spans="1:17" x14ac:dyDescent="0.45">
      <c r="A2083" t="s">
        <v>2903</v>
      </c>
      <c r="B2083" t="s">
        <v>138</v>
      </c>
      <c r="C2083" t="s">
        <v>1072</v>
      </c>
      <c r="D2083" t="s">
        <v>85</v>
      </c>
      <c r="E2083" s="8">
        <v>964.04</v>
      </c>
      <c r="F2083" s="9">
        <v>45332.666684444448</v>
      </c>
      <c r="G2083" t="s">
        <v>140</v>
      </c>
      <c r="H2083" t="s">
        <v>145</v>
      </c>
      <c r="I2083" t="s">
        <v>82</v>
      </c>
      <c r="J2083" t="str">
        <f t="shared" si="256"/>
        <v/>
      </c>
      <c r="K2083" t="str">
        <f t="shared" si="257"/>
        <v/>
      </c>
      <c r="L2083" t="str">
        <f t="shared" si="258"/>
        <v/>
      </c>
      <c r="M2083" t="str">
        <f t="shared" si="259"/>
        <v/>
      </c>
      <c r="N2083" t="str">
        <f t="shared" si="260"/>
        <v/>
      </c>
      <c r="O2083" t="str">
        <f t="shared" ca="1" si="261"/>
        <v>Outdated</v>
      </c>
      <c r="P2083" t="str">
        <f t="shared" si="262"/>
        <v>Late Delivery</v>
      </c>
      <c r="Q2083" t="str">
        <f t="shared" si="263"/>
        <v/>
      </c>
    </row>
    <row r="2084" spans="1:17" x14ac:dyDescent="0.45">
      <c r="A2084" t="s">
        <v>2904</v>
      </c>
      <c r="B2084" t="s">
        <v>109</v>
      </c>
      <c r="C2084" t="s">
        <v>1144</v>
      </c>
      <c r="D2084" t="s">
        <v>148</v>
      </c>
      <c r="E2084" s="8">
        <v>5073.1099999999997</v>
      </c>
      <c r="F2084" s="9">
        <v>45170.666684444448</v>
      </c>
      <c r="G2084" t="s">
        <v>307</v>
      </c>
      <c r="H2084" t="s">
        <v>133</v>
      </c>
      <c r="I2084" t="s">
        <v>88</v>
      </c>
      <c r="J2084" t="str">
        <f t="shared" si="256"/>
        <v/>
      </c>
      <c r="K2084" t="str">
        <f t="shared" si="257"/>
        <v/>
      </c>
      <c r="L2084" t="str">
        <f t="shared" si="258"/>
        <v/>
      </c>
      <c r="M2084" t="str">
        <f t="shared" si="259"/>
        <v>Invalid</v>
      </c>
      <c r="N2084" t="str">
        <f t="shared" si="260"/>
        <v>Invalid</v>
      </c>
      <c r="O2084" t="str">
        <f t="shared" ca="1" si="261"/>
        <v>Outdated</v>
      </c>
      <c r="P2084" t="str">
        <f t="shared" si="262"/>
        <v>Wrong Item</v>
      </c>
      <c r="Q2084" t="str">
        <f t="shared" si="263"/>
        <v>Inconsistent</v>
      </c>
    </row>
    <row r="2085" spans="1:17" x14ac:dyDescent="0.45">
      <c r="A2085" t="s">
        <v>2905</v>
      </c>
      <c r="B2085" t="s">
        <v>138</v>
      </c>
      <c r="C2085" t="s">
        <v>1137</v>
      </c>
      <c r="D2085" t="s">
        <v>85</v>
      </c>
      <c r="E2085" s="8">
        <v>3045.57</v>
      </c>
      <c r="F2085" s="9">
        <v>45451.666684444448</v>
      </c>
      <c r="G2085" t="s">
        <v>140</v>
      </c>
      <c r="H2085" t="s">
        <v>76</v>
      </c>
      <c r="I2085" t="s">
        <v>88</v>
      </c>
      <c r="J2085" t="str">
        <f t="shared" si="256"/>
        <v/>
      </c>
      <c r="K2085" t="str">
        <f t="shared" si="257"/>
        <v/>
      </c>
      <c r="L2085" t="str">
        <f t="shared" si="258"/>
        <v/>
      </c>
      <c r="M2085" t="str">
        <f t="shared" si="259"/>
        <v/>
      </c>
      <c r="N2085" t="str">
        <f t="shared" si="260"/>
        <v/>
      </c>
      <c r="O2085" t="str">
        <f t="shared" ca="1" si="261"/>
        <v>Outdated</v>
      </c>
      <c r="P2085" t="str">
        <f t="shared" si="262"/>
        <v>Late Delivery</v>
      </c>
      <c r="Q2085" t="str">
        <f t="shared" si="263"/>
        <v/>
      </c>
    </row>
    <row r="2086" spans="1:17" x14ac:dyDescent="0.45">
      <c r="A2086" t="s">
        <v>2906</v>
      </c>
      <c r="B2086" t="s">
        <v>104</v>
      </c>
      <c r="C2086" t="s">
        <v>313</v>
      </c>
      <c r="D2086" t="s">
        <v>74</v>
      </c>
      <c r="E2086" s="8">
        <v>9438.59</v>
      </c>
      <c r="F2086" s="9">
        <v>45445.666684444448</v>
      </c>
      <c r="G2086" t="s">
        <v>115</v>
      </c>
      <c r="H2086" t="s">
        <v>128</v>
      </c>
      <c r="I2086" t="s">
        <v>77</v>
      </c>
      <c r="J2086" t="str">
        <f t="shared" si="256"/>
        <v/>
      </c>
      <c r="K2086" t="str">
        <f t="shared" si="257"/>
        <v/>
      </c>
      <c r="L2086" t="str">
        <f t="shared" si="258"/>
        <v/>
      </c>
      <c r="M2086" t="str">
        <f t="shared" si="259"/>
        <v/>
      </c>
      <c r="N2086" t="str">
        <f t="shared" si="260"/>
        <v>Invalid</v>
      </c>
      <c r="O2086" t="str">
        <f t="shared" ca="1" si="261"/>
        <v>Outdated</v>
      </c>
      <c r="P2086" t="str">
        <f t="shared" si="262"/>
        <v>Wrong Item</v>
      </c>
      <c r="Q2086" t="str">
        <f t="shared" si="263"/>
        <v/>
      </c>
    </row>
    <row r="2087" spans="1:17" x14ac:dyDescent="0.45">
      <c r="A2087" t="s">
        <v>2907</v>
      </c>
      <c r="B2087" t="s">
        <v>104</v>
      </c>
      <c r="C2087" t="s">
        <v>629</v>
      </c>
      <c r="D2087" t="s">
        <v>74</v>
      </c>
      <c r="E2087" s="8">
        <v>715.51</v>
      </c>
      <c r="F2087" s="9">
        <v>45655.666684444448</v>
      </c>
      <c r="G2087" t="s">
        <v>115</v>
      </c>
      <c r="H2087" t="s">
        <v>116</v>
      </c>
      <c r="I2087" t="s">
        <v>112</v>
      </c>
      <c r="J2087" t="str">
        <f t="shared" si="256"/>
        <v/>
      </c>
      <c r="K2087" t="str">
        <f t="shared" si="257"/>
        <v/>
      </c>
      <c r="L2087" t="str">
        <f t="shared" si="258"/>
        <v/>
      </c>
      <c r="M2087" t="str">
        <f t="shared" si="259"/>
        <v/>
      </c>
      <c r="N2087" t="str">
        <f t="shared" si="260"/>
        <v/>
      </c>
      <c r="O2087" t="str">
        <f t="shared" ca="1" si="261"/>
        <v>Outdated</v>
      </c>
      <c r="P2087" t="str">
        <f t="shared" si="262"/>
        <v>Wrong Item</v>
      </c>
      <c r="Q2087" t="str">
        <f t="shared" si="263"/>
        <v/>
      </c>
    </row>
    <row r="2088" spans="1:17" x14ac:dyDescent="0.45">
      <c r="A2088" t="s">
        <v>2908</v>
      </c>
      <c r="B2088" t="s">
        <v>104</v>
      </c>
      <c r="C2088" t="s">
        <v>565</v>
      </c>
      <c r="E2088" s="8">
        <v>3608.27</v>
      </c>
      <c r="F2088" s="9">
        <v>45535.666684444448</v>
      </c>
      <c r="G2088" t="s">
        <v>115</v>
      </c>
      <c r="H2088" t="s">
        <v>133</v>
      </c>
      <c r="I2088" t="s">
        <v>82</v>
      </c>
      <c r="J2088" t="str">
        <f t="shared" si="256"/>
        <v>Missing</v>
      </c>
      <c r="K2088" t="str">
        <f t="shared" si="257"/>
        <v/>
      </c>
      <c r="L2088" t="str">
        <f t="shared" si="258"/>
        <v/>
      </c>
      <c r="M2088" t="str">
        <f t="shared" si="259"/>
        <v/>
      </c>
      <c r="N2088" t="str">
        <f t="shared" si="260"/>
        <v>Invalid</v>
      </c>
      <c r="O2088" t="str">
        <f t="shared" ca="1" si="261"/>
        <v>Outdated</v>
      </c>
      <c r="P2088" t="str">
        <f t="shared" si="262"/>
        <v/>
      </c>
      <c r="Q2088" t="str">
        <f t="shared" si="263"/>
        <v/>
      </c>
    </row>
    <row r="2089" spans="1:17" x14ac:dyDescent="0.45">
      <c r="A2089" t="s">
        <v>2909</v>
      </c>
      <c r="B2089" t="s">
        <v>138</v>
      </c>
      <c r="C2089" t="s">
        <v>1191</v>
      </c>
      <c r="D2089" t="s">
        <v>74</v>
      </c>
      <c r="E2089" s="8">
        <v>3481.11</v>
      </c>
      <c r="F2089" s="9">
        <v>45684.666684444448</v>
      </c>
      <c r="G2089" t="s">
        <v>140</v>
      </c>
      <c r="I2089" t="s">
        <v>163</v>
      </c>
      <c r="J2089" t="str">
        <f t="shared" si="256"/>
        <v/>
      </c>
      <c r="K2089" t="str">
        <f t="shared" si="257"/>
        <v/>
      </c>
      <c r="L2089" t="str">
        <f t="shared" si="258"/>
        <v/>
      </c>
      <c r="M2089" t="str">
        <f t="shared" si="259"/>
        <v/>
      </c>
      <c r="N2089" t="str">
        <f t="shared" si="260"/>
        <v>Invalid</v>
      </c>
      <c r="O2089" t="str">
        <f t="shared" ca="1" si="261"/>
        <v>Outdated</v>
      </c>
      <c r="P2089" t="str">
        <f t="shared" si="262"/>
        <v>Wrong Item</v>
      </c>
      <c r="Q2089" t="str">
        <f t="shared" si="263"/>
        <v/>
      </c>
    </row>
    <row r="2090" spans="1:17" x14ac:dyDescent="0.45">
      <c r="A2090" t="s">
        <v>2910</v>
      </c>
      <c r="B2090" t="s">
        <v>104</v>
      </c>
      <c r="C2090" t="s">
        <v>1004</v>
      </c>
      <c r="D2090" t="s">
        <v>85</v>
      </c>
      <c r="E2090" s="8">
        <v>4245.63</v>
      </c>
      <c r="F2090" s="9">
        <v>45612.666684444448</v>
      </c>
      <c r="G2090" t="s">
        <v>115</v>
      </c>
      <c r="H2090" t="s">
        <v>145</v>
      </c>
      <c r="I2090" t="s">
        <v>82</v>
      </c>
      <c r="J2090" t="str">
        <f t="shared" si="256"/>
        <v/>
      </c>
      <c r="K2090" t="str">
        <f t="shared" si="257"/>
        <v/>
      </c>
      <c r="L2090" t="str">
        <f t="shared" si="258"/>
        <v/>
      </c>
      <c r="M2090" t="str">
        <f t="shared" si="259"/>
        <v/>
      </c>
      <c r="N2090" t="str">
        <f t="shared" si="260"/>
        <v/>
      </c>
      <c r="O2090" t="str">
        <f t="shared" ca="1" si="261"/>
        <v>Outdated</v>
      </c>
      <c r="P2090" t="str">
        <f t="shared" si="262"/>
        <v>Late Delivery</v>
      </c>
      <c r="Q2090" t="str">
        <f t="shared" si="263"/>
        <v/>
      </c>
    </row>
    <row r="2091" spans="1:17" x14ac:dyDescent="0.45">
      <c r="A2091" t="s">
        <v>2371</v>
      </c>
      <c r="B2091" t="s">
        <v>95</v>
      </c>
      <c r="C2091" t="s">
        <v>2139</v>
      </c>
      <c r="D2091" t="s">
        <v>74</v>
      </c>
      <c r="E2091" s="8">
        <v>455.26</v>
      </c>
      <c r="F2091" s="9">
        <v>45387.666684444448</v>
      </c>
      <c r="G2091" t="s">
        <v>97</v>
      </c>
      <c r="H2091" t="s">
        <v>76</v>
      </c>
      <c r="I2091" t="s">
        <v>119</v>
      </c>
      <c r="J2091" t="str">
        <f t="shared" si="256"/>
        <v/>
      </c>
      <c r="K2091" t="str">
        <f t="shared" si="257"/>
        <v>Duplicate</v>
      </c>
      <c r="L2091" t="str">
        <f t="shared" si="258"/>
        <v/>
      </c>
      <c r="M2091" t="str">
        <f t="shared" si="259"/>
        <v/>
      </c>
      <c r="N2091" t="str">
        <f t="shared" si="260"/>
        <v/>
      </c>
      <c r="O2091" t="str">
        <f t="shared" ca="1" si="261"/>
        <v>Outdated</v>
      </c>
      <c r="P2091" t="str">
        <f t="shared" si="262"/>
        <v>Wrong Item</v>
      </c>
      <c r="Q2091" t="str">
        <f t="shared" si="263"/>
        <v/>
      </c>
    </row>
    <row r="2092" spans="1:17" x14ac:dyDescent="0.45">
      <c r="A2092" t="s">
        <v>2229</v>
      </c>
      <c r="B2092" t="s">
        <v>99</v>
      </c>
      <c r="C2092" t="s">
        <v>1493</v>
      </c>
      <c r="D2092" t="s">
        <v>74</v>
      </c>
      <c r="E2092" s="8">
        <v>11004.94</v>
      </c>
      <c r="F2092" s="9">
        <v>45165.666684444448</v>
      </c>
      <c r="G2092" t="s">
        <v>285</v>
      </c>
      <c r="H2092" t="s">
        <v>145</v>
      </c>
      <c r="I2092" t="s">
        <v>82</v>
      </c>
      <c r="J2092" t="str">
        <f t="shared" si="256"/>
        <v/>
      </c>
      <c r="K2092" t="str">
        <f t="shared" si="257"/>
        <v>Duplicate</v>
      </c>
      <c r="L2092" t="str">
        <f t="shared" si="258"/>
        <v>Unusual</v>
      </c>
      <c r="M2092" t="str">
        <f t="shared" si="259"/>
        <v>Invalid</v>
      </c>
      <c r="N2092" t="str">
        <f t="shared" si="260"/>
        <v/>
      </c>
      <c r="O2092" t="str">
        <f t="shared" ca="1" si="261"/>
        <v>Outdated</v>
      </c>
      <c r="P2092" t="str">
        <f t="shared" si="262"/>
        <v>Wrong Item</v>
      </c>
      <c r="Q2092" t="str">
        <f t="shared" si="263"/>
        <v/>
      </c>
    </row>
    <row r="2093" spans="1:17" x14ac:dyDescent="0.45">
      <c r="A2093" t="s">
        <v>2911</v>
      </c>
      <c r="B2093" t="s">
        <v>72</v>
      </c>
      <c r="C2093" t="s">
        <v>1519</v>
      </c>
      <c r="D2093" t="s">
        <v>92</v>
      </c>
      <c r="E2093" s="8">
        <v>9366.25</v>
      </c>
      <c r="F2093" s="9">
        <v>45790.666684444448</v>
      </c>
      <c r="G2093" t="s">
        <v>521</v>
      </c>
      <c r="H2093" t="s">
        <v>81</v>
      </c>
      <c r="I2093" t="s">
        <v>119</v>
      </c>
      <c r="J2093" t="str">
        <f t="shared" si="256"/>
        <v/>
      </c>
      <c r="K2093" t="str">
        <f t="shared" si="257"/>
        <v/>
      </c>
      <c r="L2093" t="str">
        <f t="shared" si="258"/>
        <v/>
      </c>
      <c r="M2093" t="str">
        <f t="shared" si="259"/>
        <v>Invalid</v>
      </c>
      <c r="N2093" t="str">
        <f t="shared" si="260"/>
        <v/>
      </c>
      <c r="O2093" t="str">
        <f t="shared" ca="1" si="261"/>
        <v>Outdated</v>
      </c>
      <c r="P2093" t="str">
        <f t="shared" si="262"/>
        <v>Not As Described</v>
      </c>
      <c r="Q2093" t="str">
        <f t="shared" si="263"/>
        <v/>
      </c>
    </row>
    <row r="2094" spans="1:17" x14ac:dyDescent="0.45">
      <c r="A2094" t="s">
        <v>2912</v>
      </c>
      <c r="B2094" t="s">
        <v>109</v>
      </c>
      <c r="C2094" t="s">
        <v>1425</v>
      </c>
      <c r="D2094" t="s">
        <v>92</v>
      </c>
      <c r="E2094" s="8">
        <v>4829.34</v>
      </c>
      <c r="F2094" s="9">
        <v>45323.666684444448</v>
      </c>
      <c r="G2094" t="s">
        <v>111</v>
      </c>
      <c r="H2094" t="s">
        <v>76</v>
      </c>
      <c r="I2094" t="s">
        <v>163</v>
      </c>
      <c r="J2094" t="str">
        <f t="shared" si="256"/>
        <v/>
      </c>
      <c r="K2094" t="str">
        <f t="shared" si="257"/>
        <v/>
      </c>
      <c r="L2094" t="str">
        <f t="shared" si="258"/>
        <v/>
      </c>
      <c r="M2094" t="str">
        <f t="shared" si="259"/>
        <v/>
      </c>
      <c r="N2094" t="str">
        <f t="shared" si="260"/>
        <v/>
      </c>
      <c r="O2094" t="str">
        <f t="shared" ca="1" si="261"/>
        <v>Outdated</v>
      </c>
      <c r="P2094" t="str">
        <f t="shared" si="262"/>
        <v>Not As Described</v>
      </c>
      <c r="Q2094" t="str">
        <f t="shared" si="263"/>
        <v/>
      </c>
    </row>
    <row r="2095" spans="1:17" x14ac:dyDescent="0.45">
      <c r="A2095" t="s">
        <v>2913</v>
      </c>
      <c r="B2095" t="s">
        <v>90</v>
      </c>
      <c r="C2095" t="s">
        <v>939</v>
      </c>
      <c r="D2095" t="s">
        <v>101</v>
      </c>
      <c r="E2095" s="8">
        <v>11622.16</v>
      </c>
      <c r="F2095" s="9">
        <v>45420.666684444448</v>
      </c>
      <c r="H2095" t="s">
        <v>145</v>
      </c>
      <c r="I2095" t="s">
        <v>119</v>
      </c>
      <c r="J2095" t="str">
        <f t="shared" si="256"/>
        <v/>
      </c>
      <c r="K2095" t="str">
        <f t="shared" si="257"/>
        <v/>
      </c>
      <c r="L2095" t="str">
        <f t="shared" si="258"/>
        <v>Unusual</v>
      </c>
      <c r="M2095" t="str">
        <f t="shared" si="259"/>
        <v>Invalid</v>
      </c>
      <c r="N2095" t="str">
        <f t="shared" si="260"/>
        <v/>
      </c>
      <c r="O2095" t="str">
        <f t="shared" ca="1" si="261"/>
        <v>Outdated</v>
      </c>
      <c r="P2095" t="str">
        <f t="shared" si="262"/>
        <v>Damaged</v>
      </c>
      <c r="Q2095" t="str">
        <f t="shared" si="263"/>
        <v/>
      </c>
    </row>
    <row r="2096" spans="1:17" x14ac:dyDescent="0.45">
      <c r="A2096" t="s">
        <v>2914</v>
      </c>
      <c r="B2096" t="s">
        <v>138</v>
      </c>
      <c r="C2096" t="s">
        <v>401</v>
      </c>
      <c r="D2096" t="s">
        <v>74</v>
      </c>
      <c r="E2096" s="8">
        <v>9954.27</v>
      </c>
      <c r="F2096" s="9">
        <v>45493.666684444448</v>
      </c>
      <c r="G2096" t="s">
        <v>140</v>
      </c>
      <c r="H2096" t="s">
        <v>107</v>
      </c>
      <c r="I2096" t="s">
        <v>112</v>
      </c>
      <c r="J2096" t="str">
        <f t="shared" si="256"/>
        <v/>
      </c>
      <c r="K2096" t="str">
        <f t="shared" si="257"/>
        <v/>
      </c>
      <c r="L2096" t="str">
        <f t="shared" si="258"/>
        <v/>
      </c>
      <c r="M2096" t="str">
        <f t="shared" si="259"/>
        <v/>
      </c>
      <c r="N2096" t="str">
        <f t="shared" si="260"/>
        <v/>
      </c>
      <c r="O2096" t="str">
        <f t="shared" ca="1" si="261"/>
        <v>Outdated</v>
      </c>
      <c r="P2096" t="str">
        <f t="shared" si="262"/>
        <v>Wrong Item</v>
      </c>
      <c r="Q2096" t="str">
        <f t="shared" si="263"/>
        <v/>
      </c>
    </row>
    <row r="2097" spans="1:17" x14ac:dyDescent="0.45">
      <c r="A2097" t="s">
        <v>2915</v>
      </c>
      <c r="B2097" t="s">
        <v>138</v>
      </c>
      <c r="C2097" t="s">
        <v>1204</v>
      </c>
      <c r="E2097" s="8">
        <v>10481.68</v>
      </c>
      <c r="F2097" s="9">
        <v>45176.666684444448</v>
      </c>
      <c r="G2097" t="s">
        <v>140</v>
      </c>
      <c r="H2097" t="s">
        <v>87</v>
      </c>
      <c r="I2097" t="s">
        <v>82</v>
      </c>
      <c r="J2097" t="str">
        <f t="shared" si="256"/>
        <v>Missing</v>
      </c>
      <c r="K2097" t="str">
        <f t="shared" si="257"/>
        <v/>
      </c>
      <c r="L2097" t="str">
        <f t="shared" si="258"/>
        <v>Unusual</v>
      </c>
      <c r="M2097" t="str">
        <f t="shared" si="259"/>
        <v/>
      </c>
      <c r="N2097" t="str">
        <f t="shared" si="260"/>
        <v>Invalid</v>
      </c>
      <c r="O2097" t="str">
        <f t="shared" ca="1" si="261"/>
        <v>Outdated</v>
      </c>
      <c r="P2097" t="str">
        <f t="shared" si="262"/>
        <v/>
      </c>
      <c r="Q2097" t="str">
        <f t="shared" si="263"/>
        <v/>
      </c>
    </row>
    <row r="2098" spans="1:17" x14ac:dyDescent="0.45">
      <c r="A2098" t="s">
        <v>2916</v>
      </c>
      <c r="B2098" t="s">
        <v>99</v>
      </c>
      <c r="C2098" t="s">
        <v>749</v>
      </c>
      <c r="D2098" t="s">
        <v>74</v>
      </c>
      <c r="E2098" s="8">
        <v>96.38</v>
      </c>
      <c r="F2098" s="9">
        <v>45799.666684444448</v>
      </c>
      <c r="G2098" t="s">
        <v>102</v>
      </c>
      <c r="H2098" t="s">
        <v>133</v>
      </c>
      <c r="I2098" t="s">
        <v>88</v>
      </c>
      <c r="J2098" t="str">
        <f t="shared" si="256"/>
        <v/>
      </c>
      <c r="K2098" t="str">
        <f t="shared" si="257"/>
        <v/>
      </c>
      <c r="L2098" t="str">
        <f t="shared" si="258"/>
        <v/>
      </c>
      <c r="M2098" t="str">
        <f t="shared" si="259"/>
        <v/>
      </c>
      <c r="N2098" t="str">
        <f t="shared" si="260"/>
        <v>Invalid</v>
      </c>
      <c r="O2098" t="str">
        <f t="shared" ca="1" si="261"/>
        <v>Outdated</v>
      </c>
      <c r="P2098" t="str">
        <f t="shared" si="262"/>
        <v>Wrong Item</v>
      </c>
      <c r="Q2098" t="str">
        <f t="shared" si="263"/>
        <v/>
      </c>
    </row>
    <row r="2099" spans="1:17" x14ac:dyDescent="0.45">
      <c r="A2099" t="s">
        <v>2917</v>
      </c>
      <c r="B2099" t="s">
        <v>79</v>
      </c>
      <c r="C2099" t="s">
        <v>1746</v>
      </c>
      <c r="D2099" t="s">
        <v>85</v>
      </c>
      <c r="E2099" s="8">
        <v>6376.33</v>
      </c>
      <c r="F2099" s="9">
        <v>45467.666684444448</v>
      </c>
      <c r="G2099" t="s">
        <v>278</v>
      </c>
      <c r="H2099" t="s">
        <v>136</v>
      </c>
      <c r="I2099" t="s">
        <v>119</v>
      </c>
      <c r="J2099" t="str">
        <f t="shared" si="256"/>
        <v/>
      </c>
      <c r="K2099" t="str">
        <f t="shared" si="257"/>
        <v/>
      </c>
      <c r="L2099" t="str">
        <f t="shared" si="258"/>
        <v/>
      </c>
      <c r="M2099" t="str">
        <f t="shared" si="259"/>
        <v>Invalid</v>
      </c>
      <c r="N2099" t="str">
        <f t="shared" si="260"/>
        <v>Invalid</v>
      </c>
      <c r="O2099" t="str">
        <f t="shared" ca="1" si="261"/>
        <v>Outdated</v>
      </c>
      <c r="P2099" t="str">
        <f t="shared" si="262"/>
        <v>Late Delivery</v>
      </c>
      <c r="Q2099" t="str">
        <f t="shared" si="263"/>
        <v/>
      </c>
    </row>
    <row r="2100" spans="1:17" x14ac:dyDescent="0.45">
      <c r="A2100" t="s">
        <v>2918</v>
      </c>
      <c r="B2100" t="s">
        <v>172</v>
      </c>
      <c r="C2100" t="s">
        <v>1144</v>
      </c>
      <c r="D2100" t="s">
        <v>106</v>
      </c>
      <c r="E2100" s="8">
        <v>3416.09</v>
      </c>
      <c r="F2100" s="9">
        <v>45407.666684444448</v>
      </c>
      <c r="G2100" t="s">
        <v>174</v>
      </c>
      <c r="I2100" t="s">
        <v>119</v>
      </c>
      <c r="J2100" t="str">
        <f t="shared" si="256"/>
        <v/>
      </c>
      <c r="K2100" t="str">
        <f t="shared" si="257"/>
        <v/>
      </c>
      <c r="L2100" t="str">
        <f t="shared" si="258"/>
        <v/>
      </c>
      <c r="M2100" t="str">
        <f t="shared" si="259"/>
        <v/>
      </c>
      <c r="N2100" t="str">
        <f t="shared" si="260"/>
        <v>Invalid</v>
      </c>
      <c r="O2100" t="str">
        <f t="shared" ca="1" si="261"/>
        <v>Outdated</v>
      </c>
      <c r="P2100" t="str">
        <f t="shared" si="262"/>
        <v>Damaged</v>
      </c>
      <c r="Q2100" t="str">
        <f t="shared" si="263"/>
        <v>Inconsistent</v>
      </c>
    </row>
    <row r="2101" spans="1:17" x14ac:dyDescent="0.45">
      <c r="A2101" t="s">
        <v>2919</v>
      </c>
      <c r="B2101" t="s">
        <v>109</v>
      </c>
      <c r="C2101" t="s">
        <v>2920</v>
      </c>
      <c r="D2101" t="s">
        <v>74</v>
      </c>
      <c r="E2101" s="8">
        <v>5644.17</v>
      </c>
      <c r="F2101" s="9">
        <v>45255.666684444448</v>
      </c>
      <c r="G2101" t="s">
        <v>111</v>
      </c>
      <c r="H2101" t="s">
        <v>116</v>
      </c>
      <c r="I2101" t="s">
        <v>163</v>
      </c>
      <c r="J2101" t="str">
        <f t="shared" si="256"/>
        <v/>
      </c>
      <c r="K2101" t="str">
        <f t="shared" si="257"/>
        <v/>
      </c>
      <c r="L2101" t="str">
        <f t="shared" si="258"/>
        <v/>
      </c>
      <c r="M2101" t="str">
        <f t="shared" si="259"/>
        <v/>
      </c>
      <c r="N2101" t="str">
        <f t="shared" si="260"/>
        <v/>
      </c>
      <c r="O2101" t="str">
        <f t="shared" ca="1" si="261"/>
        <v>Outdated</v>
      </c>
      <c r="P2101" t="str">
        <f t="shared" si="262"/>
        <v>Wrong Item</v>
      </c>
      <c r="Q2101" t="str">
        <f t="shared" si="263"/>
        <v/>
      </c>
    </row>
    <row r="2102" spans="1:17" x14ac:dyDescent="0.45">
      <c r="A2102" t="s">
        <v>2689</v>
      </c>
      <c r="B2102" t="s">
        <v>79</v>
      </c>
      <c r="C2102" t="s">
        <v>2866</v>
      </c>
      <c r="D2102" t="s">
        <v>155</v>
      </c>
      <c r="E2102" s="8">
        <v>7471.51</v>
      </c>
      <c r="F2102" s="9">
        <v>45504.666684444448</v>
      </c>
      <c r="G2102" t="s">
        <v>278</v>
      </c>
      <c r="H2102" t="s">
        <v>136</v>
      </c>
      <c r="I2102" t="s">
        <v>82</v>
      </c>
      <c r="J2102" t="str">
        <f t="shared" si="256"/>
        <v/>
      </c>
      <c r="K2102" t="str">
        <f t="shared" si="257"/>
        <v>Duplicate</v>
      </c>
      <c r="L2102" t="str">
        <f t="shared" si="258"/>
        <v/>
      </c>
      <c r="M2102" t="str">
        <f t="shared" si="259"/>
        <v>Invalid</v>
      </c>
      <c r="N2102" t="str">
        <f t="shared" si="260"/>
        <v>Invalid</v>
      </c>
      <c r="O2102" t="str">
        <f t="shared" ca="1" si="261"/>
        <v>Outdated</v>
      </c>
      <c r="P2102" t="str">
        <f t="shared" si="262"/>
        <v>Damaged</v>
      </c>
      <c r="Q2102" t="str">
        <f t="shared" si="263"/>
        <v>Inconsistent</v>
      </c>
    </row>
    <row r="2103" spans="1:17" x14ac:dyDescent="0.45">
      <c r="A2103" t="s">
        <v>2921</v>
      </c>
      <c r="B2103" t="s">
        <v>172</v>
      </c>
      <c r="C2103" t="s">
        <v>2354</v>
      </c>
      <c r="D2103" t="s">
        <v>74</v>
      </c>
      <c r="E2103" s="8">
        <v>9232.75</v>
      </c>
      <c r="F2103" s="9">
        <v>45575.666684444448</v>
      </c>
      <c r="G2103" t="s">
        <v>174</v>
      </c>
      <c r="H2103" t="s">
        <v>76</v>
      </c>
      <c r="I2103" t="s">
        <v>119</v>
      </c>
      <c r="J2103" t="str">
        <f t="shared" si="256"/>
        <v/>
      </c>
      <c r="K2103" t="str">
        <f t="shared" si="257"/>
        <v/>
      </c>
      <c r="L2103" t="str">
        <f t="shared" si="258"/>
        <v/>
      </c>
      <c r="M2103" t="str">
        <f t="shared" si="259"/>
        <v/>
      </c>
      <c r="N2103" t="str">
        <f t="shared" si="260"/>
        <v/>
      </c>
      <c r="O2103" t="str">
        <f t="shared" ca="1" si="261"/>
        <v>Outdated</v>
      </c>
      <c r="P2103" t="str">
        <f t="shared" si="262"/>
        <v>Wrong Item</v>
      </c>
      <c r="Q2103" t="str">
        <f t="shared" si="263"/>
        <v/>
      </c>
    </row>
    <row r="2104" spans="1:17" x14ac:dyDescent="0.45">
      <c r="A2104" t="s">
        <v>2922</v>
      </c>
      <c r="B2104" t="s">
        <v>90</v>
      </c>
      <c r="C2104" t="s">
        <v>2796</v>
      </c>
      <c r="D2104" t="s">
        <v>85</v>
      </c>
      <c r="E2104" s="8">
        <v>8898.2099999999991</v>
      </c>
      <c r="F2104" s="9">
        <v>45537.666684444448</v>
      </c>
      <c r="G2104" t="s">
        <v>93</v>
      </c>
      <c r="H2104" t="s">
        <v>116</v>
      </c>
      <c r="I2104" t="s">
        <v>163</v>
      </c>
      <c r="J2104" t="str">
        <f t="shared" si="256"/>
        <v/>
      </c>
      <c r="K2104" t="str">
        <f t="shared" si="257"/>
        <v/>
      </c>
      <c r="L2104" t="str">
        <f t="shared" si="258"/>
        <v/>
      </c>
      <c r="M2104" t="str">
        <f t="shared" si="259"/>
        <v/>
      </c>
      <c r="N2104" t="str">
        <f t="shared" si="260"/>
        <v/>
      </c>
      <c r="O2104" t="str">
        <f t="shared" ca="1" si="261"/>
        <v>Outdated</v>
      </c>
      <c r="P2104" t="str">
        <f t="shared" si="262"/>
        <v>Late Delivery</v>
      </c>
      <c r="Q2104" t="str">
        <f t="shared" si="263"/>
        <v/>
      </c>
    </row>
    <row r="2105" spans="1:17" x14ac:dyDescent="0.45">
      <c r="A2105" t="s">
        <v>2923</v>
      </c>
      <c r="B2105" t="s">
        <v>138</v>
      </c>
      <c r="C2105" t="s">
        <v>723</v>
      </c>
      <c r="D2105" t="s">
        <v>101</v>
      </c>
      <c r="E2105" s="8">
        <v>690.86</v>
      </c>
      <c r="F2105" s="9">
        <v>45578.666684444448</v>
      </c>
      <c r="G2105" t="s">
        <v>194</v>
      </c>
      <c r="H2105" t="s">
        <v>107</v>
      </c>
      <c r="I2105" t="s">
        <v>82</v>
      </c>
      <c r="J2105" t="str">
        <f t="shared" si="256"/>
        <v/>
      </c>
      <c r="K2105" t="str">
        <f t="shared" si="257"/>
        <v/>
      </c>
      <c r="L2105" t="str">
        <f t="shared" si="258"/>
        <v/>
      </c>
      <c r="M2105" t="str">
        <f t="shared" si="259"/>
        <v>Invalid</v>
      </c>
      <c r="N2105" t="str">
        <f t="shared" si="260"/>
        <v/>
      </c>
      <c r="O2105" t="str">
        <f t="shared" ca="1" si="261"/>
        <v>Outdated</v>
      </c>
      <c r="P2105" t="str">
        <f t="shared" si="262"/>
        <v>Damaged</v>
      </c>
      <c r="Q2105" t="str">
        <f t="shared" si="263"/>
        <v/>
      </c>
    </row>
    <row r="2106" spans="1:17" x14ac:dyDescent="0.45">
      <c r="A2106" t="s">
        <v>2924</v>
      </c>
      <c r="B2106" t="s">
        <v>104</v>
      </c>
      <c r="C2106" t="s">
        <v>2925</v>
      </c>
      <c r="D2106" t="s">
        <v>106</v>
      </c>
      <c r="E2106" s="8">
        <v>4596.96</v>
      </c>
      <c r="F2106" s="9">
        <v>45523.666684444448</v>
      </c>
      <c r="G2106" t="s">
        <v>115</v>
      </c>
      <c r="H2106" t="s">
        <v>116</v>
      </c>
      <c r="I2106" t="s">
        <v>77</v>
      </c>
      <c r="J2106" t="str">
        <f t="shared" si="256"/>
        <v/>
      </c>
      <c r="K2106" t="str">
        <f t="shared" si="257"/>
        <v/>
      </c>
      <c r="L2106" t="str">
        <f t="shared" si="258"/>
        <v/>
      </c>
      <c r="M2106" t="str">
        <f t="shared" si="259"/>
        <v/>
      </c>
      <c r="N2106" t="str">
        <f t="shared" si="260"/>
        <v/>
      </c>
      <c r="O2106" t="str">
        <f t="shared" ca="1" si="261"/>
        <v>Outdated</v>
      </c>
      <c r="P2106" t="str">
        <f t="shared" si="262"/>
        <v>Damaged</v>
      </c>
      <c r="Q2106" t="str">
        <f t="shared" si="263"/>
        <v>Inconsistent</v>
      </c>
    </row>
    <row r="2107" spans="1:17" x14ac:dyDescent="0.45">
      <c r="A2107" t="s">
        <v>2926</v>
      </c>
      <c r="B2107" t="s">
        <v>99</v>
      </c>
      <c r="C2107" t="s">
        <v>1477</v>
      </c>
      <c r="D2107" t="s">
        <v>101</v>
      </c>
      <c r="E2107" s="8">
        <v>5376.9</v>
      </c>
      <c r="F2107" s="9">
        <v>45475.666684444448</v>
      </c>
      <c r="G2107" t="s">
        <v>102</v>
      </c>
      <c r="H2107" t="s">
        <v>87</v>
      </c>
      <c r="I2107" t="s">
        <v>119</v>
      </c>
      <c r="J2107" t="str">
        <f t="shared" si="256"/>
        <v/>
      </c>
      <c r="K2107" t="str">
        <f t="shared" si="257"/>
        <v/>
      </c>
      <c r="L2107" t="str">
        <f t="shared" si="258"/>
        <v/>
      </c>
      <c r="M2107" t="str">
        <f t="shared" si="259"/>
        <v/>
      </c>
      <c r="N2107" t="str">
        <f t="shared" si="260"/>
        <v>Invalid</v>
      </c>
      <c r="O2107" t="str">
        <f t="shared" ca="1" si="261"/>
        <v>Outdated</v>
      </c>
      <c r="P2107" t="str">
        <f t="shared" si="262"/>
        <v>Damaged</v>
      </c>
      <c r="Q2107" t="str">
        <f t="shared" si="263"/>
        <v/>
      </c>
    </row>
    <row r="2108" spans="1:17" x14ac:dyDescent="0.45">
      <c r="A2108" t="s">
        <v>2927</v>
      </c>
      <c r="B2108" t="s">
        <v>109</v>
      </c>
      <c r="C2108" t="s">
        <v>2928</v>
      </c>
      <c r="D2108" t="s">
        <v>101</v>
      </c>
      <c r="E2108" s="8">
        <v>4059.43</v>
      </c>
      <c r="F2108" s="9">
        <v>45319.666684444448</v>
      </c>
      <c r="G2108" t="s">
        <v>111</v>
      </c>
      <c r="H2108" t="s">
        <v>116</v>
      </c>
      <c r="I2108" t="s">
        <v>119</v>
      </c>
      <c r="J2108" t="str">
        <f t="shared" si="256"/>
        <v/>
      </c>
      <c r="K2108" t="str">
        <f t="shared" si="257"/>
        <v/>
      </c>
      <c r="L2108" t="str">
        <f t="shared" si="258"/>
        <v/>
      </c>
      <c r="M2108" t="str">
        <f t="shared" si="259"/>
        <v/>
      </c>
      <c r="N2108" t="str">
        <f t="shared" si="260"/>
        <v/>
      </c>
      <c r="O2108" t="str">
        <f t="shared" ca="1" si="261"/>
        <v>Outdated</v>
      </c>
      <c r="P2108" t="str">
        <f t="shared" si="262"/>
        <v>Damaged</v>
      </c>
      <c r="Q2108" t="str">
        <f t="shared" si="263"/>
        <v/>
      </c>
    </row>
    <row r="2109" spans="1:17" x14ac:dyDescent="0.45">
      <c r="A2109" t="s">
        <v>2929</v>
      </c>
      <c r="B2109" t="s">
        <v>99</v>
      </c>
      <c r="C2109" t="s">
        <v>966</v>
      </c>
      <c r="D2109" t="s">
        <v>106</v>
      </c>
      <c r="E2109" s="8">
        <v>1494.06</v>
      </c>
      <c r="F2109" s="9">
        <v>45636.666684444448</v>
      </c>
      <c r="G2109" t="s">
        <v>102</v>
      </c>
      <c r="H2109" t="s">
        <v>107</v>
      </c>
      <c r="I2109" t="s">
        <v>82</v>
      </c>
      <c r="J2109" t="str">
        <f t="shared" si="256"/>
        <v/>
      </c>
      <c r="K2109" t="str">
        <f t="shared" si="257"/>
        <v/>
      </c>
      <c r="L2109" t="str">
        <f t="shared" si="258"/>
        <v/>
      </c>
      <c r="M2109" t="str">
        <f t="shared" si="259"/>
        <v/>
      </c>
      <c r="N2109" t="str">
        <f t="shared" si="260"/>
        <v/>
      </c>
      <c r="O2109" t="str">
        <f t="shared" ca="1" si="261"/>
        <v>Outdated</v>
      </c>
      <c r="P2109" t="str">
        <f t="shared" si="262"/>
        <v>Damaged</v>
      </c>
      <c r="Q2109" t="str">
        <f t="shared" si="263"/>
        <v>Inconsistent</v>
      </c>
    </row>
    <row r="2110" spans="1:17" x14ac:dyDescent="0.45">
      <c r="A2110" t="s">
        <v>2930</v>
      </c>
      <c r="B2110" t="s">
        <v>72</v>
      </c>
      <c r="C2110" t="s">
        <v>257</v>
      </c>
      <c r="D2110" t="s">
        <v>85</v>
      </c>
      <c r="E2110" s="8">
        <v>6659.18</v>
      </c>
      <c r="F2110" s="9">
        <v>45836.666684444448</v>
      </c>
      <c r="G2110" t="s">
        <v>521</v>
      </c>
      <c r="H2110" t="s">
        <v>116</v>
      </c>
      <c r="I2110" t="s">
        <v>112</v>
      </c>
      <c r="J2110" t="str">
        <f t="shared" si="256"/>
        <v/>
      </c>
      <c r="K2110" t="str">
        <f t="shared" si="257"/>
        <v/>
      </c>
      <c r="L2110" t="str">
        <f t="shared" si="258"/>
        <v/>
      </c>
      <c r="M2110" t="str">
        <f t="shared" si="259"/>
        <v>Invalid</v>
      </c>
      <c r="N2110" t="str">
        <f t="shared" si="260"/>
        <v/>
      </c>
      <c r="O2110" t="str">
        <f t="shared" ca="1" si="261"/>
        <v>Outdated</v>
      </c>
      <c r="P2110" t="str">
        <f t="shared" si="262"/>
        <v>Late Delivery</v>
      </c>
      <c r="Q2110" t="str">
        <f t="shared" si="263"/>
        <v/>
      </c>
    </row>
    <row r="2111" spans="1:17" x14ac:dyDescent="0.45">
      <c r="A2111" t="s">
        <v>2355</v>
      </c>
      <c r="B2111" t="s">
        <v>90</v>
      </c>
      <c r="C2111" t="s">
        <v>858</v>
      </c>
      <c r="D2111" t="s">
        <v>85</v>
      </c>
      <c r="E2111" s="8">
        <v>1574.59</v>
      </c>
      <c r="F2111" s="9">
        <v>45637.666684444448</v>
      </c>
      <c r="G2111" t="s">
        <v>93</v>
      </c>
      <c r="H2111" t="s">
        <v>118</v>
      </c>
      <c r="I2111" t="s">
        <v>82</v>
      </c>
      <c r="J2111" t="str">
        <f t="shared" si="256"/>
        <v/>
      </c>
      <c r="K2111" t="str">
        <f t="shared" si="257"/>
        <v>Duplicate</v>
      </c>
      <c r="L2111" t="str">
        <f t="shared" si="258"/>
        <v/>
      </c>
      <c r="M2111" t="str">
        <f t="shared" si="259"/>
        <v/>
      </c>
      <c r="N2111" t="str">
        <f t="shared" si="260"/>
        <v>Invalid</v>
      </c>
      <c r="O2111" t="str">
        <f t="shared" ca="1" si="261"/>
        <v>Outdated</v>
      </c>
      <c r="P2111" t="str">
        <f t="shared" si="262"/>
        <v>Late Delivery</v>
      </c>
      <c r="Q2111" t="str">
        <f t="shared" si="263"/>
        <v/>
      </c>
    </row>
    <row r="2112" spans="1:17" x14ac:dyDescent="0.45">
      <c r="A2112" t="s">
        <v>2931</v>
      </c>
      <c r="B2112" t="s">
        <v>72</v>
      </c>
      <c r="C2112" t="s">
        <v>2789</v>
      </c>
      <c r="D2112" t="s">
        <v>101</v>
      </c>
      <c r="E2112" s="8">
        <v>7595.99</v>
      </c>
      <c r="F2112" s="9">
        <v>45504.666684444448</v>
      </c>
      <c r="H2112" t="s">
        <v>81</v>
      </c>
      <c r="I2112" t="s">
        <v>82</v>
      </c>
      <c r="J2112" t="str">
        <f t="shared" si="256"/>
        <v/>
      </c>
      <c r="K2112" t="str">
        <f t="shared" si="257"/>
        <v/>
      </c>
      <c r="L2112" t="str">
        <f t="shared" si="258"/>
        <v/>
      </c>
      <c r="M2112" t="str">
        <f t="shared" si="259"/>
        <v>Invalid</v>
      </c>
      <c r="N2112" t="str">
        <f t="shared" si="260"/>
        <v/>
      </c>
      <c r="O2112" t="str">
        <f t="shared" ca="1" si="261"/>
        <v>Outdated</v>
      </c>
      <c r="P2112" t="str">
        <f t="shared" si="262"/>
        <v>Damaged</v>
      </c>
      <c r="Q2112" t="str">
        <f t="shared" si="263"/>
        <v/>
      </c>
    </row>
    <row r="2113" spans="1:17" x14ac:dyDescent="0.45">
      <c r="A2113" t="s">
        <v>2932</v>
      </c>
      <c r="B2113" t="s">
        <v>172</v>
      </c>
      <c r="C2113" t="s">
        <v>1649</v>
      </c>
      <c r="D2113" t="s">
        <v>92</v>
      </c>
      <c r="E2113" s="8">
        <v>0</v>
      </c>
      <c r="F2113" s="9">
        <v>45659.666684444448</v>
      </c>
      <c r="G2113" t="s">
        <v>174</v>
      </c>
      <c r="I2113" t="s">
        <v>88</v>
      </c>
      <c r="J2113" t="str">
        <f t="shared" si="256"/>
        <v/>
      </c>
      <c r="K2113" t="str">
        <f t="shared" si="257"/>
        <v/>
      </c>
      <c r="L2113" t="str">
        <f t="shared" si="258"/>
        <v>Unusual</v>
      </c>
      <c r="M2113" t="str">
        <f t="shared" si="259"/>
        <v/>
      </c>
      <c r="N2113" t="str">
        <f t="shared" si="260"/>
        <v>Invalid</v>
      </c>
      <c r="O2113" t="str">
        <f t="shared" ca="1" si="261"/>
        <v>Outdated</v>
      </c>
      <c r="P2113" t="str">
        <f t="shared" si="262"/>
        <v>Not As Described</v>
      </c>
      <c r="Q2113" t="str">
        <f t="shared" si="263"/>
        <v/>
      </c>
    </row>
    <row r="2114" spans="1:17" x14ac:dyDescent="0.45">
      <c r="A2114" t="s">
        <v>2093</v>
      </c>
      <c r="B2114" t="s">
        <v>172</v>
      </c>
      <c r="C2114" t="s">
        <v>1172</v>
      </c>
      <c r="D2114" t="s">
        <v>74</v>
      </c>
      <c r="E2114" s="8">
        <v>9545.5400000000009</v>
      </c>
      <c r="F2114" s="9">
        <v>45401.666684444448</v>
      </c>
      <c r="G2114" t="s">
        <v>174</v>
      </c>
      <c r="H2114" t="s">
        <v>145</v>
      </c>
      <c r="I2114" t="s">
        <v>77</v>
      </c>
      <c r="J2114" t="str">
        <f t="shared" ref="J2114:J2177" si="264">IF(OR(ISBLANK(C2114),ISBLANK(D2114)),"Missing","")</f>
        <v/>
      </c>
      <c r="K2114" t="str">
        <f t="shared" ref="K2114:K2177" si="265">IF(COUNTIF($A$2:$A$2501,A2114)&gt;1,"Duplicate","")</f>
        <v>Duplicate</v>
      </c>
      <c r="L2114" t="str">
        <f t="shared" ref="L2114:L2177" si="266">IF(OR(E2114=0,E2114&gt;10000),"Unusual","")</f>
        <v/>
      </c>
      <c r="M2114" t="str">
        <f t="shared" ref="M2114:M2177" si="267">IF(OR(ISBLANK(G2114),ISERROR(FIND("@",G2114)),ISERROR(FIND(".",G2114,FIND("@",G2114)+1))),"Invalid","")</f>
        <v/>
      </c>
      <c r="N2114" t="str">
        <f t="shared" ref="N2114:N2177" si="268">IF(COUNTIF($S$2:$S$6,H2114)=0,"Invalid","")</f>
        <v/>
      </c>
      <c r="O2114" t="str">
        <f t="shared" ref="O2114:O2177" ca="1" si="269">IF(F2114&lt;EDATE(TODAY(),-12),"Outdated","")</f>
        <v>Outdated</v>
      </c>
      <c r="P2114" t="str">
        <f t="shared" ref="P2114:P2177" si="270">IF(ISBLANK(D2114),"",PROPER(TRIM(D2114)))</f>
        <v>Wrong Item</v>
      </c>
      <c r="Q2114" t="str">
        <f t="shared" ref="Q2114:Q2177" si="271">IF(ISBLANK(D2114),"",IF(EXACT(D2114,P2114),"","Inconsistent"))</f>
        <v/>
      </c>
    </row>
    <row r="2115" spans="1:17" x14ac:dyDescent="0.45">
      <c r="A2115" t="s">
        <v>2933</v>
      </c>
      <c r="B2115" t="s">
        <v>95</v>
      </c>
      <c r="C2115" t="s">
        <v>1806</v>
      </c>
      <c r="D2115" t="s">
        <v>74</v>
      </c>
      <c r="E2115" s="8">
        <v>0</v>
      </c>
      <c r="F2115" s="9">
        <v>45212.666684444448</v>
      </c>
      <c r="G2115" t="s">
        <v>97</v>
      </c>
      <c r="H2115" t="s">
        <v>133</v>
      </c>
      <c r="I2115" t="s">
        <v>88</v>
      </c>
      <c r="J2115" t="str">
        <f t="shared" si="264"/>
        <v/>
      </c>
      <c r="K2115" t="str">
        <f t="shared" si="265"/>
        <v/>
      </c>
      <c r="L2115" t="str">
        <f t="shared" si="266"/>
        <v>Unusual</v>
      </c>
      <c r="M2115" t="str">
        <f t="shared" si="267"/>
        <v/>
      </c>
      <c r="N2115" t="str">
        <f t="shared" si="268"/>
        <v>Invalid</v>
      </c>
      <c r="O2115" t="str">
        <f t="shared" ca="1" si="269"/>
        <v>Outdated</v>
      </c>
      <c r="P2115" t="str">
        <f t="shared" si="270"/>
        <v>Wrong Item</v>
      </c>
      <c r="Q2115" t="str">
        <f t="shared" si="271"/>
        <v/>
      </c>
    </row>
    <row r="2116" spans="1:17" x14ac:dyDescent="0.45">
      <c r="A2116" t="s">
        <v>2934</v>
      </c>
      <c r="B2116" t="s">
        <v>172</v>
      </c>
      <c r="C2116" t="s">
        <v>819</v>
      </c>
      <c r="D2116" t="s">
        <v>85</v>
      </c>
      <c r="E2116" s="8">
        <v>7897.95</v>
      </c>
      <c r="F2116" s="9">
        <v>45562.666684444448</v>
      </c>
      <c r="H2116" t="s">
        <v>133</v>
      </c>
      <c r="I2116" t="s">
        <v>112</v>
      </c>
      <c r="J2116" t="str">
        <f t="shared" si="264"/>
        <v/>
      </c>
      <c r="K2116" t="str">
        <f t="shared" si="265"/>
        <v/>
      </c>
      <c r="L2116" t="str">
        <f t="shared" si="266"/>
        <v/>
      </c>
      <c r="M2116" t="str">
        <f t="shared" si="267"/>
        <v>Invalid</v>
      </c>
      <c r="N2116" t="str">
        <f t="shared" si="268"/>
        <v>Invalid</v>
      </c>
      <c r="O2116" t="str">
        <f t="shared" ca="1" si="269"/>
        <v>Outdated</v>
      </c>
      <c r="P2116" t="str">
        <f t="shared" si="270"/>
        <v>Late Delivery</v>
      </c>
      <c r="Q2116" t="str">
        <f t="shared" si="271"/>
        <v/>
      </c>
    </row>
    <row r="2117" spans="1:17" x14ac:dyDescent="0.45">
      <c r="A2117" t="s">
        <v>2935</v>
      </c>
      <c r="B2117" t="s">
        <v>79</v>
      </c>
      <c r="C2117" t="s">
        <v>2309</v>
      </c>
      <c r="D2117" t="s">
        <v>101</v>
      </c>
      <c r="E2117" s="8">
        <v>4157.1899999999996</v>
      </c>
      <c r="F2117" s="9">
        <v>45208.666684444448</v>
      </c>
      <c r="G2117" t="s">
        <v>86</v>
      </c>
      <c r="H2117" t="s">
        <v>136</v>
      </c>
      <c r="I2117" t="s">
        <v>119</v>
      </c>
      <c r="J2117" t="str">
        <f t="shared" si="264"/>
        <v/>
      </c>
      <c r="K2117" t="str">
        <f t="shared" si="265"/>
        <v/>
      </c>
      <c r="L2117" t="str">
        <f t="shared" si="266"/>
        <v/>
      </c>
      <c r="M2117" t="str">
        <f t="shared" si="267"/>
        <v/>
      </c>
      <c r="N2117" t="str">
        <f t="shared" si="268"/>
        <v>Invalid</v>
      </c>
      <c r="O2117" t="str">
        <f t="shared" ca="1" si="269"/>
        <v>Outdated</v>
      </c>
      <c r="P2117" t="str">
        <f t="shared" si="270"/>
        <v>Damaged</v>
      </c>
      <c r="Q2117" t="str">
        <f t="shared" si="271"/>
        <v/>
      </c>
    </row>
    <row r="2118" spans="1:17" x14ac:dyDescent="0.45">
      <c r="A2118" t="s">
        <v>1147</v>
      </c>
      <c r="B2118" t="s">
        <v>79</v>
      </c>
      <c r="C2118" t="s">
        <v>1845</v>
      </c>
      <c r="D2118" t="s">
        <v>106</v>
      </c>
      <c r="E2118" s="8">
        <v>0</v>
      </c>
      <c r="F2118" s="9">
        <v>45568.666684444448</v>
      </c>
      <c r="H2118" t="s">
        <v>116</v>
      </c>
      <c r="I2118" t="s">
        <v>77</v>
      </c>
      <c r="J2118" t="str">
        <f t="shared" si="264"/>
        <v/>
      </c>
      <c r="K2118" t="str">
        <f t="shared" si="265"/>
        <v>Duplicate</v>
      </c>
      <c r="L2118" t="str">
        <f t="shared" si="266"/>
        <v>Unusual</v>
      </c>
      <c r="M2118" t="str">
        <f t="shared" si="267"/>
        <v>Invalid</v>
      </c>
      <c r="N2118" t="str">
        <f t="shared" si="268"/>
        <v/>
      </c>
      <c r="O2118" t="str">
        <f t="shared" ca="1" si="269"/>
        <v>Outdated</v>
      </c>
      <c r="P2118" t="str">
        <f t="shared" si="270"/>
        <v>Damaged</v>
      </c>
      <c r="Q2118" t="str">
        <f t="shared" si="271"/>
        <v>Inconsistent</v>
      </c>
    </row>
    <row r="2119" spans="1:17" x14ac:dyDescent="0.45">
      <c r="A2119" t="s">
        <v>2936</v>
      </c>
      <c r="B2119" t="s">
        <v>104</v>
      </c>
      <c r="C2119" t="s">
        <v>2402</v>
      </c>
      <c r="D2119" t="s">
        <v>155</v>
      </c>
      <c r="E2119" s="8">
        <v>1712.66</v>
      </c>
      <c r="F2119" s="9">
        <v>45744.666684444448</v>
      </c>
      <c r="G2119" t="s">
        <v>115</v>
      </c>
      <c r="H2119" t="s">
        <v>81</v>
      </c>
      <c r="I2119" t="s">
        <v>82</v>
      </c>
      <c r="J2119" t="str">
        <f t="shared" si="264"/>
        <v/>
      </c>
      <c r="K2119" t="str">
        <f t="shared" si="265"/>
        <v/>
      </c>
      <c r="L2119" t="str">
        <f t="shared" si="266"/>
        <v/>
      </c>
      <c r="M2119" t="str">
        <f t="shared" si="267"/>
        <v/>
      </c>
      <c r="N2119" t="str">
        <f t="shared" si="268"/>
        <v/>
      </c>
      <c r="O2119" t="str">
        <f t="shared" ca="1" si="269"/>
        <v>Outdated</v>
      </c>
      <c r="P2119" t="str">
        <f t="shared" si="270"/>
        <v>Damaged</v>
      </c>
      <c r="Q2119" t="str">
        <f t="shared" si="271"/>
        <v>Inconsistent</v>
      </c>
    </row>
    <row r="2120" spans="1:17" x14ac:dyDescent="0.45">
      <c r="A2120" t="s">
        <v>2937</v>
      </c>
      <c r="B2120" t="s">
        <v>138</v>
      </c>
      <c r="C2120" t="s">
        <v>1948</v>
      </c>
      <c r="D2120" t="s">
        <v>92</v>
      </c>
      <c r="E2120" s="8">
        <v>6829.28</v>
      </c>
      <c r="F2120" s="9">
        <v>45312.666684444448</v>
      </c>
      <c r="G2120" t="s">
        <v>140</v>
      </c>
      <c r="H2120" t="s">
        <v>81</v>
      </c>
      <c r="I2120" t="s">
        <v>112</v>
      </c>
      <c r="J2120" t="str">
        <f t="shared" si="264"/>
        <v/>
      </c>
      <c r="K2120" t="str">
        <f t="shared" si="265"/>
        <v/>
      </c>
      <c r="L2120" t="str">
        <f t="shared" si="266"/>
        <v/>
      </c>
      <c r="M2120" t="str">
        <f t="shared" si="267"/>
        <v/>
      </c>
      <c r="N2120" t="str">
        <f t="shared" si="268"/>
        <v/>
      </c>
      <c r="O2120" t="str">
        <f t="shared" ca="1" si="269"/>
        <v>Outdated</v>
      </c>
      <c r="P2120" t="str">
        <f t="shared" si="270"/>
        <v>Not As Described</v>
      </c>
      <c r="Q2120" t="str">
        <f t="shared" si="271"/>
        <v/>
      </c>
    </row>
    <row r="2121" spans="1:17" x14ac:dyDescent="0.45">
      <c r="A2121" t="s">
        <v>2938</v>
      </c>
      <c r="B2121" t="s">
        <v>99</v>
      </c>
      <c r="C2121" t="s">
        <v>1358</v>
      </c>
      <c r="E2121" s="8">
        <v>5965.69</v>
      </c>
      <c r="F2121" s="9">
        <v>45686.666684444448</v>
      </c>
      <c r="G2121" t="s">
        <v>102</v>
      </c>
      <c r="H2121" t="s">
        <v>107</v>
      </c>
      <c r="I2121" t="s">
        <v>77</v>
      </c>
      <c r="J2121" t="str">
        <f t="shared" si="264"/>
        <v>Missing</v>
      </c>
      <c r="K2121" t="str">
        <f t="shared" si="265"/>
        <v/>
      </c>
      <c r="L2121" t="str">
        <f t="shared" si="266"/>
        <v/>
      </c>
      <c r="M2121" t="str">
        <f t="shared" si="267"/>
        <v/>
      </c>
      <c r="N2121" t="str">
        <f t="shared" si="268"/>
        <v/>
      </c>
      <c r="O2121" t="str">
        <f t="shared" ca="1" si="269"/>
        <v>Outdated</v>
      </c>
      <c r="P2121" t="str">
        <f t="shared" si="270"/>
        <v/>
      </c>
      <c r="Q2121" t="str">
        <f t="shared" si="271"/>
        <v/>
      </c>
    </row>
    <row r="2122" spans="1:17" x14ac:dyDescent="0.45">
      <c r="A2122" t="s">
        <v>2939</v>
      </c>
      <c r="B2122" t="s">
        <v>138</v>
      </c>
      <c r="C2122" t="s">
        <v>359</v>
      </c>
      <c r="D2122" t="s">
        <v>92</v>
      </c>
      <c r="E2122" s="8">
        <v>5646.46</v>
      </c>
      <c r="F2122" s="9">
        <v>45428.666684444448</v>
      </c>
      <c r="G2122" t="s">
        <v>140</v>
      </c>
      <c r="H2122" t="s">
        <v>81</v>
      </c>
      <c r="I2122" t="s">
        <v>112</v>
      </c>
      <c r="J2122" t="str">
        <f t="shared" si="264"/>
        <v/>
      </c>
      <c r="K2122" t="str">
        <f t="shared" si="265"/>
        <v/>
      </c>
      <c r="L2122" t="str">
        <f t="shared" si="266"/>
        <v/>
      </c>
      <c r="M2122" t="str">
        <f t="shared" si="267"/>
        <v/>
      </c>
      <c r="N2122" t="str">
        <f t="shared" si="268"/>
        <v/>
      </c>
      <c r="O2122" t="str">
        <f t="shared" ca="1" si="269"/>
        <v>Outdated</v>
      </c>
      <c r="P2122" t="str">
        <f t="shared" si="270"/>
        <v>Not As Described</v>
      </c>
      <c r="Q2122" t="str">
        <f t="shared" si="271"/>
        <v/>
      </c>
    </row>
    <row r="2123" spans="1:17" x14ac:dyDescent="0.45">
      <c r="A2123" t="s">
        <v>2940</v>
      </c>
      <c r="B2123" t="s">
        <v>138</v>
      </c>
      <c r="C2123" t="s">
        <v>1069</v>
      </c>
      <c r="D2123" t="s">
        <v>74</v>
      </c>
      <c r="E2123" s="8">
        <v>10170.01</v>
      </c>
      <c r="F2123" s="9">
        <v>45456.666684444448</v>
      </c>
      <c r="G2123" t="s">
        <v>194</v>
      </c>
      <c r="H2123" t="s">
        <v>136</v>
      </c>
      <c r="I2123" t="s">
        <v>163</v>
      </c>
      <c r="J2123" t="str">
        <f t="shared" si="264"/>
        <v/>
      </c>
      <c r="K2123" t="str">
        <f t="shared" si="265"/>
        <v/>
      </c>
      <c r="L2123" t="str">
        <f t="shared" si="266"/>
        <v>Unusual</v>
      </c>
      <c r="M2123" t="str">
        <f t="shared" si="267"/>
        <v>Invalid</v>
      </c>
      <c r="N2123" t="str">
        <f t="shared" si="268"/>
        <v>Invalid</v>
      </c>
      <c r="O2123" t="str">
        <f t="shared" ca="1" si="269"/>
        <v>Outdated</v>
      </c>
      <c r="P2123" t="str">
        <f t="shared" si="270"/>
        <v>Wrong Item</v>
      </c>
      <c r="Q2123" t="str">
        <f t="shared" si="271"/>
        <v/>
      </c>
    </row>
    <row r="2124" spans="1:17" x14ac:dyDescent="0.45">
      <c r="A2124" t="s">
        <v>2941</v>
      </c>
      <c r="B2124" t="s">
        <v>79</v>
      </c>
      <c r="C2124" t="s">
        <v>2864</v>
      </c>
      <c r="D2124" t="s">
        <v>92</v>
      </c>
      <c r="E2124" s="8">
        <v>4799.55</v>
      </c>
      <c r="F2124" s="9">
        <v>45233.666684444448</v>
      </c>
      <c r="G2124" t="s">
        <v>86</v>
      </c>
      <c r="I2124" t="s">
        <v>88</v>
      </c>
      <c r="J2124" t="str">
        <f t="shared" si="264"/>
        <v/>
      </c>
      <c r="K2124" t="str">
        <f t="shared" si="265"/>
        <v/>
      </c>
      <c r="L2124" t="str">
        <f t="shared" si="266"/>
        <v/>
      </c>
      <c r="M2124" t="str">
        <f t="shared" si="267"/>
        <v/>
      </c>
      <c r="N2124" t="str">
        <f t="shared" si="268"/>
        <v>Invalid</v>
      </c>
      <c r="O2124" t="str">
        <f t="shared" ca="1" si="269"/>
        <v>Outdated</v>
      </c>
      <c r="P2124" t="str">
        <f t="shared" si="270"/>
        <v>Not As Described</v>
      </c>
      <c r="Q2124" t="str">
        <f t="shared" si="271"/>
        <v/>
      </c>
    </row>
    <row r="2125" spans="1:17" x14ac:dyDescent="0.45">
      <c r="A2125" t="s">
        <v>2942</v>
      </c>
      <c r="B2125" t="s">
        <v>99</v>
      </c>
      <c r="C2125" t="s">
        <v>781</v>
      </c>
      <c r="D2125" t="s">
        <v>74</v>
      </c>
      <c r="E2125" s="8">
        <v>7514.15</v>
      </c>
      <c r="F2125" s="9">
        <v>45209.666684444448</v>
      </c>
      <c r="G2125" t="s">
        <v>102</v>
      </c>
      <c r="H2125" t="s">
        <v>81</v>
      </c>
      <c r="I2125" t="s">
        <v>119</v>
      </c>
      <c r="J2125" t="str">
        <f t="shared" si="264"/>
        <v/>
      </c>
      <c r="K2125" t="str">
        <f t="shared" si="265"/>
        <v/>
      </c>
      <c r="L2125" t="str">
        <f t="shared" si="266"/>
        <v/>
      </c>
      <c r="M2125" t="str">
        <f t="shared" si="267"/>
        <v/>
      </c>
      <c r="N2125" t="str">
        <f t="shared" si="268"/>
        <v/>
      </c>
      <c r="O2125" t="str">
        <f t="shared" ca="1" si="269"/>
        <v>Outdated</v>
      </c>
      <c r="P2125" t="str">
        <f t="shared" si="270"/>
        <v>Wrong Item</v>
      </c>
      <c r="Q2125" t="str">
        <f t="shared" si="271"/>
        <v/>
      </c>
    </row>
    <row r="2126" spans="1:17" x14ac:dyDescent="0.45">
      <c r="A2126" t="s">
        <v>2943</v>
      </c>
      <c r="B2126" t="s">
        <v>104</v>
      </c>
      <c r="C2126" t="s">
        <v>619</v>
      </c>
      <c r="D2126" t="s">
        <v>101</v>
      </c>
      <c r="E2126" s="8">
        <v>11630.99</v>
      </c>
      <c r="F2126" s="9">
        <v>45463.666684444448</v>
      </c>
      <c r="G2126" t="s">
        <v>115</v>
      </c>
      <c r="H2126" t="s">
        <v>116</v>
      </c>
      <c r="I2126" t="s">
        <v>82</v>
      </c>
      <c r="J2126" t="str">
        <f t="shared" si="264"/>
        <v/>
      </c>
      <c r="K2126" t="str">
        <f t="shared" si="265"/>
        <v/>
      </c>
      <c r="L2126" t="str">
        <f t="shared" si="266"/>
        <v>Unusual</v>
      </c>
      <c r="M2126" t="str">
        <f t="shared" si="267"/>
        <v/>
      </c>
      <c r="N2126" t="str">
        <f t="shared" si="268"/>
        <v/>
      </c>
      <c r="O2126" t="str">
        <f t="shared" ca="1" si="269"/>
        <v>Outdated</v>
      </c>
      <c r="P2126" t="str">
        <f t="shared" si="270"/>
        <v>Damaged</v>
      </c>
      <c r="Q2126" t="str">
        <f t="shared" si="271"/>
        <v/>
      </c>
    </row>
    <row r="2127" spans="1:17" x14ac:dyDescent="0.45">
      <c r="A2127" t="s">
        <v>2944</v>
      </c>
      <c r="B2127" t="s">
        <v>90</v>
      </c>
      <c r="C2127" t="s">
        <v>499</v>
      </c>
      <c r="E2127" s="8">
        <v>4792.82</v>
      </c>
      <c r="F2127" s="9">
        <v>45804.666684444448</v>
      </c>
      <c r="G2127" t="s">
        <v>93</v>
      </c>
      <c r="H2127" t="s">
        <v>145</v>
      </c>
      <c r="I2127" t="s">
        <v>112</v>
      </c>
      <c r="J2127" t="str">
        <f t="shared" si="264"/>
        <v>Missing</v>
      </c>
      <c r="K2127" t="str">
        <f t="shared" si="265"/>
        <v/>
      </c>
      <c r="L2127" t="str">
        <f t="shared" si="266"/>
        <v/>
      </c>
      <c r="M2127" t="str">
        <f t="shared" si="267"/>
        <v/>
      </c>
      <c r="N2127" t="str">
        <f t="shared" si="268"/>
        <v/>
      </c>
      <c r="O2127" t="str">
        <f t="shared" ca="1" si="269"/>
        <v>Outdated</v>
      </c>
      <c r="P2127" t="str">
        <f t="shared" si="270"/>
        <v/>
      </c>
      <c r="Q2127" t="str">
        <f t="shared" si="271"/>
        <v/>
      </c>
    </row>
    <row r="2128" spans="1:17" x14ac:dyDescent="0.45">
      <c r="A2128" t="s">
        <v>2945</v>
      </c>
      <c r="B2128" t="s">
        <v>95</v>
      </c>
      <c r="C2128" t="s">
        <v>994</v>
      </c>
      <c r="D2128" t="s">
        <v>85</v>
      </c>
      <c r="E2128" s="8">
        <v>4744.8599999999997</v>
      </c>
      <c r="F2128" s="9">
        <v>45430.666684444448</v>
      </c>
      <c r="G2128" t="s">
        <v>97</v>
      </c>
      <c r="H2128" t="s">
        <v>128</v>
      </c>
      <c r="I2128" t="s">
        <v>119</v>
      </c>
      <c r="J2128" t="str">
        <f t="shared" si="264"/>
        <v/>
      </c>
      <c r="K2128" t="str">
        <f t="shared" si="265"/>
        <v/>
      </c>
      <c r="L2128" t="str">
        <f t="shared" si="266"/>
        <v/>
      </c>
      <c r="M2128" t="str">
        <f t="shared" si="267"/>
        <v/>
      </c>
      <c r="N2128" t="str">
        <f t="shared" si="268"/>
        <v>Invalid</v>
      </c>
      <c r="O2128" t="str">
        <f t="shared" ca="1" si="269"/>
        <v>Outdated</v>
      </c>
      <c r="P2128" t="str">
        <f t="shared" si="270"/>
        <v>Late Delivery</v>
      </c>
      <c r="Q2128" t="str">
        <f t="shared" si="271"/>
        <v/>
      </c>
    </row>
    <row r="2129" spans="1:17" x14ac:dyDescent="0.45">
      <c r="A2129" t="s">
        <v>2946</v>
      </c>
      <c r="B2129" t="s">
        <v>79</v>
      </c>
      <c r="C2129" t="s">
        <v>1386</v>
      </c>
      <c r="D2129" t="s">
        <v>148</v>
      </c>
      <c r="E2129" s="8">
        <v>6814.09</v>
      </c>
      <c r="F2129" s="9">
        <v>45441.666684444448</v>
      </c>
      <c r="G2129" t="s">
        <v>86</v>
      </c>
      <c r="H2129" t="s">
        <v>81</v>
      </c>
      <c r="I2129" t="s">
        <v>163</v>
      </c>
      <c r="J2129" t="str">
        <f t="shared" si="264"/>
        <v/>
      </c>
      <c r="K2129" t="str">
        <f t="shared" si="265"/>
        <v/>
      </c>
      <c r="L2129" t="str">
        <f t="shared" si="266"/>
        <v/>
      </c>
      <c r="M2129" t="str">
        <f t="shared" si="267"/>
        <v/>
      </c>
      <c r="N2129" t="str">
        <f t="shared" si="268"/>
        <v/>
      </c>
      <c r="O2129" t="str">
        <f t="shared" ca="1" si="269"/>
        <v>Outdated</v>
      </c>
      <c r="P2129" t="str">
        <f t="shared" si="270"/>
        <v>Wrong Item</v>
      </c>
      <c r="Q2129" t="str">
        <f t="shared" si="271"/>
        <v>Inconsistent</v>
      </c>
    </row>
    <row r="2130" spans="1:17" x14ac:dyDescent="0.45">
      <c r="A2130" t="s">
        <v>2947</v>
      </c>
      <c r="B2130" t="s">
        <v>72</v>
      </c>
      <c r="C2130" t="s">
        <v>100</v>
      </c>
      <c r="D2130" t="s">
        <v>74</v>
      </c>
      <c r="E2130" s="8">
        <v>0</v>
      </c>
      <c r="F2130" s="9">
        <v>45584.666684444448</v>
      </c>
      <c r="G2130" t="s">
        <v>75</v>
      </c>
      <c r="H2130" t="s">
        <v>87</v>
      </c>
      <c r="I2130" t="s">
        <v>82</v>
      </c>
      <c r="J2130" t="str">
        <f t="shared" si="264"/>
        <v/>
      </c>
      <c r="K2130" t="str">
        <f t="shared" si="265"/>
        <v/>
      </c>
      <c r="L2130" t="str">
        <f t="shared" si="266"/>
        <v>Unusual</v>
      </c>
      <c r="M2130" t="str">
        <f t="shared" si="267"/>
        <v/>
      </c>
      <c r="N2130" t="str">
        <f t="shared" si="268"/>
        <v>Invalid</v>
      </c>
      <c r="O2130" t="str">
        <f t="shared" ca="1" si="269"/>
        <v>Outdated</v>
      </c>
      <c r="P2130" t="str">
        <f t="shared" si="270"/>
        <v>Wrong Item</v>
      </c>
      <c r="Q2130" t="str">
        <f t="shared" si="271"/>
        <v/>
      </c>
    </row>
    <row r="2131" spans="1:17" x14ac:dyDescent="0.45">
      <c r="A2131" t="s">
        <v>2948</v>
      </c>
      <c r="B2131" t="s">
        <v>95</v>
      </c>
      <c r="C2131" t="s">
        <v>2949</v>
      </c>
      <c r="D2131" t="s">
        <v>85</v>
      </c>
      <c r="E2131" s="8">
        <v>10379.93</v>
      </c>
      <c r="F2131" s="9">
        <v>45745.666684444448</v>
      </c>
      <c r="G2131" t="s">
        <v>97</v>
      </c>
      <c r="I2131" t="s">
        <v>112</v>
      </c>
      <c r="J2131" t="str">
        <f t="shared" si="264"/>
        <v/>
      </c>
      <c r="K2131" t="str">
        <f t="shared" si="265"/>
        <v/>
      </c>
      <c r="L2131" t="str">
        <f t="shared" si="266"/>
        <v>Unusual</v>
      </c>
      <c r="M2131" t="str">
        <f t="shared" si="267"/>
        <v/>
      </c>
      <c r="N2131" t="str">
        <f t="shared" si="268"/>
        <v>Invalid</v>
      </c>
      <c r="O2131" t="str">
        <f t="shared" ca="1" si="269"/>
        <v>Outdated</v>
      </c>
      <c r="P2131" t="str">
        <f t="shared" si="270"/>
        <v>Late Delivery</v>
      </c>
      <c r="Q2131" t="str">
        <f t="shared" si="271"/>
        <v/>
      </c>
    </row>
    <row r="2132" spans="1:17" x14ac:dyDescent="0.45">
      <c r="A2132" t="s">
        <v>2950</v>
      </c>
      <c r="B2132" t="s">
        <v>90</v>
      </c>
      <c r="C2132" t="s">
        <v>1696</v>
      </c>
      <c r="D2132" t="s">
        <v>74</v>
      </c>
      <c r="E2132" s="8">
        <v>11404.12</v>
      </c>
      <c r="F2132" s="9">
        <v>45564.666684444448</v>
      </c>
      <c r="H2132" t="s">
        <v>128</v>
      </c>
      <c r="I2132" t="s">
        <v>77</v>
      </c>
      <c r="J2132" t="str">
        <f t="shared" si="264"/>
        <v/>
      </c>
      <c r="K2132" t="str">
        <f t="shared" si="265"/>
        <v/>
      </c>
      <c r="L2132" t="str">
        <f t="shared" si="266"/>
        <v>Unusual</v>
      </c>
      <c r="M2132" t="str">
        <f t="shared" si="267"/>
        <v>Invalid</v>
      </c>
      <c r="N2132" t="str">
        <f t="shared" si="268"/>
        <v>Invalid</v>
      </c>
      <c r="O2132" t="str">
        <f t="shared" ca="1" si="269"/>
        <v>Outdated</v>
      </c>
      <c r="P2132" t="str">
        <f t="shared" si="270"/>
        <v>Wrong Item</v>
      </c>
      <c r="Q2132" t="str">
        <f t="shared" si="271"/>
        <v/>
      </c>
    </row>
    <row r="2133" spans="1:17" x14ac:dyDescent="0.45">
      <c r="A2133" t="s">
        <v>2951</v>
      </c>
      <c r="B2133" t="s">
        <v>172</v>
      </c>
      <c r="C2133" t="s">
        <v>983</v>
      </c>
      <c r="D2133" t="s">
        <v>85</v>
      </c>
      <c r="E2133" s="8">
        <v>0</v>
      </c>
      <c r="F2133" s="9">
        <v>45298.666684444448</v>
      </c>
      <c r="G2133" t="s">
        <v>174</v>
      </c>
      <c r="H2133" t="s">
        <v>107</v>
      </c>
      <c r="I2133" t="s">
        <v>77</v>
      </c>
      <c r="J2133" t="str">
        <f t="shared" si="264"/>
        <v/>
      </c>
      <c r="K2133" t="str">
        <f t="shared" si="265"/>
        <v/>
      </c>
      <c r="L2133" t="str">
        <f t="shared" si="266"/>
        <v>Unusual</v>
      </c>
      <c r="M2133" t="str">
        <f t="shared" si="267"/>
        <v/>
      </c>
      <c r="N2133" t="str">
        <f t="shared" si="268"/>
        <v/>
      </c>
      <c r="O2133" t="str">
        <f t="shared" ca="1" si="269"/>
        <v>Outdated</v>
      </c>
      <c r="P2133" t="str">
        <f t="shared" si="270"/>
        <v>Late Delivery</v>
      </c>
      <c r="Q2133" t="str">
        <f t="shared" si="271"/>
        <v/>
      </c>
    </row>
    <row r="2134" spans="1:17" x14ac:dyDescent="0.45">
      <c r="A2134" t="s">
        <v>2952</v>
      </c>
      <c r="B2134" t="s">
        <v>138</v>
      </c>
      <c r="C2134" t="s">
        <v>1373</v>
      </c>
      <c r="D2134" t="s">
        <v>92</v>
      </c>
      <c r="E2134" s="8">
        <v>2322.52</v>
      </c>
      <c r="F2134" s="9">
        <v>45834.666684444448</v>
      </c>
      <c r="G2134" t="s">
        <v>140</v>
      </c>
      <c r="H2134" t="s">
        <v>133</v>
      </c>
      <c r="I2134" t="s">
        <v>163</v>
      </c>
      <c r="J2134" t="str">
        <f t="shared" si="264"/>
        <v/>
      </c>
      <c r="K2134" t="str">
        <f t="shared" si="265"/>
        <v/>
      </c>
      <c r="L2134" t="str">
        <f t="shared" si="266"/>
        <v/>
      </c>
      <c r="M2134" t="str">
        <f t="shared" si="267"/>
        <v/>
      </c>
      <c r="N2134" t="str">
        <f t="shared" si="268"/>
        <v>Invalid</v>
      </c>
      <c r="O2134" t="str">
        <f t="shared" ca="1" si="269"/>
        <v>Outdated</v>
      </c>
      <c r="P2134" t="str">
        <f t="shared" si="270"/>
        <v>Not As Described</v>
      </c>
      <c r="Q2134" t="str">
        <f t="shared" si="271"/>
        <v/>
      </c>
    </row>
    <row r="2135" spans="1:17" x14ac:dyDescent="0.45">
      <c r="A2135" t="s">
        <v>2953</v>
      </c>
      <c r="B2135" t="s">
        <v>109</v>
      </c>
      <c r="C2135" t="s">
        <v>2954</v>
      </c>
      <c r="D2135" t="s">
        <v>85</v>
      </c>
      <c r="E2135" s="8">
        <v>4593.51</v>
      </c>
      <c r="F2135" s="9">
        <v>45582.666684444448</v>
      </c>
      <c r="G2135" t="s">
        <v>111</v>
      </c>
      <c r="H2135" t="s">
        <v>133</v>
      </c>
      <c r="I2135" t="s">
        <v>163</v>
      </c>
      <c r="J2135" t="str">
        <f t="shared" si="264"/>
        <v/>
      </c>
      <c r="K2135" t="str">
        <f t="shared" si="265"/>
        <v/>
      </c>
      <c r="L2135" t="str">
        <f t="shared" si="266"/>
        <v/>
      </c>
      <c r="M2135" t="str">
        <f t="shared" si="267"/>
        <v/>
      </c>
      <c r="N2135" t="str">
        <f t="shared" si="268"/>
        <v>Invalid</v>
      </c>
      <c r="O2135" t="str">
        <f t="shared" ca="1" si="269"/>
        <v>Outdated</v>
      </c>
      <c r="P2135" t="str">
        <f t="shared" si="270"/>
        <v>Late Delivery</v>
      </c>
      <c r="Q2135" t="str">
        <f t="shared" si="271"/>
        <v/>
      </c>
    </row>
    <row r="2136" spans="1:17" x14ac:dyDescent="0.45">
      <c r="A2136" t="s">
        <v>2955</v>
      </c>
      <c r="B2136" t="s">
        <v>104</v>
      </c>
      <c r="C2136" t="s">
        <v>617</v>
      </c>
      <c r="D2136" t="s">
        <v>101</v>
      </c>
      <c r="E2136" s="8">
        <v>7713.02</v>
      </c>
      <c r="F2136" s="9">
        <v>45487.666684444448</v>
      </c>
      <c r="G2136" t="s">
        <v>115</v>
      </c>
      <c r="H2136" t="s">
        <v>118</v>
      </c>
      <c r="I2136" t="s">
        <v>163</v>
      </c>
      <c r="J2136" t="str">
        <f t="shared" si="264"/>
        <v/>
      </c>
      <c r="K2136" t="str">
        <f t="shared" si="265"/>
        <v/>
      </c>
      <c r="L2136" t="str">
        <f t="shared" si="266"/>
        <v/>
      </c>
      <c r="M2136" t="str">
        <f t="shared" si="267"/>
        <v/>
      </c>
      <c r="N2136" t="str">
        <f t="shared" si="268"/>
        <v>Invalid</v>
      </c>
      <c r="O2136" t="str">
        <f t="shared" ca="1" si="269"/>
        <v>Outdated</v>
      </c>
      <c r="P2136" t="str">
        <f t="shared" si="270"/>
        <v>Damaged</v>
      </c>
      <c r="Q2136" t="str">
        <f t="shared" si="271"/>
        <v/>
      </c>
    </row>
    <row r="2137" spans="1:17" x14ac:dyDescent="0.45">
      <c r="A2137" t="s">
        <v>2956</v>
      </c>
      <c r="B2137" t="s">
        <v>138</v>
      </c>
      <c r="C2137" t="s">
        <v>1265</v>
      </c>
      <c r="D2137" t="s">
        <v>74</v>
      </c>
      <c r="E2137" s="8">
        <v>3296.84</v>
      </c>
      <c r="F2137" s="9">
        <v>45585.666684444448</v>
      </c>
      <c r="G2137" t="s">
        <v>140</v>
      </c>
      <c r="I2137" t="s">
        <v>119</v>
      </c>
      <c r="J2137" t="str">
        <f t="shared" si="264"/>
        <v/>
      </c>
      <c r="K2137" t="str">
        <f t="shared" si="265"/>
        <v/>
      </c>
      <c r="L2137" t="str">
        <f t="shared" si="266"/>
        <v/>
      </c>
      <c r="M2137" t="str">
        <f t="shared" si="267"/>
        <v/>
      </c>
      <c r="N2137" t="str">
        <f t="shared" si="268"/>
        <v>Invalid</v>
      </c>
      <c r="O2137" t="str">
        <f t="shared" ca="1" si="269"/>
        <v>Outdated</v>
      </c>
      <c r="P2137" t="str">
        <f t="shared" si="270"/>
        <v>Wrong Item</v>
      </c>
      <c r="Q2137" t="str">
        <f t="shared" si="271"/>
        <v/>
      </c>
    </row>
    <row r="2138" spans="1:17" x14ac:dyDescent="0.45">
      <c r="A2138" t="s">
        <v>2957</v>
      </c>
      <c r="B2138" t="s">
        <v>172</v>
      </c>
      <c r="C2138" t="s">
        <v>142</v>
      </c>
      <c r="D2138" t="s">
        <v>74</v>
      </c>
      <c r="E2138" s="8">
        <v>8948.86</v>
      </c>
      <c r="F2138" s="9">
        <v>45171.666684444448</v>
      </c>
      <c r="G2138" t="s">
        <v>174</v>
      </c>
      <c r="H2138" t="s">
        <v>87</v>
      </c>
      <c r="I2138" t="s">
        <v>82</v>
      </c>
      <c r="J2138" t="str">
        <f t="shared" si="264"/>
        <v/>
      </c>
      <c r="K2138" t="str">
        <f t="shared" si="265"/>
        <v/>
      </c>
      <c r="L2138" t="str">
        <f t="shared" si="266"/>
        <v/>
      </c>
      <c r="M2138" t="str">
        <f t="shared" si="267"/>
        <v/>
      </c>
      <c r="N2138" t="str">
        <f t="shared" si="268"/>
        <v>Invalid</v>
      </c>
      <c r="O2138" t="str">
        <f t="shared" ca="1" si="269"/>
        <v>Outdated</v>
      </c>
      <c r="P2138" t="str">
        <f t="shared" si="270"/>
        <v>Wrong Item</v>
      </c>
      <c r="Q2138" t="str">
        <f t="shared" si="271"/>
        <v/>
      </c>
    </row>
    <row r="2139" spans="1:17" x14ac:dyDescent="0.45">
      <c r="A2139" t="s">
        <v>2958</v>
      </c>
      <c r="B2139" t="s">
        <v>90</v>
      </c>
      <c r="C2139" t="s">
        <v>257</v>
      </c>
      <c r="D2139" t="s">
        <v>85</v>
      </c>
      <c r="E2139" s="8">
        <v>3514.87</v>
      </c>
      <c r="F2139" s="9">
        <v>45489.666684444448</v>
      </c>
      <c r="G2139" t="s">
        <v>296</v>
      </c>
      <c r="H2139" t="s">
        <v>118</v>
      </c>
      <c r="I2139" t="s">
        <v>82</v>
      </c>
      <c r="J2139" t="str">
        <f t="shared" si="264"/>
        <v/>
      </c>
      <c r="K2139" t="str">
        <f t="shared" si="265"/>
        <v/>
      </c>
      <c r="L2139" t="str">
        <f t="shared" si="266"/>
        <v/>
      </c>
      <c r="M2139" t="str">
        <f t="shared" si="267"/>
        <v>Invalid</v>
      </c>
      <c r="N2139" t="str">
        <f t="shared" si="268"/>
        <v>Invalid</v>
      </c>
      <c r="O2139" t="str">
        <f t="shared" ca="1" si="269"/>
        <v>Outdated</v>
      </c>
      <c r="P2139" t="str">
        <f t="shared" si="270"/>
        <v>Late Delivery</v>
      </c>
      <c r="Q2139" t="str">
        <f t="shared" si="271"/>
        <v/>
      </c>
    </row>
    <row r="2140" spans="1:17" x14ac:dyDescent="0.45">
      <c r="A2140" t="s">
        <v>2959</v>
      </c>
      <c r="B2140" t="s">
        <v>72</v>
      </c>
      <c r="C2140" t="s">
        <v>350</v>
      </c>
      <c r="D2140" t="s">
        <v>155</v>
      </c>
      <c r="E2140" s="8">
        <v>8960.7199999999993</v>
      </c>
      <c r="F2140" s="9">
        <v>45757.666684444448</v>
      </c>
      <c r="G2140" t="s">
        <v>75</v>
      </c>
      <c r="H2140" t="s">
        <v>118</v>
      </c>
      <c r="I2140" t="s">
        <v>88</v>
      </c>
      <c r="J2140" t="str">
        <f t="shared" si="264"/>
        <v/>
      </c>
      <c r="K2140" t="str">
        <f t="shared" si="265"/>
        <v/>
      </c>
      <c r="L2140" t="str">
        <f t="shared" si="266"/>
        <v/>
      </c>
      <c r="M2140" t="str">
        <f t="shared" si="267"/>
        <v/>
      </c>
      <c r="N2140" t="str">
        <f t="shared" si="268"/>
        <v>Invalid</v>
      </c>
      <c r="O2140" t="str">
        <f t="shared" ca="1" si="269"/>
        <v>Outdated</v>
      </c>
      <c r="P2140" t="str">
        <f t="shared" si="270"/>
        <v>Damaged</v>
      </c>
      <c r="Q2140" t="str">
        <f t="shared" si="271"/>
        <v>Inconsistent</v>
      </c>
    </row>
    <row r="2141" spans="1:17" x14ac:dyDescent="0.45">
      <c r="A2141" t="s">
        <v>134</v>
      </c>
      <c r="B2141" t="s">
        <v>104</v>
      </c>
      <c r="C2141" t="s">
        <v>1473</v>
      </c>
      <c r="D2141" t="s">
        <v>74</v>
      </c>
      <c r="E2141" s="8">
        <v>4516.66</v>
      </c>
      <c r="F2141" s="9">
        <v>45573.666684444448</v>
      </c>
      <c r="H2141" t="s">
        <v>136</v>
      </c>
      <c r="I2141" t="s">
        <v>82</v>
      </c>
      <c r="J2141" t="str">
        <f t="shared" si="264"/>
        <v/>
      </c>
      <c r="K2141" t="str">
        <f t="shared" si="265"/>
        <v>Duplicate</v>
      </c>
      <c r="L2141" t="str">
        <f t="shared" si="266"/>
        <v/>
      </c>
      <c r="M2141" t="str">
        <f t="shared" si="267"/>
        <v>Invalid</v>
      </c>
      <c r="N2141" t="str">
        <f t="shared" si="268"/>
        <v>Invalid</v>
      </c>
      <c r="O2141" t="str">
        <f t="shared" ca="1" si="269"/>
        <v>Outdated</v>
      </c>
      <c r="P2141" t="str">
        <f t="shared" si="270"/>
        <v>Wrong Item</v>
      </c>
      <c r="Q2141" t="str">
        <f t="shared" si="271"/>
        <v/>
      </c>
    </row>
    <row r="2142" spans="1:17" x14ac:dyDescent="0.45">
      <c r="A2142" t="s">
        <v>2960</v>
      </c>
      <c r="B2142" t="s">
        <v>104</v>
      </c>
      <c r="C2142" t="s">
        <v>243</v>
      </c>
      <c r="D2142" t="s">
        <v>92</v>
      </c>
      <c r="E2142" s="8">
        <v>10673.36</v>
      </c>
      <c r="F2142" s="9">
        <v>45409.666684444448</v>
      </c>
      <c r="G2142" t="s">
        <v>115</v>
      </c>
      <c r="H2142" t="s">
        <v>118</v>
      </c>
      <c r="I2142" t="s">
        <v>112</v>
      </c>
      <c r="J2142" t="str">
        <f t="shared" si="264"/>
        <v/>
      </c>
      <c r="K2142" t="str">
        <f t="shared" si="265"/>
        <v/>
      </c>
      <c r="L2142" t="str">
        <f t="shared" si="266"/>
        <v>Unusual</v>
      </c>
      <c r="M2142" t="str">
        <f t="shared" si="267"/>
        <v/>
      </c>
      <c r="N2142" t="str">
        <f t="shared" si="268"/>
        <v>Invalid</v>
      </c>
      <c r="O2142" t="str">
        <f t="shared" ca="1" si="269"/>
        <v>Outdated</v>
      </c>
      <c r="P2142" t="str">
        <f t="shared" si="270"/>
        <v>Not As Described</v>
      </c>
      <c r="Q2142" t="str">
        <f t="shared" si="271"/>
        <v/>
      </c>
    </row>
    <row r="2143" spans="1:17" x14ac:dyDescent="0.45">
      <c r="A2143" t="s">
        <v>2961</v>
      </c>
      <c r="B2143" t="s">
        <v>90</v>
      </c>
      <c r="D2143" t="s">
        <v>148</v>
      </c>
      <c r="E2143" s="8">
        <v>8044.24</v>
      </c>
      <c r="F2143" s="9">
        <v>45782.666684444448</v>
      </c>
      <c r="G2143" t="s">
        <v>93</v>
      </c>
      <c r="H2143" t="s">
        <v>118</v>
      </c>
      <c r="I2143" t="s">
        <v>88</v>
      </c>
      <c r="J2143" t="str">
        <f t="shared" si="264"/>
        <v>Missing</v>
      </c>
      <c r="K2143" t="str">
        <f t="shared" si="265"/>
        <v/>
      </c>
      <c r="L2143" t="str">
        <f t="shared" si="266"/>
        <v/>
      </c>
      <c r="M2143" t="str">
        <f t="shared" si="267"/>
        <v/>
      </c>
      <c r="N2143" t="str">
        <f t="shared" si="268"/>
        <v>Invalid</v>
      </c>
      <c r="O2143" t="str">
        <f t="shared" ca="1" si="269"/>
        <v>Outdated</v>
      </c>
      <c r="P2143" t="str">
        <f t="shared" si="270"/>
        <v>Wrong Item</v>
      </c>
      <c r="Q2143" t="str">
        <f t="shared" si="271"/>
        <v>Inconsistent</v>
      </c>
    </row>
    <row r="2144" spans="1:17" x14ac:dyDescent="0.45">
      <c r="A2144" t="s">
        <v>2962</v>
      </c>
      <c r="B2144" t="s">
        <v>95</v>
      </c>
      <c r="C2144" t="s">
        <v>2216</v>
      </c>
      <c r="D2144" t="s">
        <v>85</v>
      </c>
      <c r="E2144" s="8">
        <v>7919.6</v>
      </c>
      <c r="F2144" s="9">
        <v>45186.666684444448</v>
      </c>
      <c r="G2144" t="s">
        <v>97</v>
      </c>
      <c r="H2144" t="s">
        <v>145</v>
      </c>
      <c r="I2144" t="s">
        <v>163</v>
      </c>
      <c r="J2144" t="str">
        <f t="shared" si="264"/>
        <v/>
      </c>
      <c r="K2144" t="str">
        <f t="shared" si="265"/>
        <v>Duplicate</v>
      </c>
      <c r="L2144" t="str">
        <f t="shared" si="266"/>
        <v/>
      </c>
      <c r="M2144" t="str">
        <f t="shared" si="267"/>
        <v/>
      </c>
      <c r="N2144" t="str">
        <f t="shared" si="268"/>
        <v/>
      </c>
      <c r="O2144" t="str">
        <f t="shared" ca="1" si="269"/>
        <v>Outdated</v>
      </c>
      <c r="P2144" t="str">
        <f t="shared" si="270"/>
        <v>Late Delivery</v>
      </c>
      <c r="Q2144" t="str">
        <f t="shared" si="271"/>
        <v/>
      </c>
    </row>
    <row r="2145" spans="1:17" x14ac:dyDescent="0.45">
      <c r="A2145" t="s">
        <v>2963</v>
      </c>
      <c r="B2145" t="s">
        <v>138</v>
      </c>
      <c r="C2145" t="s">
        <v>267</v>
      </c>
      <c r="D2145" t="s">
        <v>92</v>
      </c>
      <c r="E2145" s="8">
        <v>4663.87</v>
      </c>
      <c r="F2145" s="9">
        <v>45204.666684444448</v>
      </c>
      <c r="G2145" t="s">
        <v>140</v>
      </c>
      <c r="H2145" t="s">
        <v>118</v>
      </c>
      <c r="I2145" t="s">
        <v>77</v>
      </c>
      <c r="J2145" t="str">
        <f t="shared" si="264"/>
        <v/>
      </c>
      <c r="K2145" t="str">
        <f t="shared" si="265"/>
        <v/>
      </c>
      <c r="L2145" t="str">
        <f t="shared" si="266"/>
        <v/>
      </c>
      <c r="M2145" t="str">
        <f t="shared" si="267"/>
        <v/>
      </c>
      <c r="N2145" t="str">
        <f t="shared" si="268"/>
        <v>Invalid</v>
      </c>
      <c r="O2145" t="str">
        <f t="shared" ca="1" si="269"/>
        <v>Outdated</v>
      </c>
      <c r="P2145" t="str">
        <f t="shared" si="270"/>
        <v>Not As Described</v>
      </c>
      <c r="Q2145" t="str">
        <f t="shared" si="271"/>
        <v/>
      </c>
    </row>
    <row r="2146" spans="1:17" x14ac:dyDescent="0.45">
      <c r="A2146" t="s">
        <v>2964</v>
      </c>
      <c r="B2146" t="s">
        <v>95</v>
      </c>
      <c r="C2146" t="s">
        <v>1188</v>
      </c>
      <c r="E2146" s="8">
        <v>1729.63</v>
      </c>
      <c r="F2146" s="9">
        <v>45815.666684444448</v>
      </c>
      <c r="G2146" t="s">
        <v>97</v>
      </c>
      <c r="H2146" t="s">
        <v>136</v>
      </c>
      <c r="I2146" t="s">
        <v>82</v>
      </c>
      <c r="J2146" t="str">
        <f t="shared" si="264"/>
        <v>Missing</v>
      </c>
      <c r="K2146" t="str">
        <f t="shared" si="265"/>
        <v>Duplicate</v>
      </c>
      <c r="L2146" t="str">
        <f t="shared" si="266"/>
        <v/>
      </c>
      <c r="M2146" t="str">
        <f t="shared" si="267"/>
        <v/>
      </c>
      <c r="N2146" t="str">
        <f t="shared" si="268"/>
        <v>Invalid</v>
      </c>
      <c r="O2146" t="str">
        <f t="shared" ca="1" si="269"/>
        <v>Outdated</v>
      </c>
      <c r="P2146" t="str">
        <f t="shared" si="270"/>
        <v/>
      </c>
      <c r="Q2146" t="str">
        <f t="shared" si="271"/>
        <v/>
      </c>
    </row>
    <row r="2147" spans="1:17" x14ac:dyDescent="0.45">
      <c r="A2147" t="s">
        <v>1492</v>
      </c>
      <c r="B2147" t="s">
        <v>79</v>
      </c>
      <c r="C2147" t="s">
        <v>1577</v>
      </c>
      <c r="D2147" t="s">
        <v>101</v>
      </c>
      <c r="E2147" s="8">
        <v>11172.71</v>
      </c>
      <c r="F2147" s="9">
        <v>45780.666684444448</v>
      </c>
      <c r="G2147" t="s">
        <v>86</v>
      </c>
      <c r="H2147" t="s">
        <v>87</v>
      </c>
      <c r="I2147" t="s">
        <v>88</v>
      </c>
      <c r="J2147" t="str">
        <f t="shared" si="264"/>
        <v/>
      </c>
      <c r="K2147" t="str">
        <f t="shared" si="265"/>
        <v>Duplicate</v>
      </c>
      <c r="L2147" t="str">
        <f t="shared" si="266"/>
        <v>Unusual</v>
      </c>
      <c r="M2147" t="str">
        <f t="shared" si="267"/>
        <v/>
      </c>
      <c r="N2147" t="str">
        <f t="shared" si="268"/>
        <v>Invalid</v>
      </c>
      <c r="O2147" t="str">
        <f t="shared" ca="1" si="269"/>
        <v>Outdated</v>
      </c>
      <c r="P2147" t="str">
        <f t="shared" si="270"/>
        <v>Damaged</v>
      </c>
      <c r="Q2147" t="str">
        <f t="shared" si="271"/>
        <v/>
      </c>
    </row>
    <row r="2148" spans="1:17" x14ac:dyDescent="0.45">
      <c r="A2148" t="s">
        <v>2965</v>
      </c>
      <c r="B2148" t="s">
        <v>90</v>
      </c>
      <c r="D2148" t="s">
        <v>101</v>
      </c>
      <c r="E2148" s="8">
        <v>4123.7700000000004</v>
      </c>
      <c r="F2148" s="9">
        <v>45543.666684444448</v>
      </c>
      <c r="G2148" t="s">
        <v>93</v>
      </c>
      <c r="H2148" t="s">
        <v>87</v>
      </c>
      <c r="I2148" t="s">
        <v>112</v>
      </c>
      <c r="J2148" t="str">
        <f t="shared" si="264"/>
        <v>Missing</v>
      </c>
      <c r="K2148" t="str">
        <f t="shared" si="265"/>
        <v/>
      </c>
      <c r="L2148" t="str">
        <f t="shared" si="266"/>
        <v/>
      </c>
      <c r="M2148" t="str">
        <f t="shared" si="267"/>
        <v/>
      </c>
      <c r="N2148" t="str">
        <f t="shared" si="268"/>
        <v>Invalid</v>
      </c>
      <c r="O2148" t="str">
        <f t="shared" ca="1" si="269"/>
        <v>Outdated</v>
      </c>
      <c r="P2148" t="str">
        <f t="shared" si="270"/>
        <v>Damaged</v>
      </c>
      <c r="Q2148" t="str">
        <f t="shared" si="271"/>
        <v/>
      </c>
    </row>
    <row r="2149" spans="1:17" x14ac:dyDescent="0.45">
      <c r="A2149" t="s">
        <v>2966</v>
      </c>
      <c r="B2149" t="s">
        <v>79</v>
      </c>
      <c r="C2149" t="s">
        <v>214</v>
      </c>
      <c r="D2149" t="s">
        <v>74</v>
      </c>
      <c r="E2149" s="8">
        <v>3181.87</v>
      </c>
      <c r="F2149" s="9">
        <v>45500.666684444448</v>
      </c>
      <c r="G2149" t="s">
        <v>86</v>
      </c>
      <c r="I2149" t="s">
        <v>77</v>
      </c>
      <c r="J2149" t="str">
        <f t="shared" si="264"/>
        <v/>
      </c>
      <c r="K2149" t="str">
        <f t="shared" si="265"/>
        <v/>
      </c>
      <c r="L2149" t="str">
        <f t="shared" si="266"/>
        <v/>
      </c>
      <c r="M2149" t="str">
        <f t="shared" si="267"/>
        <v/>
      </c>
      <c r="N2149" t="str">
        <f t="shared" si="268"/>
        <v>Invalid</v>
      </c>
      <c r="O2149" t="str">
        <f t="shared" ca="1" si="269"/>
        <v>Outdated</v>
      </c>
      <c r="P2149" t="str">
        <f t="shared" si="270"/>
        <v>Wrong Item</v>
      </c>
      <c r="Q2149" t="str">
        <f t="shared" si="271"/>
        <v/>
      </c>
    </row>
    <row r="2150" spans="1:17" x14ac:dyDescent="0.45">
      <c r="A2150" t="s">
        <v>2967</v>
      </c>
      <c r="B2150" t="s">
        <v>72</v>
      </c>
      <c r="C2150" t="s">
        <v>575</v>
      </c>
      <c r="D2150" t="s">
        <v>106</v>
      </c>
      <c r="E2150" s="8">
        <v>7362.33</v>
      </c>
      <c r="F2150" s="9">
        <v>45653.666684444448</v>
      </c>
      <c r="G2150" t="s">
        <v>75</v>
      </c>
      <c r="H2150" t="s">
        <v>81</v>
      </c>
      <c r="I2150" t="s">
        <v>112</v>
      </c>
      <c r="J2150" t="str">
        <f t="shared" si="264"/>
        <v/>
      </c>
      <c r="K2150" t="str">
        <f t="shared" si="265"/>
        <v/>
      </c>
      <c r="L2150" t="str">
        <f t="shared" si="266"/>
        <v/>
      </c>
      <c r="M2150" t="str">
        <f t="shared" si="267"/>
        <v/>
      </c>
      <c r="N2150" t="str">
        <f t="shared" si="268"/>
        <v/>
      </c>
      <c r="O2150" t="str">
        <f t="shared" ca="1" si="269"/>
        <v>Outdated</v>
      </c>
      <c r="P2150" t="str">
        <f t="shared" si="270"/>
        <v>Damaged</v>
      </c>
      <c r="Q2150" t="str">
        <f t="shared" si="271"/>
        <v>Inconsistent</v>
      </c>
    </row>
    <row r="2151" spans="1:17" x14ac:dyDescent="0.45">
      <c r="A2151" t="s">
        <v>2968</v>
      </c>
      <c r="B2151" t="s">
        <v>95</v>
      </c>
      <c r="C2151" t="s">
        <v>2684</v>
      </c>
      <c r="D2151" t="s">
        <v>155</v>
      </c>
      <c r="E2151" s="8">
        <v>579.26</v>
      </c>
      <c r="F2151" s="9">
        <v>45823.666684444448</v>
      </c>
      <c r="H2151" t="s">
        <v>118</v>
      </c>
      <c r="I2151" t="s">
        <v>82</v>
      </c>
      <c r="J2151" t="str">
        <f t="shared" si="264"/>
        <v/>
      </c>
      <c r="K2151" t="str">
        <f t="shared" si="265"/>
        <v/>
      </c>
      <c r="L2151" t="str">
        <f t="shared" si="266"/>
        <v/>
      </c>
      <c r="M2151" t="str">
        <f t="shared" si="267"/>
        <v>Invalid</v>
      </c>
      <c r="N2151" t="str">
        <f t="shared" si="268"/>
        <v>Invalid</v>
      </c>
      <c r="O2151" t="str">
        <f t="shared" ca="1" si="269"/>
        <v>Outdated</v>
      </c>
      <c r="P2151" t="str">
        <f t="shared" si="270"/>
        <v>Damaged</v>
      </c>
      <c r="Q2151" t="str">
        <f t="shared" si="271"/>
        <v>Inconsistent</v>
      </c>
    </row>
    <row r="2152" spans="1:17" x14ac:dyDescent="0.45">
      <c r="A2152" t="s">
        <v>2969</v>
      </c>
      <c r="B2152" t="s">
        <v>109</v>
      </c>
      <c r="C2152" t="s">
        <v>2928</v>
      </c>
      <c r="D2152" t="s">
        <v>92</v>
      </c>
      <c r="E2152" s="8">
        <v>0</v>
      </c>
      <c r="F2152" s="9">
        <v>45291.666684444448</v>
      </c>
      <c r="G2152" t="s">
        <v>111</v>
      </c>
      <c r="H2152" t="s">
        <v>118</v>
      </c>
      <c r="I2152" t="s">
        <v>112</v>
      </c>
      <c r="J2152" t="str">
        <f t="shared" si="264"/>
        <v/>
      </c>
      <c r="K2152" t="str">
        <f t="shared" si="265"/>
        <v/>
      </c>
      <c r="L2152" t="str">
        <f t="shared" si="266"/>
        <v>Unusual</v>
      </c>
      <c r="M2152" t="str">
        <f t="shared" si="267"/>
        <v/>
      </c>
      <c r="N2152" t="str">
        <f t="shared" si="268"/>
        <v>Invalid</v>
      </c>
      <c r="O2152" t="str">
        <f t="shared" ca="1" si="269"/>
        <v>Outdated</v>
      </c>
      <c r="P2152" t="str">
        <f t="shared" si="270"/>
        <v>Not As Described</v>
      </c>
      <c r="Q2152" t="str">
        <f t="shared" si="271"/>
        <v/>
      </c>
    </row>
    <row r="2153" spans="1:17" x14ac:dyDescent="0.45">
      <c r="A2153" t="s">
        <v>2970</v>
      </c>
      <c r="B2153" t="s">
        <v>90</v>
      </c>
      <c r="C2153" t="s">
        <v>2509</v>
      </c>
      <c r="D2153" t="s">
        <v>74</v>
      </c>
      <c r="E2153" s="8">
        <v>3408.73</v>
      </c>
      <c r="F2153" s="9">
        <v>45159.666684444448</v>
      </c>
      <c r="G2153" t="s">
        <v>93</v>
      </c>
      <c r="H2153" t="s">
        <v>116</v>
      </c>
      <c r="I2153" t="s">
        <v>163</v>
      </c>
      <c r="J2153" t="str">
        <f t="shared" si="264"/>
        <v/>
      </c>
      <c r="K2153" t="str">
        <f t="shared" si="265"/>
        <v/>
      </c>
      <c r="L2153" t="str">
        <f t="shared" si="266"/>
        <v/>
      </c>
      <c r="M2153" t="str">
        <f t="shared" si="267"/>
        <v/>
      </c>
      <c r="N2153" t="str">
        <f t="shared" si="268"/>
        <v/>
      </c>
      <c r="O2153" t="str">
        <f t="shared" ca="1" si="269"/>
        <v>Outdated</v>
      </c>
      <c r="P2153" t="str">
        <f t="shared" si="270"/>
        <v>Wrong Item</v>
      </c>
      <c r="Q2153" t="str">
        <f t="shared" si="271"/>
        <v/>
      </c>
    </row>
    <row r="2154" spans="1:17" x14ac:dyDescent="0.45">
      <c r="A2154" t="s">
        <v>2971</v>
      </c>
      <c r="B2154" t="s">
        <v>90</v>
      </c>
      <c r="C2154" t="s">
        <v>505</v>
      </c>
      <c r="D2154" t="s">
        <v>101</v>
      </c>
      <c r="E2154" s="8">
        <v>3927</v>
      </c>
      <c r="F2154" s="9">
        <v>45274.666684444448</v>
      </c>
      <c r="G2154" t="s">
        <v>93</v>
      </c>
      <c r="H2154" t="s">
        <v>81</v>
      </c>
      <c r="I2154" t="s">
        <v>88</v>
      </c>
      <c r="J2154" t="str">
        <f t="shared" si="264"/>
        <v/>
      </c>
      <c r="K2154" t="str">
        <f t="shared" si="265"/>
        <v/>
      </c>
      <c r="L2154" t="str">
        <f t="shared" si="266"/>
        <v/>
      </c>
      <c r="M2154" t="str">
        <f t="shared" si="267"/>
        <v/>
      </c>
      <c r="N2154" t="str">
        <f t="shared" si="268"/>
        <v/>
      </c>
      <c r="O2154" t="str">
        <f t="shared" ca="1" si="269"/>
        <v>Outdated</v>
      </c>
      <c r="P2154" t="str">
        <f t="shared" si="270"/>
        <v>Damaged</v>
      </c>
      <c r="Q2154" t="str">
        <f t="shared" si="271"/>
        <v/>
      </c>
    </row>
    <row r="2155" spans="1:17" x14ac:dyDescent="0.45">
      <c r="A2155" t="s">
        <v>2972</v>
      </c>
      <c r="B2155" t="s">
        <v>104</v>
      </c>
      <c r="C2155" t="s">
        <v>1290</v>
      </c>
      <c r="D2155" t="s">
        <v>74</v>
      </c>
      <c r="E2155" s="8">
        <v>3234.13</v>
      </c>
      <c r="F2155" s="9">
        <v>45750.666684444448</v>
      </c>
      <c r="G2155" t="s">
        <v>115</v>
      </c>
      <c r="H2155" t="s">
        <v>133</v>
      </c>
      <c r="I2155" t="s">
        <v>112</v>
      </c>
      <c r="J2155" t="str">
        <f t="shared" si="264"/>
        <v/>
      </c>
      <c r="K2155" t="str">
        <f t="shared" si="265"/>
        <v/>
      </c>
      <c r="L2155" t="str">
        <f t="shared" si="266"/>
        <v/>
      </c>
      <c r="M2155" t="str">
        <f t="shared" si="267"/>
        <v/>
      </c>
      <c r="N2155" t="str">
        <f t="shared" si="268"/>
        <v>Invalid</v>
      </c>
      <c r="O2155" t="str">
        <f t="shared" ca="1" si="269"/>
        <v>Outdated</v>
      </c>
      <c r="P2155" t="str">
        <f t="shared" si="270"/>
        <v>Wrong Item</v>
      </c>
      <c r="Q2155" t="str">
        <f t="shared" si="271"/>
        <v/>
      </c>
    </row>
    <row r="2156" spans="1:17" x14ac:dyDescent="0.45">
      <c r="A2156" t="s">
        <v>2973</v>
      </c>
      <c r="B2156" t="s">
        <v>172</v>
      </c>
      <c r="C2156" t="s">
        <v>2974</v>
      </c>
      <c r="D2156" t="s">
        <v>74</v>
      </c>
      <c r="E2156" s="8">
        <v>6978.37</v>
      </c>
      <c r="F2156" s="9">
        <v>45822.666684444448</v>
      </c>
      <c r="G2156" t="s">
        <v>174</v>
      </c>
      <c r="H2156" t="s">
        <v>87</v>
      </c>
      <c r="I2156" t="s">
        <v>82</v>
      </c>
      <c r="J2156" t="str">
        <f t="shared" si="264"/>
        <v/>
      </c>
      <c r="K2156" t="str">
        <f t="shared" si="265"/>
        <v/>
      </c>
      <c r="L2156" t="str">
        <f t="shared" si="266"/>
        <v/>
      </c>
      <c r="M2156" t="str">
        <f t="shared" si="267"/>
        <v/>
      </c>
      <c r="N2156" t="str">
        <f t="shared" si="268"/>
        <v>Invalid</v>
      </c>
      <c r="O2156" t="str">
        <f t="shared" ca="1" si="269"/>
        <v>Outdated</v>
      </c>
      <c r="P2156" t="str">
        <f t="shared" si="270"/>
        <v>Wrong Item</v>
      </c>
      <c r="Q2156" t="str">
        <f t="shared" si="271"/>
        <v/>
      </c>
    </row>
    <row r="2157" spans="1:17" x14ac:dyDescent="0.45">
      <c r="A2157" t="s">
        <v>2975</v>
      </c>
      <c r="B2157" t="s">
        <v>72</v>
      </c>
      <c r="C2157" t="s">
        <v>1148</v>
      </c>
      <c r="D2157" t="s">
        <v>85</v>
      </c>
      <c r="E2157" s="8">
        <v>5095.57</v>
      </c>
      <c r="F2157" s="9">
        <v>45576.666684444448</v>
      </c>
      <c r="G2157" t="s">
        <v>75</v>
      </c>
      <c r="H2157" t="s">
        <v>76</v>
      </c>
      <c r="I2157" t="s">
        <v>82</v>
      </c>
      <c r="J2157" t="str">
        <f t="shared" si="264"/>
        <v/>
      </c>
      <c r="K2157" t="str">
        <f t="shared" si="265"/>
        <v/>
      </c>
      <c r="L2157" t="str">
        <f t="shared" si="266"/>
        <v/>
      </c>
      <c r="M2157" t="str">
        <f t="shared" si="267"/>
        <v/>
      </c>
      <c r="N2157" t="str">
        <f t="shared" si="268"/>
        <v/>
      </c>
      <c r="O2157" t="str">
        <f t="shared" ca="1" si="269"/>
        <v>Outdated</v>
      </c>
      <c r="P2157" t="str">
        <f t="shared" si="270"/>
        <v>Late Delivery</v>
      </c>
      <c r="Q2157" t="str">
        <f t="shared" si="271"/>
        <v/>
      </c>
    </row>
    <row r="2158" spans="1:17" x14ac:dyDescent="0.45">
      <c r="A2158" t="s">
        <v>2976</v>
      </c>
      <c r="B2158" t="s">
        <v>95</v>
      </c>
      <c r="C2158" t="s">
        <v>183</v>
      </c>
      <c r="D2158" t="s">
        <v>106</v>
      </c>
      <c r="E2158" s="8">
        <v>245.9</v>
      </c>
      <c r="F2158" s="9">
        <v>45163.666684444448</v>
      </c>
      <c r="G2158" t="s">
        <v>97</v>
      </c>
      <c r="H2158" t="s">
        <v>81</v>
      </c>
      <c r="I2158" t="s">
        <v>119</v>
      </c>
      <c r="J2158" t="str">
        <f t="shared" si="264"/>
        <v/>
      </c>
      <c r="K2158" t="str">
        <f t="shared" si="265"/>
        <v/>
      </c>
      <c r="L2158" t="str">
        <f t="shared" si="266"/>
        <v/>
      </c>
      <c r="M2158" t="str">
        <f t="shared" si="267"/>
        <v/>
      </c>
      <c r="N2158" t="str">
        <f t="shared" si="268"/>
        <v/>
      </c>
      <c r="O2158" t="str">
        <f t="shared" ca="1" si="269"/>
        <v>Outdated</v>
      </c>
      <c r="P2158" t="str">
        <f t="shared" si="270"/>
        <v>Damaged</v>
      </c>
      <c r="Q2158" t="str">
        <f t="shared" si="271"/>
        <v>Inconsistent</v>
      </c>
    </row>
    <row r="2159" spans="1:17" x14ac:dyDescent="0.45">
      <c r="A2159" t="s">
        <v>2977</v>
      </c>
      <c r="B2159" t="s">
        <v>90</v>
      </c>
      <c r="C2159" t="s">
        <v>807</v>
      </c>
      <c r="D2159" t="s">
        <v>155</v>
      </c>
      <c r="E2159" s="8">
        <v>0</v>
      </c>
      <c r="F2159" s="9">
        <v>45257.666684444448</v>
      </c>
      <c r="G2159" t="s">
        <v>93</v>
      </c>
      <c r="I2159" t="s">
        <v>82</v>
      </c>
      <c r="J2159" t="str">
        <f t="shared" si="264"/>
        <v/>
      </c>
      <c r="K2159" t="str">
        <f t="shared" si="265"/>
        <v/>
      </c>
      <c r="L2159" t="str">
        <f t="shared" si="266"/>
        <v>Unusual</v>
      </c>
      <c r="M2159" t="str">
        <f t="shared" si="267"/>
        <v/>
      </c>
      <c r="N2159" t="str">
        <f t="shared" si="268"/>
        <v>Invalid</v>
      </c>
      <c r="O2159" t="str">
        <f t="shared" ca="1" si="269"/>
        <v>Outdated</v>
      </c>
      <c r="P2159" t="str">
        <f t="shared" si="270"/>
        <v>Damaged</v>
      </c>
      <c r="Q2159" t="str">
        <f t="shared" si="271"/>
        <v>Inconsistent</v>
      </c>
    </row>
    <row r="2160" spans="1:17" x14ac:dyDescent="0.45">
      <c r="A2160" t="s">
        <v>2978</v>
      </c>
      <c r="B2160" t="s">
        <v>90</v>
      </c>
      <c r="C2160" t="s">
        <v>1663</v>
      </c>
      <c r="D2160" t="s">
        <v>92</v>
      </c>
      <c r="E2160" s="8">
        <v>8352.42</v>
      </c>
      <c r="F2160" s="9">
        <v>45196.666684444448</v>
      </c>
      <c r="G2160" t="s">
        <v>93</v>
      </c>
      <c r="H2160" t="s">
        <v>116</v>
      </c>
      <c r="I2160" t="s">
        <v>88</v>
      </c>
      <c r="J2160" t="str">
        <f t="shared" si="264"/>
        <v/>
      </c>
      <c r="K2160" t="str">
        <f t="shared" si="265"/>
        <v/>
      </c>
      <c r="L2160" t="str">
        <f t="shared" si="266"/>
        <v/>
      </c>
      <c r="M2160" t="str">
        <f t="shared" si="267"/>
        <v/>
      </c>
      <c r="N2160" t="str">
        <f t="shared" si="268"/>
        <v/>
      </c>
      <c r="O2160" t="str">
        <f t="shared" ca="1" si="269"/>
        <v>Outdated</v>
      </c>
      <c r="P2160" t="str">
        <f t="shared" si="270"/>
        <v>Not As Described</v>
      </c>
      <c r="Q2160" t="str">
        <f t="shared" si="271"/>
        <v/>
      </c>
    </row>
    <row r="2161" spans="1:17" x14ac:dyDescent="0.45">
      <c r="A2161" t="s">
        <v>2979</v>
      </c>
      <c r="B2161" t="s">
        <v>109</v>
      </c>
      <c r="C2161" t="s">
        <v>2980</v>
      </c>
      <c r="D2161" t="s">
        <v>74</v>
      </c>
      <c r="E2161" s="8">
        <v>2149.4299999999998</v>
      </c>
      <c r="F2161" s="9">
        <v>45369.666684444448</v>
      </c>
      <c r="G2161" t="s">
        <v>111</v>
      </c>
      <c r="H2161" t="s">
        <v>128</v>
      </c>
      <c r="I2161" t="s">
        <v>77</v>
      </c>
      <c r="J2161" t="str">
        <f t="shared" si="264"/>
        <v/>
      </c>
      <c r="K2161" t="str">
        <f t="shared" si="265"/>
        <v/>
      </c>
      <c r="L2161" t="str">
        <f t="shared" si="266"/>
        <v/>
      </c>
      <c r="M2161" t="str">
        <f t="shared" si="267"/>
        <v/>
      </c>
      <c r="N2161" t="str">
        <f t="shared" si="268"/>
        <v>Invalid</v>
      </c>
      <c r="O2161" t="str">
        <f t="shared" ca="1" si="269"/>
        <v>Outdated</v>
      </c>
      <c r="P2161" t="str">
        <f t="shared" si="270"/>
        <v>Wrong Item</v>
      </c>
      <c r="Q2161" t="str">
        <f t="shared" si="271"/>
        <v/>
      </c>
    </row>
    <row r="2162" spans="1:17" x14ac:dyDescent="0.45">
      <c r="A2162" t="s">
        <v>2981</v>
      </c>
      <c r="B2162" t="s">
        <v>138</v>
      </c>
      <c r="C2162" t="s">
        <v>2696</v>
      </c>
      <c r="D2162" t="s">
        <v>101</v>
      </c>
      <c r="E2162" s="8">
        <v>625.04999999999995</v>
      </c>
      <c r="F2162" s="9">
        <v>45788.666684444448</v>
      </c>
      <c r="H2162" t="s">
        <v>107</v>
      </c>
      <c r="I2162" t="s">
        <v>163</v>
      </c>
      <c r="J2162" t="str">
        <f t="shared" si="264"/>
        <v/>
      </c>
      <c r="K2162" t="str">
        <f t="shared" si="265"/>
        <v/>
      </c>
      <c r="L2162" t="str">
        <f t="shared" si="266"/>
        <v/>
      </c>
      <c r="M2162" t="str">
        <f t="shared" si="267"/>
        <v>Invalid</v>
      </c>
      <c r="N2162" t="str">
        <f t="shared" si="268"/>
        <v/>
      </c>
      <c r="O2162" t="str">
        <f t="shared" ca="1" si="269"/>
        <v>Outdated</v>
      </c>
      <c r="P2162" t="str">
        <f t="shared" si="270"/>
        <v>Damaged</v>
      </c>
      <c r="Q2162" t="str">
        <f t="shared" si="271"/>
        <v/>
      </c>
    </row>
    <row r="2163" spans="1:17" x14ac:dyDescent="0.45">
      <c r="A2163" t="s">
        <v>2982</v>
      </c>
      <c r="B2163" t="s">
        <v>95</v>
      </c>
      <c r="C2163" t="s">
        <v>2925</v>
      </c>
      <c r="D2163" t="s">
        <v>101</v>
      </c>
      <c r="E2163" s="8">
        <v>7477.77</v>
      </c>
      <c r="F2163" s="9">
        <v>45503.666684444448</v>
      </c>
      <c r="G2163" t="s">
        <v>97</v>
      </c>
      <c r="H2163" t="s">
        <v>145</v>
      </c>
      <c r="I2163" t="s">
        <v>88</v>
      </c>
      <c r="J2163" t="str">
        <f t="shared" si="264"/>
        <v/>
      </c>
      <c r="K2163" t="str">
        <f t="shared" si="265"/>
        <v/>
      </c>
      <c r="L2163" t="str">
        <f t="shared" si="266"/>
        <v/>
      </c>
      <c r="M2163" t="str">
        <f t="shared" si="267"/>
        <v/>
      </c>
      <c r="N2163" t="str">
        <f t="shared" si="268"/>
        <v/>
      </c>
      <c r="O2163" t="str">
        <f t="shared" ca="1" si="269"/>
        <v>Outdated</v>
      </c>
      <c r="P2163" t="str">
        <f t="shared" si="270"/>
        <v>Damaged</v>
      </c>
      <c r="Q2163" t="str">
        <f t="shared" si="271"/>
        <v/>
      </c>
    </row>
    <row r="2164" spans="1:17" x14ac:dyDescent="0.45">
      <c r="A2164" t="s">
        <v>2983</v>
      </c>
      <c r="B2164" t="s">
        <v>104</v>
      </c>
      <c r="C2164" t="s">
        <v>2707</v>
      </c>
      <c r="D2164" t="s">
        <v>92</v>
      </c>
      <c r="E2164" s="8">
        <v>8191.74</v>
      </c>
      <c r="F2164" s="9">
        <v>45498.666684444448</v>
      </c>
      <c r="G2164" t="s">
        <v>115</v>
      </c>
      <c r="H2164" t="s">
        <v>118</v>
      </c>
      <c r="I2164" t="s">
        <v>112</v>
      </c>
      <c r="J2164" t="str">
        <f t="shared" si="264"/>
        <v/>
      </c>
      <c r="K2164" t="str">
        <f t="shared" si="265"/>
        <v/>
      </c>
      <c r="L2164" t="str">
        <f t="shared" si="266"/>
        <v/>
      </c>
      <c r="M2164" t="str">
        <f t="shared" si="267"/>
        <v/>
      </c>
      <c r="N2164" t="str">
        <f t="shared" si="268"/>
        <v>Invalid</v>
      </c>
      <c r="O2164" t="str">
        <f t="shared" ca="1" si="269"/>
        <v>Outdated</v>
      </c>
      <c r="P2164" t="str">
        <f t="shared" si="270"/>
        <v>Not As Described</v>
      </c>
      <c r="Q2164" t="str">
        <f t="shared" si="271"/>
        <v/>
      </c>
    </row>
    <row r="2165" spans="1:17" x14ac:dyDescent="0.45">
      <c r="A2165" t="s">
        <v>2984</v>
      </c>
      <c r="B2165" t="s">
        <v>109</v>
      </c>
      <c r="C2165" t="s">
        <v>1506</v>
      </c>
      <c r="E2165" s="8">
        <v>5541.24</v>
      </c>
      <c r="F2165" s="9">
        <v>45520.666684444448</v>
      </c>
      <c r="G2165" t="s">
        <v>111</v>
      </c>
      <c r="H2165" t="s">
        <v>133</v>
      </c>
      <c r="I2165" t="s">
        <v>163</v>
      </c>
      <c r="J2165" t="str">
        <f t="shared" si="264"/>
        <v>Missing</v>
      </c>
      <c r="K2165" t="str">
        <f t="shared" si="265"/>
        <v/>
      </c>
      <c r="L2165" t="str">
        <f t="shared" si="266"/>
        <v/>
      </c>
      <c r="M2165" t="str">
        <f t="shared" si="267"/>
        <v/>
      </c>
      <c r="N2165" t="str">
        <f t="shared" si="268"/>
        <v>Invalid</v>
      </c>
      <c r="O2165" t="str">
        <f t="shared" ca="1" si="269"/>
        <v>Outdated</v>
      </c>
      <c r="P2165" t="str">
        <f t="shared" si="270"/>
        <v/>
      </c>
      <c r="Q2165" t="str">
        <f t="shared" si="271"/>
        <v/>
      </c>
    </row>
    <row r="2166" spans="1:17" x14ac:dyDescent="0.45">
      <c r="A2166" t="s">
        <v>2985</v>
      </c>
      <c r="B2166" t="s">
        <v>104</v>
      </c>
      <c r="C2166" t="s">
        <v>501</v>
      </c>
      <c r="D2166" t="s">
        <v>101</v>
      </c>
      <c r="E2166" s="8">
        <v>3920.89</v>
      </c>
      <c r="F2166" s="9">
        <v>45708.666684444448</v>
      </c>
      <c r="G2166" t="s">
        <v>115</v>
      </c>
      <c r="I2166" t="s">
        <v>163</v>
      </c>
      <c r="J2166" t="str">
        <f t="shared" si="264"/>
        <v/>
      </c>
      <c r="K2166" t="str">
        <f t="shared" si="265"/>
        <v/>
      </c>
      <c r="L2166" t="str">
        <f t="shared" si="266"/>
        <v/>
      </c>
      <c r="M2166" t="str">
        <f t="shared" si="267"/>
        <v/>
      </c>
      <c r="N2166" t="str">
        <f t="shared" si="268"/>
        <v>Invalid</v>
      </c>
      <c r="O2166" t="str">
        <f t="shared" ca="1" si="269"/>
        <v>Outdated</v>
      </c>
      <c r="P2166" t="str">
        <f t="shared" si="270"/>
        <v>Damaged</v>
      </c>
      <c r="Q2166" t="str">
        <f t="shared" si="271"/>
        <v/>
      </c>
    </row>
    <row r="2167" spans="1:17" x14ac:dyDescent="0.45">
      <c r="A2167" t="s">
        <v>2986</v>
      </c>
      <c r="B2167" t="s">
        <v>99</v>
      </c>
      <c r="C2167" t="s">
        <v>901</v>
      </c>
      <c r="D2167" t="s">
        <v>101</v>
      </c>
      <c r="E2167" s="8">
        <v>11502.78</v>
      </c>
      <c r="F2167" s="9">
        <v>45161.666684444448</v>
      </c>
      <c r="G2167" t="s">
        <v>102</v>
      </c>
      <c r="H2167" t="s">
        <v>136</v>
      </c>
      <c r="I2167" t="s">
        <v>119</v>
      </c>
      <c r="J2167" t="str">
        <f t="shared" si="264"/>
        <v/>
      </c>
      <c r="K2167" t="str">
        <f t="shared" si="265"/>
        <v/>
      </c>
      <c r="L2167" t="str">
        <f t="shared" si="266"/>
        <v>Unusual</v>
      </c>
      <c r="M2167" t="str">
        <f t="shared" si="267"/>
        <v/>
      </c>
      <c r="N2167" t="str">
        <f t="shared" si="268"/>
        <v>Invalid</v>
      </c>
      <c r="O2167" t="str">
        <f t="shared" ca="1" si="269"/>
        <v>Outdated</v>
      </c>
      <c r="P2167" t="str">
        <f t="shared" si="270"/>
        <v>Damaged</v>
      </c>
      <c r="Q2167" t="str">
        <f t="shared" si="271"/>
        <v/>
      </c>
    </row>
    <row r="2168" spans="1:17" x14ac:dyDescent="0.45">
      <c r="A2168" t="s">
        <v>2987</v>
      </c>
      <c r="B2168" t="s">
        <v>95</v>
      </c>
      <c r="C2168" t="s">
        <v>1711</v>
      </c>
      <c r="D2168" t="s">
        <v>74</v>
      </c>
      <c r="E2168" s="8">
        <v>8972.8799999999992</v>
      </c>
      <c r="F2168" s="9">
        <v>45747.666684444448</v>
      </c>
      <c r="G2168" t="s">
        <v>97</v>
      </c>
      <c r="H2168" t="s">
        <v>136</v>
      </c>
      <c r="I2168" t="s">
        <v>112</v>
      </c>
      <c r="J2168" t="str">
        <f t="shared" si="264"/>
        <v/>
      </c>
      <c r="K2168" t="str">
        <f t="shared" si="265"/>
        <v/>
      </c>
      <c r="L2168" t="str">
        <f t="shared" si="266"/>
        <v/>
      </c>
      <c r="M2168" t="str">
        <f t="shared" si="267"/>
        <v/>
      </c>
      <c r="N2168" t="str">
        <f t="shared" si="268"/>
        <v>Invalid</v>
      </c>
      <c r="O2168" t="str">
        <f t="shared" ca="1" si="269"/>
        <v>Outdated</v>
      </c>
      <c r="P2168" t="str">
        <f t="shared" si="270"/>
        <v>Wrong Item</v>
      </c>
      <c r="Q2168" t="str">
        <f t="shared" si="271"/>
        <v/>
      </c>
    </row>
    <row r="2169" spans="1:17" x14ac:dyDescent="0.45">
      <c r="A2169" t="s">
        <v>2988</v>
      </c>
      <c r="B2169" t="s">
        <v>90</v>
      </c>
      <c r="C2169" t="s">
        <v>1510</v>
      </c>
      <c r="D2169" t="s">
        <v>101</v>
      </c>
      <c r="E2169" s="8">
        <v>4976.38</v>
      </c>
      <c r="F2169" s="9">
        <v>45285.666684444448</v>
      </c>
      <c r="H2169" t="s">
        <v>133</v>
      </c>
      <c r="I2169" t="s">
        <v>88</v>
      </c>
      <c r="J2169" t="str">
        <f t="shared" si="264"/>
        <v/>
      </c>
      <c r="K2169" t="str">
        <f t="shared" si="265"/>
        <v/>
      </c>
      <c r="L2169" t="str">
        <f t="shared" si="266"/>
        <v/>
      </c>
      <c r="M2169" t="str">
        <f t="shared" si="267"/>
        <v>Invalid</v>
      </c>
      <c r="N2169" t="str">
        <f t="shared" si="268"/>
        <v>Invalid</v>
      </c>
      <c r="O2169" t="str">
        <f t="shared" ca="1" si="269"/>
        <v>Outdated</v>
      </c>
      <c r="P2169" t="str">
        <f t="shared" si="270"/>
        <v>Damaged</v>
      </c>
      <c r="Q2169" t="str">
        <f t="shared" si="271"/>
        <v/>
      </c>
    </row>
    <row r="2170" spans="1:17" x14ac:dyDescent="0.45">
      <c r="A2170" t="s">
        <v>2989</v>
      </c>
      <c r="B2170" t="s">
        <v>99</v>
      </c>
      <c r="C2170" t="s">
        <v>311</v>
      </c>
      <c r="D2170" t="s">
        <v>85</v>
      </c>
      <c r="E2170" s="8">
        <v>0</v>
      </c>
      <c r="F2170" s="9">
        <v>45823.666684444448</v>
      </c>
      <c r="G2170" t="s">
        <v>102</v>
      </c>
      <c r="H2170" t="s">
        <v>128</v>
      </c>
      <c r="I2170" t="s">
        <v>163</v>
      </c>
      <c r="J2170" t="str">
        <f t="shared" si="264"/>
        <v/>
      </c>
      <c r="K2170" t="str">
        <f t="shared" si="265"/>
        <v/>
      </c>
      <c r="L2170" t="str">
        <f t="shared" si="266"/>
        <v>Unusual</v>
      </c>
      <c r="M2170" t="str">
        <f t="shared" si="267"/>
        <v/>
      </c>
      <c r="N2170" t="str">
        <f t="shared" si="268"/>
        <v>Invalid</v>
      </c>
      <c r="O2170" t="str">
        <f t="shared" ca="1" si="269"/>
        <v>Outdated</v>
      </c>
      <c r="P2170" t="str">
        <f t="shared" si="270"/>
        <v>Late Delivery</v>
      </c>
      <c r="Q2170" t="str">
        <f t="shared" si="271"/>
        <v/>
      </c>
    </row>
    <row r="2171" spans="1:17" x14ac:dyDescent="0.45">
      <c r="A2171" t="s">
        <v>2990</v>
      </c>
      <c r="B2171" t="s">
        <v>104</v>
      </c>
      <c r="C2171" t="s">
        <v>594</v>
      </c>
      <c r="D2171" t="s">
        <v>74</v>
      </c>
      <c r="E2171" s="8">
        <v>1244.76</v>
      </c>
      <c r="F2171" s="9">
        <v>45588.666684444448</v>
      </c>
      <c r="G2171" t="s">
        <v>115</v>
      </c>
      <c r="H2171" t="s">
        <v>87</v>
      </c>
      <c r="I2171" t="s">
        <v>77</v>
      </c>
      <c r="J2171" t="str">
        <f t="shared" si="264"/>
        <v/>
      </c>
      <c r="K2171" t="str">
        <f t="shared" si="265"/>
        <v/>
      </c>
      <c r="L2171" t="str">
        <f t="shared" si="266"/>
        <v/>
      </c>
      <c r="M2171" t="str">
        <f t="shared" si="267"/>
        <v/>
      </c>
      <c r="N2171" t="str">
        <f t="shared" si="268"/>
        <v>Invalid</v>
      </c>
      <c r="O2171" t="str">
        <f t="shared" ca="1" si="269"/>
        <v>Outdated</v>
      </c>
      <c r="P2171" t="str">
        <f t="shared" si="270"/>
        <v>Wrong Item</v>
      </c>
      <c r="Q2171" t="str">
        <f t="shared" si="271"/>
        <v/>
      </c>
    </row>
    <row r="2172" spans="1:17" x14ac:dyDescent="0.45">
      <c r="A2172" t="s">
        <v>2991</v>
      </c>
      <c r="B2172" t="s">
        <v>104</v>
      </c>
      <c r="C2172" t="s">
        <v>492</v>
      </c>
      <c r="D2172" t="s">
        <v>85</v>
      </c>
      <c r="E2172" s="8">
        <v>9774.65</v>
      </c>
      <c r="F2172" s="9">
        <v>45507.666684444448</v>
      </c>
      <c r="G2172" t="s">
        <v>247</v>
      </c>
      <c r="H2172" t="s">
        <v>136</v>
      </c>
      <c r="I2172" t="s">
        <v>82</v>
      </c>
      <c r="J2172" t="str">
        <f t="shared" si="264"/>
        <v/>
      </c>
      <c r="K2172" t="str">
        <f t="shared" si="265"/>
        <v/>
      </c>
      <c r="L2172" t="str">
        <f t="shared" si="266"/>
        <v/>
      </c>
      <c r="M2172" t="str">
        <f t="shared" si="267"/>
        <v>Invalid</v>
      </c>
      <c r="N2172" t="str">
        <f t="shared" si="268"/>
        <v>Invalid</v>
      </c>
      <c r="O2172" t="str">
        <f t="shared" ca="1" si="269"/>
        <v>Outdated</v>
      </c>
      <c r="P2172" t="str">
        <f t="shared" si="270"/>
        <v>Late Delivery</v>
      </c>
      <c r="Q2172" t="str">
        <f t="shared" si="271"/>
        <v/>
      </c>
    </row>
    <row r="2173" spans="1:17" x14ac:dyDescent="0.45">
      <c r="A2173" t="s">
        <v>2992</v>
      </c>
      <c r="B2173" t="s">
        <v>95</v>
      </c>
      <c r="C2173" t="s">
        <v>1933</v>
      </c>
      <c r="D2173" t="s">
        <v>148</v>
      </c>
      <c r="E2173" s="8">
        <v>1693.99</v>
      </c>
      <c r="F2173" s="9">
        <v>45508.666684444448</v>
      </c>
      <c r="G2173" t="s">
        <v>97</v>
      </c>
      <c r="H2173" t="s">
        <v>145</v>
      </c>
      <c r="I2173" t="s">
        <v>88</v>
      </c>
      <c r="J2173" t="str">
        <f t="shared" si="264"/>
        <v/>
      </c>
      <c r="K2173" t="str">
        <f t="shared" si="265"/>
        <v/>
      </c>
      <c r="L2173" t="str">
        <f t="shared" si="266"/>
        <v/>
      </c>
      <c r="M2173" t="str">
        <f t="shared" si="267"/>
        <v/>
      </c>
      <c r="N2173" t="str">
        <f t="shared" si="268"/>
        <v/>
      </c>
      <c r="O2173" t="str">
        <f t="shared" ca="1" si="269"/>
        <v>Outdated</v>
      </c>
      <c r="P2173" t="str">
        <f t="shared" si="270"/>
        <v>Wrong Item</v>
      </c>
      <c r="Q2173" t="str">
        <f t="shared" si="271"/>
        <v>Inconsistent</v>
      </c>
    </row>
    <row r="2174" spans="1:17" x14ac:dyDescent="0.45">
      <c r="A2174" t="s">
        <v>2962</v>
      </c>
      <c r="B2174" t="s">
        <v>172</v>
      </c>
      <c r="C2174" t="s">
        <v>2216</v>
      </c>
      <c r="D2174" t="s">
        <v>85</v>
      </c>
      <c r="E2174" s="8">
        <v>0</v>
      </c>
      <c r="F2174" s="9">
        <v>45582.666684444448</v>
      </c>
      <c r="G2174" t="s">
        <v>174</v>
      </c>
      <c r="H2174" t="s">
        <v>81</v>
      </c>
      <c r="I2174" t="s">
        <v>77</v>
      </c>
      <c r="J2174" t="str">
        <f t="shared" si="264"/>
        <v/>
      </c>
      <c r="K2174" t="str">
        <f t="shared" si="265"/>
        <v>Duplicate</v>
      </c>
      <c r="L2174" t="str">
        <f t="shared" si="266"/>
        <v>Unusual</v>
      </c>
      <c r="M2174" t="str">
        <f t="shared" si="267"/>
        <v/>
      </c>
      <c r="N2174" t="str">
        <f t="shared" si="268"/>
        <v/>
      </c>
      <c r="O2174" t="str">
        <f t="shared" ca="1" si="269"/>
        <v>Outdated</v>
      </c>
      <c r="P2174" t="str">
        <f t="shared" si="270"/>
        <v>Late Delivery</v>
      </c>
      <c r="Q2174" t="str">
        <f t="shared" si="271"/>
        <v/>
      </c>
    </row>
    <row r="2175" spans="1:17" x14ac:dyDescent="0.45">
      <c r="A2175" t="s">
        <v>2993</v>
      </c>
      <c r="B2175" t="s">
        <v>138</v>
      </c>
      <c r="C2175" t="s">
        <v>823</v>
      </c>
      <c r="D2175" t="s">
        <v>74</v>
      </c>
      <c r="E2175" s="8">
        <v>7201.69</v>
      </c>
      <c r="F2175" s="9">
        <v>45206.666684444448</v>
      </c>
      <c r="G2175" t="s">
        <v>140</v>
      </c>
      <c r="H2175" t="s">
        <v>136</v>
      </c>
      <c r="I2175" t="s">
        <v>77</v>
      </c>
      <c r="J2175" t="str">
        <f t="shared" si="264"/>
        <v/>
      </c>
      <c r="K2175" t="str">
        <f t="shared" si="265"/>
        <v/>
      </c>
      <c r="L2175" t="str">
        <f t="shared" si="266"/>
        <v/>
      </c>
      <c r="M2175" t="str">
        <f t="shared" si="267"/>
        <v/>
      </c>
      <c r="N2175" t="str">
        <f t="shared" si="268"/>
        <v>Invalid</v>
      </c>
      <c r="O2175" t="str">
        <f t="shared" ca="1" si="269"/>
        <v>Outdated</v>
      </c>
      <c r="P2175" t="str">
        <f t="shared" si="270"/>
        <v>Wrong Item</v>
      </c>
      <c r="Q2175" t="str">
        <f t="shared" si="271"/>
        <v/>
      </c>
    </row>
    <row r="2176" spans="1:17" x14ac:dyDescent="0.45">
      <c r="A2176" t="s">
        <v>2994</v>
      </c>
      <c r="B2176" t="s">
        <v>90</v>
      </c>
      <c r="C2176" t="s">
        <v>2995</v>
      </c>
      <c r="D2176" t="s">
        <v>74</v>
      </c>
      <c r="E2176" s="8">
        <v>3645.69</v>
      </c>
      <c r="F2176" s="9">
        <v>45715.666684444448</v>
      </c>
      <c r="G2176" t="s">
        <v>93</v>
      </c>
      <c r="H2176" t="s">
        <v>118</v>
      </c>
      <c r="I2176" t="s">
        <v>82</v>
      </c>
      <c r="J2176" t="str">
        <f t="shared" si="264"/>
        <v/>
      </c>
      <c r="K2176" t="str">
        <f t="shared" si="265"/>
        <v/>
      </c>
      <c r="L2176" t="str">
        <f t="shared" si="266"/>
        <v/>
      </c>
      <c r="M2176" t="str">
        <f t="shared" si="267"/>
        <v/>
      </c>
      <c r="N2176" t="str">
        <f t="shared" si="268"/>
        <v>Invalid</v>
      </c>
      <c r="O2176" t="str">
        <f t="shared" ca="1" si="269"/>
        <v>Outdated</v>
      </c>
      <c r="P2176" t="str">
        <f t="shared" si="270"/>
        <v>Wrong Item</v>
      </c>
      <c r="Q2176" t="str">
        <f t="shared" si="271"/>
        <v/>
      </c>
    </row>
    <row r="2177" spans="1:17" x14ac:dyDescent="0.45">
      <c r="A2177" t="s">
        <v>2996</v>
      </c>
      <c r="B2177" t="s">
        <v>99</v>
      </c>
      <c r="C2177" t="s">
        <v>997</v>
      </c>
      <c r="D2177" t="s">
        <v>85</v>
      </c>
      <c r="E2177" s="8">
        <v>8966.09</v>
      </c>
      <c r="F2177" s="9">
        <v>45268.666684444448</v>
      </c>
      <c r="G2177" t="s">
        <v>102</v>
      </c>
      <c r="H2177" t="s">
        <v>81</v>
      </c>
      <c r="I2177" t="s">
        <v>163</v>
      </c>
      <c r="J2177" t="str">
        <f t="shared" si="264"/>
        <v/>
      </c>
      <c r="K2177" t="str">
        <f t="shared" si="265"/>
        <v/>
      </c>
      <c r="L2177" t="str">
        <f t="shared" si="266"/>
        <v/>
      </c>
      <c r="M2177" t="str">
        <f t="shared" si="267"/>
        <v/>
      </c>
      <c r="N2177" t="str">
        <f t="shared" si="268"/>
        <v/>
      </c>
      <c r="O2177" t="str">
        <f t="shared" ca="1" si="269"/>
        <v>Outdated</v>
      </c>
      <c r="P2177" t="str">
        <f t="shared" si="270"/>
        <v>Late Delivery</v>
      </c>
      <c r="Q2177" t="str">
        <f t="shared" si="271"/>
        <v/>
      </c>
    </row>
    <row r="2178" spans="1:17" x14ac:dyDescent="0.45">
      <c r="A2178" t="s">
        <v>2997</v>
      </c>
      <c r="B2178" t="s">
        <v>72</v>
      </c>
      <c r="C2178" t="s">
        <v>1436</v>
      </c>
      <c r="D2178" t="s">
        <v>101</v>
      </c>
      <c r="E2178" s="8">
        <v>7216.61</v>
      </c>
      <c r="F2178" s="9">
        <v>45670.666684444448</v>
      </c>
      <c r="G2178" t="s">
        <v>75</v>
      </c>
      <c r="H2178" t="s">
        <v>136</v>
      </c>
      <c r="I2178" t="s">
        <v>82</v>
      </c>
      <c r="J2178" t="str">
        <f t="shared" ref="J2178:J2241" si="272">IF(OR(ISBLANK(C2178),ISBLANK(D2178)),"Missing","")</f>
        <v/>
      </c>
      <c r="K2178" t="str">
        <f t="shared" ref="K2178:K2241" si="273">IF(COUNTIF($A$2:$A$2501,A2178)&gt;1,"Duplicate","")</f>
        <v/>
      </c>
      <c r="L2178" t="str">
        <f t="shared" ref="L2178:L2241" si="274">IF(OR(E2178=0,E2178&gt;10000),"Unusual","")</f>
        <v/>
      </c>
      <c r="M2178" t="str">
        <f t="shared" ref="M2178:M2241" si="275">IF(OR(ISBLANK(G2178),ISERROR(FIND("@",G2178)),ISERROR(FIND(".",G2178,FIND("@",G2178)+1))),"Invalid","")</f>
        <v/>
      </c>
      <c r="N2178" t="str">
        <f t="shared" ref="N2178:N2241" si="276">IF(COUNTIF($S$2:$S$6,H2178)=0,"Invalid","")</f>
        <v>Invalid</v>
      </c>
      <c r="O2178" t="str">
        <f t="shared" ref="O2178:O2241" ca="1" si="277">IF(F2178&lt;EDATE(TODAY(),-12),"Outdated","")</f>
        <v>Outdated</v>
      </c>
      <c r="P2178" t="str">
        <f t="shared" ref="P2178:P2241" si="278">IF(ISBLANK(D2178),"",PROPER(TRIM(D2178)))</f>
        <v>Damaged</v>
      </c>
      <c r="Q2178" t="str">
        <f t="shared" ref="Q2178:Q2241" si="279">IF(ISBLANK(D2178),"",IF(EXACT(D2178,P2178),"","Inconsistent"))</f>
        <v/>
      </c>
    </row>
    <row r="2179" spans="1:17" x14ac:dyDescent="0.45">
      <c r="A2179" t="s">
        <v>2998</v>
      </c>
      <c r="B2179" t="s">
        <v>172</v>
      </c>
      <c r="C2179" t="s">
        <v>2815</v>
      </c>
      <c r="D2179" t="s">
        <v>101</v>
      </c>
      <c r="E2179" s="8">
        <v>2582.65</v>
      </c>
      <c r="F2179" s="9">
        <v>45503.666684444448</v>
      </c>
      <c r="H2179" t="s">
        <v>118</v>
      </c>
      <c r="I2179" t="s">
        <v>163</v>
      </c>
      <c r="J2179" t="str">
        <f t="shared" si="272"/>
        <v/>
      </c>
      <c r="K2179" t="str">
        <f t="shared" si="273"/>
        <v/>
      </c>
      <c r="L2179" t="str">
        <f t="shared" si="274"/>
        <v/>
      </c>
      <c r="M2179" t="str">
        <f t="shared" si="275"/>
        <v>Invalid</v>
      </c>
      <c r="N2179" t="str">
        <f t="shared" si="276"/>
        <v>Invalid</v>
      </c>
      <c r="O2179" t="str">
        <f t="shared" ca="1" si="277"/>
        <v>Outdated</v>
      </c>
      <c r="P2179" t="str">
        <f t="shared" si="278"/>
        <v>Damaged</v>
      </c>
      <c r="Q2179" t="str">
        <f t="shared" si="279"/>
        <v/>
      </c>
    </row>
    <row r="2180" spans="1:17" x14ac:dyDescent="0.45">
      <c r="A2180" t="s">
        <v>2999</v>
      </c>
      <c r="B2180" t="s">
        <v>90</v>
      </c>
      <c r="C2180" t="s">
        <v>1369</v>
      </c>
      <c r="D2180" t="s">
        <v>85</v>
      </c>
      <c r="E2180" s="8">
        <v>0</v>
      </c>
      <c r="F2180" s="9">
        <v>45535.666684444448</v>
      </c>
      <c r="G2180" t="s">
        <v>93</v>
      </c>
      <c r="H2180" t="s">
        <v>81</v>
      </c>
      <c r="I2180" t="s">
        <v>163</v>
      </c>
      <c r="J2180" t="str">
        <f t="shared" si="272"/>
        <v/>
      </c>
      <c r="K2180" t="str">
        <f t="shared" si="273"/>
        <v/>
      </c>
      <c r="L2180" t="str">
        <f t="shared" si="274"/>
        <v>Unusual</v>
      </c>
      <c r="M2180" t="str">
        <f t="shared" si="275"/>
        <v/>
      </c>
      <c r="N2180" t="str">
        <f t="shared" si="276"/>
        <v/>
      </c>
      <c r="O2180" t="str">
        <f t="shared" ca="1" si="277"/>
        <v>Outdated</v>
      </c>
      <c r="P2180" t="str">
        <f t="shared" si="278"/>
        <v>Late Delivery</v>
      </c>
      <c r="Q2180" t="str">
        <f t="shared" si="279"/>
        <v/>
      </c>
    </row>
    <row r="2181" spans="1:17" x14ac:dyDescent="0.45">
      <c r="A2181" t="s">
        <v>3000</v>
      </c>
      <c r="B2181" t="s">
        <v>72</v>
      </c>
      <c r="C2181" t="s">
        <v>1510</v>
      </c>
      <c r="D2181" t="s">
        <v>85</v>
      </c>
      <c r="E2181" s="8">
        <v>745.51</v>
      </c>
      <c r="F2181" s="9">
        <v>45449.666684444448</v>
      </c>
      <c r="G2181" t="s">
        <v>75</v>
      </c>
      <c r="H2181" t="s">
        <v>118</v>
      </c>
      <c r="I2181" t="s">
        <v>163</v>
      </c>
      <c r="J2181" t="str">
        <f t="shared" si="272"/>
        <v/>
      </c>
      <c r="K2181" t="str">
        <f t="shared" si="273"/>
        <v/>
      </c>
      <c r="L2181" t="str">
        <f t="shared" si="274"/>
        <v/>
      </c>
      <c r="M2181" t="str">
        <f t="shared" si="275"/>
        <v/>
      </c>
      <c r="N2181" t="str">
        <f t="shared" si="276"/>
        <v>Invalid</v>
      </c>
      <c r="O2181" t="str">
        <f t="shared" ca="1" si="277"/>
        <v>Outdated</v>
      </c>
      <c r="P2181" t="str">
        <f t="shared" si="278"/>
        <v>Late Delivery</v>
      </c>
      <c r="Q2181" t="str">
        <f t="shared" si="279"/>
        <v/>
      </c>
    </row>
    <row r="2182" spans="1:17" x14ac:dyDescent="0.45">
      <c r="A2182" t="s">
        <v>3001</v>
      </c>
      <c r="B2182" t="s">
        <v>138</v>
      </c>
      <c r="C2182" t="s">
        <v>492</v>
      </c>
      <c r="D2182" t="s">
        <v>92</v>
      </c>
      <c r="E2182" s="8">
        <v>8630.5400000000009</v>
      </c>
      <c r="F2182" s="9">
        <v>45793.666684444448</v>
      </c>
      <c r="G2182" t="s">
        <v>140</v>
      </c>
      <c r="H2182" t="s">
        <v>136</v>
      </c>
      <c r="I2182" t="s">
        <v>163</v>
      </c>
      <c r="J2182" t="str">
        <f t="shared" si="272"/>
        <v/>
      </c>
      <c r="K2182" t="str">
        <f t="shared" si="273"/>
        <v/>
      </c>
      <c r="L2182" t="str">
        <f t="shared" si="274"/>
        <v/>
      </c>
      <c r="M2182" t="str">
        <f t="shared" si="275"/>
        <v/>
      </c>
      <c r="N2182" t="str">
        <f t="shared" si="276"/>
        <v>Invalid</v>
      </c>
      <c r="O2182" t="str">
        <f t="shared" ca="1" si="277"/>
        <v>Outdated</v>
      </c>
      <c r="P2182" t="str">
        <f t="shared" si="278"/>
        <v>Not As Described</v>
      </c>
      <c r="Q2182" t="str">
        <f t="shared" si="279"/>
        <v/>
      </c>
    </row>
    <row r="2183" spans="1:17" x14ac:dyDescent="0.45">
      <c r="A2183" t="s">
        <v>3002</v>
      </c>
      <c r="B2183" t="s">
        <v>72</v>
      </c>
      <c r="C2183" t="s">
        <v>3003</v>
      </c>
      <c r="D2183" t="s">
        <v>101</v>
      </c>
      <c r="E2183" s="8">
        <v>7674.75</v>
      </c>
      <c r="F2183" s="9">
        <v>45413.666684444448</v>
      </c>
      <c r="G2183" t="s">
        <v>75</v>
      </c>
      <c r="H2183" t="s">
        <v>133</v>
      </c>
      <c r="I2183" t="s">
        <v>163</v>
      </c>
      <c r="J2183" t="str">
        <f t="shared" si="272"/>
        <v/>
      </c>
      <c r="K2183" t="str">
        <f t="shared" si="273"/>
        <v/>
      </c>
      <c r="L2183" t="str">
        <f t="shared" si="274"/>
        <v/>
      </c>
      <c r="M2183" t="str">
        <f t="shared" si="275"/>
        <v/>
      </c>
      <c r="N2183" t="str">
        <f t="shared" si="276"/>
        <v>Invalid</v>
      </c>
      <c r="O2183" t="str">
        <f t="shared" ca="1" si="277"/>
        <v>Outdated</v>
      </c>
      <c r="P2183" t="str">
        <f t="shared" si="278"/>
        <v>Damaged</v>
      </c>
      <c r="Q2183" t="str">
        <f t="shared" si="279"/>
        <v/>
      </c>
    </row>
    <row r="2184" spans="1:17" x14ac:dyDescent="0.45">
      <c r="A2184" t="s">
        <v>3004</v>
      </c>
      <c r="B2184" t="s">
        <v>72</v>
      </c>
      <c r="C2184" t="s">
        <v>3003</v>
      </c>
      <c r="E2184" s="8">
        <v>0</v>
      </c>
      <c r="F2184" s="9">
        <v>45383.666684444448</v>
      </c>
      <c r="G2184" t="s">
        <v>75</v>
      </c>
      <c r="H2184" t="s">
        <v>145</v>
      </c>
      <c r="I2184" t="s">
        <v>119</v>
      </c>
      <c r="J2184" t="str">
        <f t="shared" si="272"/>
        <v>Missing</v>
      </c>
      <c r="K2184" t="str">
        <f t="shared" si="273"/>
        <v/>
      </c>
      <c r="L2184" t="str">
        <f t="shared" si="274"/>
        <v>Unusual</v>
      </c>
      <c r="M2184" t="str">
        <f t="shared" si="275"/>
        <v/>
      </c>
      <c r="N2184" t="str">
        <f t="shared" si="276"/>
        <v/>
      </c>
      <c r="O2184" t="str">
        <f t="shared" ca="1" si="277"/>
        <v>Outdated</v>
      </c>
      <c r="P2184" t="str">
        <f t="shared" si="278"/>
        <v/>
      </c>
      <c r="Q2184" t="str">
        <f t="shared" si="279"/>
        <v/>
      </c>
    </row>
    <row r="2185" spans="1:17" x14ac:dyDescent="0.45">
      <c r="A2185" t="s">
        <v>3005</v>
      </c>
      <c r="B2185" t="s">
        <v>172</v>
      </c>
      <c r="C2185" t="s">
        <v>696</v>
      </c>
      <c r="D2185" t="s">
        <v>101</v>
      </c>
      <c r="E2185" s="8">
        <v>9695.18</v>
      </c>
      <c r="F2185" s="9">
        <v>45244.666684444448</v>
      </c>
      <c r="G2185" t="s">
        <v>174</v>
      </c>
      <c r="I2185" t="s">
        <v>88</v>
      </c>
      <c r="J2185" t="str">
        <f t="shared" si="272"/>
        <v/>
      </c>
      <c r="K2185" t="str">
        <f t="shared" si="273"/>
        <v/>
      </c>
      <c r="L2185" t="str">
        <f t="shared" si="274"/>
        <v/>
      </c>
      <c r="M2185" t="str">
        <f t="shared" si="275"/>
        <v/>
      </c>
      <c r="N2185" t="str">
        <f t="shared" si="276"/>
        <v>Invalid</v>
      </c>
      <c r="O2185" t="str">
        <f t="shared" ca="1" si="277"/>
        <v>Outdated</v>
      </c>
      <c r="P2185" t="str">
        <f t="shared" si="278"/>
        <v>Damaged</v>
      </c>
      <c r="Q2185" t="str">
        <f t="shared" si="279"/>
        <v/>
      </c>
    </row>
    <row r="2186" spans="1:17" x14ac:dyDescent="0.45">
      <c r="A2186" t="s">
        <v>3006</v>
      </c>
      <c r="B2186" t="s">
        <v>79</v>
      </c>
      <c r="C2186" t="s">
        <v>741</v>
      </c>
      <c r="D2186" t="s">
        <v>74</v>
      </c>
      <c r="E2186" s="8">
        <v>8381.77</v>
      </c>
      <c r="F2186" s="9">
        <v>45154.666684444448</v>
      </c>
      <c r="G2186" t="s">
        <v>86</v>
      </c>
      <c r="H2186" t="s">
        <v>133</v>
      </c>
      <c r="I2186" t="s">
        <v>119</v>
      </c>
      <c r="J2186" t="str">
        <f t="shared" si="272"/>
        <v/>
      </c>
      <c r="K2186" t="str">
        <f t="shared" si="273"/>
        <v/>
      </c>
      <c r="L2186" t="str">
        <f t="shared" si="274"/>
        <v/>
      </c>
      <c r="M2186" t="str">
        <f t="shared" si="275"/>
        <v/>
      </c>
      <c r="N2186" t="str">
        <f t="shared" si="276"/>
        <v>Invalid</v>
      </c>
      <c r="O2186" t="str">
        <f t="shared" ca="1" si="277"/>
        <v>Outdated</v>
      </c>
      <c r="P2186" t="str">
        <f t="shared" si="278"/>
        <v>Wrong Item</v>
      </c>
      <c r="Q2186" t="str">
        <f t="shared" si="279"/>
        <v/>
      </c>
    </row>
    <row r="2187" spans="1:17" x14ac:dyDescent="0.45">
      <c r="A2187" t="s">
        <v>3007</v>
      </c>
      <c r="B2187" t="s">
        <v>172</v>
      </c>
      <c r="C2187" t="s">
        <v>1731</v>
      </c>
      <c r="D2187" t="s">
        <v>85</v>
      </c>
      <c r="E2187" s="8">
        <v>3961.34</v>
      </c>
      <c r="F2187" s="9">
        <v>45318.666684444448</v>
      </c>
      <c r="G2187" t="s">
        <v>174</v>
      </c>
      <c r="H2187" t="s">
        <v>87</v>
      </c>
      <c r="I2187" t="s">
        <v>163</v>
      </c>
      <c r="J2187" t="str">
        <f t="shared" si="272"/>
        <v/>
      </c>
      <c r="K2187" t="str">
        <f t="shared" si="273"/>
        <v/>
      </c>
      <c r="L2187" t="str">
        <f t="shared" si="274"/>
        <v/>
      </c>
      <c r="M2187" t="str">
        <f t="shared" si="275"/>
        <v/>
      </c>
      <c r="N2187" t="str">
        <f t="shared" si="276"/>
        <v>Invalid</v>
      </c>
      <c r="O2187" t="str">
        <f t="shared" ca="1" si="277"/>
        <v>Outdated</v>
      </c>
      <c r="P2187" t="str">
        <f t="shared" si="278"/>
        <v>Late Delivery</v>
      </c>
      <c r="Q2187" t="str">
        <f t="shared" si="279"/>
        <v/>
      </c>
    </row>
    <row r="2188" spans="1:17" x14ac:dyDescent="0.45">
      <c r="A2188" t="s">
        <v>3008</v>
      </c>
      <c r="B2188" t="s">
        <v>99</v>
      </c>
      <c r="C2188" t="s">
        <v>289</v>
      </c>
      <c r="D2188" t="s">
        <v>85</v>
      </c>
      <c r="E2188" s="8">
        <v>6693.63</v>
      </c>
      <c r="F2188" s="9">
        <v>45639.666684444448</v>
      </c>
      <c r="G2188" t="s">
        <v>102</v>
      </c>
      <c r="I2188" t="s">
        <v>119</v>
      </c>
      <c r="J2188" t="str">
        <f t="shared" si="272"/>
        <v/>
      </c>
      <c r="K2188" t="str">
        <f t="shared" si="273"/>
        <v/>
      </c>
      <c r="L2188" t="str">
        <f t="shared" si="274"/>
        <v/>
      </c>
      <c r="M2188" t="str">
        <f t="shared" si="275"/>
        <v/>
      </c>
      <c r="N2188" t="str">
        <f t="shared" si="276"/>
        <v>Invalid</v>
      </c>
      <c r="O2188" t="str">
        <f t="shared" ca="1" si="277"/>
        <v>Outdated</v>
      </c>
      <c r="P2188" t="str">
        <f t="shared" si="278"/>
        <v>Late Delivery</v>
      </c>
      <c r="Q2188" t="str">
        <f t="shared" si="279"/>
        <v/>
      </c>
    </row>
    <row r="2189" spans="1:17" x14ac:dyDescent="0.45">
      <c r="A2189" t="s">
        <v>3009</v>
      </c>
      <c r="B2189" t="s">
        <v>79</v>
      </c>
      <c r="C2189" t="s">
        <v>1736</v>
      </c>
      <c r="D2189" t="s">
        <v>155</v>
      </c>
      <c r="E2189" s="8">
        <v>2686.87</v>
      </c>
      <c r="F2189" s="9">
        <v>45658.666684444448</v>
      </c>
      <c r="G2189" t="s">
        <v>86</v>
      </c>
      <c r="H2189" t="s">
        <v>116</v>
      </c>
      <c r="I2189" t="s">
        <v>112</v>
      </c>
      <c r="J2189" t="str">
        <f t="shared" si="272"/>
        <v/>
      </c>
      <c r="K2189" t="str">
        <f t="shared" si="273"/>
        <v/>
      </c>
      <c r="L2189" t="str">
        <f t="shared" si="274"/>
        <v/>
      </c>
      <c r="M2189" t="str">
        <f t="shared" si="275"/>
        <v/>
      </c>
      <c r="N2189" t="str">
        <f t="shared" si="276"/>
        <v/>
      </c>
      <c r="O2189" t="str">
        <f t="shared" ca="1" si="277"/>
        <v>Outdated</v>
      </c>
      <c r="P2189" t="str">
        <f t="shared" si="278"/>
        <v>Damaged</v>
      </c>
      <c r="Q2189" t="str">
        <f t="shared" si="279"/>
        <v>Inconsistent</v>
      </c>
    </row>
    <row r="2190" spans="1:17" x14ac:dyDescent="0.45">
      <c r="A2190" t="s">
        <v>3010</v>
      </c>
      <c r="B2190" t="s">
        <v>138</v>
      </c>
      <c r="C2190" t="s">
        <v>1025</v>
      </c>
      <c r="D2190" t="s">
        <v>92</v>
      </c>
      <c r="E2190" s="8">
        <v>7189.42</v>
      </c>
      <c r="F2190" s="9">
        <v>45524.666684444448</v>
      </c>
      <c r="G2190" t="s">
        <v>140</v>
      </c>
      <c r="H2190" t="s">
        <v>118</v>
      </c>
      <c r="I2190" t="s">
        <v>88</v>
      </c>
      <c r="J2190" t="str">
        <f t="shared" si="272"/>
        <v/>
      </c>
      <c r="K2190" t="str">
        <f t="shared" si="273"/>
        <v/>
      </c>
      <c r="L2190" t="str">
        <f t="shared" si="274"/>
        <v/>
      </c>
      <c r="M2190" t="str">
        <f t="shared" si="275"/>
        <v/>
      </c>
      <c r="N2190" t="str">
        <f t="shared" si="276"/>
        <v>Invalid</v>
      </c>
      <c r="O2190" t="str">
        <f t="shared" ca="1" si="277"/>
        <v>Outdated</v>
      </c>
      <c r="P2190" t="str">
        <f t="shared" si="278"/>
        <v>Not As Described</v>
      </c>
      <c r="Q2190" t="str">
        <f t="shared" si="279"/>
        <v/>
      </c>
    </row>
    <row r="2191" spans="1:17" x14ac:dyDescent="0.45">
      <c r="A2191" t="s">
        <v>3011</v>
      </c>
      <c r="B2191" t="s">
        <v>172</v>
      </c>
      <c r="C2191" t="s">
        <v>191</v>
      </c>
      <c r="D2191" t="s">
        <v>155</v>
      </c>
      <c r="E2191" s="8">
        <v>1075.3599999999999</v>
      </c>
      <c r="F2191" s="9">
        <v>45703.666684444448</v>
      </c>
      <c r="H2191" t="s">
        <v>87</v>
      </c>
      <c r="I2191" t="s">
        <v>82</v>
      </c>
      <c r="J2191" t="str">
        <f t="shared" si="272"/>
        <v/>
      </c>
      <c r="K2191" t="str">
        <f t="shared" si="273"/>
        <v/>
      </c>
      <c r="L2191" t="str">
        <f t="shared" si="274"/>
        <v/>
      </c>
      <c r="M2191" t="str">
        <f t="shared" si="275"/>
        <v>Invalid</v>
      </c>
      <c r="N2191" t="str">
        <f t="shared" si="276"/>
        <v>Invalid</v>
      </c>
      <c r="O2191" t="str">
        <f t="shared" ca="1" si="277"/>
        <v>Outdated</v>
      </c>
      <c r="P2191" t="str">
        <f t="shared" si="278"/>
        <v>Damaged</v>
      </c>
      <c r="Q2191" t="str">
        <f t="shared" si="279"/>
        <v>Inconsistent</v>
      </c>
    </row>
    <row r="2192" spans="1:17" x14ac:dyDescent="0.45">
      <c r="A2192" t="s">
        <v>3012</v>
      </c>
      <c r="B2192" t="s">
        <v>79</v>
      </c>
      <c r="C2192" t="s">
        <v>3013</v>
      </c>
      <c r="D2192" t="s">
        <v>155</v>
      </c>
      <c r="E2192" s="8">
        <v>9919.7000000000007</v>
      </c>
      <c r="F2192" s="9">
        <v>45248.666684444448</v>
      </c>
      <c r="H2192" t="s">
        <v>133</v>
      </c>
      <c r="I2192" t="s">
        <v>112</v>
      </c>
      <c r="J2192" t="str">
        <f t="shared" si="272"/>
        <v/>
      </c>
      <c r="K2192" t="str">
        <f t="shared" si="273"/>
        <v/>
      </c>
      <c r="L2192" t="str">
        <f t="shared" si="274"/>
        <v/>
      </c>
      <c r="M2192" t="str">
        <f t="shared" si="275"/>
        <v>Invalid</v>
      </c>
      <c r="N2192" t="str">
        <f t="shared" si="276"/>
        <v>Invalid</v>
      </c>
      <c r="O2192" t="str">
        <f t="shared" ca="1" si="277"/>
        <v>Outdated</v>
      </c>
      <c r="P2192" t="str">
        <f t="shared" si="278"/>
        <v>Damaged</v>
      </c>
      <c r="Q2192" t="str">
        <f t="shared" si="279"/>
        <v>Inconsistent</v>
      </c>
    </row>
    <row r="2193" spans="1:17" x14ac:dyDescent="0.45">
      <c r="A2193" t="s">
        <v>3014</v>
      </c>
      <c r="B2193" t="s">
        <v>104</v>
      </c>
      <c r="C2193" t="s">
        <v>2715</v>
      </c>
      <c r="D2193" t="s">
        <v>85</v>
      </c>
      <c r="E2193" s="8">
        <v>5345.5</v>
      </c>
      <c r="F2193" s="9">
        <v>45396.666684444448</v>
      </c>
      <c r="G2193" t="s">
        <v>115</v>
      </c>
      <c r="H2193" t="s">
        <v>136</v>
      </c>
      <c r="I2193" t="s">
        <v>88</v>
      </c>
      <c r="J2193" t="str">
        <f t="shared" si="272"/>
        <v/>
      </c>
      <c r="K2193" t="str">
        <f t="shared" si="273"/>
        <v/>
      </c>
      <c r="L2193" t="str">
        <f t="shared" si="274"/>
        <v/>
      </c>
      <c r="M2193" t="str">
        <f t="shared" si="275"/>
        <v/>
      </c>
      <c r="N2193" t="str">
        <f t="shared" si="276"/>
        <v>Invalid</v>
      </c>
      <c r="O2193" t="str">
        <f t="shared" ca="1" si="277"/>
        <v>Outdated</v>
      </c>
      <c r="P2193" t="str">
        <f t="shared" si="278"/>
        <v>Late Delivery</v>
      </c>
      <c r="Q2193" t="str">
        <f t="shared" si="279"/>
        <v/>
      </c>
    </row>
    <row r="2194" spans="1:17" x14ac:dyDescent="0.45">
      <c r="A2194" t="s">
        <v>3015</v>
      </c>
      <c r="B2194" t="s">
        <v>172</v>
      </c>
      <c r="C2194" t="s">
        <v>436</v>
      </c>
      <c r="D2194" t="s">
        <v>85</v>
      </c>
      <c r="E2194" s="8">
        <v>10410.69</v>
      </c>
      <c r="F2194" s="9">
        <v>45394.666684444448</v>
      </c>
      <c r="G2194" t="s">
        <v>174</v>
      </c>
      <c r="H2194" t="s">
        <v>116</v>
      </c>
      <c r="I2194" t="s">
        <v>88</v>
      </c>
      <c r="J2194" t="str">
        <f t="shared" si="272"/>
        <v/>
      </c>
      <c r="K2194" t="str">
        <f t="shared" si="273"/>
        <v/>
      </c>
      <c r="L2194" t="str">
        <f t="shared" si="274"/>
        <v>Unusual</v>
      </c>
      <c r="M2194" t="str">
        <f t="shared" si="275"/>
        <v/>
      </c>
      <c r="N2194" t="str">
        <f t="shared" si="276"/>
        <v/>
      </c>
      <c r="O2194" t="str">
        <f t="shared" ca="1" si="277"/>
        <v>Outdated</v>
      </c>
      <c r="P2194" t="str">
        <f t="shared" si="278"/>
        <v>Late Delivery</v>
      </c>
      <c r="Q2194" t="str">
        <f t="shared" si="279"/>
        <v/>
      </c>
    </row>
    <row r="2195" spans="1:17" x14ac:dyDescent="0.45">
      <c r="A2195" t="s">
        <v>3016</v>
      </c>
      <c r="B2195" t="s">
        <v>79</v>
      </c>
      <c r="C2195" t="s">
        <v>2808</v>
      </c>
      <c r="D2195" t="s">
        <v>85</v>
      </c>
      <c r="E2195" s="8">
        <v>0</v>
      </c>
      <c r="F2195" s="9">
        <v>45848.666684444448</v>
      </c>
      <c r="G2195" t="s">
        <v>278</v>
      </c>
      <c r="H2195" t="s">
        <v>87</v>
      </c>
      <c r="I2195" t="s">
        <v>82</v>
      </c>
      <c r="J2195" t="str">
        <f t="shared" si="272"/>
        <v/>
      </c>
      <c r="K2195" t="str">
        <f t="shared" si="273"/>
        <v/>
      </c>
      <c r="L2195" t="str">
        <f t="shared" si="274"/>
        <v>Unusual</v>
      </c>
      <c r="M2195" t="str">
        <f t="shared" si="275"/>
        <v>Invalid</v>
      </c>
      <c r="N2195" t="str">
        <f t="shared" si="276"/>
        <v>Invalid</v>
      </c>
      <c r="O2195" t="str">
        <f t="shared" ca="1" si="277"/>
        <v/>
      </c>
      <c r="P2195" t="str">
        <f t="shared" si="278"/>
        <v>Late Delivery</v>
      </c>
      <c r="Q2195" t="str">
        <f t="shared" si="279"/>
        <v/>
      </c>
    </row>
    <row r="2196" spans="1:17" x14ac:dyDescent="0.45">
      <c r="A2196" t="s">
        <v>3017</v>
      </c>
      <c r="B2196" t="s">
        <v>95</v>
      </c>
      <c r="C2196" t="s">
        <v>1028</v>
      </c>
      <c r="D2196" t="s">
        <v>106</v>
      </c>
      <c r="E2196" s="8">
        <v>10241.77</v>
      </c>
      <c r="F2196" s="9">
        <v>45584.666684444448</v>
      </c>
      <c r="G2196" t="s">
        <v>97</v>
      </c>
      <c r="H2196" t="s">
        <v>107</v>
      </c>
      <c r="I2196" t="s">
        <v>112</v>
      </c>
      <c r="J2196" t="str">
        <f t="shared" si="272"/>
        <v/>
      </c>
      <c r="K2196" t="str">
        <f t="shared" si="273"/>
        <v/>
      </c>
      <c r="L2196" t="str">
        <f t="shared" si="274"/>
        <v>Unusual</v>
      </c>
      <c r="M2196" t="str">
        <f t="shared" si="275"/>
        <v/>
      </c>
      <c r="N2196" t="str">
        <f t="shared" si="276"/>
        <v/>
      </c>
      <c r="O2196" t="str">
        <f t="shared" ca="1" si="277"/>
        <v>Outdated</v>
      </c>
      <c r="P2196" t="str">
        <f t="shared" si="278"/>
        <v>Damaged</v>
      </c>
      <c r="Q2196" t="str">
        <f t="shared" si="279"/>
        <v>Inconsistent</v>
      </c>
    </row>
    <row r="2197" spans="1:17" x14ac:dyDescent="0.45">
      <c r="A2197" t="s">
        <v>3018</v>
      </c>
      <c r="B2197" t="s">
        <v>99</v>
      </c>
      <c r="C2197" t="s">
        <v>932</v>
      </c>
      <c r="D2197" t="s">
        <v>92</v>
      </c>
      <c r="E2197" s="8">
        <v>3628.6</v>
      </c>
      <c r="F2197" s="9">
        <v>45347.666684444448</v>
      </c>
      <c r="G2197" t="s">
        <v>285</v>
      </c>
      <c r="I2197" t="s">
        <v>88</v>
      </c>
      <c r="J2197" t="str">
        <f t="shared" si="272"/>
        <v/>
      </c>
      <c r="K2197" t="str">
        <f t="shared" si="273"/>
        <v/>
      </c>
      <c r="L2197" t="str">
        <f t="shared" si="274"/>
        <v/>
      </c>
      <c r="M2197" t="str">
        <f t="shared" si="275"/>
        <v>Invalid</v>
      </c>
      <c r="N2197" t="str">
        <f t="shared" si="276"/>
        <v>Invalid</v>
      </c>
      <c r="O2197" t="str">
        <f t="shared" ca="1" si="277"/>
        <v>Outdated</v>
      </c>
      <c r="P2197" t="str">
        <f t="shared" si="278"/>
        <v>Not As Described</v>
      </c>
      <c r="Q2197" t="str">
        <f t="shared" si="279"/>
        <v/>
      </c>
    </row>
    <row r="2198" spans="1:17" x14ac:dyDescent="0.45">
      <c r="A2198" t="s">
        <v>3019</v>
      </c>
      <c r="B2198" t="s">
        <v>90</v>
      </c>
      <c r="C2198" t="s">
        <v>2221</v>
      </c>
      <c r="D2198" t="s">
        <v>74</v>
      </c>
      <c r="E2198" s="8">
        <v>4029.44</v>
      </c>
      <c r="F2198" s="9">
        <v>45754.666684444448</v>
      </c>
      <c r="G2198" t="s">
        <v>93</v>
      </c>
      <c r="H2198" t="s">
        <v>145</v>
      </c>
      <c r="I2198" t="s">
        <v>88</v>
      </c>
      <c r="J2198" t="str">
        <f t="shared" si="272"/>
        <v/>
      </c>
      <c r="K2198" t="str">
        <f t="shared" si="273"/>
        <v/>
      </c>
      <c r="L2198" t="str">
        <f t="shared" si="274"/>
        <v/>
      </c>
      <c r="M2198" t="str">
        <f t="shared" si="275"/>
        <v/>
      </c>
      <c r="N2198" t="str">
        <f t="shared" si="276"/>
        <v/>
      </c>
      <c r="O2198" t="str">
        <f t="shared" ca="1" si="277"/>
        <v>Outdated</v>
      </c>
      <c r="P2198" t="str">
        <f t="shared" si="278"/>
        <v>Wrong Item</v>
      </c>
      <c r="Q2198" t="str">
        <f t="shared" si="279"/>
        <v/>
      </c>
    </row>
    <row r="2199" spans="1:17" x14ac:dyDescent="0.45">
      <c r="A2199" t="s">
        <v>3020</v>
      </c>
      <c r="B2199" t="s">
        <v>72</v>
      </c>
      <c r="C2199" t="s">
        <v>2712</v>
      </c>
      <c r="D2199" t="s">
        <v>92</v>
      </c>
      <c r="E2199" s="8">
        <v>0</v>
      </c>
      <c r="F2199" s="9">
        <v>45420.666684444448</v>
      </c>
      <c r="G2199" t="s">
        <v>75</v>
      </c>
      <c r="H2199" t="s">
        <v>76</v>
      </c>
      <c r="I2199" t="s">
        <v>88</v>
      </c>
      <c r="J2199" t="str">
        <f t="shared" si="272"/>
        <v/>
      </c>
      <c r="K2199" t="str">
        <f t="shared" si="273"/>
        <v/>
      </c>
      <c r="L2199" t="str">
        <f t="shared" si="274"/>
        <v>Unusual</v>
      </c>
      <c r="M2199" t="str">
        <f t="shared" si="275"/>
        <v/>
      </c>
      <c r="N2199" t="str">
        <f t="shared" si="276"/>
        <v/>
      </c>
      <c r="O2199" t="str">
        <f t="shared" ca="1" si="277"/>
        <v>Outdated</v>
      </c>
      <c r="P2199" t="str">
        <f t="shared" si="278"/>
        <v>Not As Described</v>
      </c>
      <c r="Q2199" t="str">
        <f t="shared" si="279"/>
        <v/>
      </c>
    </row>
    <row r="2200" spans="1:17" x14ac:dyDescent="0.45">
      <c r="A2200" t="s">
        <v>3021</v>
      </c>
      <c r="B2200" t="s">
        <v>79</v>
      </c>
      <c r="C2200" t="s">
        <v>827</v>
      </c>
      <c r="D2200" t="s">
        <v>74</v>
      </c>
      <c r="E2200" s="8">
        <v>7105.48</v>
      </c>
      <c r="F2200" s="9">
        <v>45838.666684444448</v>
      </c>
      <c r="G2200" t="s">
        <v>86</v>
      </c>
      <c r="H2200" t="s">
        <v>128</v>
      </c>
      <c r="I2200" t="s">
        <v>82</v>
      </c>
      <c r="J2200" t="str">
        <f t="shared" si="272"/>
        <v/>
      </c>
      <c r="K2200" t="str">
        <f t="shared" si="273"/>
        <v/>
      </c>
      <c r="L2200" t="str">
        <f t="shared" si="274"/>
        <v/>
      </c>
      <c r="M2200" t="str">
        <f t="shared" si="275"/>
        <v/>
      </c>
      <c r="N2200" t="str">
        <f t="shared" si="276"/>
        <v>Invalid</v>
      </c>
      <c r="O2200" t="str">
        <f t="shared" ca="1" si="277"/>
        <v>Outdated</v>
      </c>
      <c r="P2200" t="str">
        <f t="shared" si="278"/>
        <v>Wrong Item</v>
      </c>
      <c r="Q2200" t="str">
        <f t="shared" si="279"/>
        <v/>
      </c>
    </row>
    <row r="2201" spans="1:17" x14ac:dyDescent="0.45">
      <c r="A2201" t="s">
        <v>3022</v>
      </c>
      <c r="B2201" t="s">
        <v>90</v>
      </c>
      <c r="C2201" t="s">
        <v>635</v>
      </c>
      <c r="D2201" t="s">
        <v>101</v>
      </c>
      <c r="E2201" s="8">
        <v>9903.6200000000008</v>
      </c>
      <c r="F2201" s="9">
        <v>45630.666684444448</v>
      </c>
      <c r="G2201" t="s">
        <v>93</v>
      </c>
      <c r="I2201" t="s">
        <v>119</v>
      </c>
      <c r="J2201" t="str">
        <f t="shared" si="272"/>
        <v/>
      </c>
      <c r="K2201" t="str">
        <f t="shared" si="273"/>
        <v/>
      </c>
      <c r="L2201" t="str">
        <f t="shared" si="274"/>
        <v/>
      </c>
      <c r="M2201" t="str">
        <f t="shared" si="275"/>
        <v/>
      </c>
      <c r="N2201" t="str">
        <f t="shared" si="276"/>
        <v>Invalid</v>
      </c>
      <c r="O2201" t="str">
        <f t="shared" ca="1" si="277"/>
        <v>Outdated</v>
      </c>
      <c r="P2201" t="str">
        <f t="shared" si="278"/>
        <v>Damaged</v>
      </c>
      <c r="Q2201" t="str">
        <f t="shared" si="279"/>
        <v/>
      </c>
    </row>
    <row r="2202" spans="1:17" x14ac:dyDescent="0.45">
      <c r="A2202" t="s">
        <v>3023</v>
      </c>
      <c r="B2202" t="s">
        <v>172</v>
      </c>
      <c r="C2202" t="s">
        <v>3024</v>
      </c>
      <c r="D2202" t="s">
        <v>74</v>
      </c>
      <c r="E2202" s="8">
        <v>0</v>
      </c>
      <c r="F2202" s="9">
        <v>45332.666684444448</v>
      </c>
      <c r="G2202" t="s">
        <v>174</v>
      </c>
      <c r="H2202" t="s">
        <v>128</v>
      </c>
      <c r="I2202" t="s">
        <v>163</v>
      </c>
      <c r="J2202" t="str">
        <f t="shared" si="272"/>
        <v/>
      </c>
      <c r="K2202" t="str">
        <f t="shared" si="273"/>
        <v/>
      </c>
      <c r="L2202" t="str">
        <f t="shared" si="274"/>
        <v>Unusual</v>
      </c>
      <c r="M2202" t="str">
        <f t="shared" si="275"/>
        <v/>
      </c>
      <c r="N2202" t="str">
        <f t="shared" si="276"/>
        <v>Invalid</v>
      </c>
      <c r="O2202" t="str">
        <f t="shared" ca="1" si="277"/>
        <v>Outdated</v>
      </c>
      <c r="P2202" t="str">
        <f t="shared" si="278"/>
        <v>Wrong Item</v>
      </c>
      <c r="Q2202" t="str">
        <f t="shared" si="279"/>
        <v/>
      </c>
    </row>
    <row r="2203" spans="1:17" x14ac:dyDescent="0.45">
      <c r="A2203" t="s">
        <v>3025</v>
      </c>
      <c r="B2203" t="s">
        <v>90</v>
      </c>
      <c r="D2203" t="s">
        <v>92</v>
      </c>
      <c r="E2203" s="8">
        <v>3733.45</v>
      </c>
      <c r="F2203" s="9">
        <v>45253.666684444448</v>
      </c>
      <c r="G2203" t="s">
        <v>93</v>
      </c>
      <c r="H2203" t="s">
        <v>81</v>
      </c>
      <c r="I2203" t="s">
        <v>112</v>
      </c>
      <c r="J2203" t="str">
        <f t="shared" si="272"/>
        <v>Missing</v>
      </c>
      <c r="K2203" t="str">
        <f t="shared" si="273"/>
        <v/>
      </c>
      <c r="L2203" t="str">
        <f t="shared" si="274"/>
        <v/>
      </c>
      <c r="M2203" t="str">
        <f t="shared" si="275"/>
        <v/>
      </c>
      <c r="N2203" t="str">
        <f t="shared" si="276"/>
        <v/>
      </c>
      <c r="O2203" t="str">
        <f t="shared" ca="1" si="277"/>
        <v>Outdated</v>
      </c>
      <c r="P2203" t="str">
        <f t="shared" si="278"/>
        <v>Not As Described</v>
      </c>
      <c r="Q2203" t="str">
        <f t="shared" si="279"/>
        <v/>
      </c>
    </row>
    <row r="2204" spans="1:17" x14ac:dyDescent="0.45">
      <c r="A2204" t="s">
        <v>3026</v>
      </c>
      <c r="B2204" t="s">
        <v>104</v>
      </c>
      <c r="C2204" t="s">
        <v>2100</v>
      </c>
      <c r="D2204" t="s">
        <v>148</v>
      </c>
      <c r="E2204" s="8">
        <v>7905.43</v>
      </c>
      <c r="F2204" s="9">
        <v>45266.666684444448</v>
      </c>
      <c r="G2204" t="s">
        <v>115</v>
      </c>
      <c r="H2204" t="s">
        <v>76</v>
      </c>
      <c r="I2204" t="s">
        <v>163</v>
      </c>
      <c r="J2204" t="str">
        <f t="shared" si="272"/>
        <v/>
      </c>
      <c r="K2204" t="str">
        <f t="shared" si="273"/>
        <v/>
      </c>
      <c r="L2204" t="str">
        <f t="shared" si="274"/>
        <v/>
      </c>
      <c r="M2204" t="str">
        <f t="shared" si="275"/>
        <v/>
      </c>
      <c r="N2204" t="str">
        <f t="shared" si="276"/>
        <v/>
      </c>
      <c r="O2204" t="str">
        <f t="shared" ca="1" si="277"/>
        <v>Outdated</v>
      </c>
      <c r="P2204" t="str">
        <f t="shared" si="278"/>
        <v>Wrong Item</v>
      </c>
      <c r="Q2204" t="str">
        <f t="shared" si="279"/>
        <v>Inconsistent</v>
      </c>
    </row>
    <row r="2205" spans="1:17" x14ac:dyDescent="0.45">
      <c r="A2205" t="s">
        <v>3027</v>
      </c>
      <c r="B2205" t="s">
        <v>109</v>
      </c>
      <c r="C2205" t="s">
        <v>1395</v>
      </c>
      <c r="D2205" t="s">
        <v>101</v>
      </c>
      <c r="E2205" s="8">
        <v>5935.08</v>
      </c>
      <c r="F2205" s="9">
        <v>45203.666684444448</v>
      </c>
      <c r="G2205" t="s">
        <v>307</v>
      </c>
      <c r="H2205" t="s">
        <v>133</v>
      </c>
      <c r="I2205" t="s">
        <v>77</v>
      </c>
      <c r="J2205" t="str">
        <f t="shared" si="272"/>
        <v/>
      </c>
      <c r="K2205" t="str">
        <f t="shared" si="273"/>
        <v/>
      </c>
      <c r="L2205" t="str">
        <f t="shared" si="274"/>
        <v/>
      </c>
      <c r="M2205" t="str">
        <f t="shared" si="275"/>
        <v>Invalid</v>
      </c>
      <c r="N2205" t="str">
        <f t="shared" si="276"/>
        <v>Invalid</v>
      </c>
      <c r="O2205" t="str">
        <f t="shared" ca="1" si="277"/>
        <v>Outdated</v>
      </c>
      <c r="P2205" t="str">
        <f t="shared" si="278"/>
        <v>Damaged</v>
      </c>
      <c r="Q2205" t="str">
        <f t="shared" si="279"/>
        <v/>
      </c>
    </row>
    <row r="2206" spans="1:17" x14ac:dyDescent="0.45">
      <c r="A2206" t="s">
        <v>3028</v>
      </c>
      <c r="B2206" t="s">
        <v>109</v>
      </c>
      <c r="C2206" t="s">
        <v>2402</v>
      </c>
      <c r="D2206" t="s">
        <v>74</v>
      </c>
      <c r="E2206" s="8">
        <v>4583.8</v>
      </c>
      <c r="F2206" s="9">
        <v>45590.666684444448</v>
      </c>
      <c r="G2206" t="s">
        <v>111</v>
      </c>
      <c r="H2206" t="s">
        <v>116</v>
      </c>
      <c r="I2206" t="s">
        <v>119</v>
      </c>
      <c r="J2206" t="str">
        <f t="shared" si="272"/>
        <v/>
      </c>
      <c r="K2206" t="str">
        <f t="shared" si="273"/>
        <v/>
      </c>
      <c r="L2206" t="str">
        <f t="shared" si="274"/>
        <v/>
      </c>
      <c r="M2206" t="str">
        <f t="shared" si="275"/>
        <v/>
      </c>
      <c r="N2206" t="str">
        <f t="shared" si="276"/>
        <v/>
      </c>
      <c r="O2206" t="str">
        <f t="shared" ca="1" si="277"/>
        <v>Outdated</v>
      </c>
      <c r="P2206" t="str">
        <f t="shared" si="278"/>
        <v>Wrong Item</v>
      </c>
      <c r="Q2206" t="str">
        <f t="shared" si="279"/>
        <v/>
      </c>
    </row>
    <row r="2207" spans="1:17" x14ac:dyDescent="0.45">
      <c r="A2207" t="s">
        <v>3029</v>
      </c>
      <c r="B2207" t="s">
        <v>99</v>
      </c>
      <c r="C2207" t="s">
        <v>847</v>
      </c>
      <c r="D2207" t="s">
        <v>101</v>
      </c>
      <c r="E2207" s="8">
        <v>5615.82</v>
      </c>
      <c r="F2207" s="9">
        <v>45304.666684444448</v>
      </c>
      <c r="G2207" t="s">
        <v>102</v>
      </c>
      <c r="H2207" t="s">
        <v>107</v>
      </c>
      <c r="I2207" t="s">
        <v>163</v>
      </c>
      <c r="J2207" t="str">
        <f t="shared" si="272"/>
        <v/>
      </c>
      <c r="K2207" t="str">
        <f t="shared" si="273"/>
        <v/>
      </c>
      <c r="L2207" t="str">
        <f t="shared" si="274"/>
        <v/>
      </c>
      <c r="M2207" t="str">
        <f t="shared" si="275"/>
        <v/>
      </c>
      <c r="N2207" t="str">
        <f t="shared" si="276"/>
        <v/>
      </c>
      <c r="O2207" t="str">
        <f t="shared" ca="1" si="277"/>
        <v>Outdated</v>
      </c>
      <c r="P2207" t="str">
        <f t="shared" si="278"/>
        <v>Damaged</v>
      </c>
      <c r="Q2207" t="str">
        <f t="shared" si="279"/>
        <v/>
      </c>
    </row>
    <row r="2208" spans="1:17" x14ac:dyDescent="0.45">
      <c r="A2208" t="s">
        <v>3030</v>
      </c>
      <c r="B2208" t="s">
        <v>79</v>
      </c>
      <c r="C2208" t="s">
        <v>2877</v>
      </c>
      <c r="D2208" t="s">
        <v>92</v>
      </c>
      <c r="E2208" s="8">
        <v>7794.13</v>
      </c>
      <c r="F2208" s="9">
        <v>45858.666684444448</v>
      </c>
      <c r="G2208" t="s">
        <v>86</v>
      </c>
      <c r="H2208" t="s">
        <v>136</v>
      </c>
      <c r="I2208" t="s">
        <v>88</v>
      </c>
      <c r="J2208" t="str">
        <f t="shared" si="272"/>
        <v/>
      </c>
      <c r="K2208" t="str">
        <f t="shared" si="273"/>
        <v/>
      </c>
      <c r="L2208" t="str">
        <f t="shared" si="274"/>
        <v/>
      </c>
      <c r="M2208" t="str">
        <f t="shared" si="275"/>
        <v/>
      </c>
      <c r="N2208" t="str">
        <f t="shared" si="276"/>
        <v>Invalid</v>
      </c>
      <c r="O2208" t="str">
        <f t="shared" ca="1" si="277"/>
        <v/>
      </c>
      <c r="P2208" t="str">
        <f t="shared" si="278"/>
        <v>Not As Described</v>
      </c>
      <c r="Q2208" t="str">
        <f t="shared" si="279"/>
        <v/>
      </c>
    </row>
    <row r="2209" spans="1:17" x14ac:dyDescent="0.45">
      <c r="A2209" t="s">
        <v>3031</v>
      </c>
      <c r="B2209" t="s">
        <v>104</v>
      </c>
      <c r="D2209" t="s">
        <v>101</v>
      </c>
      <c r="E2209" s="8">
        <v>0</v>
      </c>
      <c r="F2209" s="9">
        <v>45583.666684444448</v>
      </c>
      <c r="G2209" t="s">
        <v>115</v>
      </c>
      <c r="H2209" t="s">
        <v>128</v>
      </c>
      <c r="I2209" t="s">
        <v>163</v>
      </c>
      <c r="J2209" t="str">
        <f t="shared" si="272"/>
        <v>Missing</v>
      </c>
      <c r="K2209" t="str">
        <f t="shared" si="273"/>
        <v/>
      </c>
      <c r="L2209" t="str">
        <f t="shared" si="274"/>
        <v>Unusual</v>
      </c>
      <c r="M2209" t="str">
        <f t="shared" si="275"/>
        <v/>
      </c>
      <c r="N2209" t="str">
        <f t="shared" si="276"/>
        <v>Invalid</v>
      </c>
      <c r="O2209" t="str">
        <f t="shared" ca="1" si="277"/>
        <v>Outdated</v>
      </c>
      <c r="P2209" t="str">
        <f t="shared" si="278"/>
        <v>Damaged</v>
      </c>
      <c r="Q2209" t="str">
        <f t="shared" si="279"/>
        <v/>
      </c>
    </row>
    <row r="2210" spans="1:17" x14ac:dyDescent="0.45">
      <c r="A2210" t="s">
        <v>3032</v>
      </c>
      <c r="B2210" t="s">
        <v>72</v>
      </c>
      <c r="D2210" t="s">
        <v>101</v>
      </c>
      <c r="E2210" s="8">
        <v>8520.35</v>
      </c>
      <c r="F2210" s="9">
        <v>45217.666684444448</v>
      </c>
      <c r="G2210" t="s">
        <v>75</v>
      </c>
      <c r="H2210" t="s">
        <v>133</v>
      </c>
      <c r="I2210" t="s">
        <v>119</v>
      </c>
      <c r="J2210" t="str">
        <f t="shared" si="272"/>
        <v>Missing</v>
      </c>
      <c r="K2210" t="str">
        <f t="shared" si="273"/>
        <v/>
      </c>
      <c r="L2210" t="str">
        <f t="shared" si="274"/>
        <v/>
      </c>
      <c r="M2210" t="str">
        <f t="shared" si="275"/>
        <v/>
      </c>
      <c r="N2210" t="str">
        <f t="shared" si="276"/>
        <v>Invalid</v>
      </c>
      <c r="O2210" t="str">
        <f t="shared" ca="1" si="277"/>
        <v>Outdated</v>
      </c>
      <c r="P2210" t="str">
        <f t="shared" si="278"/>
        <v>Damaged</v>
      </c>
      <c r="Q2210" t="str">
        <f t="shared" si="279"/>
        <v/>
      </c>
    </row>
    <row r="2211" spans="1:17" x14ac:dyDescent="0.45">
      <c r="A2211" t="s">
        <v>3033</v>
      </c>
      <c r="B2211" t="s">
        <v>138</v>
      </c>
      <c r="C2211" t="s">
        <v>2679</v>
      </c>
      <c r="D2211" t="s">
        <v>74</v>
      </c>
      <c r="E2211" s="8">
        <v>0</v>
      </c>
      <c r="F2211" s="9">
        <v>45826.666684444448</v>
      </c>
      <c r="G2211" t="s">
        <v>194</v>
      </c>
      <c r="H2211" t="s">
        <v>76</v>
      </c>
      <c r="I2211" t="s">
        <v>119</v>
      </c>
      <c r="J2211" t="str">
        <f t="shared" si="272"/>
        <v/>
      </c>
      <c r="K2211" t="str">
        <f t="shared" si="273"/>
        <v/>
      </c>
      <c r="L2211" t="str">
        <f t="shared" si="274"/>
        <v>Unusual</v>
      </c>
      <c r="M2211" t="str">
        <f t="shared" si="275"/>
        <v>Invalid</v>
      </c>
      <c r="N2211" t="str">
        <f t="shared" si="276"/>
        <v/>
      </c>
      <c r="O2211" t="str">
        <f t="shared" ca="1" si="277"/>
        <v>Outdated</v>
      </c>
      <c r="P2211" t="str">
        <f t="shared" si="278"/>
        <v>Wrong Item</v>
      </c>
      <c r="Q2211" t="str">
        <f t="shared" si="279"/>
        <v/>
      </c>
    </row>
    <row r="2212" spans="1:17" x14ac:dyDescent="0.45">
      <c r="A2212" t="s">
        <v>3034</v>
      </c>
      <c r="B2212" t="s">
        <v>99</v>
      </c>
      <c r="C2212" t="s">
        <v>1500</v>
      </c>
      <c r="D2212" t="s">
        <v>85</v>
      </c>
      <c r="E2212" s="8">
        <v>4014.25</v>
      </c>
      <c r="F2212" s="9">
        <v>45455.666684444448</v>
      </c>
      <c r="G2212" t="s">
        <v>102</v>
      </c>
      <c r="H2212" t="s">
        <v>133</v>
      </c>
      <c r="I2212" t="s">
        <v>119</v>
      </c>
      <c r="J2212" t="str">
        <f t="shared" si="272"/>
        <v/>
      </c>
      <c r="K2212" t="str">
        <f t="shared" si="273"/>
        <v/>
      </c>
      <c r="L2212" t="str">
        <f t="shared" si="274"/>
        <v/>
      </c>
      <c r="M2212" t="str">
        <f t="shared" si="275"/>
        <v/>
      </c>
      <c r="N2212" t="str">
        <f t="shared" si="276"/>
        <v>Invalid</v>
      </c>
      <c r="O2212" t="str">
        <f t="shared" ca="1" si="277"/>
        <v>Outdated</v>
      </c>
      <c r="P2212" t="str">
        <f t="shared" si="278"/>
        <v>Late Delivery</v>
      </c>
      <c r="Q2212" t="str">
        <f t="shared" si="279"/>
        <v/>
      </c>
    </row>
    <row r="2213" spans="1:17" x14ac:dyDescent="0.45">
      <c r="A2213" t="s">
        <v>1710</v>
      </c>
      <c r="B2213" t="s">
        <v>109</v>
      </c>
      <c r="C2213" t="s">
        <v>2501</v>
      </c>
      <c r="D2213" t="s">
        <v>101</v>
      </c>
      <c r="E2213" s="8">
        <v>0</v>
      </c>
      <c r="F2213" s="9">
        <v>45811.666684444448</v>
      </c>
      <c r="G2213" t="s">
        <v>111</v>
      </c>
      <c r="H2213" t="s">
        <v>116</v>
      </c>
      <c r="I2213" t="s">
        <v>82</v>
      </c>
      <c r="J2213" t="str">
        <f t="shared" si="272"/>
        <v/>
      </c>
      <c r="K2213" t="str">
        <f t="shared" si="273"/>
        <v>Duplicate</v>
      </c>
      <c r="L2213" t="str">
        <f t="shared" si="274"/>
        <v>Unusual</v>
      </c>
      <c r="M2213" t="str">
        <f t="shared" si="275"/>
        <v/>
      </c>
      <c r="N2213" t="str">
        <f t="shared" si="276"/>
        <v/>
      </c>
      <c r="O2213" t="str">
        <f t="shared" ca="1" si="277"/>
        <v>Outdated</v>
      </c>
      <c r="P2213" t="str">
        <f t="shared" si="278"/>
        <v>Damaged</v>
      </c>
      <c r="Q2213" t="str">
        <f t="shared" si="279"/>
        <v/>
      </c>
    </row>
    <row r="2214" spans="1:17" x14ac:dyDescent="0.45">
      <c r="A2214" t="s">
        <v>3035</v>
      </c>
      <c r="B2214" t="s">
        <v>95</v>
      </c>
      <c r="D2214" t="s">
        <v>92</v>
      </c>
      <c r="E2214" s="8">
        <v>11291.35</v>
      </c>
      <c r="F2214" s="9">
        <v>45483.666684444448</v>
      </c>
      <c r="H2214" t="s">
        <v>133</v>
      </c>
      <c r="I2214" t="s">
        <v>77</v>
      </c>
      <c r="J2214" t="str">
        <f t="shared" si="272"/>
        <v>Missing</v>
      </c>
      <c r="K2214" t="str">
        <f t="shared" si="273"/>
        <v/>
      </c>
      <c r="L2214" t="str">
        <f t="shared" si="274"/>
        <v>Unusual</v>
      </c>
      <c r="M2214" t="str">
        <f t="shared" si="275"/>
        <v>Invalid</v>
      </c>
      <c r="N2214" t="str">
        <f t="shared" si="276"/>
        <v>Invalid</v>
      </c>
      <c r="O2214" t="str">
        <f t="shared" ca="1" si="277"/>
        <v>Outdated</v>
      </c>
      <c r="P2214" t="str">
        <f t="shared" si="278"/>
        <v>Not As Described</v>
      </c>
      <c r="Q2214" t="str">
        <f t="shared" si="279"/>
        <v/>
      </c>
    </row>
    <row r="2215" spans="1:17" x14ac:dyDescent="0.45">
      <c r="A2215" t="s">
        <v>3036</v>
      </c>
      <c r="B2215" t="s">
        <v>138</v>
      </c>
      <c r="C2215" t="s">
        <v>735</v>
      </c>
      <c r="D2215" t="s">
        <v>74</v>
      </c>
      <c r="E2215" s="8">
        <v>11966.73</v>
      </c>
      <c r="F2215" s="9">
        <v>45854.666684444448</v>
      </c>
      <c r="G2215" t="s">
        <v>140</v>
      </c>
      <c r="H2215" t="s">
        <v>136</v>
      </c>
      <c r="I2215" t="s">
        <v>119</v>
      </c>
      <c r="J2215" t="str">
        <f t="shared" si="272"/>
        <v/>
      </c>
      <c r="K2215" t="str">
        <f t="shared" si="273"/>
        <v/>
      </c>
      <c r="L2215" t="str">
        <f t="shared" si="274"/>
        <v>Unusual</v>
      </c>
      <c r="M2215" t="str">
        <f t="shared" si="275"/>
        <v/>
      </c>
      <c r="N2215" t="str">
        <f t="shared" si="276"/>
        <v>Invalid</v>
      </c>
      <c r="O2215" t="str">
        <f t="shared" ca="1" si="277"/>
        <v/>
      </c>
      <c r="P2215" t="str">
        <f t="shared" si="278"/>
        <v>Wrong Item</v>
      </c>
      <c r="Q2215" t="str">
        <f t="shared" si="279"/>
        <v/>
      </c>
    </row>
    <row r="2216" spans="1:17" x14ac:dyDescent="0.45">
      <c r="A2216" t="s">
        <v>3037</v>
      </c>
      <c r="B2216" t="s">
        <v>138</v>
      </c>
      <c r="C2216" t="s">
        <v>1896</v>
      </c>
      <c r="D2216" t="s">
        <v>92</v>
      </c>
      <c r="E2216" s="8">
        <v>6527.24</v>
      </c>
      <c r="F2216" s="9">
        <v>45194.666684444448</v>
      </c>
      <c r="H2216" t="s">
        <v>128</v>
      </c>
      <c r="I2216" t="s">
        <v>82</v>
      </c>
      <c r="J2216" t="str">
        <f t="shared" si="272"/>
        <v/>
      </c>
      <c r="K2216" t="str">
        <f t="shared" si="273"/>
        <v/>
      </c>
      <c r="L2216" t="str">
        <f t="shared" si="274"/>
        <v/>
      </c>
      <c r="M2216" t="str">
        <f t="shared" si="275"/>
        <v>Invalid</v>
      </c>
      <c r="N2216" t="str">
        <f t="shared" si="276"/>
        <v>Invalid</v>
      </c>
      <c r="O2216" t="str">
        <f t="shared" ca="1" si="277"/>
        <v>Outdated</v>
      </c>
      <c r="P2216" t="str">
        <f t="shared" si="278"/>
        <v>Not As Described</v>
      </c>
      <c r="Q2216" t="str">
        <f t="shared" si="279"/>
        <v/>
      </c>
    </row>
    <row r="2217" spans="1:17" x14ac:dyDescent="0.45">
      <c r="A2217" t="s">
        <v>228</v>
      </c>
      <c r="B2217" t="s">
        <v>95</v>
      </c>
      <c r="C2217" t="s">
        <v>2090</v>
      </c>
      <c r="D2217" t="s">
        <v>74</v>
      </c>
      <c r="E2217" s="8">
        <v>3720.49</v>
      </c>
      <c r="F2217" s="9">
        <v>45691.666684444448</v>
      </c>
      <c r="G2217" t="s">
        <v>97</v>
      </c>
      <c r="H2217" t="s">
        <v>145</v>
      </c>
      <c r="I2217" t="s">
        <v>88</v>
      </c>
      <c r="J2217" t="str">
        <f t="shared" si="272"/>
        <v/>
      </c>
      <c r="K2217" t="str">
        <f t="shared" si="273"/>
        <v>Duplicate</v>
      </c>
      <c r="L2217" t="str">
        <f t="shared" si="274"/>
        <v/>
      </c>
      <c r="M2217" t="str">
        <f t="shared" si="275"/>
        <v/>
      </c>
      <c r="N2217" t="str">
        <f t="shared" si="276"/>
        <v/>
      </c>
      <c r="O2217" t="str">
        <f t="shared" ca="1" si="277"/>
        <v>Outdated</v>
      </c>
      <c r="P2217" t="str">
        <f t="shared" si="278"/>
        <v>Wrong Item</v>
      </c>
      <c r="Q2217" t="str">
        <f t="shared" si="279"/>
        <v/>
      </c>
    </row>
    <row r="2218" spans="1:17" x14ac:dyDescent="0.45">
      <c r="A2218" t="s">
        <v>1511</v>
      </c>
      <c r="B2218" t="s">
        <v>172</v>
      </c>
      <c r="C2218" t="s">
        <v>1489</v>
      </c>
      <c r="D2218" t="s">
        <v>85</v>
      </c>
      <c r="E2218" s="8">
        <v>4121.05</v>
      </c>
      <c r="F2218" s="9">
        <v>45683.666684444448</v>
      </c>
      <c r="G2218" t="s">
        <v>174</v>
      </c>
      <c r="H2218" t="s">
        <v>145</v>
      </c>
      <c r="I2218" t="s">
        <v>119</v>
      </c>
      <c r="J2218" t="str">
        <f t="shared" si="272"/>
        <v/>
      </c>
      <c r="K2218" t="str">
        <f t="shared" si="273"/>
        <v>Duplicate</v>
      </c>
      <c r="L2218" t="str">
        <f t="shared" si="274"/>
        <v/>
      </c>
      <c r="M2218" t="str">
        <f t="shared" si="275"/>
        <v/>
      </c>
      <c r="N2218" t="str">
        <f t="shared" si="276"/>
        <v/>
      </c>
      <c r="O2218" t="str">
        <f t="shared" ca="1" si="277"/>
        <v>Outdated</v>
      </c>
      <c r="P2218" t="str">
        <f t="shared" si="278"/>
        <v>Late Delivery</v>
      </c>
      <c r="Q2218" t="str">
        <f t="shared" si="279"/>
        <v/>
      </c>
    </row>
    <row r="2219" spans="1:17" x14ac:dyDescent="0.45">
      <c r="A2219" t="s">
        <v>1627</v>
      </c>
      <c r="B2219" t="s">
        <v>90</v>
      </c>
      <c r="C2219" t="s">
        <v>712</v>
      </c>
      <c r="D2219" t="s">
        <v>101</v>
      </c>
      <c r="E2219" s="8">
        <v>2303.9</v>
      </c>
      <c r="F2219" s="9">
        <v>45425.666684444448</v>
      </c>
      <c r="G2219" t="s">
        <v>93</v>
      </c>
      <c r="H2219" t="s">
        <v>145</v>
      </c>
      <c r="I2219" t="s">
        <v>82</v>
      </c>
      <c r="J2219" t="str">
        <f t="shared" si="272"/>
        <v/>
      </c>
      <c r="K2219" t="str">
        <f t="shared" si="273"/>
        <v>Duplicate</v>
      </c>
      <c r="L2219" t="str">
        <f t="shared" si="274"/>
        <v/>
      </c>
      <c r="M2219" t="str">
        <f t="shared" si="275"/>
        <v/>
      </c>
      <c r="N2219" t="str">
        <f t="shared" si="276"/>
        <v/>
      </c>
      <c r="O2219" t="str">
        <f t="shared" ca="1" si="277"/>
        <v>Outdated</v>
      </c>
      <c r="P2219" t="str">
        <f t="shared" si="278"/>
        <v>Damaged</v>
      </c>
      <c r="Q2219" t="str">
        <f t="shared" si="279"/>
        <v/>
      </c>
    </row>
    <row r="2220" spans="1:17" x14ac:dyDescent="0.45">
      <c r="A2220" t="s">
        <v>3038</v>
      </c>
      <c r="B2220" t="s">
        <v>99</v>
      </c>
      <c r="C2220" t="s">
        <v>1650</v>
      </c>
      <c r="D2220" t="s">
        <v>92</v>
      </c>
      <c r="E2220" s="8">
        <v>3258.54</v>
      </c>
      <c r="F2220" s="9">
        <v>45435.666684444448</v>
      </c>
      <c r="G2220" t="s">
        <v>102</v>
      </c>
      <c r="H2220" t="s">
        <v>76</v>
      </c>
      <c r="I2220" t="s">
        <v>88</v>
      </c>
      <c r="J2220" t="str">
        <f t="shared" si="272"/>
        <v/>
      </c>
      <c r="K2220" t="str">
        <f t="shared" si="273"/>
        <v/>
      </c>
      <c r="L2220" t="str">
        <f t="shared" si="274"/>
        <v/>
      </c>
      <c r="M2220" t="str">
        <f t="shared" si="275"/>
        <v/>
      </c>
      <c r="N2220" t="str">
        <f t="shared" si="276"/>
        <v/>
      </c>
      <c r="O2220" t="str">
        <f t="shared" ca="1" si="277"/>
        <v>Outdated</v>
      </c>
      <c r="P2220" t="str">
        <f t="shared" si="278"/>
        <v>Not As Described</v>
      </c>
      <c r="Q2220" t="str">
        <f t="shared" si="279"/>
        <v/>
      </c>
    </row>
    <row r="2221" spans="1:17" x14ac:dyDescent="0.45">
      <c r="A2221" t="s">
        <v>3039</v>
      </c>
      <c r="B2221" t="s">
        <v>104</v>
      </c>
      <c r="C2221" t="s">
        <v>3040</v>
      </c>
      <c r="D2221" t="s">
        <v>155</v>
      </c>
      <c r="E2221" s="8">
        <v>7833.76</v>
      </c>
      <c r="F2221" s="9">
        <v>45289.666684444448</v>
      </c>
      <c r="G2221" t="s">
        <v>115</v>
      </c>
      <c r="H2221" t="s">
        <v>136</v>
      </c>
      <c r="I2221" t="s">
        <v>163</v>
      </c>
      <c r="J2221" t="str">
        <f t="shared" si="272"/>
        <v/>
      </c>
      <c r="K2221" t="str">
        <f t="shared" si="273"/>
        <v/>
      </c>
      <c r="L2221" t="str">
        <f t="shared" si="274"/>
        <v/>
      </c>
      <c r="M2221" t="str">
        <f t="shared" si="275"/>
        <v/>
      </c>
      <c r="N2221" t="str">
        <f t="shared" si="276"/>
        <v>Invalid</v>
      </c>
      <c r="O2221" t="str">
        <f t="shared" ca="1" si="277"/>
        <v>Outdated</v>
      </c>
      <c r="P2221" t="str">
        <f t="shared" si="278"/>
        <v>Damaged</v>
      </c>
      <c r="Q2221" t="str">
        <f t="shared" si="279"/>
        <v>Inconsistent</v>
      </c>
    </row>
    <row r="2222" spans="1:17" x14ac:dyDescent="0.45">
      <c r="A2222" t="s">
        <v>3041</v>
      </c>
      <c r="B2222" t="s">
        <v>138</v>
      </c>
      <c r="C2222" t="s">
        <v>2658</v>
      </c>
      <c r="D2222" t="s">
        <v>155</v>
      </c>
      <c r="E2222" s="8">
        <v>3445.58</v>
      </c>
      <c r="F2222" s="9">
        <v>45856.666684444448</v>
      </c>
      <c r="H2222" t="s">
        <v>116</v>
      </c>
      <c r="I2222" t="s">
        <v>77</v>
      </c>
      <c r="J2222" t="str">
        <f t="shared" si="272"/>
        <v/>
      </c>
      <c r="K2222" t="str">
        <f t="shared" si="273"/>
        <v/>
      </c>
      <c r="L2222" t="str">
        <f t="shared" si="274"/>
        <v/>
      </c>
      <c r="M2222" t="str">
        <f t="shared" si="275"/>
        <v>Invalid</v>
      </c>
      <c r="N2222" t="str">
        <f t="shared" si="276"/>
        <v/>
      </c>
      <c r="O2222" t="str">
        <f t="shared" ca="1" si="277"/>
        <v/>
      </c>
      <c r="P2222" t="str">
        <f t="shared" si="278"/>
        <v>Damaged</v>
      </c>
      <c r="Q2222" t="str">
        <f t="shared" si="279"/>
        <v>Inconsistent</v>
      </c>
    </row>
    <row r="2223" spans="1:17" x14ac:dyDescent="0.45">
      <c r="A2223" t="s">
        <v>3042</v>
      </c>
      <c r="B2223" t="s">
        <v>90</v>
      </c>
      <c r="C2223" t="s">
        <v>1500</v>
      </c>
      <c r="D2223" t="s">
        <v>85</v>
      </c>
      <c r="E2223" s="8">
        <v>4546.17</v>
      </c>
      <c r="F2223" s="9">
        <v>45854.666684444448</v>
      </c>
      <c r="G2223" t="s">
        <v>93</v>
      </c>
      <c r="H2223" t="s">
        <v>116</v>
      </c>
      <c r="I2223" t="s">
        <v>82</v>
      </c>
      <c r="J2223" t="str">
        <f t="shared" si="272"/>
        <v/>
      </c>
      <c r="K2223" t="str">
        <f t="shared" si="273"/>
        <v/>
      </c>
      <c r="L2223" t="str">
        <f t="shared" si="274"/>
        <v/>
      </c>
      <c r="M2223" t="str">
        <f t="shared" si="275"/>
        <v/>
      </c>
      <c r="N2223" t="str">
        <f t="shared" si="276"/>
        <v/>
      </c>
      <c r="O2223" t="str">
        <f t="shared" ca="1" si="277"/>
        <v/>
      </c>
      <c r="P2223" t="str">
        <f t="shared" si="278"/>
        <v>Late Delivery</v>
      </c>
      <c r="Q2223" t="str">
        <f t="shared" si="279"/>
        <v/>
      </c>
    </row>
    <row r="2224" spans="1:17" x14ac:dyDescent="0.45">
      <c r="A2224" t="s">
        <v>3043</v>
      </c>
      <c r="B2224" t="s">
        <v>109</v>
      </c>
      <c r="C2224" t="s">
        <v>661</v>
      </c>
      <c r="D2224" t="s">
        <v>85</v>
      </c>
      <c r="E2224" s="8">
        <v>118.33</v>
      </c>
      <c r="F2224" s="9">
        <v>45845.666684444448</v>
      </c>
      <c r="G2224" t="s">
        <v>111</v>
      </c>
      <c r="H2224" t="s">
        <v>87</v>
      </c>
      <c r="I2224" t="s">
        <v>119</v>
      </c>
      <c r="J2224" t="str">
        <f t="shared" si="272"/>
        <v/>
      </c>
      <c r="K2224" t="str">
        <f t="shared" si="273"/>
        <v/>
      </c>
      <c r="L2224" t="str">
        <f t="shared" si="274"/>
        <v/>
      </c>
      <c r="M2224" t="str">
        <f t="shared" si="275"/>
        <v/>
      </c>
      <c r="N2224" t="str">
        <f t="shared" si="276"/>
        <v>Invalid</v>
      </c>
      <c r="O2224" t="str">
        <f t="shared" ca="1" si="277"/>
        <v/>
      </c>
      <c r="P2224" t="str">
        <f t="shared" si="278"/>
        <v>Late Delivery</v>
      </c>
      <c r="Q2224" t="str">
        <f t="shared" si="279"/>
        <v/>
      </c>
    </row>
    <row r="2225" spans="1:17" x14ac:dyDescent="0.45">
      <c r="A2225" t="s">
        <v>3044</v>
      </c>
      <c r="B2225" t="s">
        <v>104</v>
      </c>
      <c r="C2225" t="s">
        <v>393</v>
      </c>
      <c r="E2225" s="8">
        <v>5725.92</v>
      </c>
      <c r="F2225" s="9">
        <v>45781.666684444448</v>
      </c>
      <c r="G2225" t="s">
        <v>247</v>
      </c>
      <c r="H2225" t="s">
        <v>81</v>
      </c>
      <c r="I2225" t="s">
        <v>119</v>
      </c>
      <c r="J2225" t="str">
        <f t="shared" si="272"/>
        <v>Missing</v>
      </c>
      <c r="K2225" t="str">
        <f t="shared" si="273"/>
        <v/>
      </c>
      <c r="L2225" t="str">
        <f t="shared" si="274"/>
        <v/>
      </c>
      <c r="M2225" t="str">
        <f t="shared" si="275"/>
        <v>Invalid</v>
      </c>
      <c r="N2225" t="str">
        <f t="shared" si="276"/>
        <v/>
      </c>
      <c r="O2225" t="str">
        <f t="shared" ca="1" si="277"/>
        <v>Outdated</v>
      </c>
      <c r="P2225" t="str">
        <f t="shared" si="278"/>
        <v/>
      </c>
      <c r="Q2225" t="str">
        <f t="shared" si="279"/>
        <v/>
      </c>
    </row>
    <row r="2226" spans="1:17" x14ac:dyDescent="0.45">
      <c r="A2226" t="s">
        <v>3045</v>
      </c>
      <c r="B2226" t="s">
        <v>99</v>
      </c>
      <c r="C2226" t="s">
        <v>166</v>
      </c>
      <c r="D2226" t="s">
        <v>92</v>
      </c>
      <c r="E2226" s="8">
        <v>3852.26</v>
      </c>
      <c r="F2226" s="9">
        <v>45306.666684444448</v>
      </c>
      <c r="H2226" t="s">
        <v>76</v>
      </c>
      <c r="I2226" t="s">
        <v>77</v>
      </c>
      <c r="J2226" t="str">
        <f t="shared" si="272"/>
        <v/>
      </c>
      <c r="K2226" t="str">
        <f t="shared" si="273"/>
        <v/>
      </c>
      <c r="L2226" t="str">
        <f t="shared" si="274"/>
        <v/>
      </c>
      <c r="M2226" t="str">
        <f t="shared" si="275"/>
        <v>Invalid</v>
      </c>
      <c r="N2226" t="str">
        <f t="shared" si="276"/>
        <v/>
      </c>
      <c r="O2226" t="str">
        <f t="shared" ca="1" si="277"/>
        <v>Outdated</v>
      </c>
      <c r="P2226" t="str">
        <f t="shared" si="278"/>
        <v>Not As Described</v>
      </c>
      <c r="Q2226" t="str">
        <f t="shared" si="279"/>
        <v/>
      </c>
    </row>
    <row r="2227" spans="1:17" x14ac:dyDescent="0.45">
      <c r="A2227" t="s">
        <v>3046</v>
      </c>
      <c r="B2227" t="s">
        <v>72</v>
      </c>
      <c r="C2227" t="s">
        <v>1078</v>
      </c>
      <c r="D2227" t="s">
        <v>74</v>
      </c>
      <c r="E2227" s="8">
        <v>10533.99</v>
      </c>
      <c r="F2227" s="9">
        <v>45498.666684444448</v>
      </c>
      <c r="G2227" t="s">
        <v>75</v>
      </c>
      <c r="H2227" t="s">
        <v>118</v>
      </c>
      <c r="I2227" t="s">
        <v>88</v>
      </c>
      <c r="J2227" t="str">
        <f t="shared" si="272"/>
        <v/>
      </c>
      <c r="K2227" t="str">
        <f t="shared" si="273"/>
        <v/>
      </c>
      <c r="L2227" t="str">
        <f t="shared" si="274"/>
        <v>Unusual</v>
      </c>
      <c r="M2227" t="str">
        <f t="shared" si="275"/>
        <v/>
      </c>
      <c r="N2227" t="str">
        <f t="shared" si="276"/>
        <v>Invalid</v>
      </c>
      <c r="O2227" t="str">
        <f t="shared" ca="1" si="277"/>
        <v>Outdated</v>
      </c>
      <c r="P2227" t="str">
        <f t="shared" si="278"/>
        <v>Wrong Item</v>
      </c>
      <c r="Q2227" t="str">
        <f t="shared" si="279"/>
        <v/>
      </c>
    </row>
    <row r="2228" spans="1:17" x14ac:dyDescent="0.45">
      <c r="A2228" t="s">
        <v>3047</v>
      </c>
      <c r="B2228" t="s">
        <v>138</v>
      </c>
      <c r="C2228" t="s">
        <v>1080</v>
      </c>
      <c r="E2228" s="8">
        <v>6757.13</v>
      </c>
      <c r="F2228" s="9">
        <v>45648.666684444448</v>
      </c>
      <c r="G2228" t="s">
        <v>140</v>
      </c>
      <c r="H2228" t="s">
        <v>87</v>
      </c>
      <c r="I2228" t="s">
        <v>77</v>
      </c>
      <c r="J2228" t="str">
        <f t="shared" si="272"/>
        <v>Missing</v>
      </c>
      <c r="K2228" t="str">
        <f t="shared" si="273"/>
        <v/>
      </c>
      <c r="L2228" t="str">
        <f t="shared" si="274"/>
        <v/>
      </c>
      <c r="M2228" t="str">
        <f t="shared" si="275"/>
        <v/>
      </c>
      <c r="N2228" t="str">
        <f t="shared" si="276"/>
        <v>Invalid</v>
      </c>
      <c r="O2228" t="str">
        <f t="shared" ca="1" si="277"/>
        <v>Outdated</v>
      </c>
      <c r="P2228" t="str">
        <f t="shared" si="278"/>
        <v/>
      </c>
      <c r="Q2228" t="str">
        <f t="shared" si="279"/>
        <v/>
      </c>
    </row>
    <row r="2229" spans="1:17" x14ac:dyDescent="0.45">
      <c r="A2229" t="s">
        <v>3048</v>
      </c>
      <c r="B2229" t="s">
        <v>109</v>
      </c>
      <c r="C2229" t="s">
        <v>2400</v>
      </c>
      <c r="D2229" t="s">
        <v>101</v>
      </c>
      <c r="E2229" s="8">
        <v>7675.41</v>
      </c>
      <c r="F2229" s="9">
        <v>45357.666684444448</v>
      </c>
      <c r="G2229" t="s">
        <v>111</v>
      </c>
      <c r="H2229" t="s">
        <v>107</v>
      </c>
      <c r="I2229" t="s">
        <v>88</v>
      </c>
      <c r="J2229" t="str">
        <f t="shared" si="272"/>
        <v/>
      </c>
      <c r="K2229" t="str">
        <f t="shared" si="273"/>
        <v/>
      </c>
      <c r="L2229" t="str">
        <f t="shared" si="274"/>
        <v/>
      </c>
      <c r="M2229" t="str">
        <f t="shared" si="275"/>
        <v/>
      </c>
      <c r="N2229" t="str">
        <f t="shared" si="276"/>
        <v/>
      </c>
      <c r="O2229" t="str">
        <f t="shared" ca="1" si="277"/>
        <v>Outdated</v>
      </c>
      <c r="P2229" t="str">
        <f t="shared" si="278"/>
        <v>Damaged</v>
      </c>
      <c r="Q2229" t="str">
        <f t="shared" si="279"/>
        <v/>
      </c>
    </row>
    <row r="2230" spans="1:17" x14ac:dyDescent="0.45">
      <c r="A2230" t="s">
        <v>2422</v>
      </c>
      <c r="B2230" t="s">
        <v>99</v>
      </c>
      <c r="C2230" t="s">
        <v>3049</v>
      </c>
      <c r="D2230" t="s">
        <v>74</v>
      </c>
      <c r="E2230" s="8">
        <v>214.48</v>
      </c>
      <c r="F2230" s="9">
        <v>45252.666684444448</v>
      </c>
      <c r="G2230" t="s">
        <v>102</v>
      </c>
      <c r="H2230" t="s">
        <v>145</v>
      </c>
      <c r="I2230" t="s">
        <v>77</v>
      </c>
      <c r="J2230" t="str">
        <f t="shared" si="272"/>
        <v/>
      </c>
      <c r="K2230" t="str">
        <f t="shared" si="273"/>
        <v>Duplicate</v>
      </c>
      <c r="L2230" t="str">
        <f t="shared" si="274"/>
        <v/>
      </c>
      <c r="M2230" t="str">
        <f t="shared" si="275"/>
        <v/>
      </c>
      <c r="N2230" t="str">
        <f t="shared" si="276"/>
        <v/>
      </c>
      <c r="O2230" t="str">
        <f t="shared" ca="1" si="277"/>
        <v>Outdated</v>
      </c>
      <c r="P2230" t="str">
        <f t="shared" si="278"/>
        <v>Wrong Item</v>
      </c>
      <c r="Q2230" t="str">
        <f t="shared" si="279"/>
        <v/>
      </c>
    </row>
    <row r="2231" spans="1:17" x14ac:dyDescent="0.45">
      <c r="A2231" t="s">
        <v>3050</v>
      </c>
      <c r="B2231" t="s">
        <v>79</v>
      </c>
      <c r="C2231" t="s">
        <v>1030</v>
      </c>
      <c r="D2231" t="s">
        <v>101</v>
      </c>
      <c r="E2231" s="8">
        <v>2206.48</v>
      </c>
      <c r="F2231" s="9">
        <v>45333.666684444448</v>
      </c>
      <c r="G2231" t="s">
        <v>86</v>
      </c>
      <c r="H2231" t="s">
        <v>107</v>
      </c>
      <c r="I2231" t="s">
        <v>77</v>
      </c>
      <c r="J2231" t="str">
        <f t="shared" si="272"/>
        <v/>
      </c>
      <c r="K2231" t="str">
        <f t="shared" si="273"/>
        <v/>
      </c>
      <c r="L2231" t="str">
        <f t="shared" si="274"/>
        <v/>
      </c>
      <c r="M2231" t="str">
        <f t="shared" si="275"/>
        <v/>
      </c>
      <c r="N2231" t="str">
        <f t="shared" si="276"/>
        <v/>
      </c>
      <c r="O2231" t="str">
        <f t="shared" ca="1" si="277"/>
        <v>Outdated</v>
      </c>
      <c r="P2231" t="str">
        <f t="shared" si="278"/>
        <v>Damaged</v>
      </c>
      <c r="Q2231" t="str">
        <f t="shared" si="279"/>
        <v/>
      </c>
    </row>
    <row r="2232" spans="1:17" x14ac:dyDescent="0.45">
      <c r="A2232" t="s">
        <v>3051</v>
      </c>
      <c r="B2232" t="s">
        <v>109</v>
      </c>
      <c r="C2232" t="s">
        <v>1299</v>
      </c>
      <c r="D2232" t="s">
        <v>101</v>
      </c>
      <c r="E2232" s="8">
        <v>680.46</v>
      </c>
      <c r="F2232" s="9">
        <v>45270.666684444448</v>
      </c>
      <c r="G2232" t="s">
        <v>111</v>
      </c>
      <c r="H2232" t="s">
        <v>136</v>
      </c>
      <c r="I2232" t="s">
        <v>119</v>
      </c>
      <c r="J2232" t="str">
        <f t="shared" si="272"/>
        <v/>
      </c>
      <c r="K2232" t="str">
        <f t="shared" si="273"/>
        <v/>
      </c>
      <c r="L2232" t="str">
        <f t="shared" si="274"/>
        <v/>
      </c>
      <c r="M2232" t="str">
        <f t="shared" si="275"/>
        <v/>
      </c>
      <c r="N2232" t="str">
        <f t="shared" si="276"/>
        <v>Invalid</v>
      </c>
      <c r="O2232" t="str">
        <f t="shared" ca="1" si="277"/>
        <v>Outdated</v>
      </c>
      <c r="P2232" t="str">
        <f t="shared" si="278"/>
        <v>Damaged</v>
      </c>
      <c r="Q2232" t="str">
        <f t="shared" si="279"/>
        <v/>
      </c>
    </row>
    <row r="2233" spans="1:17" x14ac:dyDescent="0.45">
      <c r="A2233" t="s">
        <v>3052</v>
      </c>
      <c r="B2233" t="s">
        <v>104</v>
      </c>
      <c r="C2233" t="s">
        <v>397</v>
      </c>
      <c r="D2233" t="s">
        <v>85</v>
      </c>
      <c r="E2233" s="8">
        <v>2527.58</v>
      </c>
      <c r="F2233" s="9">
        <v>45370.666684444448</v>
      </c>
      <c r="G2233" t="s">
        <v>247</v>
      </c>
      <c r="H2233" t="s">
        <v>133</v>
      </c>
      <c r="I2233" t="s">
        <v>77</v>
      </c>
      <c r="J2233" t="str">
        <f t="shared" si="272"/>
        <v/>
      </c>
      <c r="K2233" t="str">
        <f t="shared" si="273"/>
        <v/>
      </c>
      <c r="L2233" t="str">
        <f t="shared" si="274"/>
        <v/>
      </c>
      <c r="M2233" t="str">
        <f t="shared" si="275"/>
        <v>Invalid</v>
      </c>
      <c r="N2233" t="str">
        <f t="shared" si="276"/>
        <v>Invalid</v>
      </c>
      <c r="O2233" t="str">
        <f t="shared" ca="1" si="277"/>
        <v>Outdated</v>
      </c>
      <c r="P2233" t="str">
        <f t="shared" si="278"/>
        <v>Late Delivery</v>
      </c>
      <c r="Q2233" t="str">
        <f t="shared" si="279"/>
        <v/>
      </c>
    </row>
    <row r="2234" spans="1:17" x14ac:dyDescent="0.45">
      <c r="A2234" t="s">
        <v>3053</v>
      </c>
      <c r="B2234" t="s">
        <v>79</v>
      </c>
      <c r="C2234" t="s">
        <v>2284</v>
      </c>
      <c r="D2234" t="s">
        <v>74</v>
      </c>
      <c r="E2234" s="8">
        <v>4026.49</v>
      </c>
      <c r="F2234" s="9">
        <v>45633.666684444448</v>
      </c>
      <c r="G2234" t="s">
        <v>86</v>
      </c>
      <c r="H2234" t="s">
        <v>136</v>
      </c>
      <c r="I2234" t="s">
        <v>112</v>
      </c>
      <c r="J2234" t="str">
        <f t="shared" si="272"/>
        <v/>
      </c>
      <c r="K2234" t="str">
        <f t="shared" si="273"/>
        <v/>
      </c>
      <c r="L2234" t="str">
        <f t="shared" si="274"/>
        <v/>
      </c>
      <c r="M2234" t="str">
        <f t="shared" si="275"/>
        <v/>
      </c>
      <c r="N2234" t="str">
        <f t="shared" si="276"/>
        <v>Invalid</v>
      </c>
      <c r="O2234" t="str">
        <f t="shared" ca="1" si="277"/>
        <v>Outdated</v>
      </c>
      <c r="P2234" t="str">
        <f t="shared" si="278"/>
        <v>Wrong Item</v>
      </c>
      <c r="Q2234" t="str">
        <f t="shared" si="279"/>
        <v/>
      </c>
    </row>
    <row r="2235" spans="1:17" x14ac:dyDescent="0.45">
      <c r="A2235" t="s">
        <v>3054</v>
      </c>
      <c r="B2235" t="s">
        <v>109</v>
      </c>
      <c r="C2235" t="s">
        <v>127</v>
      </c>
      <c r="D2235" t="s">
        <v>74</v>
      </c>
      <c r="E2235" s="8">
        <v>11080.62</v>
      </c>
      <c r="F2235" s="9">
        <v>45154.666684444448</v>
      </c>
      <c r="G2235" t="s">
        <v>111</v>
      </c>
      <c r="H2235" t="s">
        <v>116</v>
      </c>
      <c r="I2235" t="s">
        <v>88</v>
      </c>
      <c r="J2235" t="str">
        <f t="shared" si="272"/>
        <v/>
      </c>
      <c r="K2235" t="str">
        <f t="shared" si="273"/>
        <v/>
      </c>
      <c r="L2235" t="str">
        <f t="shared" si="274"/>
        <v>Unusual</v>
      </c>
      <c r="M2235" t="str">
        <f t="shared" si="275"/>
        <v/>
      </c>
      <c r="N2235" t="str">
        <f t="shared" si="276"/>
        <v/>
      </c>
      <c r="O2235" t="str">
        <f t="shared" ca="1" si="277"/>
        <v>Outdated</v>
      </c>
      <c r="P2235" t="str">
        <f t="shared" si="278"/>
        <v>Wrong Item</v>
      </c>
      <c r="Q2235" t="str">
        <f t="shared" si="279"/>
        <v/>
      </c>
    </row>
    <row r="2236" spans="1:17" x14ac:dyDescent="0.45">
      <c r="A2236" t="s">
        <v>3055</v>
      </c>
      <c r="B2236" t="s">
        <v>72</v>
      </c>
      <c r="C2236" t="s">
        <v>1028</v>
      </c>
      <c r="D2236" t="s">
        <v>74</v>
      </c>
      <c r="E2236" s="8">
        <v>11554.35</v>
      </c>
      <c r="F2236" s="9">
        <v>45497.666684444448</v>
      </c>
      <c r="G2236" t="s">
        <v>75</v>
      </c>
      <c r="H2236" t="s">
        <v>136</v>
      </c>
      <c r="I2236" t="s">
        <v>112</v>
      </c>
      <c r="J2236" t="str">
        <f t="shared" si="272"/>
        <v/>
      </c>
      <c r="K2236" t="str">
        <f t="shared" si="273"/>
        <v/>
      </c>
      <c r="L2236" t="str">
        <f t="shared" si="274"/>
        <v>Unusual</v>
      </c>
      <c r="M2236" t="str">
        <f t="shared" si="275"/>
        <v/>
      </c>
      <c r="N2236" t="str">
        <f t="shared" si="276"/>
        <v>Invalid</v>
      </c>
      <c r="O2236" t="str">
        <f t="shared" ca="1" si="277"/>
        <v>Outdated</v>
      </c>
      <c r="P2236" t="str">
        <f t="shared" si="278"/>
        <v>Wrong Item</v>
      </c>
      <c r="Q2236" t="str">
        <f t="shared" si="279"/>
        <v/>
      </c>
    </row>
    <row r="2237" spans="1:17" x14ac:dyDescent="0.45">
      <c r="A2237" t="s">
        <v>3056</v>
      </c>
      <c r="B2237" t="s">
        <v>90</v>
      </c>
      <c r="C2237" t="s">
        <v>2744</v>
      </c>
      <c r="D2237" t="s">
        <v>85</v>
      </c>
      <c r="E2237" s="8">
        <v>0</v>
      </c>
      <c r="F2237" s="9">
        <v>45695.666684444448</v>
      </c>
      <c r="G2237" t="s">
        <v>93</v>
      </c>
      <c r="H2237" t="s">
        <v>76</v>
      </c>
      <c r="I2237" t="s">
        <v>88</v>
      </c>
      <c r="J2237" t="str">
        <f t="shared" si="272"/>
        <v/>
      </c>
      <c r="K2237" t="str">
        <f t="shared" si="273"/>
        <v/>
      </c>
      <c r="L2237" t="str">
        <f t="shared" si="274"/>
        <v>Unusual</v>
      </c>
      <c r="M2237" t="str">
        <f t="shared" si="275"/>
        <v/>
      </c>
      <c r="N2237" t="str">
        <f t="shared" si="276"/>
        <v/>
      </c>
      <c r="O2237" t="str">
        <f t="shared" ca="1" si="277"/>
        <v>Outdated</v>
      </c>
      <c r="P2237" t="str">
        <f t="shared" si="278"/>
        <v>Late Delivery</v>
      </c>
      <c r="Q2237" t="str">
        <f t="shared" si="279"/>
        <v/>
      </c>
    </row>
    <row r="2238" spans="1:17" x14ac:dyDescent="0.45">
      <c r="A2238" t="s">
        <v>3057</v>
      </c>
      <c r="B2238" t="s">
        <v>72</v>
      </c>
      <c r="C2238" t="s">
        <v>3058</v>
      </c>
      <c r="D2238" t="s">
        <v>92</v>
      </c>
      <c r="E2238" s="8">
        <v>7994.32</v>
      </c>
      <c r="F2238" s="9">
        <v>45714.666684444448</v>
      </c>
      <c r="G2238" t="s">
        <v>75</v>
      </c>
      <c r="H2238" t="s">
        <v>128</v>
      </c>
      <c r="I2238" t="s">
        <v>77</v>
      </c>
      <c r="J2238" t="str">
        <f t="shared" si="272"/>
        <v/>
      </c>
      <c r="K2238" t="str">
        <f t="shared" si="273"/>
        <v/>
      </c>
      <c r="L2238" t="str">
        <f t="shared" si="274"/>
        <v/>
      </c>
      <c r="M2238" t="str">
        <f t="shared" si="275"/>
        <v/>
      </c>
      <c r="N2238" t="str">
        <f t="shared" si="276"/>
        <v>Invalid</v>
      </c>
      <c r="O2238" t="str">
        <f t="shared" ca="1" si="277"/>
        <v>Outdated</v>
      </c>
      <c r="P2238" t="str">
        <f t="shared" si="278"/>
        <v>Not As Described</v>
      </c>
      <c r="Q2238" t="str">
        <f t="shared" si="279"/>
        <v/>
      </c>
    </row>
    <row r="2239" spans="1:17" x14ac:dyDescent="0.45">
      <c r="A2239" t="s">
        <v>3059</v>
      </c>
      <c r="B2239" t="s">
        <v>72</v>
      </c>
      <c r="C2239" t="s">
        <v>1215</v>
      </c>
      <c r="D2239" t="s">
        <v>101</v>
      </c>
      <c r="E2239" s="8">
        <v>3076.87</v>
      </c>
      <c r="F2239" s="9">
        <v>45505.666684444448</v>
      </c>
      <c r="G2239" t="s">
        <v>75</v>
      </c>
      <c r="H2239" t="s">
        <v>136</v>
      </c>
      <c r="I2239" t="s">
        <v>163</v>
      </c>
      <c r="J2239" t="str">
        <f t="shared" si="272"/>
        <v/>
      </c>
      <c r="K2239" t="str">
        <f t="shared" si="273"/>
        <v/>
      </c>
      <c r="L2239" t="str">
        <f t="shared" si="274"/>
        <v/>
      </c>
      <c r="M2239" t="str">
        <f t="shared" si="275"/>
        <v/>
      </c>
      <c r="N2239" t="str">
        <f t="shared" si="276"/>
        <v>Invalid</v>
      </c>
      <c r="O2239" t="str">
        <f t="shared" ca="1" si="277"/>
        <v>Outdated</v>
      </c>
      <c r="P2239" t="str">
        <f t="shared" si="278"/>
        <v>Damaged</v>
      </c>
      <c r="Q2239" t="str">
        <f t="shared" si="279"/>
        <v/>
      </c>
    </row>
    <row r="2240" spans="1:17" x14ac:dyDescent="0.45">
      <c r="A2240" t="s">
        <v>3060</v>
      </c>
      <c r="B2240" t="s">
        <v>95</v>
      </c>
      <c r="C2240" t="s">
        <v>1996</v>
      </c>
      <c r="D2240" t="s">
        <v>74</v>
      </c>
      <c r="E2240" s="8">
        <v>7129.46</v>
      </c>
      <c r="F2240" s="9">
        <v>45606.666684444448</v>
      </c>
      <c r="H2240" t="s">
        <v>133</v>
      </c>
      <c r="I2240" t="s">
        <v>112</v>
      </c>
      <c r="J2240" t="str">
        <f t="shared" si="272"/>
        <v/>
      </c>
      <c r="K2240" t="str">
        <f t="shared" si="273"/>
        <v/>
      </c>
      <c r="L2240" t="str">
        <f t="shared" si="274"/>
        <v/>
      </c>
      <c r="M2240" t="str">
        <f t="shared" si="275"/>
        <v>Invalid</v>
      </c>
      <c r="N2240" t="str">
        <f t="shared" si="276"/>
        <v>Invalid</v>
      </c>
      <c r="O2240" t="str">
        <f t="shared" ca="1" si="277"/>
        <v>Outdated</v>
      </c>
      <c r="P2240" t="str">
        <f t="shared" si="278"/>
        <v>Wrong Item</v>
      </c>
      <c r="Q2240" t="str">
        <f t="shared" si="279"/>
        <v/>
      </c>
    </row>
    <row r="2241" spans="1:17" x14ac:dyDescent="0.45">
      <c r="A2241" t="s">
        <v>3061</v>
      </c>
      <c r="B2241" t="s">
        <v>109</v>
      </c>
      <c r="C2241" t="s">
        <v>1137</v>
      </c>
      <c r="D2241" t="s">
        <v>74</v>
      </c>
      <c r="E2241" s="8">
        <v>4766.49</v>
      </c>
      <c r="F2241" s="9">
        <v>45692.666684444448</v>
      </c>
      <c r="G2241" t="s">
        <v>111</v>
      </c>
      <c r="H2241" t="s">
        <v>116</v>
      </c>
      <c r="I2241" t="s">
        <v>112</v>
      </c>
      <c r="J2241" t="str">
        <f t="shared" si="272"/>
        <v/>
      </c>
      <c r="K2241" t="str">
        <f t="shared" si="273"/>
        <v/>
      </c>
      <c r="L2241" t="str">
        <f t="shared" si="274"/>
        <v/>
      </c>
      <c r="M2241" t="str">
        <f t="shared" si="275"/>
        <v/>
      </c>
      <c r="N2241" t="str">
        <f t="shared" si="276"/>
        <v/>
      </c>
      <c r="O2241" t="str">
        <f t="shared" ca="1" si="277"/>
        <v>Outdated</v>
      </c>
      <c r="P2241" t="str">
        <f t="shared" si="278"/>
        <v>Wrong Item</v>
      </c>
      <c r="Q2241" t="str">
        <f t="shared" si="279"/>
        <v/>
      </c>
    </row>
    <row r="2242" spans="1:17" x14ac:dyDescent="0.45">
      <c r="A2242" t="s">
        <v>3062</v>
      </c>
      <c r="B2242" t="s">
        <v>90</v>
      </c>
      <c r="C2242" t="s">
        <v>454</v>
      </c>
      <c r="D2242" t="s">
        <v>155</v>
      </c>
      <c r="E2242" s="8">
        <v>10934.82</v>
      </c>
      <c r="F2242" s="9">
        <v>45260.666684444448</v>
      </c>
      <c r="G2242" t="s">
        <v>93</v>
      </c>
      <c r="H2242" t="s">
        <v>118</v>
      </c>
      <c r="I2242" t="s">
        <v>77</v>
      </c>
      <c r="J2242" t="str">
        <f t="shared" ref="J2242:J2305" si="280">IF(OR(ISBLANK(C2242),ISBLANK(D2242)),"Missing","")</f>
        <v/>
      </c>
      <c r="K2242" t="str">
        <f t="shared" ref="K2242:K2305" si="281">IF(COUNTIF($A$2:$A$2501,A2242)&gt;1,"Duplicate","")</f>
        <v/>
      </c>
      <c r="L2242" t="str">
        <f t="shared" ref="L2242:L2305" si="282">IF(OR(E2242=0,E2242&gt;10000),"Unusual","")</f>
        <v>Unusual</v>
      </c>
      <c r="M2242" t="str">
        <f t="shared" ref="M2242:M2305" si="283">IF(OR(ISBLANK(G2242),ISERROR(FIND("@",G2242)),ISERROR(FIND(".",G2242,FIND("@",G2242)+1))),"Invalid","")</f>
        <v/>
      </c>
      <c r="N2242" t="str">
        <f t="shared" ref="N2242:N2305" si="284">IF(COUNTIF($S$2:$S$6,H2242)=0,"Invalid","")</f>
        <v>Invalid</v>
      </c>
      <c r="O2242" t="str">
        <f t="shared" ref="O2242:O2305" ca="1" si="285">IF(F2242&lt;EDATE(TODAY(),-12),"Outdated","")</f>
        <v>Outdated</v>
      </c>
      <c r="P2242" t="str">
        <f t="shared" ref="P2242:P2305" si="286">IF(ISBLANK(D2242),"",PROPER(TRIM(D2242)))</f>
        <v>Damaged</v>
      </c>
      <c r="Q2242" t="str">
        <f t="shared" ref="Q2242:Q2305" si="287">IF(ISBLANK(D2242),"",IF(EXACT(D2242,P2242),"","Inconsistent"))</f>
        <v>Inconsistent</v>
      </c>
    </row>
    <row r="2243" spans="1:17" x14ac:dyDescent="0.45">
      <c r="A2243" t="s">
        <v>3063</v>
      </c>
      <c r="B2243" t="s">
        <v>172</v>
      </c>
      <c r="C2243" t="s">
        <v>2347</v>
      </c>
      <c r="D2243" t="s">
        <v>85</v>
      </c>
      <c r="E2243" s="8">
        <v>5970.9</v>
      </c>
      <c r="F2243" s="9">
        <v>45754.666684444448</v>
      </c>
      <c r="G2243" t="s">
        <v>174</v>
      </c>
      <c r="H2243" t="s">
        <v>145</v>
      </c>
      <c r="I2243" t="s">
        <v>77</v>
      </c>
      <c r="J2243" t="str">
        <f t="shared" si="280"/>
        <v/>
      </c>
      <c r="K2243" t="str">
        <f t="shared" si="281"/>
        <v/>
      </c>
      <c r="L2243" t="str">
        <f t="shared" si="282"/>
        <v/>
      </c>
      <c r="M2243" t="str">
        <f t="shared" si="283"/>
        <v/>
      </c>
      <c r="N2243" t="str">
        <f t="shared" si="284"/>
        <v/>
      </c>
      <c r="O2243" t="str">
        <f t="shared" ca="1" si="285"/>
        <v>Outdated</v>
      </c>
      <c r="P2243" t="str">
        <f t="shared" si="286"/>
        <v>Late Delivery</v>
      </c>
      <c r="Q2243" t="str">
        <f t="shared" si="287"/>
        <v/>
      </c>
    </row>
    <row r="2244" spans="1:17" x14ac:dyDescent="0.45">
      <c r="A2244" t="s">
        <v>3064</v>
      </c>
      <c r="B2244" t="s">
        <v>95</v>
      </c>
      <c r="C2244" t="s">
        <v>1542</v>
      </c>
      <c r="D2244" t="s">
        <v>85</v>
      </c>
      <c r="E2244" s="8">
        <v>0</v>
      </c>
      <c r="F2244" s="9">
        <v>45216.666684444448</v>
      </c>
      <c r="G2244" t="s">
        <v>97</v>
      </c>
      <c r="I2244" t="s">
        <v>112</v>
      </c>
      <c r="J2244" t="str">
        <f t="shared" si="280"/>
        <v/>
      </c>
      <c r="K2244" t="str">
        <f t="shared" si="281"/>
        <v/>
      </c>
      <c r="L2244" t="str">
        <f t="shared" si="282"/>
        <v>Unusual</v>
      </c>
      <c r="M2244" t="str">
        <f t="shared" si="283"/>
        <v/>
      </c>
      <c r="N2244" t="str">
        <f t="shared" si="284"/>
        <v>Invalid</v>
      </c>
      <c r="O2244" t="str">
        <f t="shared" ca="1" si="285"/>
        <v>Outdated</v>
      </c>
      <c r="P2244" t="str">
        <f t="shared" si="286"/>
        <v>Late Delivery</v>
      </c>
      <c r="Q2244" t="str">
        <f t="shared" si="287"/>
        <v/>
      </c>
    </row>
    <row r="2245" spans="1:17" x14ac:dyDescent="0.45">
      <c r="A2245" t="s">
        <v>3065</v>
      </c>
      <c r="B2245" t="s">
        <v>95</v>
      </c>
      <c r="C2245" t="s">
        <v>1510</v>
      </c>
      <c r="D2245" t="s">
        <v>74</v>
      </c>
      <c r="E2245" s="8">
        <v>6876.34</v>
      </c>
      <c r="F2245" s="9">
        <v>45195.666684444448</v>
      </c>
      <c r="G2245" t="s">
        <v>97</v>
      </c>
      <c r="I2245" t="s">
        <v>82</v>
      </c>
      <c r="J2245" t="str">
        <f t="shared" si="280"/>
        <v/>
      </c>
      <c r="K2245" t="str">
        <f t="shared" si="281"/>
        <v/>
      </c>
      <c r="L2245" t="str">
        <f t="shared" si="282"/>
        <v/>
      </c>
      <c r="M2245" t="str">
        <f t="shared" si="283"/>
        <v/>
      </c>
      <c r="N2245" t="str">
        <f t="shared" si="284"/>
        <v>Invalid</v>
      </c>
      <c r="O2245" t="str">
        <f t="shared" ca="1" si="285"/>
        <v>Outdated</v>
      </c>
      <c r="P2245" t="str">
        <f t="shared" si="286"/>
        <v>Wrong Item</v>
      </c>
      <c r="Q2245" t="str">
        <f t="shared" si="287"/>
        <v/>
      </c>
    </row>
    <row r="2246" spans="1:17" x14ac:dyDescent="0.45">
      <c r="A2246" t="s">
        <v>3066</v>
      </c>
      <c r="B2246" t="s">
        <v>72</v>
      </c>
      <c r="C2246" t="s">
        <v>987</v>
      </c>
      <c r="D2246" t="s">
        <v>92</v>
      </c>
      <c r="E2246" s="8">
        <v>0</v>
      </c>
      <c r="F2246" s="9">
        <v>45444.666684444448</v>
      </c>
      <c r="G2246" t="s">
        <v>75</v>
      </c>
      <c r="H2246" t="s">
        <v>116</v>
      </c>
      <c r="I2246" t="s">
        <v>77</v>
      </c>
      <c r="J2246" t="str">
        <f t="shared" si="280"/>
        <v/>
      </c>
      <c r="K2246" t="str">
        <f t="shared" si="281"/>
        <v/>
      </c>
      <c r="L2246" t="str">
        <f t="shared" si="282"/>
        <v>Unusual</v>
      </c>
      <c r="M2246" t="str">
        <f t="shared" si="283"/>
        <v/>
      </c>
      <c r="N2246" t="str">
        <f t="shared" si="284"/>
        <v/>
      </c>
      <c r="O2246" t="str">
        <f t="shared" ca="1" si="285"/>
        <v>Outdated</v>
      </c>
      <c r="P2246" t="str">
        <f t="shared" si="286"/>
        <v>Not As Described</v>
      </c>
      <c r="Q2246" t="str">
        <f t="shared" si="287"/>
        <v/>
      </c>
    </row>
    <row r="2247" spans="1:17" x14ac:dyDescent="0.45">
      <c r="A2247" t="s">
        <v>3067</v>
      </c>
      <c r="B2247" t="s">
        <v>138</v>
      </c>
      <c r="C2247" t="s">
        <v>2824</v>
      </c>
      <c r="D2247" t="s">
        <v>85</v>
      </c>
      <c r="E2247" s="8">
        <v>3640.44</v>
      </c>
      <c r="F2247" s="9">
        <v>45535.666684444448</v>
      </c>
      <c r="G2247" t="s">
        <v>140</v>
      </c>
      <c r="H2247" t="s">
        <v>136</v>
      </c>
      <c r="I2247" t="s">
        <v>82</v>
      </c>
      <c r="J2247" t="str">
        <f t="shared" si="280"/>
        <v/>
      </c>
      <c r="K2247" t="str">
        <f t="shared" si="281"/>
        <v/>
      </c>
      <c r="L2247" t="str">
        <f t="shared" si="282"/>
        <v/>
      </c>
      <c r="M2247" t="str">
        <f t="shared" si="283"/>
        <v/>
      </c>
      <c r="N2247" t="str">
        <f t="shared" si="284"/>
        <v>Invalid</v>
      </c>
      <c r="O2247" t="str">
        <f t="shared" ca="1" si="285"/>
        <v>Outdated</v>
      </c>
      <c r="P2247" t="str">
        <f t="shared" si="286"/>
        <v>Late Delivery</v>
      </c>
      <c r="Q2247" t="str">
        <f t="shared" si="287"/>
        <v/>
      </c>
    </row>
    <row r="2248" spans="1:17" x14ac:dyDescent="0.45">
      <c r="A2248" t="s">
        <v>3068</v>
      </c>
      <c r="B2248" t="s">
        <v>138</v>
      </c>
      <c r="C2248" t="s">
        <v>785</v>
      </c>
      <c r="D2248" t="s">
        <v>74</v>
      </c>
      <c r="E2248" s="8">
        <v>666.94</v>
      </c>
      <c r="F2248" s="9">
        <v>45618.666684444448</v>
      </c>
      <c r="H2248" t="s">
        <v>118</v>
      </c>
      <c r="I2248" t="s">
        <v>77</v>
      </c>
      <c r="J2248" t="str">
        <f t="shared" si="280"/>
        <v/>
      </c>
      <c r="K2248" t="str">
        <f t="shared" si="281"/>
        <v/>
      </c>
      <c r="L2248" t="str">
        <f t="shared" si="282"/>
        <v/>
      </c>
      <c r="M2248" t="str">
        <f t="shared" si="283"/>
        <v>Invalid</v>
      </c>
      <c r="N2248" t="str">
        <f t="shared" si="284"/>
        <v>Invalid</v>
      </c>
      <c r="O2248" t="str">
        <f t="shared" ca="1" si="285"/>
        <v>Outdated</v>
      </c>
      <c r="P2248" t="str">
        <f t="shared" si="286"/>
        <v>Wrong Item</v>
      </c>
      <c r="Q2248" t="str">
        <f t="shared" si="287"/>
        <v/>
      </c>
    </row>
    <row r="2249" spans="1:17" x14ac:dyDescent="0.45">
      <c r="A2249" t="s">
        <v>3069</v>
      </c>
      <c r="B2249" t="s">
        <v>79</v>
      </c>
      <c r="C2249" t="s">
        <v>2413</v>
      </c>
      <c r="D2249" t="s">
        <v>74</v>
      </c>
      <c r="E2249" s="8">
        <v>6949.37</v>
      </c>
      <c r="F2249" s="9">
        <v>45666.666684444448</v>
      </c>
      <c r="G2249" t="s">
        <v>86</v>
      </c>
      <c r="H2249" t="s">
        <v>87</v>
      </c>
      <c r="I2249" t="s">
        <v>119</v>
      </c>
      <c r="J2249" t="str">
        <f t="shared" si="280"/>
        <v/>
      </c>
      <c r="K2249" t="str">
        <f t="shared" si="281"/>
        <v/>
      </c>
      <c r="L2249" t="str">
        <f t="shared" si="282"/>
        <v/>
      </c>
      <c r="M2249" t="str">
        <f t="shared" si="283"/>
        <v/>
      </c>
      <c r="N2249" t="str">
        <f t="shared" si="284"/>
        <v>Invalid</v>
      </c>
      <c r="O2249" t="str">
        <f t="shared" ca="1" si="285"/>
        <v>Outdated</v>
      </c>
      <c r="P2249" t="str">
        <f t="shared" si="286"/>
        <v>Wrong Item</v>
      </c>
      <c r="Q2249" t="str">
        <f t="shared" si="287"/>
        <v/>
      </c>
    </row>
    <row r="2250" spans="1:17" x14ac:dyDescent="0.45">
      <c r="A2250" t="s">
        <v>3070</v>
      </c>
      <c r="B2250" t="s">
        <v>172</v>
      </c>
      <c r="C2250" t="s">
        <v>220</v>
      </c>
      <c r="D2250" t="s">
        <v>101</v>
      </c>
      <c r="E2250" s="8">
        <v>4861.8900000000003</v>
      </c>
      <c r="F2250" s="9">
        <v>45548.666684444448</v>
      </c>
      <c r="G2250" t="s">
        <v>174</v>
      </c>
      <c r="H2250" t="s">
        <v>87</v>
      </c>
      <c r="I2250" t="s">
        <v>163</v>
      </c>
      <c r="J2250" t="str">
        <f t="shared" si="280"/>
        <v/>
      </c>
      <c r="K2250" t="str">
        <f t="shared" si="281"/>
        <v/>
      </c>
      <c r="L2250" t="str">
        <f t="shared" si="282"/>
        <v/>
      </c>
      <c r="M2250" t="str">
        <f t="shared" si="283"/>
        <v/>
      </c>
      <c r="N2250" t="str">
        <f t="shared" si="284"/>
        <v>Invalid</v>
      </c>
      <c r="O2250" t="str">
        <f t="shared" ca="1" si="285"/>
        <v>Outdated</v>
      </c>
      <c r="P2250" t="str">
        <f t="shared" si="286"/>
        <v>Damaged</v>
      </c>
      <c r="Q2250" t="str">
        <f t="shared" si="287"/>
        <v/>
      </c>
    </row>
    <row r="2251" spans="1:17" x14ac:dyDescent="0.45">
      <c r="A2251" t="s">
        <v>3071</v>
      </c>
      <c r="B2251" t="s">
        <v>90</v>
      </c>
      <c r="C2251" t="s">
        <v>983</v>
      </c>
      <c r="E2251" s="8">
        <v>8189.92</v>
      </c>
      <c r="F2251" s="9">
        <v>45547.666684444448</v>
      </c>
      <c r="G2251" t="s">
        <v>93</v>
      </c>
      <c r="H2251" t="s">
        <v>136</v>
      </c>
      <c r="I2251" t="s">
        <v>88</v>
      </c>
      <c r="J2251" t="str">
        <f t="shared" si="280"/>
        <v>Missing</v>
      </c>
      <c r="K2251" t="str">
        <f t="shared" si="281"/>
        <v/>
      </c>
      <c r="L2251" t="str">
        <f t="shared" si="282"/>
        <v/>
      </c>
      <c r="M2251" t="str">
        <f t="shared" si="283"/>
        <v/>
      </c>
      <c r="N2251" t="str">
        <f t="shared" si="284"/>
        <v>Invalid</v>
      </c>
      <c r="O2251" t="str">
        <f t="shared" ca="1" si="285"/>
        <v>Outdated</v>
      </c>
      <c r="P2251" t="str">
        <f t="shared" si="286"/>
        <v/>
      </c>
      <c r="Q2251" t="str">
        <f t="shared" si="287"/>
        <v/>
      </c>
    </row>
    <row r="2252" spans="1:17" x14ac:dyDescent="0.45">
      <c r="A2252" t="s">
        <v>3072</v>
      </c>
      <c r="B2252" t="s">
        <v>95</v>
      </c>
      <c r="C2252" t="s">
        <v>1397</v>
      </c>
      <c r="D2252" t="s">
        <v>148</v>
      </c>
      <c r="E2252" s="8">
        <v>8323.41</v>
      </c>
      <c r="F2252" s="9">
        <v>45716.666684444448</v>
      </c>
      <c r="G2252" t="s">
        <v>97</v>
      </c>
      <c r="H2252" t="s">
        <v>136</v>
      </c>
      <c r="I2252" t="s">
        <v>77</v>
      </c>
      <c r="J2252" t="str">
        <f t="shared" si="280"/>
        <v/>
      </c>
      <c r="K2252" t="str">
        <f t="shared" si="281"/>
        <v/>
      </c>
      <c r="L2252" t="str">
        <f t="shared" si="282"/>
        <v/>
      </c>
      <c r="M2252" t="str">
        <f t="shared" si="283"/>
        <v/>
      </c>
      <c r="N2252" t="str">
        <f t="shared" si="284"/>
        <v>Invalid</v>
      </c>
      <c r="O2252" t="str">
        <f t="shared" ca="1" si="285"/>
        <v>Outdated</v>
      </c>
      <c r="P2252" t="str">
        <f t="shared" si="286"/>
        <v>Wrong Item</v>
      </c>
      <c r="Q2252" t="str">
        <f t="shared" si="287"/>
        <v>Inconsistent</v>
      </c>
    </row>
    <row r="2253" spans="1:17" x14ac:dyDescent="0.45">
      <c r="A2253" t="s">
        <v>3073</v>
      </c>
      <c r="B2253" t="s">
        <v>109</v>
      </c>
      <c r="C2253" t="s">
        <v>139</v>
      </c>
      <c r="D2253" t="s">
        <v>85</v>
      </c>
      <c r="E2253" s="8">
        <v>8607.16</v>
      </c>
      <c r="F2253" s="9">
        <v>45203.666684444448</v>
      </c>
      <c r="H2253" t="s">
        <v>128</v>
      </c>
      <c r="I2253" t="s">
        <v>112</v>
      </c>
      <c r="J2253" t="str">
        <f t="shared" si="280"/>
        <v/>
      </c>
      <c r="K2253" t="str">
        <f t="shared" si="281"/>
        <v/>
      </c>
      <c r="L2253" t="str">
        <f t="shared" si="282"/>
        <v/>
      </c>
      <c r="M2253" t="str">
        <f t="shared" si="283"/>
        <v>Invalid</v>
      </c>
      <c r="N2253" t="str">
        <f t="shared" si="284"/>
        <v>Invalid</v>
      </c>
      <c r="O2253" t="str">
        <f t="shared" ca="1" si="285"/>
        <v>Outdated</v>
      </c>
      <c r="P2253" t="str">
        <f t="shared" si="286"/>
        <v>Late Delivery</v>
      </c>
      <c r="Q2253" t="str">
        <f t="shared" si="287"/>
        <v/>
      </c>
    </row>
    <row r="2254" spans="1:17" x14ac:dyDescent="0.45">
      <c r="A2254" t="s">
        <v>3074</v>
      </c>
      <c r="B2254" t="s">
        <v>72</v>
      </c>
      <c r="C2254" t="s">
        <v>3075</v>
      </c>
      <c r="D2254" t="s">
        <v>92</v>
      </c>
      <c r="E2254" s="8">
        <v>2014.84</v>
      </c>
      <c r="F2254" s="9">
        <v>45256.666684444448</v>
      </c>
      <c r="G2254" t="s">
        <v>75</v>
      </c>
      <c r="H2254" t="s">
        <v>87</v>
      </c>
      <c r="I2254" t="s">
        <v>119</v>
      </c>
      <c r="J2254" t="str">
        <f t="shared" si="280"/>
        <v/>
      </c>
      <c r="K2254" t="str">
        <f t="shared" si="281"/>
        <v/>
      </c>
      <c r="L2254" t="str">
        <f t="shared" si="282"/>
        <v/>
      </c>
      <c r="M2254" t="str">
        <f t="shared" si="283"/>
        <v/>
      </c>
      <c r="N2254" t="str">
        <f t="shared" si="284"/>
        <v>Invalid</v>
      </c>
      <c r="O2254" t="str">
        <f t="shared" ca="1" si="285"/>
        <v>Outdated</v>
      </c>
      <c r="P2254" t="str">
        <f t="shared" si="286"/>
        <v>Not As Described</v>
      </c>
      <c r="Q2254" t="str">
        <f t="shared" si="287"/>
        <v/>
      </c>
    </row>
    <row r="2255" spans="1:17" x14ac:dyDescent="0.45">
      <c r="A2255" t="s">
        <v>3076</v>
      </c>
      <c r="B2255" t="s">
        <v>104</v>
      </c>
      <c r="C2255" t="s">
        <v>631</v>
      </c>
      <c r="D2255" t="s">
        <v>74</v>
      </c>
      <c r="E2255" s="8">
        <v>5820.66</v>
      </c>
      <c r="F2255" s="9">
        <v>45452.666684444448</v>
      </c>
      <c r="H2255" t="s">
        <v>145</v>
      </c>
      <c r="I2255" t="s">
        <v>119</v>
      </c>
      <c r="J2255" t="str">
        <f t="shared" si="280"/>
        <v/>
      </c>
      <c r="K2255" t="str">
        <f t="shared" si="281"/>
        <v/>
      </c>
      <c r="L2255" t="str">
        <f t="shared" si="282"/>
        <v/>
      </c>
      <c r="M2255" t="str">
        <f t="shared" si="283"/>
        <v>Invalid</v>
      </c>
      <c r="N2255" t="str">
        <f t="shared" si="284"/>
        <v/>
      </c>
      <c r="O2255" t="str">
        <f t="shared" ca="1" si="285"/>
        <v>Outdated</v>
      </c>
      <c r="P2255" t="str">
        <f t="shared" si="286"/>
        <v>Wrong Item</v>
      </c>
      <c r="Q2255" t="str">
        <f t="shared" si="287"/>
        <v/>
      </c>
    </row>
    <row r="2256" spans="1:17" x14ac:dyDescent="0.45">
      <c r="A2256" t="s">
        <v>3077</v>
      </c>
      <c r="B2256" t="s">
        <v>109</v>
      </c>
      <c r="C2256" t="s">
        <v>1137</v>
      </c>
      <c r="D2256" t="s">
        <v>85</v>
      </c>
      <c r="E2256" s="8">
        <v>6342.48</v>
      </c>
      <c r="F2256" s="9">
        <v>45785.666684444448</v>
      </c>
      <c r="G2256" t="s">
        <v>111</v>
      </c>
      <c r="H2256" t="s">
        <v>145</v>
      </c>
      <c r="I2256" t="s">
        <v>119</v>
      </c>
      <c r="J2256" t="str">
        <f t="shared" si="280"/>
        <v/>
      </c>
      <c r="K2256" t="str">
        <f t="shared" si="281"/>
        <v/>
      </c>
      <c r="L2256" t="str">
        <f t="shared" si="282"/>
        <v/>
      </c>
      <c r="M2256" t="str">
        <f t="shared" si="283"/>
        <v/>
      </c>
      <c r="N2256" t="str">
        <f t="shared" si="284"/>
        <v/>
      </c>
      <c r="O2256" t="str">
        <f t="shared" ca="1" si="285"/>
        <v>Outdated</v>
      </c>
      <c r="P2256" t="str">
        <f t="shared" si="286"/>
        <v>Late Delivery</v>
      </c>
      <c r="Q2256" t="str">
        <f t="shared" si="287"/>
        <v/>
      </c>
    </row>
    <row r="2257" spans="1:17" x14ac:dyDescent="0.45">
      <c r="A2257" t="s">
        <v>1708</v>
      </c>
      <c r="B2257" t="s">
        <v>109</v>
      </c>
      <c r="C2257" t="s">
        <v>365</v>
      </c>
      <c r="D2257" t="s">
        <v>92</v>
      </c>
      <c r="E2257" s="8">
        <v>8250.0300000000007</v>
      </c>
      <c r="F2257" s="9">
        <v>45203.666684444448</v>
      </c>
      <c r="G2257" t="s">
        <v>111</v>
      </c>
      <c r="H2257" t="s">
        <v>107</v>
      </c>
      <c r="I2257" t="s">
        <v>112</v>
      </c>
      <c r="J2257" t="str">
        <f t="shared" si="280"/>
        <v/>
      </c>
      <c r="K2257" t="str">
        <f t="shared" si="281"/>
        <v>Duplicate</v>
      </c>
      <c r="L2257" t="str">
        <f t="shared" si="282"/>
        <v/>
      </c>
      <c r="M2257" t="str">
        <f t="shared" si="283"/>
        <v/>
      </c>
      <c r="N2257" t="str">
        <f t="shared" si="284"/>
        <v/>
      </c>
      <c r="O2257" t="str">
        <f t="shared" ca="1" si="285"/>
        <v>Outdated</v>
      </c>
      <c r="P2257" t="str">
        <f t="shared" si="286"/>
        <v>Not As Described</v>
      </c>
      <c r="Q2257" t="str">
        <f t="shared" si="287"/>
        <v/>
      </c>
    </row>
    <row r="2258" spans="1:17" x14ac:dyDescent="0.45">
      <c r="A2258" t="s">
        <v>3078</v>
      </c>
      <c r="B2258" t="s">
        <v>95</v>
      </c>
      <c r="C2258" t="s">
        <v>2684</v>
      </c>
      <c r="D2258" t="s">
        <v>74</v>
      </c>
      <c r="E2258" s="8">
        <v>5505.68</v>
      </c>
      <c r="F2258" s="9">
        <v>45588.666684444448</v>
      </c>
      <c r="G2258" t="s">
        <v>97</v>
      </c>
      <c r="H2258" t="s">
        <v>116</v>
      </c>
      <c r="I2258" t="s">
        <v>88</v>
      </c>
      <c r="J2258" t="str">
        <f t="shared" si="280"/>
        <v/>
      </c>
      <c r="K2258" t="str">
        <f t="shared" si="281"/>
        <v/>
      </c>
      <c r="L2258" t="str">
        <f t="shared" si="282"/>
        <v/>
      </c>
      <c r="M2258" t="str">
        <f t="shared" si="283"/>
        <v/>
      </c>
      <c r="N2258" t="str">
        <f t="shared" si="284"/>
        <v/>
      </c>
      <c r="O2258" t="str">
        <f t="shared" ca="1" si="285"/>
        <v>Outdated</v>
      </c>
      <c r="P2258" t="str">
        <f t="shared" si="286"/>
        <v>Wrong Item</v>
      </c>
      <c r="Q2258" t="str">
        <f t="shared" si="287"/>
        <v/>
      </c>
    </row>
    <row r="2259" spans="1:17" x14ac:dyDescent="0.45">
      <c r="A2259" t="s">
        <v>3079</v>
      </c>
      <c r="B2259" t="s">
        <v>90</v>
      </c>
      <c r="C2259" t="s">
        <v>2560</v>
      </c>
      <c r="D2259" t="s">
        <v>148</v>
      </c>
      <c r="E2259" s="8">
        <v>4709.34</v>
      </c>
      <c r="F2259" s="9">
        <v>45605.666684444448</v>
      </c>
      <c r="G2259" t="s">
        <v>93</v>
      </c>
      <c r="H2259" t="s">
        <v>107</v>
      </c>
      <c r="I2259" t="s">
        <v>119</v>
      </c>
      <c r="J2259" t="str">
        <f t="shared" si="280"/>
        <v/>
      </c>
      <c r="K2259" t="str">
        <f t="shared" si="281"/>
        <v/>
      </c>
      <c r="L2259" t="str">
        <f t="shared" si="282"/>
        <v/>
      </c>
      <c r="M2259" t="str">
        <f t="shared" si="283"/>
        <v/>
      </c>
      <c r="N2259" t="str">
        <f t="shared" si="284"/>
        <v/>
      </c>
      <c r="O2259" t="str">
        <f t="shared" ca="1" si="285"/>
        <v>Outdated</v>
      </c>
      <c r="P2259" t="str">
        <f t="shared" si="286"/>
        <v>Wrong Item</v>
      </c>
      <c r="Q2259" t="str">
        <f t="shared" si="287"/>
        <v>Inconsistent</v>
      </c>
    </row>
    <row r="2260" spans="1:17" x14ac:dyDescent="0.45">
      <c r="A2260" t="s">
        <v>3080</v>
      </c>
      <c r="B2260" t="s">
        <v>72</v>
      </c>
      <c r="C2260" t="s">
        <v>3081</v>
      </c>
      <c r="D2260" t="s">
        <v>74</v>
      </c>
      <c r="E2260" s="8">
        <v>3823.25</v>
      </c>
      <c r="F2260" s="9">
        <v>45824.666684444448</v>
      </c>
      <c r="G2260" t="s">
        <v>75</v>
      </c>
      <c r="H2260" t="s">
        <v>116</v>
      </c>
      <c r="I2260" t="s">
        <v>88</v>
      </c>
      <c r="J2260" t="str">
        <f t="shared" si="280"/>
        <v/>
      </c>
      <c r="K2260" t="str">
        <f t="shared" si="281"/>
        <v/>
      </c>
      <c r="L2260" t="str">
        <f t="shared" si="282"/>
        <v/>
      </c>
      <c r="M2260" t="str">
        <f t="shared" si="283"/>
        <v/>
      </c>
      <c r="N2260" t="str">
        <f t="shared" si="284"/>
        <v/>
      </c>
      <c r="O2260" t="str">
        <f t="shared" ca="1" si="285"/>
        <v>Outdated</v>
      </c>
      <c r="P2260" t="str">
        <f t="shared" si="286"/>
        <v>Wrong Item</v>
      </c>
      <c r="Q2260" t="str">
        <f t="shared" si="287"/>
        <v/>
      </c>
    </row>
    <row r="2261" spans="1:17" x14ac:dyDescent="0.45">
      <c r="A2261" t="s">
        <v>3082</v>
      </c>
      <c r="B2261" t="s">
        <v>72</v>
      </c>
      <c r="C2261" t="s">
        <v>96</v>
      </c>
      <c r="D2261" t="s">
        <v>101</v>
      </c>
      <c r="E2261" s="8">
        <v>5960.69</v>
      </c>
      <c r="F2261" s="9">
        <v>45657.666684444448</v>
      </c>
      <c r="G2261" t="s">
        <v>75</v>
      </c>
      <c r="H2261" t="s">
        <v>116</v>
      </c>
      <c r="I2261" t="s">
        <v>119</v>
      </c>
      <c r="J2261" t="str">
        <f t="shared" si="280"/>
        <v/>
      </c>
      <c r="K2261" t="str">
        <f t="shared" si="281"/>
        <v/>
      </c>
      <c r="L2261" t="str">
        <f t="shared" si="282"/>
        <v/>
      </c>
      <c r="M2261" t="str">
        <f t="shared" si="283"/>
        <v/>
      </c>
      <c r="N2261" t="str">
        <f t="shared" si="284"/>
        <v/>
      </c>
      <c r="O2261" t="str">
        <f t="shared" ca="1" si="285"/>
        <v>Outdated</v>
      </c>
      <c r="P2261" t="str">
        <f t="shared" si="286"/>
        <v>Damaged</v>
      </c>
      <c r="Q2261" t="str">
        <f t="shared" si="287"/>
        <v/>
      </c>
    </row>
    <row r="2262" spans="1:17" x14ac:dyDescent="0.45">
      <c r="A2262" t="s">
        <v>3083</v>
      </c>
      <c r="B2262" t="s">
        <v>90</v>
      </c>
      <c r="C2262" t="s">
        <v>819</v>
      </c>
      <c r="D2262" t="s">
        <v>85</v>
      </c>
      <c r="E2262" s="8">
        <v>2169.8200000000002</v>
      </c>
      <c r="F2262" s="9">
        <v>45480.666684444448</v>
      </c>
      <c r="G2262" t="s">
        <v>93</v>
      </c>
      <c r="H2262" t="s">
        <v>116</v>
      </c>
      <c r="I2262" t="s">
        <v>112</v>
      </c>
      <c r="J2262" t="str">
        <f t="shared" si="280"/>
        <v/>
      </c>
      <c r="K2262" t="str">
        <f t="shared" si="281"/>
        <v>Duplicate</v>
      </c>
      <c r="L2262" t="str">
        <f t="shared" si="282"/>
        <v/>
      </c>
      <c r="M2262" t="str">
        <f t="shared" si="283"/>
        <v/>
      </c>
      <c r="N2262" t="str">
        <f t="shared" si="284"/>
        <v/>
      </c>
      <c r="O2262" t="str">
        <f t="shared" ca="1" si="285"/>
        <v>Outdated</v>
      </c>
      <c r="P2262" t="str">
        <f t="shared" si="286"/>
        <v>Late Delivery</v>
      </c>
      <c r="Q2262" t="str">
        <f t="shared" si="287"/>
        <v/>
      </c>
    </row>
    <row r="2263" spans="1:17" x14ac:dyDescent="0.45">
      <c r="A2263" t="s">
        <v>3084</v>
      </c>
      <c r="B2263" t="s">
        <v>138</v>
      </c>
      <c r="C2263" t="s">
        <v>860</v>
      </c>
      <c r="D2263" t="s">
        <v>85</v>
      </c>
      <c r="E2263" s="8">
        <v>3295.78</v>
      </c>
      <c r="F2263" s="9">
        <v>45259.666684444448</v>
      </c>
      <c r="G2263" t="s">
        <v>140</v>
      </c>
      <c r="H2263" t="s">
        <v>118</v>
      </c>
      <c r="I2263" t="s">
        <v>112</v>
      </c>
      <c r="J2263" t="str">
        <f t="shared" si="280"/>
        <v/>
      </c>
      <c r="K2263" t="str">
        <f t="shared" si="281"/>
        <v/>
      </c>
      <c r="L2263" t="str">
        <f t="shared" si="282"/>
        <v/>
      </c>
      <c r="M2263" t="str">
        <f t="shared" si="283"/>
        <v/>
      </c>
      <c r="N2263" t="str">
        <f t="shared" si="284"/>
        <v>Invalid</v>
      </c>
      <c r="O2263" t="str">
        <f t="shared" ca="1" si="285"/>
        <v>Outdated</v>
      </c>
      <c r="P2263" t="str">
        <f t="shared" si="286"/>
        <v>Late Delivery</v>
      </c>
      <c r="Q2263" t="str">
        <f t="shared" si="287"/>
        <v/>
      </c>
    </row>
    <row r="2264" spans="1:17" x14ac:dyDescent="0.45">
      <c r="A2264" t="s">
        <v>3085</v>
      </c>
      <c r="B2264" t="s">
        <v>99</v>
      </c>
      <c r="C2264" t="s">
        <v>2202</v>
      </c>
      <c r="D2264" t="s">
        <v>92</v>
      </c>
      <c r="E2264" s="8">
        <v>9990.34</v>
      </c>
      <c r="F2264" s="9">
        <v>45692.666684444448</v>
      </c>
      <c r="G2264" t="s">
        <v>102</v>
      </c>
      <c r="I2264" t="s">
        <v>119</v>
      </c>
      <c r="J2264" t="str">
        <f t="shared" si="280"/>
        <v/>
      </c>
      <c r="K2264" t="str">
        <f t="shared" si="281"/>
        <v/>
      </c>
      <c r="L2264" t="str">
        <f t="shared" si="282"/>
        <v/>
      </c>
      <c r="M2264" t="str">
        <f t="shared" si="283"/>
        <v/>
      </c>
      <c r="N2264" t="str">
        <f t="shared" si="284"/>
        <v>Invalid</v>
      </c>
      <c r="O2264" t="str">
        <f t="shared" ca="1" si="285"/>
        <v>Outdated</v>
      </c>
      <c r="P2264" t="str">
        <f t="shared" si="286"/>
        <v>Not As Described</v>
      </c>
      <c r="Q2264" t="str">
        <f t="shared" si="287"/>
        <v/>
      </c>
    </row>
    <row r="2265" spans="1:17" x14ac:dyDescent="0.45">
      <c r="A2265" t="s">
        <v>3086</v>
      </c>
      <c r="B2265" t="s">
        <v>79</v>
      </c>
      <c r="C2265" t="s">
        <v>851</v>
      </c>
      <c r="D2265" t="s">
        <v>74</v>
      </c>
      <c r="E2265" s="8">
        <v>8762.93</v>
      </c>
      <c r="F2265" s="9">
        <v>45783.666684444448</v>
      </c>
      <c r="H2265" t="s">
        <v>145</v>
      </c>
      <c r="I2265" t="s">
        <v>163</v>
      </c>
      <c r="J2265" t="str">
        <f t="shared" si="280"/>
        <v/>
      </c>
      <c r="K2265" t="str">
        <f t="shared" si="281"/>
        <v/>
      </c>
      <c r="L2265" t="str">
        <f t="shared" si="282"/>
        <v/>
      </c>
      <c r="M2265" t="str">
        <f t="shared" si="283"/>
        <v>Invalid</v>
      </c>
      <c r="N2265" t="str">
        <f t="shared" si="284"/>
        <v/>
      </c>
      <c r="O2265" t="str">
        <f t="shared" ca="1" si="285"/>
        <v>Outdated</v>
      </c>
      <c r="P2265" t="str">
        <f t="shared" si="286"/>
        <v>Wrong Item</v>
      </c>
      <c r="Q2265" t="str">
        <f t="shared" si="287"/>
        <v/>
      </c>
    </row>
    <row r="2266" spans="1:17" x14ac:dyDescent="0.45">
      <c r="A2266" t="s">
        <v>488</v>
      </c>
      <c r="B2266" t="s">
        <v>79</v>
      </c>
      <c r="C2266" t="s">
        <v>1510</v>
      </c>
      <c r="E2266" s="8">
        <v>8545.42</v>
      </c>
      <c r="F2266" s="9">
        <v>45729.666684444448</v>
      </c>
      <c r="G2266" t="s">
        <v>86</v>
      </c>
      <c r="H2266" t="s">
        <v>116</v>
      </c>
      <c r="I2266" t="s">
        <v>119</v>
      </c>
      <c r="J2266" t="str">
        <f t="shared" si="280"/>
        <v>Missing</v>
      </c>
      <c r="K2266" t="str">
        <f t="shared" si="281"/>
        <v>Duplicate</v>
      </c>
      <c r="L2266" t="str">
        <f t="shared" si="282"/>
        <v/>
      </c>
      <c r="M2266" t="str">
        <f t="shared" si="283"/>
        <v/>
      </c>
      <c r="N2266" t="str">
        <f t="shared" si="284"/>
        <v/>
      </c>
      <c r="O2266" t="str">
        <f t="shared" ca="1" si="285"/>
        <v>Outdated</v>
      </c>
      <c r="P2266" t="str">
        <f t="shared" si="286"/>
        <v/>
      </c>
      <c r="Q2266" t="str">
        <f t="shared" si="287"/>
        <v/>
      </c>
    </row>
    <row r="2267" spans="1:17" x14ac:dyDescent="0.45">
      <c r="A2267" t="s">
        <v>3087</v>
      </c>
      <c r="B2267" t="s">
        <v>138</v>
      </c>
      <c r="C2267" t="s">
        <v>762</v>
      </c>
      <c r="D2267" t="s">
        <v>85</v>
      </c>
      <c r="E2267" s="8">
        <v>7817.87</v>
      </c>
      <c r="F2267" s="9">
        <v>45314.666684444448</v>
      </c>
      <c r="G2267" t="s">
        <v>140</v>
      </c>
      <c r="I2267" t="s">
        <v>88</v>
      </c>
      <c r="J2267" t="str">
        <f t="shared" si="280"/>
        <v/>
      </c>
      <c r="K2267" t="str">
        <f t="shared" si="281"/>
        <v/>
      </c>
      <c r="L2267" t="str">
        <f t="shared" si="282"/>
        <v/>
      </c>
      <c r="M2267" t="str">
        <f t="shared" si="283"/>
        <v/>
      </c>
      <c r="N2267" t="str">
        <f t="shared" si="284"/>
        <v>Invalid</v>
      </c>
      <c r="O2267" t="str">
        <f t="shared" ca="1" si="285"/>
        <v>Outdated</v>
      </c>
      <c r="P2267" t="str">
        <f t="shared" si="286"/>
        <v>Late Delivery</v>
      </c>
      <c r="Q2267" t="str">
        <f t="shared" si="287"/>
        <v/>
      </c>
    </row>
    <row r="2268" spans="1:17" x14ac:dyDescent="0.45">
      <c r="A2268" t="s">
        <v>3088</v>
      </c>
      <c r="B2268" t="s">
        <v>95</v>
      </c>
      <c r="C2268" t="s">
        <v>193</v>
      </c>
      <c r="D2268" t="s">
        <v>85</v>
      </c>
      <c r="E2268" s="8">
        <v>837.08</v>
      </c>
      <c r="F2268" s="9">
        <v>45260.666684444448</v>
      </c>
      <c r="G2268" t="s">
        <v>97</v>
      </c>
      <c r="H2268" t="s">
        <v>118</v>
      </c>
      <c r="I2268" t="s">
        <v>163</v>
      </c>
      <c r="J2268" t="str">
        <f t="shared" si="280"/>
        <v/>
      </c>
      <c r="K2268" t="str">
        <f t="shared" si="281"/>
        <v/>
      </c>
      <c r="L2268" t="str">
        <f t="shared" si="282"/>
        <v/>
      </c>
      <c r="M2268" t="str">
        <f t="shared" si="283"/>
        <v/>
      </c>
      <c r="N2268" t="str">
        <f t="shared" si="284"/>
        <v>Invalid</v>
      </c>
      <c r="O2268" t="str">
        <f t="shared" ca="1" si="285"/>
        <v>Outdated</v>
      </c>
      <c r="P2268" t="str">
        <f t="shared" si="286"/>
        <v>Late Delivery</v>
      </c>
      <c r="Q2268" t="str">
        <f t="shared" si="287"/>
        <v/>
      </c>
    </row>
    <row r="2269" spans="1:17" x14ac:dyDescent="0.45">
      <c r="A2269" t="s">
        <v>3089</v>
      </c>
      <c r="B2269" t="s">
        <v>95</v>
      </c>
      <c r="C2269" t="s">
        <v>851</v>
      </c>
      <c r="D2269" t="s">
        <v>106</v>
      </c>
      <c r="E2269" s="8">
        <v>5541.34</v>
      </c>
      <c r="F2269" s="9">
        <v>45571.666684444448</v>
      </c>
      <c r="G2269" t="s">
        <v>97</v>
      </c>
      <c r="H2269" t="s">
        <v>76</v>
      </c>
      <c r="I2269" t="s">
        <v>163</v>
      </c>
      <c r="J2269" t="str">
        <f t="shared" si="280"/>
        <v/>
      </c>
      <c r="K2269" t="str">
        <f t="shared" si="281"/>
        <v/>
      </c>
      <c r="L2269" t="str">
        <f t="shared" si="282"/>
        <v/>
      </c>
      <c r="M2269" t="str">
        <f t="shared" si="283"/>
        <v/>
      </c>
      <c r="N2269" t="str">
        <f t="shared" si="284"/>
        <v/>
      </c>
      <c r="O2269" t="str">
        <f t="shared" ca="1" si="285"/>
        <v>Outdated</v>
      </c>
      <c r="P2269" t="str">
        <f t="shared" si="286"/>
        <v>Damaged</v>
      </c>
      <c r="Q2269" t="str">
        <f t="shared" si="287"/>
        <v>Inconsistent</v>
      </c>
    </row>
    <row r="2270" spans="1:17" x14ac:dyDescent="0.45">
      <c r="A2270" t="s">
        <v>3090</v>
      </c>
      <c r="B2270" t="s">
        <v>172</v>
      </c>
      <c r="C2270" t="s">
        <v>787</v>
      </c>
      <c r="D2270" t="s">
        <v>92</v>
      </c>
      <c r="E2270" s="8">
        <v>8732.51</v>
      </c>
      <c r="F2270" s="9">
        <v>45642.666684444448</v>
      </c>
      <c r="G2270" t="s">
        <v>174</v>
      </c>
      <c r="H2270" t="s">
        <v>118</v>
      </c>
      <c r="I2270" t="s">
        <v>119</v>
      </c>
      <c r="J2270" t="str">
        <f t="shared" si="280"/>
        <v/>
      </c>
      <c r="K2270" t="str">
        <f t="shared" si="281"/>
        <v/>
      </c>
      <c r="L2270" t="str">
        <f t="shared" si="282"/>
        <v/>
      </c>
      <c r="M2270" t="str">
        <f t="shared" si="283"/>
        <v/>
      </c>
      <c r="N2270" t="str">
        <f t="shared" si="284"/>
        <v>Invalid</v>
      </c>
      <c r="O2270" t="str">
        <f t="shared" ca="1" si="285"/>
        <v>Outdated</v>
      </c>
      <c r="P2270" t="str">
        <f t="shared" si="286"/>
        <v>Not As Described</v>
      </c>
      <c r="Q2270" t="str">
        <f t="shared" si="287"/>
        <v/>
      </c>
    </row>
    <row r="2271" spans="1:17" x14ac:dyDescent="0.45">
      <c r="A2271" t="s">
        <v>3091</v>
      </c>
      <c r="B2271" t="s">
        <v>79</v>
      </c>
      <c r="C2271" t="s">
        <v>886</v>
      </c>
      <c r="D2271" t="s">
        <v>74</v>
      </c>
      <c r="E2271" s="8">
        <v>0</v>
      </c>
      <c r="F2271" s="9">
        <v>45184.666684444448</v>
      </c>
      <c r="G2271" t="s">
        <v>278</v>
      </c>
      <c r="H2271" t="s">
        <v>87</v>
      </c>
      <c r="I2271" t="s">
        <v>119</v>
      </c>
      <c r="J2271" t="str">
        <f t="shared" si="280"/>
        <v/>
      </c>
      <c r="K2271" t="str">
        <f t="shared" si="281"/>
        <v/>
      </c>
      <c r="L2271" t="str">
        <f t="shared" si="282"/>
        <v>Unusual</v>
      </c>
      <c r="M2271" t="str">
        <f t="shared" si="283"/>
        <v>Invalid</v>
      </c>
      <c r="N2271" t="str">
        <f t="shared" si="284"/>
        <v>Invalid</v>
      </c>
      <c r="O2271" t="str">
        <f t="shared" ca="1" si="285"/>
        <v>Outdated</v>
      </c>
      <c r="P2271" t="str">
        <f t="shared" si="286"/>
        <v>Wrong Item</v>
      </c>
      <c r="Q2271" t="str">
        <f t="shared" si="287"/>
        <v/>
      </c>
    </row>
    <row r="2272" spans="1:17" x14ac:dyDescent="0.45">
      <c r="A2272" t="s">
        <v>3092</v>
      </c>
      <c r="B2272" t="s">
        <v>79</v>
      </c>
      <c r="C2272" t="s">
        <v>1146</v>
      </c>
      <c r="D2272" t="s">
        <v>92</v>
      </c>
      <c r="E2272" s="8">
        <v>8982.7800000000007</v>
      </c>
      <c r="F2272" s="9">
        <v>45255.666684444448</v>
      </c>
      <c r="G2272" t="s">
        <v>86</v>
      </c>
      <c r="I2272" t="s">
        <v>82</v>
      </c>
      <c r="J2272" t="str">
        <f t="shared" si="280"/>
        <v/>
      </c>
      <c r="K2272" t="str">
        <f t="shared" si="281"/>
        <v/>
      </c>
      <c r="L2272" t="str">
        <f t="shared" si="282"/>
        <v/>
      </c>
      <c r="M2272" t="str">
        <f t="shared" si="283"/>
        <v/>
      </c>
      <c r="N2272" t="str">
        <f t="shared" si="284"/>
        <v>Invalid</v>
      </c>
      <c r="O2272" t="str">
        <f t="shared" ca="1" si="285"/>
        <v>Outdated</v>
      </c>
      <c r="P2272" t="str">
        <f t="shared" si="286"/>
        <v>Not As Described</v>
      </c>
      <c r="Q2272" t="str">
        <f t="shared" si="287"/>
        <v/>
      </c>
    </row>
    <row r="2273" spans="1:17" x14ac:dyDescent="0.45">
      <c r="A2273" t="s">
        <v>3093</v>
      </c>
      <c r="B2273" t="s">
        <v>95</v>
      </c>
      <c r="C2273" t="s">
        <v>3094</v>
      </c>
      <c r="D2273" t="s">
        <v>74</v>
      </c>
      <c r="E2273" s="8">
        <v>8463.4</v>
      </c>
      <c r="F2273" s="9">
        <v>45658.666684444448</v>
      </c>
      <c r="G2273" t="s">
        <v>97</v>
      </c>
      <c r="H2273" t="s">
        <v>81</v>
      </c>
      <c r="I2273" t="s">
        <v>163</v>
      </c>
      <c r="J2273" t="str">
        <f t="shared" si="280"/>
        <v/>
      </c>
      <c r="K2273" t="str">
        <f t="shared" si="281"/>
        <v/>
      </c>
      <c r="L2273" t="str">
        <f t="shared" si="282"/>
        <v/>
      </c>
      <c r="M2273" t="str">
        <f t="shared" si="283"/>
        <v/>
      </c>
      <c r="N2273" t="str">
        <f t="shared" si="284"/>
        <v/>
      </c>
      <c r="O2273" t="str">
        <f t="shared" ca="1" si="285"/>
        <v>Outdated</v>
      </c>
      <c r="P2273" t="str">
        <f t="shared" si="286"/>
        <v>Wrong Item</v>
      </c>
      <c r="Q2273" t="str">
        <f t="shared" si="287"/>
        <v/>
      </c>
    </row>
    <row r="2274" spans="1:17" x14ac:dyDescent="0.45">
      <c r="A2274" t="s">
        <v>3095</v>
      </c>
      <c r="B2274" t="s">
        <v>109</v>
      </c>
      <c r="C2274" t="s">
        <v>1667</v>
      </c>
      <c r="D2274" t="s">
        <v>74</v>
      </c>
      <c r="E2274" s="8">
        <v>11408.55</v>
      </c>
      <c r="F2274" s="9">
        <v>45284.666684444448</v>
      </c>
      <c r="G2274" t="s">
        <v>111</v>
      </c>
      <c r="H2274" t="s">
        <v>107</v>
      </c>
      <c r="I2274" t="s">
        <v>163</v>
      </c>
      <c r="J2274" t="str">
        <f t="shared" si="280"/>
        <v/>
      </c>
      <c r="K2274" t="str">
        <f t="shared" si="281"/>
        <v/>
      </c>
      <c r="L2274" t="str">
        <f t="shared" si="282"/>
        <v>Unusual</v>
      </c>
      <c r="M2274" t="str">
        <f t="shared" si="283"/>
        <v/>
      </c>
      <c r="N2274" t="str">
        <f t="shared" si="284"/>
        <v/>
      </c>
      <c r="O2274" t="str">
        <f t="shared" ca="1" si="285"/>
        <v>Outdated</v>
      </c>
      <c r="P2274" t="str">
        <f t="shared" si="286"/>
        <v>Wrong Item</v>
      </c>
      <c r="Q2274" t="str">
        <f t="shared" si="287"/>
        <v/>
      </c>
    </row>
    <row r="2275" spans="1:17" x14ac:dyDescent="0.45">
      <c r="A2275" t="s">
        <v>3096</v>
      </c>
      <c r="B2275" t="s">
        <v>79</v>
      </c>
      <c r="C2275" t="s">
        <v>2018</v>
      </c>
      <c r="D2275" t="s">
        <v>101</v>
      </c>
      <c r="E2275" s="8">
        <v>178.43</v>
      </c>
      <c r="F2275" s="9">
        <v>45439.666684444448</v>
      </c>
      <c r="G2275" t="s">
        <v>278</v>
      </c>
      <c r="H2275" t="s">
        <v>81</v>
      </c>
      <c r="I2275" t="s">
        <v>112</v>
      </c>
      <c r="J2275" t="str">
        <f t="shared" si="280"/>
        <v/>
      </c>
      <c r="K2275" t="str">
        <f t="shared" si="281"/>
        <v/>
      </c>
      <c r="L2275" t="str">
        <f t="shared" si="282"/>
        <v/>
      </c>
      <c r="M2275" t="str">
        <f t="shared" si="283"/>
        <v>Invalid</v>
      </c>
      <c r="N2275" t="str">
        <f t="shared" si="284"/>
        <v/>
      </c>
      <c r="O2275" t="str">
        <f t="shared" ca="1" si="285"/>
        <v>Outdated</v>
      </c>
      <c r="P2275" t="str">
        <f t="shared" si="286"/>
        <v>Damaged</v>
      </c>
      <c r="Q2275" t="str">
        <f t="shared" si="287"/>
        <v/>
      </c>
    </row>
    <row r="2276" spans="1:17" x14ac:dyDescent="0.45">
      <c r="A2276" t="s">
        <v>3097</v>
      </c>
      <c r="B2276" t="s">
        <v>90</v>
      </c>
      <c r="C2276" t="s">
        <v>3098</v>
      </c>
      <c r="D2276" t="s">
        <v>106</v>
      </c>
      <c r="E2276" s="8">
        <v>1716.73</v>
      </c>
      <c r="F2276" s="9">
        <v>45296.666684444448</v>
      </c>
      <c r="G2276" t="s">
        <v>93</v>
      </c>
      <c r="I2276" t="s">
        <v>112</v>
      </c>
      <c r="J2276" t="str">
        <f t="shared" si="280"/>
        <v/>
      </c>
      <c r="K2276" t="str">
        <f t="shared" si="281"/>
        <v/>
      </c>
      <c r="L2276" t="str">
        <f t="shared" si="282"/>
        <v/>
      </c>
      <c r="M2276" t="str">
        <f t="shared" si="283"/>
        <v/>
      </c>
      <c r="N2276" t="str">
        <f t="shared" si="284"/>
        <v>Invalid</v>
      </c>
      <c r="O2276" t="str">
        <f t="shared" ca="1" si="285"/>
        <v>Outdated</v>
      </c>
      <c r="P2276" t="str">
        <f t="shared" si="286"/>
        <v>Damaged</v>
      </c>
      <c r="Q2276" t="str">
        <f t="shared" si="287"/>
        <v>Inconsistent</v>
      </c>
    </row>
    <row r="2277" spans="1:17" x14ac:dyDescent="0.45">
      <c r="A2277" t="s">
        <v>3099</v>
      </c>
      <c r="B2277" t="s">
        <v>104</v>
      </c>
      <c r="C2277" t="s">
        <v>1413</v>
      </c>
      <c r="D2277" t="s">
        <v>74</v>
      </c>
      <c r="E2277" s="8">
        <v>1248.1500000000001</v>
      </c>
      <c r="F2277" s="9">
        <v>45293.666684444448</v>
      </c>
      <c r="H2277" t="s">
        <v>128</v>
      </c>
      <c r="I2277" t="s">
        <v>88</v>
      </c>
      <c r="J2277" t="str">
        <f t="shared" si="280"/>
        <v/>
      </c>
      <c r="K2277" t="str">
        <f t="shared" si="281"/>
        <v/>
      </c>
      <c r="L2277" t="str">
        <f t="shared" si="282"/>
        <v/>
      </c>
      <c r="M2277" t="str">
        <f t="shared" si="283"/>
        <v>Invalid</v>
      </c>
      <c r="N2277" t="str">
        <f t="shared" si="284"/>
        <v>Invalid</v>
      </c>
      <c r="O2277" t="str">
        <f t="shared" ca="1" si="285"/>
        <v>Outdated</v>
      </c>
      <c r="P2277" t="str">
        <f t="shared" si="286"/>
        <v>Wrong Item</v>
      </c>
      <c r="Q2277" t="str">
        <f t="shared" si="287"/>
        <v/>
      </c>
    </row>
    <row r="2278" spans="1:17" x14ac:dyDescent="0.45">
      <c r="A2278" t="s">
        <v>3100</v>
      </c>
      <c r="B2278" t="s">
        <v>90</v>
      </c>
      <c r="C2278" t="s">
        <v>653</v>
      </c>
      <c r="D2278" t="s">
        <v>92</v>
      </c>
      <c r="E2278" s="8">
        <v>2713.19</v>
      </c>
      <c r="F2278" s="9">
        <v>45458.666684444448</v>
      </c>
      <c r="G2278" t="s">
        <v>93</v>
      </c>
      <c r="H2278" t="s">
        <v>145</v>
      </c>
      <c r="I2278" t="s">
        <v>82</v>
      </c>
      <c r="J2278" t="str">
        <f t="shared" si="280"/>
        <v/>
      </c>
      <c r="K2278" t="str">
        <f t="shared" si="281"/>
        <v/>
      </c>
      <c r="L2278" t="str">
        <f t="shared" si="282"/>
        <v/>
      </c>
      <c r="M2278" t="str">
        <f t="shared" si="283"/>
        <v/>
      </c>
      <c r="N2278" t="str">
        <f t="shared" si="284"/>
        <v/>
      </c>
      <c r="O2278" t="str">
        <f t="shared" ca="1" si="285"/>
        <v>Outdated</v>
      </c>
      <c r="P2278" t="str">
        <f t="shared" si="286"/>
        <v>Not As Described</v>
      </c>
      <c r="Q2278" t="str">
        <f t="shared" si="287"/>
        <v/>
      </c>
    </row>
    <row r="2279" spans="1:17" x14ac:dyDescent="0.45">
      <c r="A2279" t="s">
        <v>3101</v>
      </c>
      <c r="B2279" t="s">
        <v>109</v>
      </c>
      <c r="C2279" t="s">
        <v>1425</v>
      </c>
      <c r="D2279" t="s">
        <v>74</v>
      </c>
      <c r="E2279" s="8">
        <v>3702.8</v>
      </c>
      <c r="F2279" s="9">
        <v>45854.666684444448</v>
      </c>
      <c r="H2279" t="s">
        <v>87</v>
      </c>
      <c r="I2279" t="s">
        <v>88</v>
      </c>
      <c r="J2279" t="str">
        <f t="shared" si="280"/>
        <v/>
      </c>
      <c r="K2279" t="str">
        <f t="shared" si="281"/>
        <v/>
      </c>
      <c r="L2279" t="str">
        <f t="shared" si="282"/>
        <v/>
      </c>
      <c r="M2279" t="str">
        <f t="shared" si="283"/>
        <v>Invalid</v>
      </c>
      <c r="N2279" t="str">
        <f t="shared" si="284"/>
        <v>Invalid</v>
      </c>
      <c r="O2279" t="str">
        <f t="shared" ca="1" si="285"/>
        <v/>
      </c>
      <c r="P2279" t="str">
        <f t="shared" si="286"/>
        <v>Wrong Item</v>
      </c>
      <c r="Q2279" t="str">
        <f t="shared" si="287"/>
        <v/>
      </c>
    </row>
    <row r="2280" spans="1:17" x14ac:dyDescent="0.45">
      <c r="A2280" t="s">
        <v>3102</v>
      </c>
      <c r="B2280" t="s">
        <v>172</v>
      </c>
      <c r="C2280" t="s">
        <v>3103</v>
      </c>
      <c r="D2280" t="s">
        <v>92</v>
      </c>
      <c r="E2280" s="8">
        <v>463.4</v>
      </c>
      <c r="F2280" s="9">
        <v>45358.666684444448</v>
      </c>
      <c r="G2280" t="s">
        <v>174</v>
      </c>
      <c r="H2280" t="s">
        <v>87</v>
      </c>
      <c r="I2280" t="s">
        <v>77</v>
      </c>
      <c r="J2280" t="str">
        <f t="shared" si="280"/>
        <v/>
      </c>
      <c r="K2280" t="str">
        <f t="shared" si="281"/>
        <v/>
      </c>
      <c r="L2280" t="str">
        <f t="shared" si="282"/>
        <v/>
      </c>
      <c r="M2280" t="str">
        <f t="shared" si="283"/>
        <v/>
      </c>
      <c r="N2280" t="str">
        <f t="shared" si="284"/>
        <v>Invalid</v>
      </c>
      <c r="O2280" t="str">
        <f t="shared" ca="1" si="285"/>
        <v>Outdated</v>
      </c>
      <c r="P2280" t="str">
        <f t="shared" si="286"/>
        <v>Not As Described</v>
      </c>
      <c r="Q2280" t="str">
        <f t="shared" si="287"/>
        <v/>
      </c>
    </row>
    <row r="2281" spans="1:17" x14ac:dyDescent="0.45">
      <c r="A2281" t="s">
        <v>3104</v>
      </c>
      <c r="B2281" t="s">
        <v>95</v>
      </c>
      <c r="C2281" t="s">
        <v>3105</v>
      </c>
      <c r="D2281" t="s">
        <v>85</v>
      </c>
      <c r="E2281" s="8">
        <v>2695.67</v>
      </c>
      <c r="F2281" s="9">
        <v>45482.666684444448</v>
      </c>
      <c r="G2281" t="s">
        <v>336</v>
      </c>
      <c r="H2281" t="s">
        <v>118</v>
      </c>
      <c r="I2281" t="s">
        <v>163</v>
      </c>
      <c r="J2281" t="str">
        <f t="shared" si="280"/>
        <v/>
      </c>
      <c r="K2281" t="str">
        <f t="shared" si="281"/>
        <v/>
      </c>
      <c r="L2281" t="str">
        <f t="shared" si="282"/>
        <v/>
      </c>
      <c r="M2281" t="str">
        <f t="shared" si="283"/>
        <v>Invalid</v>
      </c>
      <c r="N2281" t="str">
        <f t="shared" si="284"/>
        <v>Invalid</v>
      </c>
      <c r="O2281" t="str">
        <f t="shared" ca="1" si="285"/>
        <v>Outdated</v>
      </c>
      <c r="P2281" t="str">
        <f t="shared" si="286"/>
        <v>Late Delivery</v>
      </c>
      <c r="Q2281" t="str">
        <f t="shared" si="287"/>
        <v/>
      </c>
    </row>
    <row r="2282" spans="1:17" x14ac:dyDescent="0.45">
      <c r="A2282" t="s">
        <v>3106</v>
      </c>
      <c r="B2282" t="s">
        <v>172</v>
      </c>
      <c r="C2282" t="s">
        <v>2920</v>
      </c>
      <c r="D2282" t="s">
        <v>92</v>
      </c>
      <c r="E2282" s="8">
        <v>10542.21</v>
      </c>
      <c r="F2282" s="9">
        <v>45659.666684444448</v>
      </c>
      <c r="G2282" t="s">
        <v>174</v>
      </c>
      <c r="H2282" t="s">
        <v>118</v>
      </c>
      <c r="I2282" t="s">
        <v>77</v>
      </c>
      <c r="J2282" t="str">
        <f t="shared" si="280"/>
        <v/>
      </c>
      <c r="K2282" t="str">
        <f t="shared" si="281"/>
        <v/>
      </c>
      <c r="L2282" t="str">
        <f t="shared" si="282"/>
        <v>Unusual</v>
      </c>
      <c r="M2282" t="str">
        <f t="shared" si="283"/>
        <v/>
      </c>
      <c r="N2282" t="str">
        <f t="shared" si="284"/>
        <v>Invalid</v>
      </c>
      <c r="O2282" t="str">
        <f t="shared" ca="1" si="285"/>
        <v>Outdated</v>
      </c>
      <c r="P2282" t="str">
        <f t="shared" si="286"/>
        <v>Not As Described</v>
      </c>
      <c r="Q2282" t="str">
        <f t="shared" si="287"/>
        <v/>
      </c>
    </row>
    <row r="2283" spans="1:17" x14ac:dyDescent="0.45">
      <c r="A2283" t="s">
        <v>3107</v>
      </c>
      <c r="B2283" t="s">
        <v>172</v>
      </c>
      <c r="C2283" t="s">
        <v>1700</v>
      </c>
      <c r="D2283" t="s">
        <v>74</v>
      </c>
      <c r="E2283" s="8">
        <v>0</v>
      </c>
      <c r="F2283" s="9">
        <v>45418.666684444448</v>
      </c>
      <c r="H2283" t="s">
        <v>136</v>
      </c>
      <c r="I2283" t="s">
        <v>88</v>
      </c>
      <c r="J2283" t="str">
        <f t="shared" si="280"/>
        <v/>
      </c>
      <c r="K2283" t="str">
        <f t="shared" si="281"/>
        <v/>
      </c>
      <c r="L2283" t="str">
        <f t="shared" si="282"/>
        <v>Unusual</v>
      </c>
      <c r="M2283" t="str">
        <f t="shared" si="283"/>
        <v>Invalid</v>
      </c>
      <c r="N2283" t="str">
        <f t="shared" si="284"/>
        <v>Invalid</v>
      </c>
      <c r="O2283" t="str">
        <f t="shared" ca="1" si="285"/>
        <v>Outdated</v>
      </c>
      <c r="P2283" t="str">
        <f t="shared" si="286"/>
        <v>Wrong Item</v>
      </c>
      <c r="Q2283" t="str">
        <f t="shared" si="287"/>
        <v/>
      </c>
    </row>
    <row r="2284" spans="1:17" x14ac:dyDescent="0.45">
      <c r="A2284" t="s">
        <v>3108</v>
      </c>
      <c r="B2284" t="s">
        <v>95</v>
      </c>
      <c r="C2284" t="s">
        <v>696</v>
      </c>
      <c r="D2284" t="s">
        <v>92</v>
      </c>
      <c r="E2284" s="8">
        <v>0</v>
      </c>
      <c r="F2284" s="9">
        <v>45208.666684444448</v>
      </c>
      <c r="G2284" t="s">
        <v>97</v>
      </c>
      <c r="H2284" t="s">
        <v>76</v>
      </c>
      <c r="I2284" t="s">
        <v>119</v>
      </c>
      <c r="J2284" t="str">
        <f t="shared" si="280"/>
        <v/>
      </c>
      <c r="K2284" t="str">
        <f t="shared" si="281"/>
        <v/>
      </c>
      <c r="L2284" t="str">
        <f t="shared" si="282"/>
        <v>Unusual</v>
      </c>
      <c r="M2284" t="str">
        <f t="shared" si="283"/>
        <v/>
      </c>
      <c r="N2284" t="str">
        <f t="shared" si="284"/>
        <v/>
      </c>
      <c r="O2284" t="str">
        <f t="shared" ca="1" si="285"/>
        <v>Outdated</v>
      </c>
      <c r="P2284" t="str">
        <f t="shared" si="286"/>
        <v>Not As Described</v>
      </c>
      <c r="Q2284" t="str">
        <f t="shared" si="287"/>
        <v/>
      </c>
    </row>
    <row r="2285" spans="1:17" x14ac:dyDescent="0.45">
      <c r="A2285" t="s">
        <v>3109</v>
      </c>
      <c r="B2285" t="s">
        <v>72</v>
      </c>
      <c r="C2285" t="s">
        <v>2212</v>
      </c>
      <c r="D2285" t="s">
        <v>106</v>
      </c>
      <c r="E2285" s="8">
        <v>1600.22</v>
      </c>
      <c r="F2285" s="9">
        <v>45384.666684444448</v>
      </c>
      <c r="G2285" t="s">
        <v>75</v>
      </c>
      <c r="H2285" t="s">
        <v>128</v>
      </c>
      <c r="I2285" t="s">
        <v>163</v>
      </c>
      <c r="J2285" t="str">
        <f t="shared" si="280"/>
        <v/>
      </c>
      <c r="K2285" t="str">
        <f t="shared" si="281"/>
        <v/>
      </c>
      <c r="L2285" t="str">
        <f t="shared" si="282"/>
        <v/>
      </c>
      <c r="M2285" t="str">
        <f t="shared" si="283"/>
        <v/>
      </c>
      <c r="N2285" t="str">
        <f t="shared" si="284"/>
        <v>Invalid</v>
      </c>
      <c r="O2285" t="str">
        <f t="shared" ca="1" si="285"/>
        <v>Outdated</v>
      </c>
      <c r="P2285" t="str">
        <f t="shared" si="286"/>
        <v>Damaged</v>
      </c>
      <c r="Q2285" t="str">
        <f t="shared" si="287"/>
        <v>Inconsistent</v>
      </c>
    </row>
    <row r="2286" spans="1:17" x14ac:dyDescent="0.45">
      <c r="A2286" t="s">
        <v>3110</v>
      </c>
      <c r="B2286" t="s">
        <v>104</v>
      </c>
      <c r="C2286" t="s">
        <v>1684</v>
      </c>
      <c r="D2286" t="s">
        <v>92</v>
      </c>
      <c r="E2286" s="8">
        <v>268.39999999999998</v>
      </c>
      <c r="F2286" s="9">
        <v>45329.666684444448</v>
      </c>
      <c r="G2286" t="s">
        <v>115</v>
      </c>
      <c r="H2286" t="s">
        <v>136</v>
      </c>
      <c r="I2286" t="s">
        <v>112</v>
      </c>
      <c r="J2286" t="str">
        <f t="shared" si="280"/>
        <v/>
      </c>
      <c r="K2286" t="str">
        <f t="shared" si="281"/>
        <v/>
      </c>
      <c r="L2286" t="str">
        <f t="shared" si="282"/>
        <v/>
      </c>
      <c r="M2286" t="str">
        <f t="shared" si="283"/>
        <v/>
      </c>
      <c r="N2286" t="str">
        <f t="shared" si="284"/>
        <v>Invalid</v>
      </c>
      <c r="O2286" t="str">
        <f t="shared" ca="1" si="285"/>
        <v>Outdated</v>
      </c>
      <c r="P2286" t="str">
        <f t="shared" si="286"/>
        <v>Not As Described</v>
      </c>
      <c r="Q2286" t="str">
        <f t="shared" si="287"/>
        <v/>
      </c>
    </row>
    <row r="2287" spans="1:17" x14ac:dyDescent="0.45">
      <c r="A2287" t="s">
        <v>3111</v>
      </c>
      <c r="B2287" t="s">
        <v>79</v>
      </c>
      <c r="C2287" t="s">
        <v>1221</v>
      </c>
      <c r="D2287" t="s">
        <v>85</v>
      </c>
      <c r="E2287" s="8">
        <v>0</v>
      </c>
      <c r="F2287" s="9">
        <v>45778.666684444448</v>
      </c>
      <c r="G2287" t="s">
        <v>86</v>
      </c>
      <c r="I2287" t="s">
        <v>77</v>
      </c>
      <c r="J2287" t="str">
        <f t="shared" si="280"/>
        <v/>
      </c>
      <c r="K2287" t="str">
        <f t="shared" si="281"/>
        <v/>
      </c>
      <c r="L2287" t="str">
        <f t="shared" si="282"/>
        <v>Unusual</v>
      </c>
      <c r="M2287" t="str">
        <f t="shared" si="283"/>
        <v/>
      </c>
      <c r="N2287" t="str">
        <f t="shared" si="284"/>
        <v>Invalid</v>
      </c>
      <c r="O2287" t="str">
        <f t="shared" ca="1" si="285"/>
        <v>Outdated</v>
      </c>
      <c r="P2287" t="str">
        <f t="shared" si="286"/>
        <v>Late Delivery</v>
      </c>
      <c r="Q2287" t="str">
        <f t="shared" si="287"/>
        <v/>
      </c>
    </row>
    <row r="2288" spans="1:17" x14ac:dyDescent="0.45">
      <c r="A2288" t="s">
        <v>865</v>
      </c>
      <c r="B2288" t="s">
        <v>172</v>
      </c>
      <c r="C2288" t="s">
        <v>2160</v>
      </c>
      <c r="D2288" t="s">
        <v>155</v>
      </c>
      <c r="E2288" s="8">
        <v>780.07</v>
      </c>
      <c r="F2288" s="9">
        <v>45692.666684444448</v>
      </c>
      <c r="I2288" t="s">
        <v>119</v>
      </c>
      <c r="J2288" t="str">
        <f t="shared" si="280"/>
        <v/>
      </c>
      <c r="K2288" t="str">
        <f t="shared" si="281"/>
        <v>Duplicate</v>
      </c>
      <c r="L2288" t="str">
        <f t="shared" si="282"/>
        <v/>
      </c>
      <c r="M2288" t="str">
        <f t="shared" si="283"/>
        <v>Invalid</v>
      </c>
      <c r="N2288" t="str">
        <f t="shared" si="284"/>
        <v>Invalid</v>
      </c>
      <c r="O2288" t="str">
        <f t="shared" ca="1" si="285"/>
        <v>Outdated</v>
      </c>
      <c r="P2288" t="str">
        <f t="shared" si="286"/>
        <v>Damaged</v>
      </c>
      <c r="Q2288" t="str">
        <f t="shared" si="287"/>
        <v>Inconsistent</v>
      </c>
    </row>
    <row r="2289" spans="1:17" x14ac:dyDescent="0.45">
      <c r="A2289" t="s">
        <v>3112</v>
      </c>
      <c r="B2289" t="s">
        <v>90</v>
      </c>
      <c r="C2289" t="s">
        <v>1489</v>
      </c>
      <c r="D2289" t="s">
        <v>74</v>
      </c>
      <c r="E2289" s="8">
        <v>9993.2999999999993</v>
      </c>
      <c r="F2289" s="9">
        <v>45409.666684444448</v>
      </c>
      <c r="G2289" t="s">
        <v>93</v>
      </c>
      <c r="H2289" t="s">
        <v>145</v>
      </c>
      <c r="I2289" t="s">
        <v>112</v>
      </c>
      <c r="J2289" t="str">
        <f t="shared" si="280"/>
        <v/>
      </c>
      <c r="K2289" t="str">
        <f t="shared" si="281"/>
        <v/>
      </c>
      <c r="L2289" t="str">
        <f t="shared" si="282"/>
        <v/>
      </c>
      <c r="M2289" t="str">
        <f t="shared" si="283"/>
        <v/>
      </c>
      <c r="N2289" t="str">
        <f t="shared" si="284"/>
        <v/>
      </c>
      <c r="O2289" t="str">
        <f t="shared" ca="1" si="285"/>
        <v>Outdated</v>
      </c>
      <c r="P2289" t="str">
        <f t="shared" si="286"/>
        <v>Wrong Item</v>
      </c>
      <c r="Q2289" t="str">
        <f t="shared" si="287"/>
        <v/>
      </c>
    </row>
    <row r="2290" spans="1:17" x14ac:dyDescent="0.45">
      <c r="A2290" t="s">
        <v>3113</v>
      </c>
      <c r="B2290" t="s">
        <v>72</v>
      </c>
      <c r="C2290" t="s">
        <v>1267</v>
      </c>
      <c r="D2290" t="s">
        <v>92</v>
      </c>
      <c r="E2290" s="8">
        <v>8734.01</v>
      </c>
      <c r="F2290" s="9">
        <v>45256.666684444448</v>
      </c>
      <c r="G2290" t="s">
        <v>75</v>
      </c>
      <c r="H2290" t="s">
        <v>116</v>
      </c>
      <c r="I2290" t="s">
        <v>112</v>
      </c>
      <c r="J2290" t="str">
        <f t="shared" si="280"/>
        <v/>
      </c>
      <c r="K2290" t="str">
        <f t="shared" si="281"/>
        <v/>
      </c>
      <c r="L2290" t="str">
        <f t="shared" si="282"/>
        <v/>
      </c>
      <c r="M2290" t="str">
        <f t="shared" si="283"/>
        <v/>
      </c>
      <c r="N2290" t="str">
        <f t="shared" si="284"/>
        <v/>
      </c>
      <c r="O2290" t="str">
        <f t="shared" ca="1" si="285"/>
        <v>Outdated</v>
      </c>
      <c r="P2290" t="str">
        <f t="shared" si="286"/>
        <v>Not As Described</v>
      </c>
      <c r="Q2290" t="str">
        <f t="shared" si="287"/>
        <v/>
      </c>
    </row>
    <row r="2291" spans="1:17" x14ac:dyDescent="0.45">
      <c r="A2291" t="s">
        <v>3114</v>
      </c>
      <c r="B2291" t="s">
        <v>72</v>
      </c>
      <c r="C2291" t="s">
        <v>3115</v>
      </c>
      <c r="D2291" t="s">
        <v>148</v>
      </c>
      <c r="E2291" s="8">
        <v>0</v>
      </c>
      <c r="F2291" s="9">
        <v>45768.666684444448</v>
      </c>
      <c r="G2291" t="s">
        <v>75</v>
      </c>
      <c r="H2291" t="s">
        <v>87</v>
      </c>
      <c r="I2291" t="s">
        <v>77</v>
      </c>
      <c r="J2291" t="str">
        <f t="shared" si="280"/>
        <v/>
      </c>
      <c r="K2291" t="str">
        <f t="shared" si="281"/>
        <v>Duplicate</v>
      </c>
      <c r="L2291" t="str">
        <f t="shared" si="282"/>
        <v>Unusual</v>
      </c>
      <c r="M2291" t="str">
        <f t="shared" si="283"/>
        <v/>
      </c>
      <c r="N2291" t="str">
        <f t="shared" si="284"/>
        <v>Invalid</v>
      </c>
      <c r="O2291" t="str">
        <f t="shared" ca="1" si="285"/>
        <v>Outdated</v>
      </c>
      <c r="P2291" t="str">
        <f t="shared" si="286"/>
        <v>Wrong Item</v>
      </c>
      <c r="Q2291" t="str">
        <f t="shared" si="287"/>
        <v>Inconsistent</v>
      </c>
    </row>
    <row r="2292" spans="1:17" x14ac:dyDescent="0.45">
      <c r="A2292" t="s">
        <v>3116</v>
      </c>
      <c r="B2292" t="s">
        <v>109</v>
      </c>
      <c r="C2292" t="s">
        <v>1004</v>
      </c>
      <c r="D2292" t="s">
        <v>74</v>
      </c>
      <c r="E2292" s="8">
        <v>3800.97</v>
      </c>
      <c r="F2292" s="9">
        <v>45438.666684444448</v>
      </c>
      <c r="G2292" t="s">
        <v>111</v>
      </c>
      <c r="H2292" t="s">
        <v>81</v>
      </c>
      <c r="I2292" t="s">
        <v>77</v>
      </c>
      <c r="J2292" t="str">
        <f t="shared" si="280"/>
        <v/>
      </c>
      <c r="K2292" t="str">
        <f t="shared" si="281"/>
        <v/>
      </c>
      <c r="L2292" t="str">
        <f t="shared" si="282"/>
        <v/>
      </c>
      <c r="M2292" t="str">
        <f t="shared" si="283"/>
        <v/>
      </c>
      <c r="N2292" t="str">
        <f t="shared" si="284"/>
        <v/>
      </c>
      <c r="O2292" t="str">
        <f t="shared" ca="1" si="285"/>
        <v>Outdated</v>
      </c>
      <c r="P2292" t="str">
        <f t="shared" si="286"/>
        <v>Wrong Item</v>
      </c>
      <c r="Q2292" t="str">
        <f t="shared" si="287"/>
        <v/>
      </c>
    </row>
    <row r="2293" spans="1:17" x14ac:dyDescent="0.45">
      <c r="A2293" t="s">
        <v>3117</v>
      </c>
      <c r="B2293" t="s">
        <v>172</v>
      </c>
      <c r="C2293" t="s">
        <v>243</v>
      </c>
      <c r="D2293" t="s">
        <v>85</v>
      </c>
      <c r="E2293" s="8">
        <v>1635.02</v>
      </c>
      <c r="F2293" s="9">
        <v>45757.666684444448</v>
      </c>
      <c r="G2293" t="s">
        <v>236</v>
      </c>
      <c r="H2293" t="s">
        <v>128</v>
      </c>
      <c r="I2293" t="s">
        <v>112</v>
      </c>
      <c r="J2293" t="str">
        <f t="shared" si="280"/>
        <v/>
      </c>
      <c r="K2293" t="str">
        <f t="shared" si="281"/>
        <v/>
      </c>
      <c r="L2293" t="str">
        <f t="shared" si="282"/>
        <v/>
      </c>
      <c r="M2293" t="str">
        <f t="shared" si="283"/>
        <v>Invalid</v>
      </c>
      <c r="N2293" t="str">
        <f t="shared" si="284"/>
        <v>Invalid</v>
      </c>
      <c r="O2293" t="str">
        <f t="shared" ca="1" si="285"/>
        <v>Outdated</v>
      </c>
      <c r="P2293" t="str">
        <f t="shared" si="286"/>
        <v>Late Delivery</v>
      </c>
      <c r="Q2293" t="str">
        <f t="shared" si="287"/>
        <v/>
      </c>
    </row>
    <row r="2294" spans="1:17" x14ac:dyDescent="0.45">
      <c r="A2294" t="s">
        <v>3118</v>
      </c>
      <c r="B2294" t="s">
        <v>172</v>
      </c>
      <c r="C2294" t="s">
        <v>577</v>
      </c>
      <c r="D2294" t="s">
        <v>74</v>
      </c>
      <c r="E2294" s="8">
        <v>2910.93</v>
      </c>
      <c r="F2294" s="9">
        <v>45674.666684444448</v>
      </c>
      <c r="G2294" t="s">
        <v>236</v>
      </c>
      <c r="H2294" t="s">
        <v>133</v>
      </c>
      <c r="I2294" t="s">
        <v>112</v>
      </c>
      <c r="J2294" t="str">
        <f t="shared" si="280"/>
        <v/>
      </c>
      <c r="K2294" t="str">
        <f t="shared" si="281"/>
        <v/>
      </c>
      <c r="L2294" t="str">
        <f t="shared" si="282"/>
        <v/>
      </c>
      <c r="M2294" t="str">
        <f t="shared" si="283"/>
        <v>Invalid</v>
      </c>
      <c r="N2294" t="str">
        <f t="shared" si="284"/>
        <v>Invalid</v>
      </c>
      <c r="O2294" t="str">
        <f t="shared" ca="1" si="285"/>
        <v>Outdated</v>
      </c>
      <c r="P2294" t="str">
        <f t="shared" si="286"/>
        <v>Wrong Item</v>
      </c>
      <c r="Q2294" t="str">
        <f t="shared" si="287"/>
        <v/>
      </c>
    </row>
    <row r="2295" spans="1:17" x14ac:dyDescent="0.45">
      <c r="A2295" t="s">
        <v>3119</v>
      </c>
      <c r="B2295" t="s">
        <v>99</v>
      </c>
      <c r="C2295" t="s">
        <v>1557</v>
      </c>
      <c r="D2295" t="s">
        <v>85</v>
      </c>
      <c r="E2295" s="8">
        <v>11402.17</v>
      </c>
      <c r="F2295" s="9">
        <v>45223.666684444448</v>
      </c>
      <c r="G2295" t="s">
        <v>102</v>
      </c>
      <c r="H2295" t="s">
        <v>118</v>
      </c>
      <c r="I2295" t="s">
        <v>88</v>
      </c>
      <c r="J2295" t="str">
        <f t="shared" si="280"/>
        <v/>
      </c>
      <c r="K2295" t="str">
        <f t="shared" si="281"/>
        <v/>
      </c>
      <c r="L2295" t="str">
        <f t="shared" si="282"/>
        <v>Unusual</v>
      </c>
      <c r="M2295" t="str">
        <f t="shared" si="283"/>
        <v/>
      </c>
      <c r="N2295" t="str">
        <f t="shared" si="284"/>
        <v>Invalid</v>
      </c>
      <c r="O2295" t="str">
        <f t="shared" ca="1" si="285"/>
        <v>Outdated</v>
      </c>
      <c r="P2295" t="str">
        <f t="shared" si="286"/>
        <v>Late Delivery</v>
      </c>
      <c r="Q2295" t="str">
        <f t="shared" si="287"/>
        <v/>
      </c>
    </row>
    <row r="2296" spans="1:17" x14ac:dyDescent="0.45">
      <c r="A2296" t="s">
        <v>3120</v>
      </c>
      <c r="B2296" t="s">
        <v>109</v>
      </c>
      <c r="C2296" t="s">
        <v>2509</v>
      </c>
      <c r="D2296" t="s">
        <v>85</v>
      </c>
      <c r="E2296" s="8">
        <v>4389.26</v>
      </c>
      <c r="F2296" s="9">
        <v>45642.666684444448</v>
      </c>
      <c r="G2296" t="s">
        <v>111</v>
      </c>
      <c r="H2296" t="s">
        <v>76</v>
      </c>
      <c r="I2296" t="s">
        <v>77</v>
      </c>
      <c r="J2296" t="str">
        <f t="shared" si="280"/>
        <v/>
      </c>
      <c r="K2296" t="str">
        <f t="shared" si="281"/>
        <v/>
      </c>
      <c r="L2296" t="str">
        <f t="shared" si="282"/>
        <v/>
      </c>
      <c r="M2296" t="str">
        <f t="shared" si="283"/>
        <v/>
      </c>
      <c r="N2296" t="str">
        <f t="shared" si="284"/>
        <v/>
      </c>
      <c r="O2296" t="str">
        <f t="shared" ca="1" si="285"/>
        <v>Outdated</v>
      </c>
      <c r="P2296" t="str">
        <f t="shared" si="286"/>
        <v>Late Delivery</v>
      </c>
      <c r="Q2296" t="str">
        <f t="shared" si="287"/>
        <v/>
      </c>
    </row>
    <row r="2297" spans="1:17" x14ac:dyDescent="0.45">
      <c r="A2297" t="s">
        <v>3121</v>
      </c>
      <c r="B2297" t="s">
        <v>72</v>
      </c>
      <c r="D2297" t="s">
        <v>101</v>
      </c>
      <c r="E2297" s="8">
        <v>3948.93</v>
      </c>
      <c r="F2297" s="9">
        <v>45784.666684444448</v>
      </c>
      <c r="G2297" t="s">
        <v>75</v>
      </c>
      <c r="H2297" t="s">
        <v>107</v>
      </c>
      <c r="I2297" t="s">
        <v>77</v>
      </c>
      <c r="J2297" t="str">
        <f t="shared" si="280"/>
        <v>Missing</v>
      </c>
      <c r="K2297" t="str">
        <f t="shared" si="281"/>
        <v/>
      </c>
      <c r="L2297" t="str">
        <f t="shared" si="282"/>
        <v/>
      </c>
      <c r="M2297" t="str">
        <f t="shared" si="283"/>
        <v/>
      </c>
      <c r="N2297" t="str">
        <f t="shared" si="284"/>
        <v/>
      </c>
      <c r="O2297" t="str">
        <f t="shared" ca="1" si="285"/>
        <v>Outdated</v>
      </c>
      <c r="P2297" t="str">
        <f t="shared" si="286"/>
        <v>Damaged</v>
      </c>
      <c r="Q2297" t="str">
        <f t="shared" si="287"/>
        <v/>
      </c>
    </row>
    <row r="2298" spans="1:17" x14ac:dyDescent="0.45">
      <c r="A2298" t="s">
        <v>3122</v>
      </c>
      <c r="B2298" t="s">
        <v>72</v>
      </c>
      <c r="C2298" t="s">
        <v>2284</v>
      </c>
      <c r="D2298" t="s">
        <v>85</v>
      </c>
      <c r="E2298" s="8">
        <v>0</v>
      </c>
      <c r="F2298" s="9">
        <v>45300.666684444448</v>
      </c>
      <c r="H2298" t="s">
        <v>145</v>
      </c>
      <c r="I2298" t="s">
        <v>88</v>
      </c>
      <c r="J2298" t="str">
        <f t="shared" si="280"/>
        <v/>
      </c>
      <c r="K2298" t="str">
        <f t="shared" si="281"/>
        <v/>
      </c>
      <c r="L2298" t="str">
        <f t="shared" si="282"/>
        <v>Unusual</v>
      </c>
      <c r="M2298" t="str">
        <f t="shared" si="283"/>
        <v>Invalid</v>
      </c>
      <c r="N2298" t="str">
        <f t="shared" si="284"/>
        <v/>
      </c>
      <c r="O2298" t="str">
        <f t="shared" ca="1" si="285"/>
        <v>Outdated</v>
      </c>
      <c r="P2298" t="str">
        <f t="shared" si="286"/>
        <v>Late Delivery</v>
      </c>
      <c r="Q2298" t="str">
        <f t="shared" si="287"/>
        <v/>
      </c>
    </row>
    <row r="2299" spans="1:17" x14ac:dyDescent="0.45">
      <c r="A2299" t="s">
        <v>3123</v>
      </c>
      <c r="B2299" t="s">
        <v>99</v>
      </c>
      <c r="C2299" t="s">
        <v>2139</v>
      </c>
      <c r="D2299" t="s">
        <v>101</v>
      </c>
      <c r="E2299" s="8">
        <v>3214.14</v>
      </c>
      <c r="F2299" s="9">
        <v>45734.666684444448</v>
      </c>
      <c r="G2299" t="s">
        <v>102</v>
      </c>
      <c r="H2299" t="s">
        <v>133</v>
      </c>
      <c r="I2299" t="s">
        <v>112</v>
      </c>
      <c r="J2299" t="str">
        <f t="shared" si="280"/>
        <v/>
      </c>
      <c r="K2299" t="str">
        <f t="shared" si="281"/>
        <v/>
      </c>
      <c r="L2299" t="str">
        <f t="shared" si="282"/>
        <v/>
      </c>
      <c r="M2299" t="str">
        <f t="shared" si="283"/>
        <v/>
      </c>
      <c r="N2299" t="str">
        <f t="shared" si="284"/>
        <v>Invalid</v>
      </c>
      <c r="O2299" t="str">
        <f t="shared" ca="1" si="285"/>
        <v>Outdated</v>
      </c>
      <c r="P2299" t="str">
        <f t="shared" si="286"/>
        <v>Damaged</v>
      </c>
      <c r="Q2299" t="str">
        <f t="shared" si="287"/>
        <v/>
      </c>
    </row>
    <row r="2300" spans="1:17" x14ac:dyDescent="0.45">
      <c r="A2300" t="s">
        <v>3124</v>
      </c>
      <c r="B2300" t="s">
        <v>79</v>
      </c>
      <c r="C2300" t="s">
        <v>210</v>
      </c>
      <c r="D2300" t="s">
        <v>101</v>
      </c>
      <c r="E2300" s="8">
        <v>1986.49</v>
      </c>
      <c r="F2300" s="9">
        <v>45722.666684444448</v>
      </c>
      <c r="G2300" t="s">
        <v>86</v>
      </c>
      <c r="H2300" t="s">
        <v>136</v>
      </c>
      <c r="I2300" t="s">
        <v>163</v>
      </c>
      <c r="J2300" t="str">
        <f t="shared" si="280"/>
        <v/>
      </c>
      <c r="K2300" t="str">
        <f t="shared" si="281"/>
        <v/>
      </c>
      <c r="L2300" t="str">
        <f t="shared" si="282"/>
        <v/>
      </c>
      <c r="M2300" t="str">
        <f t="shared" si="283"/>
        <v/>
      </c>
      <c r="N2300" t="str">
        <f t="shared" si="284"/>
        <v>Invalid</v>
      </c>
      <c r="O2300" t="str">
        <f t="shared" ca="1" si="285"/>
        <v>Outdated</v>
      </c>
      <c r="P2300" t="str">
        <f t="shared" si="286"/>
        <v>Damaged</v>
      </c>
      <c r="Q2300" t="str">
        <f t="shared" si="287"/>
        <v/>
      </c>
    </row>
    <row r="2301" spans="1:17" x14ac:dyDescent="0.45">
      <c r="A2301" t="s">
        <v>3125</v>
      </c>
      <c r="B2301" t="s">
        <v>138</v>
      </c>
      <c r="C2301" t="s">
        <v>1475</v>
      </c>
      <c r="D2301" t="s">
        <v>74</v>
      </c>
      <c r="E2301" s="8">
        <v>6293.39</v>
      </c>
      <c r="F2301" s="9">
        <v>45285.666684444448</v>
      </c>
      <c r="G2301" t="s">
        <v>140</v>
      </c>
      <c r="H2301" t="s">
        <v>133</v>
      </c>
      <c r="I2301" t="s">
        <v>163</v>
      </c>
      <c r="J2301" t="str">
        <f t="shared" si="280"/>
        <v/>
      </c>
      <c r="K2301" t="str">
        <f t="shared" si="281"/>
        <v/>
      </c>
      <c r="L2301" t="str">
        <f t="shared" si="282"/>
        <v/>
      </c>
      <c r="M2301" t="str">
        <f t="shared" si="283"/>
        <v/>
      </c>
      <c r="N2301" t="str">
        <f t="shared" si="284"/>
        <v>Invalid</v>
      </c>
      <c r="O2301" t="str">
        <f t="shared" ca="1" si="285"/>
        <v>Outdated</v>
      </c>
      <c r="P2301" t="str">
        <f t="shared" si="286"/>
        <v>Wrong Item</v>
      </c>
      <c r="Q2301" t="str">
        <f t="shared" si="287"/>
        <v/>
      </c>
    </row>
    <row r="2302" spans="1:17" x14ac:dyDescent="0.45">
      <c r="A2302" t="s">
        <v>3126</v>
      </c>
      <c r="B2302" t="s">
        <v>90</v>
      </c>
      <c r="C2302" t="s">
        <v>1129</v>
      </c>
      <c r="D2302" t="s">
        <v>148</v>
      </c>
      <c r="E2302" s="8">
        <v>6633.96</v>
      </c>
      <c r="F2302" s="9">
        <v>45303.666684444448</v>
      </c>
      <c r="G2302" t="s">
        <v>93</v>
      </c>
      <c r="H2302" t="s">
        <v>76</v>
      </c>
      <c r="I2302" t="s">
        <v>82</v>
      </c>
      <c r="J2302" t="str">
        <f t="shared" si="280"/>
        <v/>
      </c>
      <c r="K2302" t="str">
        <f t="shared" si="281"/>
        <v/>
      </c>
      <c r="L2302" t="str">
        <f t="shared" si="282"/>
        <v/>
      </c>
      <c r="M2302" t="str">
        <f t="shared" si="283"/>
        <v/>
      </c>
      <c r="N2302" t="str">
        <f t="shared" si="284"/>
        <v/>
      </c>
      <c r="O2302" t="str">
        <f t="shared" ca="1" si="285"/>
        <v>Outdated</v>
      </c>
      <c r="P2302" t="str">
        <f t="shared" si="286"/>
        <v>Wrong Item</v>
      </c>
      <c r="Q2302" t="str">
        <f t="shared" si="287"/>
        <v>Inconsistent</v>
      </c>
    </row>
    <row r="2303" spans="1:17" x14ac:dyDescent="0.45">
      <c r="A2303" t="s">
        <v>3127</v>
      </c>
      <c r="B2303" t="s">
        <v>138</v>
      </c>
      <c r="C2303" t="s">
        <v>1314</v>
      </c>
      <c r="D2303" t="s">
        <v>74</v>
      </c>
      <c r="E2303" s="8">
        <v>0</v>
      </c>
      <c r="F2303" s="9">
        <v>45802.666684444448</v>
      </c>
      <c r="G2303" t="s">
        <v>140</v>
      </c>
      <c r="I2303" t="s">
        <v>82</v>
      </c>
      <c r="J2303" t="str">
        <f t="shared" si="280"/>
        <v/>
      </c>
      <c r="K2303" t="str">
        <f t="shared" si="281"/>
        <v/>
      </c>
      <c r="L2303" t="str">
        <f t="shared" si="282"/>
        <v>Unusual</v>
      </c>
      <c r="M2303" t="str">
        <f t="shared" si="283"/>
        <v/>
      </c>
      <c r="N2303" t="str">
        <f t="shared" si="284"/>
        <v>Invalid</v>
      </c>
      <c r="O2303" t="str">
        <f t="shared" ca="1" si="285"/>
        <v>Outdated</v>
      </c>
      <c r="P2303" t="str">
        <f t="shared" si="286"/>
        <v>Wrong Item</v>
      </c>
      <c r="Q2303" t="str">
        <f t="shared" si="287"/>
        <v/>
      </c>
    </row>
    <row r="2304" spans="1:17" x14ac:dyDescent="0.45">
      <c r="A2304" t="s">
        <v>2721</v>
      </c>
      <c r="B2304" t="s">
        <v>172</v>
      </c>
      <c r="C2304" t="s">
        <v>1074</v>
      </c>
      <c r="D2304" t="s">
        <v>148</v>
      </c>
      <c r="E2304" s="8">
        <v>1743.8</v>
      </c>
      <c r="F2304" s="9">
        <v>45767.666684444448</v>
      </c>
      <c r="G2304" t="s">
        <v>174</v>
      </c>
      <c r="H2304" t="s">
        <v>107</v>
      </c>
      <c r="I2304" t="s">
        <v>77</v>
      </c>
      <c r="J2304" t="str">
        <f t="shared" si="280"/>
        <v/>
      </c>
      <c r="K2304" t="str">
        <f t="shared" si="281"/>
        <v>Duplicate</v>
      </c>
      <c r="L2304" t="str">
        <f t="shared" si="282"/>
        <v/>
      </c>
      <c r="M2304" t="str">
        <f t="shared" si="283"/>
        <v/>
      </c>
      <c r="N2304" t="str">
        <f t="shared" si="284"/>
        <v/>
      </c>
      <c r="O2304" t="str">
        <f t="shared" ca="1" si="285"/>
        <v>Outdated</v>
      </c>
      <c r="P2304" t="str">
        <f t="shared" si="286"/>
        <v>Wrong Item</v>
      </c>
      <c r="Q2304" t="str">
        <f t="shared" si="287"/>
        <v>Inconsistent</v>
      </c>
    </row>
    <row r="2305" spans="1:17" x14ac:dyDescent="0.45">
      <c r="A2305" t="s">
        <v>3128</v>
      </c>
      <c r="B2305" t="s">
        <v>95</v>
      </c>
      <c r="C2305" t="s">
        <v>2011</v>
      </c>
      <c r="D2305" t="s">
        <v>85</v>
      </c>
      <c r="E2305" s="8">
        <v>10278.82</v>
      </c>
      <c r="F2305" s="9">
        <v>45747.666684444448</v>
      </c>
      <c r="G2305" t="s">
        <v>97</v>
      </c>
      <c r="H2305" t="s">
        <v>76</v>
      </c>
      <c r="I2305" t="s">
        <v>119</v>
      </c>
      <c r="J2305" t="str">
        <f t="shared" si="280"/>
        <v/>
      </c>
      <c r="K2305" t="str">
        <f t="shared" si="281"/>
        <v/>
      </c>
      <c r="L2305" t="str">
        <f t="shared" si="282"/>
        <v>Unusual</v>
      </c>
      <c r="M2305" t="str">
        <f t="shared" si="283"/>
        <v/>
      </c>
      <c r="N2305" t="str">
        <f t="shared" si="284"/>
        <v/>
      </c>
      <c r="O2305" t="str">
        <f t="shared" ca="1" si="285"/>
        <v>Outdated</v>
      </c>
      <c r="P2305" t="str">
        <f t="shared" si="286"/>
        <v>Late Delivery</v>
      </c>
      <c r="Q2305" t="str">
        <f t="shared" si="287"/>
        <v/>
      </c>
    </row>
    <row r="2306" spans="1:17" x14ac:dyDescent="0.45">
      <c r="A2306" t="s">
        <v>3129</v>
      </c>
      <c r="B2306" t="s">
        <v>109</v>
      </c>
      <c r="C2306" t="s">
        <v>1371</v>
      </c>
      <c r="D2306" t="s">
        <v>101</v>
      </c>
      <c r="E2306" s="8">
        <v>9398.66</v>
      </c>
      <c r="F2306" s="9">
        <v>45473.666684444448</v>
      </c>
      <c r="G2306" t="s">
        <v>111</v>
      </c>
      <c r="H2306" t="s">
        <v>136</v>
      </c>
      <c r="I2306" t="s">
        <v>88</v>
      </c>
      <c r="J2306" t="str">
        <f t="shared" ref="J2306:J2369" si="288">IF(OR(ISBLANK(C2306),ISBLANK(D2306)),"Missing","")</f>
        <v/>
      </c>
      <c r="K2306" t="str">
        <f t="shared" ref="K2306:K2369" si="289">IF(COUNTIF($A$2:$A$2501,A2306)&gt;1,"Duplicate","")</f>
        <v/>
      </c>
      <c r="L2306" t="str">
        <f t="shared" ref="L2306:L2369" si="290">IF(OR(E2306=0,E2306&gt;10000),"Unusual","")</f>
        <v/>
      </c>
      <c r="M2306" t="str">
        <f t="shared" ref="M2306:M2369" si="291">IF(OR(ISBLANK(G2306),ISERROR(FIND("@",G2306)),ISERROR(FIND(".",G2306,FIND("@",G2306)+1))),"Invalid","")</f>
        <v/>
      </c>
      <c r="N2306" t="str">
        <f t="shared" ref="N2306:N2369" si="292">IF(COUNTIF($S$2:$S$6,H2306)=0,"Invalid","")</f>
        <v>Invalid</v>
      </c>
      <c r="O2306" t="str">
        <f t="shared" ref="O2306:O2369" ca="1" si="293">IF(F2306&lt;EDATE(TODAY(),-12),"Outdated","")</f>
        <v>Outdated</v>
      </c>
      <c r="P2306" t="str">
        <f t="shared" ref="P2306:P2369" si="294">IF(ISBLANK(D2306),"",PROPER(TRIM(D2306)))</f>
        <v>Damaged</v>
      </c>
      <c r="Q2306" t="str">
        <f t="shared" ref="Q2306:Q2369" si="295">IF(ISBLANK(D2306),"",IF(EXACT(D2306,P2306),"","Inconsistent"))</f>
        <v/>
      </c>
    </row>
    <row r="2307" spans="1:17" x14ac:dyDescent="0.45">
      <c r="A2307" t="s">
        <v>3130</v>
      </c>
      <c r="B2307" t="s">
        <v>172</v>
      </c>
      <c r="C2307" t="s">
        <v>446</v>
      </c>
      <c r="D2307" t="s">
        <v>92</v>
      </c>
      <c r="E2307" s="8">
        <v>5904.94</v>
      </c>
      <c r="F2307" s="9">
        <v>45705.666684444448</v>
      </c>
      <c r="G2307" t="s">
        <v>174</v>
      </c>
      <c r="H2307" t="s">
        <v>81</v>
      </c>
      <c r="I2307" t="s">
        <v>163</v>
      </c>
      <c r="J2307" t="str">
        <f t="shared" si="288"/>
        <v/>
      </c>
      <c r="K2307" t="str">
        <f t="shared" si="289"/>
        <v/>
      </c>
      <c r="L2307" t="str">
        <f t="shared" si="290"/>
        <v/>
      </c>
      <c r="M2307" t="str">
        <f t="shared" si="291"/>
        <v/>
      </c>
      <c r="N2307" t="str">
        <f t="shared" si="292"/>
        <v/>
      </c>
      <c r="O2307" t="str">
        <f t="shared" ca="1" si="293"/>
        <v>Outdated</v>
      </c>
      <c r="P2307" t="str">
        <f t="shared" si="294"/>
        <v>Not As Described</v>
      </c>
      <c r="Q2307" t="str">
        <f t="shared" si="295"/>
        <v/>
      </c>
    </row>
    <row r="2308" spans="1:17" x14ac:dyDescent="0.45">
      <c r="A2308" t="s">
        <v>3131</v>
      </c>
      <c r="B2308" t="s">
        <v>79</v>
      </c>
      <c r="C2308" t="s">
        <v>233</v>
      </c>
      <c r="D2308" t="s">
        <v>85</v>
      </c>
      <c r="E2308" s="8">
        <v>7335.81</v>
      </c>
      <c r="F2308" s="9">
        <v>45170.666684444448</v>
      </c>
      <c r="G2308" t="s">
        <v>86</v>
      </c>
      <c r="I2308" t="s">
        <v>82</v>
      </c>
      <c r="J2308" t="str">
        <f t="shared" si="288"/>
        <v/>
      </c>
      <c r="K2308" t="str">
        <f t="shared" si="289"/>
        <v/>
      </c>
      <c r="L2308" t="str">
        <f t="shared" si="290"/>
        <v/>
      </c>
      <c r="M2308" t="str">
        <f t="shared" si="291"/>
        <v/>
      </c>
      <c r="N2308" t="str">
        <f t="shared" si="292"/>
        <v>Invalid</v>
      </c>
      <c r="O2308" t="str">
        <f t="shared" ca="1" si="293"/>
        <v>Outdated</v>
      </c>
      <c r="P2308" t="str">
        <f t="shared" si="294"/>
        <v>Late Delivery</v>
      </c>
      <c r="Q2308" t="str">
        <f t="shared" si="295"/>
        <v/>
      </c>
    </row>
    <row r="2309" spans="1:17" x14ac:dyDescent="0.45">
      <c r="A2309" t="s">
        <v>3132</v>
      </c>
      <c r="B2309" t="s">
        <v>138</v>
      </c>
      <c r="C2309" t="s">
        <v>229</v>
      </c>
      <c r="D2309" t="s">
        <v>85</v>
      </c>
      <c r="E2309" s="8">
        <v>0</v>
      </c>
      <c r="F2309" s="9">
        <v>45157.666684444448</v>
      </c>
      <c r="H2309" t="s">
        <v>118</v>
      </c>
      <c r="I2309" t="s">
        <v>77</v>
      </c>
      <c r="J2309" t="str">
        <f t="shared" si="288"/>
        <v/>
      </c>
      <c r="K2309" t="str">
        <f t="shared" si="289"/>
        <v/>
      </c>
      <c r="L2309" t="str">
        <f t="shared" si="290"/>
        <v>Unusual</v>
      </c>
      <c r="M2309" t="str">
        <f t="shared" si="291"/>
        <v>Invalid</v>
      </c>
      <c r="N2309" t="str">
        <f t="shared" si="292"/>
        <v>Invalid</v>
      </c>
      <c r="O2309" t="str">
        <f t="shared" ca="1" si="293"/>
        <v>Outdated</v>
      </c>
      <c r="P2309" t="str">
        <f t="shared" si="294"/>
        <v>Late Delivery</v>
      </c>
      <c r="Q2309" t="str">
        <f t="shared" si="295"/>
        <v/>
      </c>
    </row>
    <row r="2310" spans="1:17" x14ac:dyDescent="0.45">
      <c r="A2310" t="s">
        <v>3133</v>
      </c>
      <c r="B2310" t="s">
        <v>172</v>
      </c>
      <c r="C2310" t="s">
        <v>1118</v>
      </c>
      <c r="D2310" t="s">
        <v>74</v>
      </c>
      <c r="E2310" s="8">
        <v>949.55</v>
      </c>
      <c r="F2310" s="9">
        <v>45211.666684444448</v>
      </c>
      <c r="G2310" t="s">
        <v>174</v>
      </c>
      <c r="H2310" t="s">
        <v>107</v>
      </c>
      <c r="I2310" t="s">
        <v>82</v>
      </c>
      <c r="J2310" t="str">
        <f t="shared" si="288"/>
        <v/>
      </c>
      <c r="K2310" t="str">
        <f t="shared" si="289"/>
        <v/>
      </c>
      <c r="L2310" t="str">
        <f t="shared" si="290"/>
        <v/>
      </c>
      <c r="M2310" t="str">
        <f t="shared" si="291"/>
        <v/>
      </c>
      <c r="N2310" t="str">
        <f t="shared" si="292"/>
        <v/>
      </c>
      <c r="O2310" t="str">
        <f t="shared" ca="1" si="293"/>
        <v>Outdated</v>
      </c>
      <c r="P2310" t="str">
        <f t="shared" si="294"/>
        <v>Wrong Item</v>
      </c>
      <c r="Q2310" t="str">
        <f t="shared" si="295"/>
        <v/>
      </c>
    </row>
    <row r="2311" spans="1:17" x14ac:dyDescent="0.45">
      <c r="A2311" t="s">
        <v>3134</v>
      </c>
      <c r="B2311" t="s">
        <v>90</v>
      </c>
      <c r="C2311" t="s">
        <v>214</v>
      </c>
      <c r="D2311" t="s">
        <v>101</v>
      </c>
      <c r="E2311" s="8">
        <v>221.49</v>
      </c>
      <c r="F2311" s="9">
        <v>45174.666684444448</v>
      </c>
      <c r="G2311" t="s">
        <v>93</v>
      </c>
      <c r="H2311" t="s">
        <v>128</v>
      </c>
      <c r="I2311" t="s">
        <v>163</v>
      </c>
      <c r="J2311" t="str">
        <f t="shared" si="288"/>
        <v/>
      </c>
      <c r="K2311" t="str">
        <f t="shared" si="289"/>
        <v/>
      </c>
      <c r="L2311" t="str">
        <f t="shared" si="290"/>
        <v/>
      </c>
      <c r="M2311" t="str">
        <f t="shared" si="291"/>
        <v/>
      </c>
      <c r="N2311" t="str">
        <f t="shared" si="292"/>
        <v>Invalid</v>
      </c>
      <c r="O2311" t="str">
        <f t="shared" ca="1" si="293"/>
        <v>Outdated</v>
      </c>
      <c r="P2311" t="str">
        <f t="shared" si="294"/>
        <v>Damaged</v>
      </c>
      <c r="Q2311" t="str">
        <f t="shared" si="295"/>
        <v/>
      </c>
    </row>
    <row r="2312" spans="1:17" x14ac:dyDescent="0.45">
      <c r="A2312" t="s">
        <v>3135</v>
      </c>
      <c r="B2312" t="s">
        <v>72</v>
      </c>
      <c r="C2312" t="s">
        <v>1594</v>
      </c>
      <c r="D2312" t="s">
        <v>74</v>
      </c>
      <c r="E2312" s="8">
        <v>2096.4</v>
      </c>
      <c r="F2312" s="9">
        <v>45784.666684444448</v>
      </c>
      <c r="G2312" t="s">
        <v>75</v>
      </c>
      <c r="H2312" t="s">
        <v>116</v>
      </c>
      <c r="I2312" t="s">
        <v>163</v>
      </c>
      <c r="J2312" t="str">
        <f t="shared" si="288"/>
        <v/>
      </c>
      <c r="K2312" t="str">
        <f t="shared" si="289"/>
        <v/>
      </c>
      <c r="L2312" t="str">
        <f t="shared" si="290"/>
        <v/>
      </c>
      <c r="M2312" t="str">
        <f t="shared" si="291"/>
        <v/>
      </c>
      <c r="N2312" t="str">
        <f t="shared" si="292"/>
        <v/>
      </c>
      <c r="O2312" t="str">
        <f t="shared" ca="1" si="293"/>
        <v>Outdated</v>
      </c>
      <c r="P2312" t="str">
        <f t="shared" si="294"/>
        <v>Wrong Item</v>
      </c>
      <c r="Q2312" t="str">
        <f t="shared" si="295"/>
        <v/>
      </c>
    </row>
    <row r="2313" spans="1:17" x14ac:dyDescent="0.45">
      <c r="A2313" t="s">
        <v>3136</v>
      </c>
      <c r="B2313" t="s">
        <v>104</v>
      </c>
      <c r="C2313" t="s">
        <v>2880</v>
      </c>
      <c r="D2313" t="s">
        <v>74</v>
      </c>
      <c r="E2313" s="8">
        <v>3137.91</v>
      </c>
      <c r="F2313" s="9">
        <v>45718.666684444448</v>
      </c>
      <c r="G2313" t="s">
        <v>115</v>
      </c>
      <c r="H2313" t="s">
        <v>107</v>
      </c>
      <c r="I2313" t="s">
        <v>77</v>
      </c>
      <c r="J2313" t="str">
        <f t="shared" si="288"/>
        <v/>
      </c>
      <c r="K2313" t="str">
        <f t="shared" si="289"/>
        <v/>
      </c>
      <c r="L2313" t="str">
        <f t="shared" si="290"/>
        <v/>
      </c>
      <c r="M2313" t="str">
        <f t="shared" si="291"/>
        <v/>
      </c>
      <c r="N2313" t="str">
        <f t="shared" si="292"/>
        <v/>
      </c>
      <c r="O2313" t="str">
        <f t="shared" ca="1" si="293"/>
        <v>Outdated</v>
      </c>
      <c r="P2313" t="str">
        <f t="shared" si="294"/>
        <v>Wrong Item</v>
      </c>
      <c r="Q2313" t="str">
        <f t="shared" si="295"/>
        <v/>
      </c>
    </row>
    <row r="2314" spans="1:17" x14ac:dyDescent="0.45">
      <c r="A2314" t="s">
        <v>3137</v>
      </c>
      <c r="B2314" t="s">
        <v>172</v>
      </c>
      <c r="C2314" t="s">
        <v>674</v>
      </c>
      <c r="D2314" t="s">
        <v>101</v>
      </c>
      <c r="E2314" s="8">
        <v>3856.21</v>
      </c>
      <c r="F2314" s="9">
        <v>45399.666684444448</v>
      </c>
      <c r="G2314" t="s">
        <v>174</v>
      </c>
      <c r="I2314" t="s">
        <v>119</v>
      </c>
      <c r="J2314" t="str">
        <f t="shared" si="288"/>
        <v/>
      </c>
      <c r="K2314" t="str">
        <f t="shared" si="289"/>
        <v/>
      </c>
      <c r="L2314" t="str">
        <f t="shared" si="290"/>
        <v/>
      </c>
      <c r="M2314" t="str">
        <f t="shared" si="291"/>
        <v/>
      </c>
      <c r="N2314" t="str">
        <f t="shared" si="292"/>
        <v>Invalid</v>
      </c>
      <c r="O2314" t="str">
        <f t="shared" ca="1" si="293"/>
        <v>Outdated</v>
      </c>
      <c r="P2314" t="str">
        <f t="shared" si="294"/>
        <v>Damaged</v>
      </c>
      <c r="Q2314" t="str">
        <f t="shared" si="295"/>
        <v/>
      </c>
    </row>
    <row r="2315" spans="1:17" x14ac:dyDescent="0.45">
      <c r="A2315" t="s">
        <v>3083</v>
      </c>
      <c r="B2315" t="s">
        <v>79</v>
      </c>
      <c r="C2315" t="s">
        <v>315</v>
      </c>
      <c r="D2315" t="s">
        <v>74</v>
      </c>
      <c r="E2315" s="8">
        <v>3418.45</v>
      </c>
      <c r="F2315" s="9">
        <v>45794.666684444448</v>
      </c>
      <c r="G2315" t="s">
        <v>278</v>
      </c>
      <c r="H2315" t="s">
        <v>133</v>
      </c>
      <c r="I2315" t="s">
        <v>163</v>
      </c>
      <c r="J2315" t="str">
        <f t="shared" si="288"/>
        <v/>
      </c>
      <c r="K2315" t="str">
        <f t="shared" si="289"/>
        <v>Duplicate</v>
      </c>
      <c r="L2315" t="str">
        <f t="shared" si="290"/>
        <v/>
      </c>
      <c r="M2315" t="str">
        <f t="shared" si="291"/>
        <v>Invalid</v>
      </c>
      <c r="N2315" t="str">
        <f t="shared" si="292"/>
        <v>Invalid</v>
      </c>
      <c r="O2315" t="str">
        <f t="shared" ca="1" si="293"/>
        <v>Outdated</v>
      </c>
      <c r="P2315" t="str">
        <f t="shared" si="294"/>
        <v>Wrong Item</v>
      </c>
      <c r="Q2315" t="str">
        <f t="shared" si="295"/>
        <v/>
      </c>
    </row>
    <row r="2316" spans="1:17" x14ac:dyDescent="0.45">
      <c r="A2316" t="s">
        <v>3138</v>
      </c>
      <c r="B2316" t="s">
        <v>109</v>
      </c>
      <c r="C2316" t="s">
        <v>326</v>
      </c>
      <c r="D2316" t="s">
        <v>101</v>
      </c>
      <c r="E2316" s="8">
        <v>367.27</v>
      </c>
      <c r="F2316" s="9">
        <v>45343.666684444448</v>
      </c>
      <c r="G2316" t="s">
        <v>111</v>
      </c>
      <c r="H2316" t="s">
        <v>136</v>
      </c>
      <c r="I2316" t="s">
        <v>163</v>
      </c>
      <c r="J2316" t="str">
        <f t="shared" si="288"/>
        <v/>
      </c>
      <c r="K2316" t="str">
        <f t="shared" si="289"/>
        <v/>
      </c>
      <c r="L2316" t="str">
        <f t="shared" si="290"/>
        <v/>
      </c>
      <c r="M2316" t="str">
        <f t="shared" si="291"/>
        <v/>
      </c>
      <c r="N2316" t="str">
        <f t="shared" si="292"/>
        <v>Invalid</v>
      </c>
      <c r="O2316" t="str">
        <f t="shared" ca="1" si="293"/>
        <v>Outdated</v>
      </c>
      <c r="P2316" t="str">
        <f t="shared" si="294"/>
        <v>Damaged</v>
      </c>
      <c r="Q2316" t="str">
        <f t="shared" si="295"/>
        <v/>
      </c>
    </row>
    <row r="2317" spans="1:17" x14ac:dyDescent="0.45">
      <c r="A2317" t="s">
        <v>3139</v>
      </c>
      <c r="B2317" t="s">
        <v>95</v>
      </c>
      <c r="C2317" t="s">
        <v>2684</v>
      </c>
      <c r="D2317" t="s">
        <v>74</v>
      </c>
      <c r="E2317" s="8">
        <v>5983.6</v>
      </c>
      <c r="F2317" s="9">
        <v>45713.666684444448</v>
      </c>
      <c r="G2317" t="s">
        <v>97</v>
      </c>
      <c r="H2317" t="s">
        <v>145</v>
      </c>
      <c r="I2317" t="s">
        <v>163</v>
      </c>
      <c r="J2317" t="str">
        <f t="shared" si="288"/>
        <v/>
      </c>
      <c r="K2317" t="str">
        <f t="shared" si="289"/>
        <v/>
      </c>
      <c r="L2317" t="str">
        <f t="shared" si="290"/>
        <v/>
      </c>
      <c r="M2317" t="str">
        <f t="shared" si="291"/>
        <v/>
      </c>
      <c r="N2317" t="str">
        <f t="shared" si="292"/>
        <v/>
      </c>
      <c r="O2317" t="str">
        <f t="shared" ca="1" si="293"/>
        <v>Outdated</v>
      </c>
      <c r="P2317" t="str">
        <f t="shared" si="294"/>
        <v>Wrong Item</v>
      </c>
      <c r="Q2317" t="str">
        <f t="shared" si="295"/>
        <v/>
      </c>
    </row>
    <row r="2318" spans="1:17" x14ac:dyDescent="0.45">
      <c r="A2318" t="s">
        <v>3140</v>
      </c>
      <c r="B2318" t="s">
        <v>90</v>
      </c>
      <c r="C2318" t="s">
        <v>715</v>
      </c>
      <c r="D2318" t="s">
        <v>74</v>
      </c>
      <c r="E2318" s="8">
        <v>0</v>
      </c>
      <c r="F2318" s="9">
        <v>45554.666684444448</v>
      </c>
      <c r="G2318" t="s">
        <v>93</v>
      </c>
      <c r="H2318" t="s">
        <v>133</v>
      </c>
      <c r="I2318" t="s">
        <v>112</v>
      </c>
      <c r="J2318" t="str">
        <f t="shared" si="288"/>
        <v/>
      </c>
      <c r="K2318" t="str">
        <f t="shared" si="289"/>
        <v/>
      </c>
      <c r="L2318" t="str">
        <f t="shared" si="290"/>
        <v>Unusual</v>
      </c>
      <c r="M2318" t="str">
        <f t="shared" si="291"/>
        <v/>
      </c>
      <c r="N2318" t="str">
        <f t="shared" si="292"/>
        <v>Invalid</v>
      </c>
      <c r="O2318" t="str">
        <f t="shared" ca="1" si="293"/>
        <v>Outdated</v>
      </c>
      <c r="P2318" t="str">
        <f t="shared" si="294"/>
        <v>Wrong Item</v>
      </c>
      <c r="Q2318" t="str">
        <f t="shared" si="295"/>
        <v/>
      </c>
    </row>
    <row r="2319" spans="1:17" x14ac:dyDescent="0.45">
      <c r="A2319" t="s">
        <v>3141</v>
      </c>
      <c r="B2319" t="s">
        <v>99</v>
      </c>
      <c r="C2319" t="s">
        <v>768</v>
      </c>
      <c r="D2319" t="s">
        <v>74</v>
      </c>
      <c r="E2319" s="8">
        <v>11214.44</v>
      </c>
      <c r="F2319" s="9">
        <v>45760.666684444448</v>
      </c>
      <c r="G2319" t="s">
        <v>102</v>
      </c>
      <c r="H2319" t="s">
        <v>107</v>
      </c>
      <c r="I2319" t="s">
        <v>119</v>
      </c>
      <c r="J2319" t="str">
        <f t="shared" si="288"/>
        <v/>
      </c>
      <c r="K2319" t="str">
        <f t="shared" si="289"/>
        <v/>
      </c>
      <c r="L2319" t="str">
        <f t="shared" si="290"/>
        <v>Unusual</v>
      </c>
      <c r="M2319" t="str">
        <f t="shared" si="291"/>
        <v/>
      </c>
      <c r="N2319" t="str">
        <f t="shared" si="292"/>
        <v/>
      </c>
      <c r="O2319" t="str">
        <f t="shared" ca="1" si="293"/>
        <v>Outdated</v>
      </c>
      <c r="P2319" t="str">
        <f t="shared" si="294"/>
        <v>Wrong Item</v>
      </c>
      <c r="Q2319" t="str">
        <f t="shared" si="295"/>
        <v/>
      </c>
    </row>
    <row r="2320" spans="1:17" x14ac:dyDescent="0.45">
      <c r="A2320" t="s">
        <v>3142</v>
      </c>
      <c r="B2320" t="s">
        <v>79</v>
      </c>
      <c r="C2320" t="s">
        <v>1468</v>
      </c>
      <c r="D2320" t="s">
        <v>106</v>
      </c>
      <c r="E2320" s="8">
        <v>8877</v>
      </c>
      <c r="F2320" s="9">
        <v>45782.666684444448</v>
      </c>
      <c r="G2320" t="s">
        <v>278</v>
      </c>
      <c r="H2320" t="s">
        <v>87</v>
      </c>
      <c r="I2320" t="s">
        <v>82</v>
      </c>
      <c r="J2320" t="str">
        <f t="shared" si="288"/>
        <v/>
      </c>
      <c r="K2320" t="str">
        <f t="shared" si="289"/>
        <v/>
      </c>
      <c r="L2320" t="str">
        <f t="shared" si="290"/>
        <v/>
      </c>
      <c r="M2320" t="str">
        <f t="shared" si="291"/>
        <v>Invalid</v>
      </c>
      <c r="N2320" t="str">
        <f t="shared" si="292"/>
        <v>Invalid</v>
      </c>
      <c r="O2320" t="str">
        <f t="shared" ca="1" si="293"/>
        <v>Outdated</v>
      </c>
      <c r="P2320" t="str">
        <f t="shared" si="294"/>
        <v>Damaged</v>
      </c>
      <c r="Q2320" t="str">
        <f t="shared" si="295"/>
        <v>Inconsistent</v>
      </c>
    </row>
    <row r="2321" spans="1:17" x14ac:dyDescent="0.45">
      <c r="A2321" t="s">
        <v>3143</v>
      </c>
      <c r="B2321" t="s">
        <v>138</v>
      </c>
      <c r="C2321" t="s">
        <v>235</v>
      </c>
      <c r="D2321" t="s">
        <v>74</v>
      </c>
      <c r="E2321" s="8">
        <v>3126.21</v>
      </c>
      <c r="F2321" s="9">
        <v>45159.666684444448</v>
      </c>
      <c r="G2321" t="s">
        <v>140</v>
      </c>
      <c r="H2321" t="s">
        <v>81</v>
      </c>
      <c r="I2321" t="s">
        <v>163</v>
      </c>
      <c r="J2321" t="str">
        <f t="shared" si="288"/>
        <v/>
      </c>
      <c r="K2321" t="str">
        <f t="shared" si="289"/>
        <v/>
      </c>
      <c r="L2321" t="str">
        <f t="shared" si="290"/>
        <v/>
      </c>
      <c r="M2321" t="str">
        <f t="shared" si="291"/>
        <v/>
      </c>
      <c r="N2321" t="str">
        <f t="shared" si="292"/>
        <v/>
      </c>
      <c r="O2321" t="str">
        <f t="shared" ca="1" si="293"/>
        <v>Outdated</v>
      </c>
      <c r="P2321" t="str">
        <f t="shared" si="294"/>
        <v>Wrong Item</v>
      </c>
      <c r="Q2321" t="str">
        <f t="shared" si="295"/>
        <v/>
      </c>
    </row>
    <row r="2322" spans="1:17" x14ac:dyDescent="0.45">
      <c r="A2322" t="s">
        <v>3144</v>
      </c>
      <c r="B2322" t="s">
        <v>138</v>
      </c>
      <c r="C2322" t="s">
        <v>3145</v>
      </c>
      <c r="D2322" t="s">
        <v>85</v>
      </c>
      <c r="E2322" s="8">
        <v>1411.2</v>
      </c>
      <c r="F2322" s="9">
        <v>45637.666684444448</v>
      </c>
      <c r="G2322" t="s">
        <v>140</v>
      </c>
      <c r="H2322" t="s">
        <v>118</v>
      </c>
      <c r="I2322" t="s">
        <v>119</v>
      </c>
      <c r="J2322" t="str">
        <f t="shared" si="288"/>
        <v/>
      </c>
      <c r="K2322" t="str">
        <f t="shared" si="289"/>
        <v/>
      </c>
      <c r="L2322" t="str">
        <f t="shared" si="290"/>
        <v/>
      </c>
      <c r="M2322" t="str">
        <f t="shared" si="291"/>
        <v/>
      </c>
      <c r="N2322" t="str">
        <f t="shared" si="292"/>
        <v>Invalid</v>
      </c>
      <c r="O2322" t="str">
        <f t="shared" ca="1" si="293"/>
        <v>Outdated</v>
      </c>
      <c r="P2322" t="str">
        <f t="shared" si="294"/>
        <v>Late Delivery</v>
      </c>
      <c r="Q2322" t="str">
        <f t="shared" si="295"/>
        <v/>
      </c>
    </row>
    <row r="2323" spans="1:17" x14ac:dyDescent="0.45">
      <c r="A2323" t="s">
        <v>3146</v>
      </c>
      <c r="B2323" t="s">
        <v>72</v>
      </c>
      <c r="C2323" t="s">
        <v>753</v>
      </c>
      <c r="D2323" t="s">
        <v>74</v>
      </c>
      <c r="E2323" s="8">
        <v>2697.75</v>
      </c>
      <c r="F2323" s="9">
        <v>45770.666684444448</v>
      </c>
      <c r="G2323" t="s">
        <v>75</v>
      </c>
      <c r="H2323" t="s">
        <v>76</v>
      </c>
      <c r="I2323" t="s">
        <v>88</v>
      </c>
      <c r="J2323" t="str">
        <f t="shared" si="288"/>
        <v/>
      </c>
      <c r="K2323" t="str">
        <f t="shared" si="289"/>
        <v/>
      </c>
      <c r="L2323" t="str">
        <f t="shared" si="290"/>
        <v/>
      </c>
      <c r="M2323" t="str">
        <f t="shared" si="291"/>
        <v/>
      </c>
      <c r="N2323" t="str">
        <f t="shared" si="292"/>
        <v/>
      </c>
      <c r="O2323" t="str">
        <f t="shared" ca="1" si="293"/>
        <v>Outdated</v>
      </c>
      <c r="P2323" t="str">
        <f t="shared" si="294"/>
        <v>Wrong Item</v>
      </c>
      <c r="Q2323" t="str">
        <f t="shared" si="295"/>
        <v/>
      </c>
    </row>
    <row r="2324" spans="1:17" x14ac:dyDescent="0.45">
      <c r="A2324" t="s">
        <v>2272</v>
      </c>
      <c r="B2324" t="s">
        <v>138</v>
      </c>
      <c r="C2324" t="s">
        <v>1286</v>
      </c>
      <c r="D2324" t="s">
        <v>155</v>
      </c>
      <c r="E2324" s="8">
        <v>5948.81</v>
      </c>
      <c r="F2324" s="9">
        <v>45686.666684444448</v>
      </c>
      <c r="H2324" t="s">
        <v>145</v>
      </c>
      <c r="I2324" t="s">
        <v>163</v>
      </c>
      <c r="J2324" t="str">
        <f t="shared" si="288"/>
        <v/>
      </c>
      <c r="K2324" t="str">
        <f t="shared" si="289"/>
        <v>Duplicate</v>
      </c>
      <c r="L2324" t="str">
        <f t="shared" si="290"/>
        <v/>
      </c>
      <c r="M2324" t="str">
        <f t="shared" si="291"/>
        <v>Invalid</v>
      </c>
      <c r="N2324" t="str">
        <f t="shared" si="292"/>
        <v/>
      </c>
      <c r="O2324" t="str">
        <f t="shared" ca="1" si="293"/>
        <v>Outdated</v>
      </c>
      <c r="P2324" t="str">
        <f t="shared" si="294"/>
        <v>Damaged</v>
      </c>
      <c r="Q2324" t="str">
        <f t="shared" si="295"/>
        <v>Inconsistent</v>
      </c>
    </row>
    <row r="2325" spans="1:17" x14ac:dyDescent="0.45">
      <c r="A2325" t="s">
        <v>3147</v>
      </c>
      <c r="B2325" t="s">
        <v>109</v>
      </c>
      <c r="C2325" t="s">
        <v>2125</v>
      </c>
      <c r="D2325" t="s">
        <v>74</v>
      </c>
      <c r="E2325" s="8">
        <v>26.21</v>
      </c>
      <c r="F2325" s="9">
        <v>45424.666684444448</v>
      </c>
      <c r="G2325" t="s">
        <v>111</v>
      </c>
      <c r="H2325" t="s">
        <v>145</v>
      </c>
      <c r="I2325" t="s">
        <v>119</v>
      </c>
      <c r="J2325" t="str">
        <f t="shared" si="288"/>
        <v/>
      </c>
      <c r="K2325" t="str">
        <f t="shared" si="289"/>
        <v/>
      </c>
      <c r="L2325" t="str">
        <f t="shared" si="290"/>
        <v/>
      </c>
      <c r="M2325" t="str">
        <f t="shared" si="291"/>
        <v/>
      </c>
      <c r="N2325" t="str">
        <f t="shared" si="292"/>
        <v/>
      </c>
      <c r="O2325" t="str">
        <f t="shared" ca="1" si="293"/>
        <v>Outdated</v>
      </c>
      <c r="P2325" t="str">
        <f t="shared" si="294"/>
        <v>Wrong Item</v>
      </c>
      <c r="Q2325" t="str">
        <f t="shared" si="295"/>
        <v/>
      </c>
    </row>
    <row r="2326" spans="1:17" x14ac:dyDescent="0.45">
      <c r="A2326" t="s">
        <v>3148</v>
      </c>
      <c r="B2326" t="s">
        <v>138</v>
      </c>
      <c r="C2326" t="s">
        <v>1312</v>
      </c>
      <c r="D2326" t="s">
        <v>106</v>
      </c>
      <c r="E2326" s="8">
        <v>3240.02</v>
      </c>
      <c r="F2326" s="9">
        <v>45785.666684444448</v>
      </c>
      <c r="G2326" t="s">
        <v>140</v>
      </c>
      <c r="H2326" t="s">
        <v>81</v>
      </c>
      <c r="I2326" t="s">
        <v>88</v>
      </c>
      <c r="J2326" t="str">
        <f t="shared" si="288"/>
        <v/>
      </c>
      <c r="K2326" t="str">
        <f t="shared" si="289"/>
        <v/>
      </c>
      <c r="L2326" t="str">
        <f t="shared" si="290"/>
        <v/>
      </c>
      <c r="M2326" t="str">
        <f t="shared" si="291"/>
        <v/>
      </c>
      <c r="N2326" t="str">
        <f t="shared" si="292"/>
        <v/>
      </c>
      <c r="O2326" t="str">
        <f t="shared" ca="1" si="293"/>
        <v>Outdated</v>
      </c>
      <c r="P2326" t="str">
        <f t="shared" si="294"/>
        <v>Damaged</v>
      </c>
      <c r="Q2326" t="str">
        <f t="shared" si="295"/>
        <v>Inconsistent</v>
      </c>
    </row>
    <row r="2327" spans="1:17" x14ac:dyDescent="0.45">
      <c r="A2327" t="s">
        <v>3149</v>
      </c>
      <c r="B2327" t="s">
        <v>90</v>
      </c>
      <c r="C2327" t="s">
        <v>762</v>
      </c>
      <c r="D2327" t="s">
        <v>85</v>
      </c>
      <c r="E2327" s="8">
        <v>9676.26</v>
      </c>
      <c r="F2327" s="9">
        <v>45437.666684444448</v>
      </c>
      <c r="G2327" t="s">
        <v>93</v>
      </c>
      <c r="H2327" t="s">
        <v>76</v>
      </c>
      <c r="I2327" t="s">
        <v>82</v>
      </c>
      <c r="J2327" t="str">
        <f t="shared" si="288"/>
        <v/>
      </c>
      <c r="K2327" t="str">
        <f t="shared" si="289"/>
        <v/>
      </c>
      <c r="L2327" t="str">
        <f t="shared" si="290"/>
        <v/>
      </c>
      <c r="M2327" t="str">
        <f t="shared" si="291"/>
        <v/>
      </c>
      <c r="N2327" t="str">
        <f t="shared" si="292"/>
        <v/>
      </c>
      <c r="O2327" t="str">
        <f t="shared" ca="1" si="293"/>
        <v>Outdated</v>
      </c>
      <c r="P2327" t="str">
        <f t="shared" si="294"/>
        <v>Late Delivery</v>
      </c>
      <c r="Q2327" t="str">
        <f t="shared" si="295"/>
        <v/>
      </c>
    </row>
    <row r="2328" spans="1:17" x14ac:dyDescent="0.45">
      <c r="A2328" t="s">
        <v>3150</v>
      </c>
      <c r="B2328" t="s">
        <v>90</v>
      </c>
      <c r="C2328" t="s">
        <v>227</v>
      </c>
      <c r="D2328" t="s">
        <v>74</v>
      </c>
      <c r="E2328" s="8">
        <v>5310.11</v>
      </c>
      <c r="F2328" s="9">
        <v>45622.666684444448</v>
      </c>
      <c r="G2328" t="s">
        <v>93</v>
      </c>
      <c r="H2328" t="s">
        <v>133</v>
      </c>
      <c r="I2328" t="s">
        <v>119</v>
      </c>
      <c r="J2328" t="str">
        <f t="shared" si="288"/>
        <v/>
      </c>
      <c r="K2328" t="str">
        <f t="shared" si="289"/>
        <v/>
      </c>
      <c r="L2328" t="str">
        <f t="shared" si="290"/>
        <v/>
      </c>
      <c r="M2328" t="str">
        <f t="shared" si="291"/>
        <v/>
      </c>
      <c r="N2328" t="str">
        <f t="shared" si="292"/>
        <v>Invalid</v>
      </c>
      <c r="O2328" t="str">
        <f t="shared" ca="1" si="293"/>
        <v>Outdated</v>
      </c>
      <c r="P2328" t="str">
        <f t="shared" si="294"/>
        <v>Wrong Item</v>
      </c>
      <c r="Q2328" t="str">
        <f t="shared" si="295"/>
        <v/>
      </c>
    </row>
    <row r="2329" spans="1:17" x14ac:dyDescent="0.45">
      <c r="A2329" t="s">
        <v>3151</v>
      </c>
      <c r="B2329" t="s">
        <v>104</v>
      </c>
      <c r="C2329" t="s">
        <v>1399</v>
      </c>
      <c r="D2329" t="s">
        <v>148</v>
      </c>
      <c r="E2329" s="8">
        <v>3745.43</v>
      </c>
      <c r="F2329" s="9">
        <v>45378.666684444448</v>
      </c>
      <c r="G2329" t="s">
        <v>115</v>
      </c>
      <c r="H2329" t="s">
        <v>87</v>
      </c>
      <c r="I2329" t="s">
        <v>77</v>
      </c>
      <c r="J2329" t="str">
        <f t="shared" si="288"/>
        <v/>
      </c>
      <c r="K2329" t="str">
        <f t="shared" si="289"/>
        <v/>
      </c>
      <c r="L2329" t="str">
        <f t="shared" si="290"/>
        <v/>
      </c>
      <c r="M2329" t="str">
        <f t="shared" si="291"/>
        <v/>
      </c>
      <c r="N2329" t="str">
        <f t="shared" si="292"/>
        <v>Invalid</v>
      </c>
      <c r="O2329" t="str">
        <f t="shared" ca="1" si="293"/>
        <v>Outdated</v>
      </c>
      <c r="P2329" t="str">
        <f t="shared" si="294"/>
        <v>Wrong Item</v>
      </c>
      <c r="Q2329" t="str">
        <f t="shared" si="295"/>
        <v>Inconsistent</v>
      </c>
    </row>
    <row r="2330" spans="1:17" x14ac:dyDescent="0.45">
      <c r="A2330" t="s">
        <v>3152</v>
      </c>
      <c r="B2330" t="s">
        <v>138</v>
      </c>
      <c r="C2330" t="s">
        <v>289</v>
      </c>
      <c r="D2330" t="s">
        <v>85</v>
      </c>
      <c r="E2330" s="8">
        <v>3810.55</v>
      </c>
      <c r="F2330" s="9">
        <v>45829.666684444448</v>
      </c>
      <c r="G2330" t="s">
        <v>140</v>
      </c>
      <c r="H2330" t="s">
        <v>107</v>
      </c>
      <c r="I2330" t="s">
        <v>77</v>
      </c>
      <c r="J2330" t="str">
        <f t="shared" si="288"/>
        <v/>
      </c>
      <c r="K2330" t="str">
        <f t="shared" si="289"/>
        <v/>
      </c>
      <c r="L2330" t="str">
        <f t="shared" si="290"/>
        <v/>
      </c>
      <c r="M2330" t="str">
        <f t="shared" si="291"/>
        <v/>
      </c>
      <c r="N2330" t="str">
        <f t="shared" si="292"/>
        <v/>
      </c>
      <c r="O2330" t="str">
        <f t="shared" ca="1" si="293"/>
        <v>Outdated</v>
      </c>
      <c r="P2330" t="str">
        <f t="shared" si="294"/>
        <v>Late Delivery</v>
      </c>
      <c r="Q2330" t="str">
        <f t="shared" si="295"/>
        <v/>
      </c>
    </row>
    <row r="2331" spans="1:17" x14ac:dyDescent="0.45">
      <c r="A2331" t="s">
        <v>3114</v>
      </c>
      <c r="B2331" t="s">
        <v>109</v>
      </c>
      <c r="C2331" t="s">
        <v>1007</v>
      </c>
      <c r="D2331" t="s">
        <v>101</v>
      </c>
      <c r="E2331" s="8">
        <v>8031.97</v>
      </c>
      <c r="F2331" s="9">
        <v>45543.666684444448</v>
      </c>
      <c r="G2331" t="s">
        <v>111</v>
      </c>
      <c r="H2331" t="s">
        <v>136</v>
      </c>
      <c r="I2331" t="s">
        <v>77</v>
      </c>
      <c r="J2331" t="str">
        <f t="shared" si="288"/>
        <v/>
      </c>
      <c r="K2331" t="str">
        <f t="shared" si="289"/>
        <v>Duplicate</v>
      </c>
      <c r="L2331" t="str">
        <f t="shared" si="290"/>
        <v/>
      </c>
      <c r="M2331" t="str">
        <f t="shared" si="291"/>
        <v/>
      </c>
      <c r="N2331" t="str">
        <f t="shared" si="292"/>
        <v>Invalid</v>
      </c>
      <c r="O2331" t="str">
        <f t="shared" ca="1" si="293"/>
        <v>Outdated</v>
      </c>
      <c r="P2331" t="str">
        <f t="shared" si="294"/>
        <v>Damaged</v>
      </c>
      <c r="Q2331" t="str">
        <f t="shared" si="295"/>
        <v/>
      </c>
    </row>
    <row r="2332" spans="1:17" x14ac:dyDescent="0.45">
      <c r="A2332" t="s">
        <v>3153</v>
      </c>
      <c r="B2332" t="s">
        <v>109</v>
      </c>
      <c r="C2332" t="s">
        <v>2684</v>
      </c>
      <c r="D2332" t="s">
        <v>92</v>
      </c>
      <c r="E2332" s="8">
        <v>2787.19</v>
      </c>
      <c r="F2332" s="9">
        <v>45432.666684444448</v>
      </c>
      <c r="G2332" t="s">
        <v>111</v>
      </c>
      <c r="H2332" t="s">
        <v>76</v>
      </c>
      <c r="I2332" t="s">
        <v>88</v>
      </c>
      <c r="J2332" t="str">
        <f t="shared" si="288"/>
        <v/>
      </c>
      <c r="K2332" t="str">
        <f t="shared" si="289"/>
        <v/>
      </c>
      <c r="L2332" t="str">
        <f t="shared" si="290"/>
        <v/>
      </c>
      <c r="M2332" t="str">
        <f t="shared" si="291"/>
        <v/>
      </c>
      <c r="N2332" t="str">
        <f t="shared" si="292"/>
        <v/>
      </c>
      <c r="O2332" t="str">
        <f t="shared" ca="1" si="293"/>
        <v>Outdated</v>
      </c>
      <c r="P2332" t="str">
        <f t="shared" si="294"/>
        <v>Not As Described</v>
      </c>
      <c r="Q2332" t="str">
        <f t="shared" si="295"/>
        <v/>
      </c>
    </row>
    <row r="2333" spans="1:17" x14ac:dyDescent="0.45">
      <c r="A2333" t="s">
        <v>3154</v>
      </c>
      <c r="B2333" t="s">
        <v>172</v>
      </c>
      <c r="C2333" t="s">
        <v>2702</v>
      </c>
      <c r="D2333" t="s">
        <v>155</v>
      </c>
      <c r="E2333" s="8">
        <v>10353.459999999999</v>
      </c>
      <c r="F2333" s="9">
        <v>45592.666684444448</v>
      </c>
      <c r="G2333" t="s">
        <v>174</v>
      </c>
      <c r="H2333" t="s">
        <v>81</v>
      </c>
      <c r="I2333" t="s">
        <v>163</v>
      </c>
      <c r="J2333" t="str">
        <f t="shared" si="288"/>
        <v/>
      </c>
      <c r="K2333" t="str">
        <f t="shared" si="289"/>
        <v/>
      </c>
      <c r="L2333" t="str">
        <f t="shared" si="290"/>
        <v>Unusual</v>
      </c>
      <c r="M2333" t="str">
        <f t="shared" si="291"/>
        <v/>
      </c>
      <c r="N2333" t="str">
        <f t="shared" si="292"/>
        <v/>
      </c>
      <c r="O2333" t="str">
        <f t="shared" ca="1" si="293"/>
        <v>Outdated</v>
      </c>
      <c r="P2333" t="str">
        <f t="shared" si="294"/>
        <v>Damaged</v>
      </c>
      <c r="Q2333" t="str">
        <f t="shared" si="295"/>
        <v>Inconsistent</v>
      </c>
    </row>
    <row r="2334" spans="1:17" x14ac:dyDescent="0.45">
      <c r="A2334" t="s">
        <v>3155</v>
      </c>
      <c r="B2334" t="s">
        <v>95</v>
      </c>
      <c r="C2334" t="s">
        <v>2789</v>
      </c>
      <c r="D2334" t="s">
        <v>85</v>
      </c>
      <c r="E2334" s="8">
        <v>5199.01</v>
      </c>
      <c r="F2334" s="9">
        <v>45202.666684444448</v>
      </c>
      <c r="G2334" t="s">
        <v>97</v>
      </c>
      <c r="H2334" t="s">
        <v>128</v>
      </c>
      <c r="I2334" t="s">
        <v>119</v>
      </c>
      <c r="J2334" t="str">
        <f t="shared" si="288"/>
        <v/>
      </c>
      <c r="K2334" t="str">
        <f t="shared" si="289"/>
        <v/>
      </c>
      <c r="L2334" t="str">
        <f t="shared" si="290"/>
        <v/>
      </c>
      <c r="M2334" t="str">
        <f t="shared" si="291"/>
        <v/>
      </c>
      <c r="N2334" t="str">
        <f t="shared" si="292"/>
        <v>Invalid</v>
      </c>
      <c r="O2334" t="str">
        <f t="shared" ca="1" si="293"/>
        <v>Outdated</v>
      </c>
      <c r="P2334" t="str">
        <f t="shared" si="294"/>
        <v>Late Delivery</v>
      </c>
      <c r="Q2334" t="str">
        <f t="shared" si="295"/>
        <v/>
      </c>
    </row>
    <row r="2335" spans="1:17" x14ac:dyDescent="0.45">
      <c r="A2335" t="s">
        <v>3156</v>
      </c>
      <c r="B2335" t="s">
        <v>79</v>
      </c>
      <c r="C2335" t="s">
        <v>509</v>
      </c>
      <c r="D2335" t="s">
        <v>101</v>
      </c>
      <c r="E2335" s="8">
        <v>8487.2199999999993</v>
      </c>
      <c r="F2335" s="9">
        <v>45833.666684444448</v>
      </c>
      <c r="G2335" t="s">
        <v>86</v>
      </c>
      <c r="H2335" t="s">
        <v>87</v>
      </c>
      <c r="I2335" t="s">
        <v>82</v>
      </c>
      <c r="J2335" t="str">
        <f t="shared" si="288"/>
        <v/>
      </c>
      <c r="K2335" t="str">
        <f t="shared" si="289"/>
        <v/>
      </c>
      <c r="L2335" t="str">
        <f t="shared" si="290"/>
        <v/>
      </c>
      <c r="M2335" t="str">
        <f t="shared" si="291"/>
        <v/>
      </c>
      <c r="N2335" t="str">
        <f t="shared" si="292"/>
        <v>Invalid</v>
      </c>
      <c r="O2335" t="str">
        <f t="shared" ca="1" si="293"/>
        <v>Outdated</v>
      </c>
      <c r="P2335" t="str">
        <f t="shared" si="294"/>
        <v>Damaged</v>
      </c>
      <c r="Q2335" t="str">
        <f t="shared" si="295"/>
        <v/>
      </c>
    </row>
    <row r="2336" spans="1:17" x14ac:dyDescent="0.45">
      <c r="A2336" t="s">
        <v>3157</v>
      </c>
      <c r="B2336" t="s">
        <v>99</v>
      </c>
      <c r="C2336" t="s">
        <v>2712</v>
      </c>
      <c r="D2336" t="s">
        <v>92</v>
      </c>
      <c r="E2336" s="8">
        <v>2354.17</v>
      </c>
      <c r="F2336" s="9">
        <v>45189.666684444448</v>
      </c>
      <c r="G2336" t="s">
        <v>102</v>
      </c>
      <c r="H2336" t="s">
        <v>118</v>
      </c>
      <c r="I2336" t="s">
        <v>112</v>
      </c>
      <c r="J2336" t="str">
        <f t="shared" si="288"/>
        <v/>
      </c>
      <c r="K2336" t="str">
        <f t="shared" si="289"/>
        <v/>
      </c>
      <c r="L2336" t="str">
        <f t="shared" si="290"/>
        <v/>
      </c>
      <c r="M2336" t="str">
        <f t="shared" si="291"/>
        <v/>
      </c>
      <c r="N2336" t="str">
        <f t="shared" si="292"/>
        <v>Invalid</v>
      </c>
      <c r="O2336" t="str">
        <f t="shared" ca="1" si="293"/>
        <v>Outdated</v>
      </c>
      <c r="P2336" t="str">
        <f t="shared" si="294"/>
        <v>Not As Described</v>
      </c>
      <c r="Q2336" t="str">
        <f t="shared" si="295"/>
        <v/>
      </c>
    </row>
    <row r="2337" spans="1:17" x14ac:dyDescent="0.45">
      <c r="A2337" t="s">
        <v>3158</v>
      </c>
      <c r="B2337" t="s">
        <v>72</v>
      </c>
      <c r="C2337" t="s">
        <v>2140</v>
      </c>
      <c r="D2337" t="s">
        <v>92</v>
      </c>
      <c r="E2337" s="8">
        <v>3029.17</v>
      </c>
      <c r="F2337" s="9">
        <v>45289.666684444448</v>
      </c>
      <c r="G2337" t="s">
        <v>521</v>
      </c>
      <c r="H2337" t="s">
        <v>87</v>
      </c>
      <c r="I2337" t="s">
        <v>163</v>
      </c>
      <c r="J2337" t="str">
        <f t="shared" si="288"/>
        <v/>
      </c>
      <c r="K2337" t="str">
        <f t="shared" si="289"/>
        <v/>
      </c>
      <c r="L2337" t="str">
        <f t="shared" si="290"/>
        <v/>
      </c>
      <c r="M2337" t="str">
        <f t="shared" si="291"/>
        <v>Invalid</v>
      </c>
      <c r="N2337" t="str">
        <f t="shared" si="292"/>
        <v>Invalid</v>
      </c>
      <c r="O2337" t="str">
        <f t="shared" ca="1" si="293"/>
        <v>Outdated</v>
      </c>
      <c r="P2337" t="str">
        <f t="shared" si="294"/>
        <v>Not As Described</v>
      </c>
      <c r="Q2337" t="str">
        <f t="shared" si="295"/>
        <v/>
      </c>
    </row>
    <row r="2338" spans="1:17" x14ac:dyDescent="0.45">
      <c r="A2338" t="s">
        <v>3159</v>
      </c>
      <c r="B2338" t="s">
        <v>72</v>
      </c>
      <c r="C2338" t="s">
        <v>1614</v>
      </c>
      <c r="D2338" t="s">
        <v>148</v>
      </c>
      <c r="E2338" s="8">
        <v>0</v>
      </c>
      <c r="F2338" s="9">
        <v>45578.666684444448</v>
      </c>
      <c r="H2338" t="s">
        <v>136</v>
      </c>
      <c r="I2338" t="s">
        <v>77</v>
      </c>
      <c r="J2338" t="str">
        <f t="shared" si="288"/>
        <v/>
      </c>
      <c r="K2338" t="str">
        <f t="shared" si="289"/>
        <v/>
      </c>
      <c r="L2338" t="str">
        <f t="shared" si="290"/>
        <v>Unusual</v>
      </c>
      <c r="M2338" t="str">
        <f t="shared" si="291"/>
        <v>Invalid</v>
      </c>
      <c r="N2338" t="str">
        <f t="shared" si="292"/>
        <v>Invalid</v>
      </c>
      <c r="O2338" t="str">
        <f t="shared" ca="1" si="293"/>
        <v>Outdated</v>
      </c>
      <c r="P2338" t="str">
        <f t="shared" si="294"/>
        <v>Wrong Item</v>
      </c>
      <c r="Q2338" t="str">
        <f t="shared" si="295"/>
        <v>Inconsistent</v>
      </c>
    </row>
    <row r="2339" spans="1:17" x14ac:dyDescent="0.45">
      <c r="A2339" t="s">
        <v>3160</v>
      </c>
      <c r="B2339" t="s">
        <v>172</v>
      </c>
      <c r="D2339" t="s">
        <v>92</v>
      </c>
      <c r="E2339" s="8">
        <v>7737.52</v>
      </c>
      <c r="F2339" s="9">
        <v>45553.666684444448</v>
      </c>
      <c r="H2339" t="s">
        <v>133</v>
      </c>
      <c r="I2339" t="s">
        <v>163</v>
      </c>
      <c r="J2339" t="str">
        <f t="shared" si="288"/>
        <v>Missing</v>
      </c>
      <c r="K2339" t="str">
        <f t="shared" si="289"/>
        <v/>
      </c>
      <c r="L2339" t="str">
        <f t="shared" si="290"/>
        <v/>
      </c>
      <c r="M2339" t="str">
        <f t="shared" si="291"/>
        <v>Invalid</v>
      </c>
      <c r="N2339" t="str">
        <f t="shared" si="292"/>
        <v>Invalid</v>
      </c>
      <c r="O2339" t="str">
        <f t="shared" ca="1" si="293"/>
        <v>Outdated</v>
      </c>
      <c r="P2339" t="str">
        <f t="shared" si="294"/>
        <v>Not As Described</v>
      </c>
      <c r="Q2339" t="str">
        <f t="shared" si="295"/>
        <v/>
      </c>
    </row>
    <row r="2340" spans="1:17" x14ac:dyDescent="0.45">
      <c r="A2340" t="s">
        <v>3161</v>
      </c>
      <c r="B2340" t="s">
        <v>95</v>
      </c>
      <c r="C2340" t="s">
        <v>1514</v>
      </c>
      <c r="D2340" t="s">
        <v>74</v>
      </c>
      <c r="E2340" s="8">
        <v>6308.23</v>
      </c>
      <c r="F2340" s="9">
        <v>45623.666684444448</v>
      </c>
      <c r="G2340" t="s">
        <v>97</v>
      </c>
      <c r="H2340" t="s">
        <v>118</v>
      </c>
      <c r="I2340" t="s">
        <v>82</v>
      </c>
      <c r="J2340" t="str">
        <f t="shared" si="288"/>
        <v/>
      </c>
      <c r="K2340" t="str">
        <f t="shared" si="289"/>
        <v/>
      </c>
      <c r="L2340" t="str">
        <f t="shared" si="290"/>
        <v/>
      </c>
      <c r="M2340" t="str">
        <f t="shared" si="291"/>
        <v/>
      </c>
      <c r="N2340" t="str">
        <f t="shared" si="292"/>
        <v>Invalid</v>
      </c>
      <c r="O2340" t="str">
        <f t="shared" ca="1" si="293"/>
        <v>Outdated</v>
      </c>
      <c r="P2340" t="str">
        <f t="shared" si="294"/>
        <v>Wrong Item</v>
      </c>
      <c r="Q2340" t="str">
        <f t="shared" si="295"/>
        <v/>
      </c>
    </row>
    <row r="2341" spans="1:17" x14ac:dyDescent="0.45">
      <c r="A2341" t="s">
        <v>3162</v>
      </c>
      <c r="B2341" t="s">
        <v>109</v>
      </c>
      <c r="C2341" t="s">
        <v>3163</v>
      </c>
      <c r="D2341" t="s">
        <v>155</v>
      </c>
      <c r="E2341" s="8">
        <v>7142.4</v>
      </c>
      <c r="F2341" s="9">
        <v>45603.666684444448</v>
      </c>
      <c r="G2341" t="s">
        <v>111</v>
      </c>
      <c r="H2341" t="s">
        <v>87</v>
      </c>
      <c r="I2341" t="s">
        <v>119</v>
      </c>
      <c r="J2341" t="str">
        <f t="shared" si="288"/>
        <v/>
      </c>
      <c r="K2341" t="str">
        <f t="shared" si="289"/>
        <v/>
      </c>
      <c r="L2341" t="str">
        <f t="shared" si="290"/>
        <v/>
      </c>
      <c r="M2341" t="str">
        <f t="shared" si="291"/>
        <v/>
      </c>
      <c r="N2341" t="str">
        <f t="shared" si="292"/>
        <v>Invalid</v>
      </c>
      <c r="O2341" t="str">
        <f t="shared" ca="1" si="293"/>
        <v>Outdated</v>
      </c>
      <c r="P2341" t="str">
        <f t="shared" si="294"/>
        <v>Damaged</v>
      </c>
      <c r="Q2341" t="str">
        <f t="shared" si="295"/>
        <v>Inconsistent</v>
      </c>
    </row>
    <row r="2342" spans="1:17" x14ac:dyDescent="0.45">
      <c r="A2342" t="s">
        <v>3164</v>
      </c>
      <c r="B2342" t="s">
        <v>104</v>
      </c>
      <c r="C2342" t="s">
        <v>2345</v>
      </c>
      <c r="D2342" t="s">
        <v>74</v>
      </c>
      <c r="E2342" s="8">
        <v>766.94</v>
      </c>
      <c r="F2342" s="9">
        <v>45336.666684444448</v>
      </c>
      <c r="G2342" t="s">
        <v>115</v>
      </c>
      <c r="H2342" t="s">
        <v>87</v>
      </c>
      <c r="I2342" t="s">
        <v>112</v>
      </c>
      <c r="J2342" t="str">
        <f t="shared" si="288"/>
        <v/>
      </c>
      <c r="K2342" t="str">
        <f t="shared" si="289"/>
        <v/>
      </c>
      <c r="L2342" t="str">
        <f t="shared" si="290"/>
        <v/>
      </c>
      <c r="M2342" t="str">
        <f t="shared" si="291"/>
        <v/>
      </c>
      <c r="N2342" t="str">
        <f t="shared" si="292"/>
        <v>Invalid</v>
      </c>
      <c r="O2342" t="str">
        <f t="shared" ca="1" si="293"/>
        <v>Outdated</v>
      </c>
      <c r="P2342" t="str">
        <f t="shared" si="294"/>
        <v>Wrong Item</v>
      </c>
      <c r="Q2342" t="str">
        <f t="shared" si="295"/>
        <v/>
      </c>
    </row>
    <row r="2343" spans="1:17" x14ac:dyDescent="0.45">
      <c r="A2343" t="s">
        <v>3165</v>
      </c>
      <c r="B2343" t="s">
        <v>109</v>
      </c>
      <c r="D2343" t="s">
        <v>101</v>
      </c>
      <c r="E2343" s="8">
        <v>3611.43</v>
      </c>
      <c r="F2343" s="9">
        <v>45476.666684444448</v>
      </c>
      <c r="H2343" t="s">
        <v>116</v>
      </c>
      <c r="I2343" t="s">
        <v>82</v>
      </c>
      <c r="J2343" t="str">
        <f t="shared" si="288"/>
        <v>Missing</v>
      </c>
      <c r="K2343" t="str">
        <f t="shared" si="289"/>
        <v/>
      </c>
      <c r="L2343" t="str">
        <f t="shared" si="290"/>
        <v/>
      </c>
      <c r="M2343" t="str">
        <f t="shared" si="291"/>
        <v>Invalid</v>
      </c>
      <c r="N2343" t="str">
        <f t="shared" si="292"/>
        <v/>
      </c>
      <c r="O2343" t="str">
        <f t="shared" ca="1" si="293"/>
        <v>Outdated</v>
      </c>
      <c r="P2343" t="str">
        <f t="shared" si="294"/>
        <v>Damaged</v>
      </c>
      <c r="Q2343" t="str">
        <f t="shared" si="295"/>
        <v/>
      </c>
    </row>
    <row r="2344" spans="1:17" x14ac:dyDescent="0.45">
      <c r="A2344" t="s">
        <v>3166</v>
      </c>
      <c r="B2344" t="s">
        <v>138</v>
      </c>
      <c r="C2344" t="s">
        <v>568</v>
      </c>
      <c r="D2344" t="s">
        <v>85</v>
      </c>
      <c r="E2344" s="8">
        <v>9319.09</v>
      </c>
      <c r="F2344" s="9">
        <v>45749.666684444448</v>
      </c>
      <c r="H2344" t="s">
        <v>128</v>
      </c>
      <c r="I2344" t="s">
        <v>88</v>
      </c>
      <c r="J2344" t="str">
        <f t="shared" si="288"/>
        <v/>
      </c>
      <c r="K2344" t="str">
        <f t="shared" si="289"/>
        <v/>
      </c>
      <c r="L2344" t="str">
        <f t="shared" si="290"/>
        <v/>
      </c>
      <c r="M2344" t="str">
        <f t="shared" si="291"/>
        <v>Invalid</v>
      </c>
      <c r="N2344" t="str">
        <f t="shared" si="292"/>
        <v>Invalid</v>
      </c>
      <c r="O2344" t="str">
        <f t="shared" ca="1" si="293"/>
        <v>Outdated</v>
      </c>
      <c r="P2344" t="str">
        <f t="shared" si="294"/>
        <v>Late Delivery</v>
      </c>
      <c r="Q2344" t="str">
        <f t="shared" si="295"/>
        <v/>
      </c>
    </row>
    <row r="2345" spans="1:17" x14ac:dyDescent="0.45">
      <c r="A2345" t="s">
        <v>3167</v>
      </c>
      <c r="B2345" t="s">
        <v>99</v>
      </c>
      <c r="C2345" t="s">
        <v>637</v>
      </c>
      <c r="D2345" t="s">
        <v>85</v>
      </c>
      <c r="E2345" s="8">
        <v>4276.59</v>
      </c>
      <c r="F2345" s="9">
        <v>45275.666684444448</v>
      </c>
      <c r="G2345" t="s">
        <v>102</v>
      </c>
      <c r="H2345" t="s">
        <v>107</v>
      </c>
      <c r="I2345" t="s">
        <v>88</v>
      </c>
      <c r="J2345" t="str">
        <f t="shared" si="288"/>
        <v/>
      </c>
      <c r="K2345" t="str">
        <f t="shared" si="289"/>
        <v/>
      </c>
      <c r="L2345" t="str">
        <f t="shared" si="290"/>
        <v/>
      </c>
      <c r="M2345" t="str">
        <f t="shared" si="291"/>
        <v/>
      </c>
      <c r="N2345" t="str">
        <f t="shared" si="292"/>
        <v/>
      </c>
      <c r="O2345" t="str">
        <f t="shared" ca="1" si="293"/>
        <v>Outdated</v>
      </c>
      <c r="P2345" t="str">
        <f t="shared" si="294"/>
        <v>Late Delivery</v>
      </c>
      <c r="Q2345" t="str">
        <f t="shared" si="295"/>
        <v/>
      </c>
    </row>
    <row r="2346" spans="1:17" x14ac:dyDescent="0.45">
      <c r="A2346" t="s">
        <v>3168</v>
      </c>
      <c r="B2346" t="s">
        <v>95</v>
      </c>
      <c r="C2346" t="s">
        <v>401</v>
      </c>
      <c r="D2346" t="s">
        <v>74</v>
      </c>
      <c r="E2346" s="8">
        <v>3055.31</v>
      </c>
      <c r="F2346" s="9">
        <v>45448.666684444448</v>
      </c>
      <c r="G2346" t="s">
        <v>97</v>
      </c>
      <c r="H2346" t="s">
        <v>107</v>
      </c>
      <c r="I2346" t="s">
        <v>112</v>
      </c>
      <c r="J2346" t="str">
        <f t="shared" si="288"/>
        <v/>
      </c>
      <c r="K2346" t="str">
        <f t="shared" si="289"/>
        <v/>
      </c>
      <c r="L2346" t="str">
        <f t="shared" si="290"/>
        <v/>
      </c>
      <c r="M2346" t="str">
        <f t="shared" si="291"/>
        <v/>
      </c>
      <c r="N2346" t="str">
        <f t="shared" si="292"/>
        <v/>
      </c>
      <c r="O2346" t="str">
        <f t="shared" ca="1" si="293"/>
        <v>Outdated</v>
      </c>
      <c r="P2346" t="str">
        <f t="shared" si="294"/>
        <v>Wrong Item</v>
      </c>
      <c r="Q2346" t="str">
        <f t="shared" si="295"/>
        <v/>
      </c>
    </row>
    <row r="2347" spans="1:17" x14ac:dyDescent="0.45">
      <c r="A2347" t="s">
        <v>3169</v>
      </c>
      <c r="B2347" t="s">
        <v>95</v>
      </c>
      <c r="C2347" t="s">
        <v>586</v>
      </c>
      <c r="D2347" t="s">
        <v>92</v>
      </c>
      <c r="E2347" s="8">
        <v>7625.49</v>
      </c>
      <c r="F2347" s="9">
        <v>45454.666684444448</v>
      </c>
      <c r="G2347" t="s">
        <v>97</v>
      </c>
      <c r="H2347" t="s">
        <v>145</v>
      </c>
      <c r="I2347" t="s">
        <v>82</v>
      </c>
      <c r="J2347" t="str">
        <f t="shared" si="288"/>
        <v/>
      </c>
      <c r="K2347" t="str">
        <f t="shared" si="289"/>
        <v/>
      </c>
      <c r="L2347" t="str">
        <f t="shared" si="290"/>
        <v/>
      </c>
      <c r="M2347" t="str">
        <f t="shared" si="291"/>
        <v/>
      </c>
      <c r="N2347" t="str">
        <f t="shared" si="292"/>
        <v/>
      </c>
      <c r="O2347" t="str">
        <f t="shared" ca="1" si="293"/>
        <v>Outdated</v>
      </c>
      <c r="P2347" t="str">
        <f t="shared" si="294"/>
        <v>Not As Described</v>
      </c>
      <c r="Q2347" t="str">
        <f t="shared" si="295"/>
        <v/>
      </c>
    </row>
    <row r="2348" spans="1:17" x14ac:dyDescent="0.45">
      <c r="A2348" t="s">
        <v>3170</v>
      </c>
      <c r="B2348" t="s">
        <v>172</v>
      </c>
      <c r="C2348" t="s">
        <v>1096</v>
      </c>
      <c r="D2348" t="s">
        <v>101</v>
      </c>
      <c r="E2348" s="8">
        <v>8666.98</v>
      </c>
      <c r="F2348" s="9">
        <v>45481.666684444448</v>
      </c>
      <c r="G2348" t="s">
        <v>174</v>
      </c>
      <c r="H2348" t="s">
        <v>128</v>
      </c>
      <c r="I2348" t="s">
        <v>77</v>
      </c>
      <c r="J2348" t="str">
        <f t="shared" si="288"/>
        <v/>
      </c>
      <c r="K2348" t="str">
        <f t="shared" si="289"/>
        <v/>
      </c>
      <c r="L2348" t="str">
        <f t="shared" si="290"/>
        <v/>
      </c>
      <c r="M2348" t="str">
        <f t="shared" si="291"/>
        <v/>
      </c>
      <c r="N2348" t="str">
        <f t="shared" si="292"/>
        <v>Invalid</v>
      </c>
      <c r="O2348" t="str">
        <f t="shared" ca="1" si="293"/>
        <v>Outdated</v>
      </c>
      <c r="P2348" t="str">
        <f t="shared" si="294"/>
        <v>Damaged</v>
      </c>
      <c r="Q2348" t="str">
        <f t="shared" si="295"/>
        <v/>
      </c>
    </row>
    <row r="2349" spans="1:17" x14ac:dyDescent="0.45">
      <c r="A2349" t="s">
        <v>3171</v>
      </c>
      <c r="B2349" t="s">
        <v>99</v>
      </c>
      <c r="C2349" t="s">
        <v>864</v>
      </c>
      <c r="D2349" t="s">
        <v>101</v>
      </c>
      <c r="E2349" s="8">
        <v>7997.64</v>
      </c>
      <c r="F2349" s="9">
        <v>45536.666684444448</v>
      </c>
      <c r="G2349" t="s">
        <v>102</v>
      </c>
      <c r="H2349" t="s">
        <v>87</v>
      </c>
      <c r="I2349" t="s">
        <v>88</v>
      </c>
      <c r="J2349" t="str">
        <f t="shared" si="288"/>
        <v/>
      </c>
      <c r="K2349" t="str">
        <f t="shared" si="289"/>
        <v/>
      </c>
      <c r="L2349" t="str">
        <f t="shared" si="290"/>
        <v/>
      </c>
      <c r="M2349" t="str">
        <f t="shared" si="291"/>
        <v/>
      </c>
      <c r="N2349" t="str">
        <f t="shared" si="292"/>
        <v>Invalid</v>
      </c>
      <c r="O2349" t="str">
        <f t="shared" ca="1" si="293"/>
        <v>Outdated</v>
      </c>
      <c r="P2349" t="str">
        <f t="shared" si="294"/>
        <v>Damaged</v>
      </c>
      <c r="Q2349" t="str">
        <f t="shared" si="295"/>
        <v/>
      </c>
    </row>
    <row r="2350" spans="1:17" x14ac:dyDescent="0.45">
      <c r="A2350" t="s">
        <v>3172</v>
      </c>
      <c r="B2350" t="s">
        <v>138</v>
      </c>
      <c r="C2350" t="s">
        <v>1096</v>
      </c>
      <c r="E2350" s="8">
        <v>4895.8999999999996</v>
      </c>
      <c r="F2350" s="9">
        <v>45261.666684444448</v>
      </c>
      <c r="G2350" t="s">
        <v>194</v>
      </c>
      <c r="H2350" t="s">
        <v>116</v>
      </c>
      <c r="I2350" t="s">
        <v>163</v>
      </c>
      <c r="J2350" t="str">
        <f t="shared" si="288"/>
        <v>Missing</v>
      </c>
      <c r="K2350" t="str">
        <f t="shared" si="289"/>
        <v/>
      </c>
      <c r="L2350" t="str">
        <f t="shared" si="290"/>
        <v/>
      </c>
      <c r="M2350" t="str">
        <f t="shared" si="291"/>
        <v>Invalid</v>
      </c>
      <c r="N2350" t="str">
        <f t="shared" si="292"/>
        <v/>
      </c>
      <c r="O2350" t="str">
        <f t="shared" ca="1" si="293"/>
        <v>Outdated</v>
      </c>
      <c r="P2350" t="str">
        <f t="shared" si="294"/>
        <v/>
      </c>
      <c r="Q2350" t="str">
        <f t="shared" si="295"/>
        <v/>
      </c>
    </row>
    <row r="2351" spans="1:17" x14ac:dyDescent="0.45">
      <c r="A2351" t="s">
        <v>3173</v>
      </c>
      <c r="B2351" t="s">
        <v>138</v>
      </c>
      <c r="C2351" t="s">
        <v>856</v>
      </c>
      <c r="D2351" t="s">
        <v>101</v>
      </c>
      <c r="E2351" s="8">
        <v>9799.4500000000007</v>
      </c>
      <c r="F2351" s="9">
        <v>45507.666684444448</v>
      </c>
      <c r="G2351" t="s">
        <v>140</v>
      </c>
      <c r="H2351" t="s">
        <v>76</v>
      </c>
      <c r="I2351" t="s">
        <v>88</v>
      </c>
      <c r="J2351" t="str">
        <f t="shared" si="288"/>
        <v/>
      </c>
      <c r="K2351" t="str">
        <f t="shared" si="289"/>
        <v/>
      </c>
      <c r="L2351" t="str">
        <f t="shared" si="290"/>
        <v/>
      </c>
      <c r="M2351" t="str">
        <f t="shared" si="291"/>
        <v/>
      </c>
      <c r="N2351" t="str">
        <f t="shared" si="292"/>
        <v/>
      </c>
      <c r="O2351" t="str">
        <f t="shared" ca="1" si="293"/>
        <v>Outdated</v>
      </c>
      <c r="P2351" t="str">
        <f t="shared" si="294"/>
        <v>Damaged</v>
      </c>
      <c r="Q2351" t="str">
        <f t="shared" si="295"/>
        <v/>
      </c>
    </row>
    <row r="2352" spans="1:17" x14ac:dyDescent="0.45">
      <c r="A2352" t="s">
        <v>3174</v>
      </c>
      <c r="B2352" t="s">
        <v>104</v>
      </c>
      <c r="C2352" t="s">
        <v>1626</v>
      </c>
      <c r="D2352" t="s">
        <v>74</v>
      </c>
      <c r="E2352" s="8">
        <v>6086.45</v>
      </c>
      <c r="F2352" s="9">
        <v>45655.666684444448</v>
      </c>
      <c r="G2352" t="s">
        <v>115</v>
      </c>
      <c r="H2352" t="s">
        <v>118</v>
      </c>
      <c r="I2352" t="s">
        <v>119</v>
      </c>
      <c r="J2352" t="str">
        <f t="shared" si="288"/>
        <v/>
      </c>
      <c r="K2352" t="str">
        <f t="shared" si="289"/>
        <v/>
      </c>
      <c r="L2352" t="str">
        <f t="shared" si="290"/>
        <v/>
      </c>
      <c r="M2352" t="str">
        <f t="shared" si="291"/>
        <v/>
      </c>
      <c r="N2352" t="str">
        <f t="shared" si="292"/>
        <v>Invalid</v>
      </c>
      <c r="O2352" t="str">
        <f t="shared" ca="1" si="293"/>
        <v>Outdated</v>
      </c>
      <c r="P2352" t="str">
        <f t="shared" si="294"/>
        <v>Wrong Item</v>
      </c>
      <c r="Q2352" t="str">
        <f t="shared" si="295"/>
        <v/>
      </c>
    </row>
    <row r="2353" spans="1:17" x14ac:dyDescent="0.45">
      <c r="A2353" t="s">
        <v>2172</v>
      </c>
      <c r="B2353" t="s">
        <v>79</v>
      </c>
      <c r="C2353" t="s">
        <v>293</v>
      </c>
      <c r="D2353" t="s">
        <v>74</v>
      </c>
      <c r="E2353" s="8">
        <v>2210.9899999999998</v>
      </c>
      <c r="F2353" s="9">
        <v>45703.666684444448</v>
      </c>
      <c r="G2353" t="s">
        <v>86</v>
      </c>
      <c r="I2353" t="s">
        <v>112</v>
      </c>
      <c r="J2353" t="str">
        <f t="shared" si="288"/>
        <v/>
      </c>
      <c r="K2353" t="str">
        <f t="shared" si="289"/>
        <v>Duplicate</v>
      </c>
      <c r="L2353" t="str">
        <f t="shared" si="290"/>
        <v/>
      </c>
      <c r="M2353" t="str">
        <f t="shared" si="291"/>
        <v/>
      </c>
      <c r="N2353" t="str">
        <f t="shared" si="292"/>
        <v>Invalid</v>
      </c>
      <c r="O2353" t="str">
        <f t="shared" ca="1" si="293"/>
        <v>Outdated</v>
      </c>
      <c r="P2353" t="str">
        <f t="shared" si="294"/>
        <v>Wrong Item</v>
      </c>
      <c r="Q2353" t="str">
        <f t="shared" si="295"/>
        <v/>
      </c>
    </row>
    <row r="2354" spans="1:17" x14ac:dyDescent="0.45">
      <c r="A2354" t="s">
        <v>3175</v>
      </c>
      <c r="B2354" t="s">
        <v>109</v>
      </c>
      <c r="C2354" t="s">
        <v>1061</v>
      </c>
      <c r="D2354" t="s">
        <v>106</v>
      </c>
      <c r="E2354" s="8">
        <v>11630.89</v>
      </c>
      <c r="F2354" s="9">
        <v>45236.666684444448</v>
      </c>
      <c r="H2354" t="s">
        <v>81</v>
      </c>
      <c r="I2354" t="s">
        <v>77</v>
      </c>
      <c r="J2354" t="str">
        <f t="shared" si="288"/>
        <v/>
      </c>
      <c r="K2354" t="str">
        <f t="shared" si="289"/>
        <v/>
      </c>
      <c r="L2354" t="str">
        <f t="shared" si="290"/>
        <v>Unusual</v>
      </c>
      <c r="M2354" t="str">
        <f t="shared" si="291"/>
        <v>Invalid</v>
      </c>
      <c r="N2354" t="str">
        <f t="shared" si="292"/>
        <v/>
      </c>
      <c r="O2354" t="str">
        <f t="shared" ca="1" si="293"/>
        <v>Outdated</v>
      </c>
      <c r="P2354" t="str">
        <f t="shared" si="294"/>
        <v>Damaged</v>
      </c>
      <c r="Q2354" t="str">
        <f t="shared" si="295"/>
        <v>Inconsistent</v>
      </c>
    </row>
    <row r="2355" spans="1:17" x14ac:dyDescent="0.45">
      <c r="A2355" t="s">
        <v>3176</v>
      </c>
      <c r="B2355" t="s">
        <v>99</v>
      </c>
      <c r="C2355" t="s">
        <v>168</v>
      </c>
      <c r="D2355" t="s">
        <v>74</v>
      </c>
      <c r="E2355" s="8">
        <v>718.5</v>
      </c>
      <c r="F2355" s="9">
        <v>45454.666684444448</v>
      </c>
      <c r="G2355" t="s">
        <v>102</v>
      </c>
      <c r="H2355" t="s">
        <v>107</v>
      </c>
      <c r="I2355" t="s">
        <v>112</v>
      </c>
      <c r="J2355" t="str">
        <f t="shared" si="288"/>
        <v/>
      </c>
      <c r="K2355" t="str">
        <f t="shared" si="289"/>
        <v/>
      </c>
      <c r="L2355" t="str">
        <f t="shared" si="290"/>
        <v/>
      </c>
      <c r="M2355" t="str">
        <f t="shared" si="291"/>
        <v/>
      </c>
      <c r="N2355" t="str">
        <f t="shared" si="292"/>
        <v/>
      </c>
      <c r="O2355" t="str">
        <f t="shared" ca="1" si="293"/>
        <v>Outdated</v>
      </c>
      <c r="P2355" t="str">
        <f t="shared" si="294"/>
        <v>Wrong Item</v>
      </c>
      <c r="Q2355" t="str">
        <f t="shared" si="295"/>
        <v/>
      </c>
    </row>
    <row r="2356" spans="1:17" x14ac:dyDescent="0.45">
      <c r="A2356" t="s">
        <v>3177</v>
      </c>
      <c r="B2356" t="s">
        <v>138</v>
      </c>
      <c r="C2356" t="s">
        <v>127</v>
      </c>
      <c r="D2356" t="s">
        <v>101</v>
      </c>
      <c r="E2356" s="8">
        <v>6587.42</v>
      </c>
      <c r="F2356" s="9">
        <v>45375.666684444448</v>
      </c>
      <c r="G2356" t="s">
        <v>140</v>
      </c>
      <c r="H2356" t="s">
        <v>133</v>
      </c>
      <c r="I2356" t="s">
        <v>82</v>
      </c>
      <c r="J2356" t="str">
        <f t="shared" si="288"/>
        <v/>
      </c>
      <c r="K2356" t="str">
        <f t="shared" si="289"/>
        <v/>
      </c>
      <c r="L2356" t="str">
        <f t="shared" si="290"/>
        <v/>
      </c>
      <c r="M2356" t="str">
        <f t="shared" si="291"/>
        <v/>
      </c>
      <c r="N2356" t="str">
        <f t="shared" si="292"/>
        <v>Invalid</v>
      </c>
      <c r="O2356" t="str">
        <f t="shared" ca="1" si="293"/>
        <v>Outdated</v>
      </c>
      <c r="P2356" t="str">
        <f t="shared" si="294"/>
        <v>Damaged</v>
      </c>
      <c r="Q2356" t="str">
        <f t="shared" si="295"/>
        <v/>
      </c>
    </row>
    <row r="2357" spans="1:17" x14ac:dyDescent="0.45">
      <c r="A2357" t="s">
        <v>3178</v>
      </c>
      <c r="B2357" t="s">
        <v>138</v>
      </c>
      <c r="C2357" t="s">
        <v>1471</v>
      </c>
      <c r="D2357" t="s">
        <v>85</v>
      </c>
      <c r="E2357" s="8">
        <v>525.19000000000005</v>
      </c>
      <c r="F2357" s="9">
        <v>45605.666684444448</v>
      </c>
      <c r="G2357" t="s">
        <v>140</v>
      </c>
      <c r="H2357" t="s">
        <v>136</v>
      </c>
      <c r="I2357" t="s">
        <v>77</v>
      </c>
      <c r="J2357" t="str">
        <f t="shared" si="288"/>
        <v/>
      </c>
      <c r="K2357" t="str">
        <f t="shared" si="289"/>
        <v/>
      </c>
      <c r="L2357" t="str">
        <f t="shared" si="290"/>
        <v/>
      </c>
      <c r="M2357" t="str">
        <f t="shared" si="291"/>
        <v/>
      </c>
      <c r="N2357" t="str">
        <f t="shared" si="292"/>
        <v>Invalid</v>
      </c>
      <c r="O2357" t="str">
        <f t="shared" ca="1" si="293"/>
        <v>Outdated</v>
      </c>
      <c r="P2357" t="str">
        <f t="shared" si="294"/>
        <v>Late Delivery</v>
      </c>
      <c r="Q2357" t="str">
        <f t="shared" si="295"/>
        <v/>
      </c>
    </row>
    <row r="2358" spans="1:17" x14ac:dyDescent="0.45">
      <c r="A2358" t="s">
        <v>3179</v>
      </c>
      <c r="B2358" t="s">
        <v>79</v>
      </c>
      <c r="C2358" t="s">
        <v>1195</v>
      </c>
      <c r="D2358" t="s">
        <v>85</v>
      </c>
      <c r="E2358" s="8">
        <v>4778.5200000000004</v>
      </c>
      <c r="F2358" s="9">
        <v>45253.666684444448</v>
      </c>
      <c r="G2358" t="s">
        <v>86</v>
      </c>
      <c r="H2358" t="s">
        <v>76</v>
      </c>
      <c r="I2358" t="s">
        <v>77</v>
      </c>
      <c r="J2358" t="str">
        <f t="shared" si="288"/>
        <v/>
      </c>
      <c r="K2358" t="str">
        <f t="shared" si="289"/>
        <v/>
      </c>
      <c r="L2358" t="str">
        <f t="shared" si="290"/>
        <v/>
      </c>
      <c r="M2358" t="str">
        <f t="shared" si="291"/>
        <v/>
      </c>
      <c r="N2358" t="str">
        <f t="shared" si="292"/>
        <v/>
      </c>
      <c r="O2358" t="str">
        <f t="shared" ca="1" si="293"/>
        <v>Outdated</v>
      </c>
      <c r="P2358" t="str">
        <f t="shared" si="294"/>
        <v>Late Delivery</v>
      </c>
      <c r="Q2358" t="str">
        <f t="shared" si="295"/>
        <v/>
      </c>
    </row>
    <row r="2359" spans="1:17" x14ac:dyDescent="0.45">
      <c r="A2359" t="s">
        <v>3180</v>
      </c>
      <c r="B2359" t="s">
        <v>95</v>
      </c>
      <c r="C2359" t="s">
        <v>3181</v>
      </c>
      <c r="D2359" t="s">
        <v>74</v>
      </c>
      <c r="E2359" s="8">
        <v>461.11</v>
      </c>
      <c r="F2359" s="9">
        <v>45401.666684444448</v>
      </c>
      <c r="G2359" t="s">
        <v>97</v>
      </c>
      <c r="I2359" t="s">
        <v>88</v>
      </c>
      <c r="J2359" t="str">
        <f t="shared" si="288"/>
        <v/>
      </c>
      <c r="K2359" t="str">
        <f t="shared" si="289"/>
        <v/>
      </c>
      <c r="L2359" t="str">
        <f t="shared" si="290"/>
        <v/>
      </c>
      <c r="M2359" t="str">
        <f t="shared" si="291"/>
        <v/>
      </c>
      <c r="N2359" t="str">
        <f t="shared" si="292"/>
        <v>Invalid</v>
      </c>
      <c r="O2359" t="str">
        <f t="shared" ca="1" si="293"/>
        <v>Outdated</v>
      </c>
      <c r="P2359" t="str">
        <f t="shared" si="294"/>
        <v>Wrong Item</v>
      </c>
      <c r="Q2359" t="str">
        <f t="shared" si="295"/>
        <v/>
      </c>
    </row>
    <row r="2360" spans="1:17" x14ac:dyDescent="0.45">
      <c r="A2360" t="s">
        <v>3182</v>
      </c>
      <c r="B2360" t="s">
        <v>138</v>
      </c>
      <c r="C2360" t="s">
        <v>1240</v>
      </c>
      <c r="D2360" t="s">
        <v>85</v>
      </c>
      <c r="E2360" s="8">
        <v>9588.8799999999992</v>
      </c>
      <c r="F2360" s="9">
        <v>45588.666684444448</v>
      </c>
      <c r="G2360" t="s">
        <v>140</v>
      </c>
      <c r="H2360" t="s">
        <v>76</v>
      </c>
      <c r="I2360" t="s">
        <v>82</v>
      </c>
      <c r="J2360" t="str">
        <f t="shared" si="288"/>
        <v/>
      </c>
      <c r="K2360" t="str">
        <f t="shared" si="289"/>
        <v/>
      </c>
      <c r="L2360" t="str">
        <f t="shared" si="290"/>
        <v/>
      </c>
      <c r="M2360" t="str">
        <f t="shared" si="291"/>
        <v/>
      </c>
      <c r="N2360" t="str">
        <f t="shared" si="292"/>
        <v/>
      </c>
      <c r="O2360" t="str">
        <f t="shared" ca="1" si="293"/>
        <v>Outdated</v>
      </c>
      <c r="P2360" t="str">
        <f t="shared" si="294"/>
        <v>Late Delivery</v>
      </c>
      <c r="Q2360" t="str">
        <f t="shared" si="295"/>
        <v/>
      </c>
    </row>
    <row r="2361" spans="1:17" x14ac:dyDescent="0.45">
      <c r="A2361" t="s">
        <v>3183</v>
      </c>
      <c r="B2361" t="s">
        <v>104</v>
      </c>
      <c r="D2361" t="s">
        <v>101</v>
      </c>
      <c r="E2361" s="8">
        <v>6600.46</v>
      </c>
      <c r="F2361" s="9">
        <v>45381.666684444448</v>
      </c>
      <c r="G2361" t="s">
        <v>115</v>
      </c>
      <c r="H2361" t="s">
        <v>133</v>
      </c>
      <c r="I2361" t="s">
        <v>163</v>
      </c>
      <c r="J2361" t="str">
        <f t="shared" si="288"/>
        <v>Missing</v>
      </c>
      <c r="K2361" t="str">
        <f t="shared" si="289"/>
        <v/>
      </c>
      <c r="L2361" t="str">
        <f t="shared" si="290"/>
        <v/>
      </c>
      <c r="M2361" t="str">
        <f t="shared" si="291"/>
        <v/>
      </c>
      <c r="N2361" t="str">
        <f t="shared" si="292"/>
        <v>Invalid</v>
      </c>
      <c r="O2361" t="str">
        <f t="shared" ca="1" si="293"/>
        <v>Outdated</v>
      </c>
      <c r="P2361" t="str">
        <f t="shared" si="294"/>
        <v>Damaged</v>
      </c>
      <c r="Q2361" t="str">
        <f t="shared" si="295"/>
        <v/>
      </c>
    </row>
    <row r="2362" spans="1:17" x14ac:dyDescent="0.45">
      <c r="A2362" t="s">
        <v>3184</v>
      </c>
      <c r="B2362" t="s">
        <v>138</v>
      </c>
      <c r="C2362" t="s">
        <v>1030</v>
      </c>
      <c r="D2362" t="s">
        <v>106</v>
      </c>
      <c r="E2362" s="8">
        <v>0</v>
      </c>
      <c r="F2362" s="9">
        <v>45272.666684444448</v>
      </c>
      <c r="G2362" t="s">
        <v>140</v>
      </c>
      <c r="H2362" t="s">
        <v>133</v>
      </c>
      <c r="I2362" t="s">
        <v>77</v>
      </c>
      <c r="J2362" t="str">
        <f t="shared" si="288"/>
        <v/>
      </c>
      <c r="K2362" t="str">
        <f t="shared" si="289"/>
        <v/>
      </c>
      <c r="L2362" t="str">
        <f t="shared" si="290"/>
        <v>Unusual</v>
      </c>
      <c r="M2362" t="str">
        <f t="shared" si="291"/>
        <v/>
      </c>
      <c r="N2362" t="str">
        <f t="shared" si="292"/>
        <v>Invalid</v>
      </c>
      <c r="O2362" t="str">
        <f t="shared" ca="1" si="293"/>
        <v>Outdated</v>
      </c>
      <c r="P2362" t="str">
        <f t="shared" si="294"/>
        <v>Damaged</v>
      </c>
      <c r="Q2362" t="str">
        <f t="shared" si="295"/>
        <v>Inconsistent</v>
      </c>
    </row>
    <row r="2363" spans="1:17" x14ac:dyDescent="0.45">
      <c r="A2363" t="s">
        <v>3185</v>
      </c>
      <c r="B2363" t="s">
        <v>138</v>
      </c>
      <c r="C2363" t="s">
        <v>1183</v>
      </c>
      <c r="D2363" t="s">
        <v>74</v>
      </c>
      <c r="E2363" s="8">
        <v>8124</v>
      </c>
      <c r="F2363" s="9">
        <v>45227.666684444448</v>
      </c>
      <c r="G2363" t="s">
        <v>140</v>
      </c>
      <c r="H2363" t="s">
        <v>107</v>
      </c>
      <c r="I2363" t="s">
        <v>112</v>
      </c>
      <c r="J2363" t="str">
        <f t="shared" si="288"/>
        <v/>
      </c>
      <c r="K2363" t="str">
        <f t="shared" si="289"/>
        <v/>
      </c>
      <c r="L2363" t="str">
        <f t="shared" si="290"/>
        <v/>
      </c>
      <c r="M2363" t="str">
        <f t="shared" si="291"/>
        <v/>
      </c>
      <c r="N2363" t="str">
        <f t="shared" si="292"/>
        <v/>
      </c>
      <c r="O2363" t="str">
        <f t="shared" ca="1" si="293"/>
        <v>Outdated</v>
      </c>
      <c r="P2363" t="str">
        <f t="shared" si="294"/>
        <v>Wrong Item</v>
      </c>
      <c r="Q2363" t="str">
        <f t="shared" si="295"/>
        <v/>
      </c>
    </row>
    <row r="2364" spans="1:17" x14ac:dyDescent="0.45">
      <c r="A2364" t="s">
        <v>3186</v>
      </c>
      <c r="B2364" t="s">
        <v>79</v>
      </c>
      <c r="C2364" t="s">
        <v>214</v>
      </c>
      <c r="D2364" t="s">
        <v>101</v>
      </c>
      <c r="E2364" s="8">
        <v>11749.24</v>
      </c>
      <c r="F2364" s="9">
        <v>45179.666684444448</v>
      </c>
      <c r="G2364" t="s">
        <v>86</v>
      </c>
      <c r="H2364" t="s">
        <v>76</v>
      </c>
      <c r="I2364" t="s">
        <v>82</v>
      </c>
      <c r="J2364" t="str">
        <f t="shared" si="288"/>
        <v/>
      </c>
      <c r="K2364" t="str">
        <f t="shared" si="289"/>
        <v/>
      </c>
      <c r="L2364" t="str">
        <f t="shared" si="290"/>
        <v>Unusual</v>
      </c>
      <c r="M2364" t="str">
        <f t="shared" si="291"/>
        <v/>
      </c>
      <c r="N2364" t="str">
        <f t="shared" si="292"/>
        <v/>
      </c>
      <c r="O2364" t="str">
        <f t="shared" ca="1" si="293"/>
        <v>Outdated</v>
      </c>
      <c r="P2364" t="str">
        <f t="shared" si="294"/>
        <v>Damaged</v>
      </c>
      <c r="Q2364" t="str">
        <f t="shared" si="295"/>
        <v/>
      </c>
    </row>
    <row r="2365" spans="1:17" x14ac:dyDescent="0.45">
      <c r="A2365" t="s">
        <v>3187</v>
      </c>
      <c r="B2365" t="s">
        <v>104</v>
      </c>
      <c r="C2365" t="s">
        <v>1658</v>
      </c>
      <c r="D2365" t="s">
        <v>101</v>
      </c>
      <c r="E2365" s="8">
        <v>5918.92</v>
      </c>
      <c r="F2365" s="9">
        <v>45425.666684444448</v>
      </c>
      <c r="G2365" t="s">
        <v>115</v>
      </c>
      <c r="H2365" t="s">
        <v>145</v>
      </c>
      <c r="I2365" t="s">
        <v>77</v>
      </c>
      <c r="J2365" t="str">
        <f t="shared" si="288"/>
        <v/>
      </c>
      <c r="K2365" t="str">
        <f t="shared" si="289"/>
        <v/>
      </c>
      <c r="L2365" t="str">
        <f t="shared" si="290"/>
        <v/>
      </c>
      <c r="M2365" t="str">
        <f t="shared" si="291"/>
        <v/>
      </c>
      <c r="N2365" t="str">
        <f t="shared" si="292"/>
        <v/>
      </c>
      <c r="O2365" t="str">
        <f t="shared" ca="1" si="293"/>
        <v>Outdated</v>
      </c>
      <c r="P2365" t="str">
        <f t="shared" si="294"/>
        <v>Damaged</v>
      </c>
      <c r="Q2365" t="str">
        <f t="shared" si="295"/>
        <v/>
      </c>
    </row>
    <row r="2366" spans="1:17" x14ac:dyDescent="0.45">
      <c r="A2366" t="s">
        <v>3188</v>
      </c>
      <c r="B2366" t="s">
        <v>90</v>
      </c>
      <c r="C2366" t="s">
        <v>456</v>
      </c>
      <c r="D2366" t="s">
        <v>101</v>
      </c>
      <c r="E2366" s="8">
        <v>1253.68</v>
      </c>
      <c r="F2366" s="9">
        <v>45521.666684444448</v>
      </c>
      <c r="G2366" t="s">
        <v>296</v>
      </c>
      <c r="H2366" t="s">
        <v>145</v>
      </c>
      <c r="I2366" t="s">
        <v>82</v>
      </c>
      <c r="J2366" t="str">
        <f t="shared" si="288"/>
        <v/>
      </c>
      <c r="K2366" t="str">
        <f t="shared" si="289"/>
        <v/>
      </c>
      <c r="L2366" t="str">
        <f t="shared" si="290"/>
        <v/>
      </c>
      <c r="M2366" t="str">
        <f t="shared" si="291"/>
        <v>Invalid</v>
      </c>
      <c r="N2366" t="str">
        <f t="shared" si="292"/>
        <v/>
      </c>
      <c r="O2366" t="str">
        <f t="shared" ca="1" si="293"/>
        <v>Outdated</v>
      </c>
      <c r="P2366" t="str">
        <f t="shared" si="294"/>
        <v>Damaged</v>
      </c>
      <c r="Q2366" t="str">
        <f t="shared" si="295"/>
        <v/>
      </c>
    </row>
    <row r="2367" spans="1:17" x14ac:dyDescent="0.45">
      <c r="A2367" t="s">
        <v>2626</v>
      </c>
      <c r="B2367" t="s">
        <v>72</v>
      </c>
      <c r="C2367" t="s">
        <v>550</v>
      </c>
      <c r="D2367" t="s">
        <v>92</v>
      </c>
      <c r="E2367" s="8">
        <v>3445.31</v>
      </c>
      <c r="F2367" s="9">
        <v>45758.666684444448</v>
      </c>
      <c r="H2367" t="s">
        <v>145</v>
      </c>
      <c r="I2367" t="s">
        <v>163</v>
      </c>
      <c r="J2367" t="str">
        <f t="shared" si="288"/>
        <v/>
      </c>
      <c r="K2367" t="str">
        <f t="shared" si="289"/>
        <v>Duplicate</v>
      </c>
      <c r="L2367" t="str">
        <f t="shared" si="290"/>
        <v/>
      </c>
      <c r="M2367" t="str">
        <f t="shared" si="291"/>
        <v>Invalid</v>
      </c>
      <c r="N2367" t="str">
        <f t="shared" si="292"/>
        <v/>
      </c>
      <c r="O2367" t="str">
        <f t="shared" ca="1" si="293"/>
        <v>Outdated</v>
      </c>
      <c r="P2367" t="str">
        <f t="shared" si="294"/>
        <v>Not As Described</v>
      </c>
      <c r="Q2367" t="str">
        <f t="shared" si="295"/>
        <v/>
      </c>
    </row>
    <row r="2368" spans="1:17" x14ac:dyDescent="0.45">
      <c r="A2368" t="s">
        <v>3189</v>
      </c>
      <c r="B2368" t="s">
        <v>79</v>
      </c>
      <c r="C2368" t="s">
        <v>280</v>
      </c>
      <c r="D2368" t="s">
        <v>74</v>
      </c>
      <c r="E2368" s="8">
        <v>9162.0300000000007</v>
      </c>
      <c r="F2368" s="9">
        <v>45556.666684444448</v>
      </c>
      <c r="G2368" t="s">
        <v>86</v>
      </c>
      <c r="H2368" t="s">
        <v>136</v>
      </c>
      <c r="I2368" t="s">
        <v>119</v>
      </c>
      <c r="J2368" t="str">
        <f t="shared" si="288"/>
        <v/>
      </c>
      <c r="K2368" t="str">
        <f t="shared" si="289"/>
        <v/>
      </c>
      <c r="L2368" t="str">
        <f t="shared" si="290"/>
        <v/>
      </c>
      <c r="M2368" t="str">
        <f t="shared" si="291"/>
        <v/>
      </c>
      <c r="N2368" t="str">
        <f t="shared" si="292"/>
        <v>Invalid</v>
      </c>
      <c r="O2368" t="str">
        <f t="shared" ca="1" si="293"/>
        <v>Outdated</v>
      </c>
      <c r="P2368" t="str">
        <f t="shared" si="294"/>
        <v>Wrong Item</v>
      </c>
      <c r="Q2368" t="str">
        <f t="shared" si="295"/>
        <v/>
      </c>
    </row>
    <row r="2369" spans="1:17" x14ac:dyDescent="0.45">
      <c r="A2369" t="s">
        <v>3190</v>
      </c>
      <c r="B2369" t="s">
        <v>95</v>
      </c>
      <c r="C2369" t="s">
        <v>658</v>
      </c>
      <c r="D2369" t="s">
        <v>74</v>
      </c>
      <c r="E2369" s="8">
        <v>6681.22</v>
      </c>
      <c r="F2369" s="9">
        <v>45382.666684444448</v>
      </c>
      <c r="G2369" t="s">
        <v>336</v>
      </c>
      <c r="H2369" t="s">
        <v>81</v>
      </c>
      <c r="I2369" t="s">
        <v>77</v>
      </c>
      <c r="J2369" t="str">
        <f t="shared" si="288"/>
        <v/>
      </c>
      <c r="K2369" t="str">
        <f t="shared" si="289"/>
        <v/>
      </c>
      <c r="L2369" t="str">
        <f t="shared" si="290"/>
        <v/>
      </c>
      <c r="M2369" t="str">
        <f t="shared" si="291"/>
        <v>Invalid</v>
      </c>
      <c r="N2369" t="str">
        <f t="shared" si="292"/>
        <v/>
      </c>
      <c r="O2369" t="str">
        <f t="shared" ca="1" si="293"/>
        <v>Outdated</v>
      </c>
      <c r="P2369" t="str">
        <f t="shared" si="294"/>
        <v>Wrong Item</v>
      </c>
      <c r="Q2369" t="str">
        <f t="shared" si="295"/>
        <v/>
      </c>
    </row>
    <row r="2370" spans="1:17" x14ac:dyDescent="0.45">
      <c r="A2370" t="s">
        <v>3191</v>
      </c>
      <c r="B2370" t="s">
        <v>95</v>
      </c>
      <c r="C2370" t="s">
        <v>884</v>
      </c>
      <c r="D2370" t="s">
        <v>92</v>
      </c>
      <c r="E2370" s="8">
        <v>5524.05</v>
      </c>
      <c r="F2370" s="9">
        <v>45291.666684444448</v>
      </c>
      <c r="G2370" t="s">
        <v>97</v>
      </c>
      <c r="H2370" t="s">
        <v>118</v>
      </c>
      <c r="I2370" t="s">
        <v>163</v>
      </c>
      <c r="J2370" t="str">
        <f t="shared" ref="J2370:J2433" si="296">IF(OR(ISBLANK(C2370),ISBLANK(D2370)),"Missing","")</f>
        <v/>
      </c>
      <c r="K2370" t="str">
        <f t="shared" ref="K2370:K2433" si="297">IF(COUNTIF($A$2:$A$2501,A2370)&gt;1,"Duplicate","")</f>
        <v/>
      </c>
      <c r="L2370" t="str">
        <f t="shared" ref="L2370:L2433" si="298">IF(OR(E2370=0,E2370&gt;10000),"Unusual","")</f>
        <v/>
      </c>
      <c r="M2370" t="str">
        <f t="shared" ref="M2370:M2433" si="299">IF(OR(ISBLANK(G2370),ISERROR(FIND("@",G2370)),ISERROR(FIND(".",G2370,FIND("@",G2370)+1))),"Invalid","")</f>
        <v/>
      </c>
      <c r="N2370" t="str">
        <f t="shared" ref="N2370:N2433" si="300">IF(COUNTIF($S$2:$S$6,H2370)=0,"Invalid","")</f>
        <v>Invalid</v>
      </c>
      <c r="O2370" t="str">
        <f t="shared" ref="O2370:O2433" ca="1" si="301">IF(F2370&lt;EDATE(TODAY(),-12),"Outdated","")</f>
        <v>Outdated</v>
      </c>
      <c r="P2370" t="str">
        <f t="shared" ref="P2370:P2433" si="302">IF(ISBLANK(D2370),"",PROPER(TRIM(D2370)))</f>
        <v>Not As Described</v>
      </c>
      <c r="Q2370" t="str">
        <f t="shared" ref="Q2370:Q2433" si="303">IF(ISBLANK(D2370),"",IF(EXACT(D2370,P2370),"","Inconsistent"))</f>
        <v/>
      </c>
    </row>
    <row r="2371" spans="1:17" x14ac:dyDescent="0.45">
      <c r="A2371" t="s">
        <v>3192</v>
      </c>
      <c r="B2371" t="s">
        <v>99</v>
      </c>
      <c r="C2371" t="s">
        <v>2974</v>
      </c>
      <c r="D2371" t="s">
        <v>85</v>
      </c>
      <c r="E2371" s="8">
        <v>8075.01</v>
      </c>
      <c r="F2371" s="9">
        <v>45463.666684444448</v>
      </c>
      <c r="I2371" t="s">
        <v>163</v>
      </c>
      <c r="J2371" t="str">
        <f t="shared" si="296"/>
        <v/>
      </c>
      <c r="K2371" t="str">
        <f t="shared" si="297"/>
        <v/>
      </c>
      <c r="L2371" t="str">
        <f t="shared" si="298"/>
        <v/>
      </c>
      <c r="M2371" t="str">
        <f t="shared" si="299"/>
        <v>Invalid</v>
      </c>
      <c r="N2371" t="str">
        <f t="shared" si="300"/>
        <v>Invalid</v>
      </c>
      <c r="O2371" t="str">
        <f t="shared" ca="1" si="301"/>
        <v>Outdated</v>
      </c>
      <c r="P2371" t="str">
        <f t="shared" si="302"/>
        <v>Late Delivery</v>
      </c>
      <c r="Q2371" t="str">
        <f t="shared" si="303"/>
        <v/>
      </c>
    </row>
    <row r="2372" spans="1:17" x14ac:dyDescent="0.45">
      <c r="A2372" t="s">
        <v>3193</v>
      </c>
      <c r="B2372" t="s">
        <v>79</v>
      </c>
      <c r="C2372" t="s">
        <v>1279</v>
      </c>
      <c r="D2372" t="s">
        <v>101</v>
      </c>
      <c r="E2372" s="8">
        <v>9801.2099999999991</v>
      </c>
      <c r="F2372" s="9">
        <v>45719.666684444448</v>
      </c>
      <c r="G2372" t="s">
        <v>86</v>
      </c>
      <c r="H2372" t="s">
        <v>116</v>
      </c>
      <c r="I2372" t="s">
        <v>163</v>
      </c>
      <c r="J2372" t="str">
        <f t="shared" si="296"/>
        <v/>
      </c>
      <c r="K2372" t="str">
        <f t="shared" si="297"/>
        <v/>
      </c>
      <c r="L2372" t="str">
        <f t="shared" si="298"/>
        <v/>
      </c>
      <c r="M2372" t="str">
        <f t="shared" si="299"/>
        <v/>
      </c>
      <c r="N2372" t="str">
        <f t="shared" si="300"/>
        <v/>
      </c>
      <c r="O2372" t="str">
        <f t="shared" ca="1" si="301"/>
        <v>Outdated</v>
      </c>
      <c r="P2372" t="str">
        <f t="shared" si="302"/>
        <v>Damaged</v>
      </c>
      <c r="Q2372" t="str">
        <f t="shared" si="303"/>
        <v/>
      </c>
    </row>
    <row r="2373" spans="1:17" x14ac:dyDescent="0.45">
      <c r="A2373" t="s">
        <v>1843</v>
      </c>
      <c r="B2373" t="s">
        <v>172</v>
      </c>
      <c r="C2373" t="s">
        <v>80</v>
      </c>
      <c r="D2373" t="s">
        <v>74</v>
      </c>
      <c r="E2373" s="8">
        <v>2460.66</v>
      </c>
      <c r="F2373" s="9">
        <v>45448.666684444448</v>
      </c>
      <c r="G2373" t="s">
        <v>174</v>
      </c>
      <c r="H2373" t="s">
        <v>136</v>
      </c>
      <c r="I2373" t="s">
        <v>88</v>
      </c>
      <c r="J2373" t="str">
        <f t="shared" si="296"/>
        <v/>
      </c>
      <c r="K2373" t="str">
        <f t="shared" si="297"/>
        <v>Duplicate</v>
      </c>
      <c r="L2373" t="str">
        <f t="shared" si="298"/>
        <v/>
      </c>
      <c r="M2373" t="str">
        <f t="shared" si="299"/>
        <v/>
      </c>
      <c r="N2373" t="str">
        <f t="shared" si="300"/>
        <v>Invalid</v>
      </c>
      <c r="O2373" t="str">
        <f t="shared" ca="1" si="301"/>
        <v>Outdated</v>
      </c>
      <c r="P2373" t="str">
        <f t="shared" si="302"/>
        <v>Wrong Item</v>
      </c>
      <c r="Q2373" t="str">
        <f t="shared" si="303"/>
        <v/>
      </c>
    </row>
    <row r="2374" spans="1:17" x14ac:dyDescent="0.45">
      <c r="A2374" t="s">
        <v>3194</v>
      </c>
      <c r="B2374" t="s">
        <v>79</v>
      </c>
      <c r="C2374" t="s">
        <v>295</v>
      </c>
      <c r="D2374" t="s">
        <v>74</v>
      </c>
      <c r="E2374" s="8">
        <v>10152.040000000001</v>
      </c>
      <c r="F2374" s="9">
        <v>45322.666684444448</v>
      </c>
      <c r="G2374" t="s">
        <v>86</v>
      </c>
      <c r="H2374" t="s">
        <v>76</v>
      </c>
      <c r="I2374" t="s">
        <v>77</v>
      </c>
      <c r="J2374" t="str">
        <f t="shared" si="296"/>
        <v/>
      </c>
      <c r="K2374" t="str">
        <f t="shared" si="297"/>
        <v/>
      </c>
      <c r="L2374" t="str">
        <f t="shared" si="298"/>
        <v>Unusual</v>
      </c>
      <c r="M2374" t="str">
        <f t="shared" si="299"/>
        <v/>
      </c>
      <c r="N2374" t="str">
        <f t="shared" si="300"/>
        <v/>
      </c>
      <c r="O2374" t="str">
        <f t="shared" ca="1" si="301"/>
        <v>Outdated</v>
      </c>
      <c r="P2374" t="str">
        <f t="shared" si="302"/>
        <v>Wrong Item</v>
      </c>
      <c r="Q2374" t="str">
        <f t="shared" si="303"/>
        <v/>
      </c>
    </row>
    <row r="2375" spans="1:17" x14ac:dyDescent="0.45">
      <c r="A2375" t="s">
        <v>3195</v>
      </c>
      <c r="B2375" t="s">
        <v>90</v>
      </c>
      <c r="C2375" t="s">
        <v>1888</v>
      </c>
      <c r="D2375" t="s">
        <v>74</v>
      </c>
      <c r="E2375" s="8">
        <v>8723.4500000000007</v>
      </c>
      <c r="F2375" s="9">
        <v>45291.666684444448</v>
      </c>
      <c r="G2375" t="s">
        <v>93</v>
      </c>
      <c r="H2375" t="s">
        <v>87</v>
      </c>
      <c r="I2375" t="s">
        <v>112</v>
      </c>
      <c r="J2375" t="str">
        <f t="shared" si="296"/>
        <v/>
      </c>
      <c r="K2375" t="str">
        <f t="shared" si="297"/>
        <v/>
      </c>
      <c r="L2375" t="str">
        <f t="shared" si="298"/>
        <v/>
      </c>
      <c r="M2375" t="str">
        <f t="shared" si="299"/>
        <v/>
      </c>
      <c r="N2375" t="str">
        <f t="shared" si="300"/>
        <v>Invalid</v>
      </c>
      <c r="O2375" t="str">
        <f t="shared" ca="1" si="301"/>
        <v>Outdated</v>
      </c>
      <c r="P2375" t="str">
        <f t="shared" si="302"/>
        <v>Wrong Item</v>
      </c>
      <c r="Q2375" t="str">
        <f t="shared" si="303"/>
        <v/>
      </c>
    </row>
    <row r="2376" spans="1:17" x14ac:dyDescent="0.45">
      <c r="A2376" t="s">
        <v>3196</v>
      </c>
      <c r="B2376" t="s">
        <v>138</v>
      </c>
      <c r="C2376" t="s">
        <v>388</v>
      </c>
      <c r="D2376" t="s">
        <v>74</v>
      </c>
      <c r="E2376" s="8">
        <v>11883.19</v>
      </c>
      <c r="F2376" s="9">
        <v>45638.666684444448</v>
      </c>
      <c r="H2376" t="s">
        <v>87</v>
      </c>
      <c r="I2376" t="s">
        <v>88</v>
      </c>
      <c r="J2376" t="str">
        <f t="shared" si="296"/>
        <v/>
      </c>
      <c r="K2376" t="str">
        <f t="shared" si="297"/>
        <v/>
      </c>
      <c r="L2376" t="str">
        <f t="shared" si="298"/>
        <v>Unusual</v>
      </c>
      <c r="M2376" t="str">
        <f t="shared" si="299"/>
        <v>Invalid</v>
      </c>
      <c r="N2376" t="str">
        <f t="shared" si="300"/>
        <v>Invalid</v>
      </c>
      <c r="O2376" t="str">
        <f t="shared" ca="1" si="301"/>
        <v>Outdated</v>
      </c>
      <c r="P2376" t="str">
        <f t="shared" si="302"/>
        <v>Wrong Item</v>
      </c>
      <c r="Q2376" t="str">
        <f t="shared" si="303"/>
        <v/>
      </c>
    </row>
    <row r="2377" spans="1:17" x14ac:dyDescent="0.45">
      <c r="A2377" t="s">
        <v>1630</v>
      </c>
      <c r="B2377" t="s">
        <v>79</v>
      </c>
      <c r="C2377" t="s">
        <v>1013</v>
      </c>
      <c r="D2377" t="s">
        <v>85</v>
      </c>
      <c r="E2377" s="8">
        <v>8875.0400000000009</v>
      </c>
      <c r="F2377" s="9">
        <v>45655.666684444448</v>
      </c>
      <c r="G2377" t="s">
        <v>86</v>
      </c>
      <c r="H2377" t="s">
        <v>136</v>
      </c>
      <c r="I2377" t="s">
        <v>77</v>
      </c>
      <c r="J2377" t="str">
        <f t="shared" si="296"/>
        <v/>
      </c>
      <c r="K2377" t="str">
        <f t="shared" si="297"/>
        <v>Duplicate</v>
      </c>
      <c r="L2377" t="str">
        <f t="shared" si="298"/>
        <v/>
      </c>
      <c r="M2377" t="str">
        <f t="shared" si="299"/>
        <v/>
      </c>
      <c r="N2377" t="str">
        <f t="shared" si="300"/>
        <v>Invalid</v>
      </c>
      <c r="O2377" t="str">
        <f t="shared" ca="1" si="301"/>
        <v>Outdated</v>
      </c>
      <c r="P2377" t="str">
        <f t="shared" si="302"/>
        <v>Late Delivery</v>
      </c>
      <c r="Q2377" t="str">
        <f t="shared" si="303"/>
        <v/>
      </c>
    </row>
    <row r="2378" spans="1:17" x14ac:dyDescent="0.45">
      <c r="A2378" t="s">
        <v>3197</v>
      </c>
      <c r="B2378" t="s">
        <v>172</v>
      </c>
      <c r="C2378" t="s">
        <v>401</v>
      </c>
      <c r="D2378" t="s">
        <v>148</v>
      </c>
      <c r="E2378" s="8">
        <v>10002.48</v>
      </c>
      <c r="F2378" s="9">
        <v>45606.666684444448</v>
      </c>
      <c r="H2378" t="s">
        <v>76</v>
      </c>
      <c r="I2378" t="s">
        <v>88</v>
      </c>
      <c r="J2378" t="str">
        <f t="shared" si="296"/>
        <v/>
      </c>
      <c r="K2378" t="str">
        <f t="shared" si="297"/>
        <v/>
      </c>
      <c r="L2378" t="str">
        <f t="shared" si="298"/>
        <v>Unusual</v>
      </c>
      <c r="M2378" t="str">
        <f t="shared" si="299"/>
        <v>Invalid</v>
      </c>
      <c r="N2378" t="str">
        <f t="shared" si="300"/>
        <v/>
      </c>
      <c r="O2378" t="str">
        <f t="shared" ca="1" si="301"/>
        <v>Outdated</v>
      </c>
      <c r="P2378" t="str">
        <f t="shared" si="302"/>
        <v>Wrong Item</v>
      </c>
      <c r="Q2378" t="str">
        <f t="shared" si="303"/>
        <v>Inconsistent</v>
      </c>
    </row>
    <row r="2379" spans="1:17" x14ac:dyDescent="0.45">
      <c r="A2379" t="s">
        <v>3198</v>
      </c>
      <c r="B2379" t="s">
        <v>172</v>
      </c>
      <c r="C2379" t="s">
        <v>617</v>
      </c>
      <c r="D2379" t="s">
        <v>101</v>
      </c>
      <c r="E2379" s="8">
        <v>11543.93</v>
      </c>
      <c r="F2379" s="9">
        <v>45638.666684444448</v>
      </c>
      <c r="G2379" t="s">
        <v>174</v>
      </c>
      <c r="H2379" t="s">
        <v>81</v>
      </c>
      <c r="I2379" t="s">
        <v>77</v>
      </c>
      <c r="J2379" t="str">
        <f t="shared" si="296"/>
        <v/>
      </c>
      <c r="K2379" t="str">
        <f t="shared" si="297"/>
        <v/>
      </c>
      <c r="L2379" t="str">
        <f t="shared" si="298"/>
        <v>Unusual</v>
      </c>
      <c r="M2379" t="str">
        <f t="shared" si="299"/>
        <v/>
      </c>
      <c r="N2379" t="str">
        <f t="shared" si="300"/>
        <v/>
      </c>
      <c r="O2379" t="str">
        <f t="shared" ca="1" si="301"/>
        <v>Outdated</v>
      </c>
      <c r="P2379" t="str">
        <f t="shared" si="302"/>
        <v>Damaged</v>
      </c>
      <c r="Q2379" t="str">
        <f t="shared" si="303"/>
        <v/>
      </c>
    </row>
    <row r="2380" spans="1:17" x14ac:dyDescent="0.45">
      <c r="A2380" t="s">
        <v>3199</v>
      </c>
      <c r="B2380" t="s">
        <v>95</v>
      </c>
      <c r="C2380" t="s">
        <v>1557</v>
      </c>
      <c r="D2380" t="s">
        <v>101</v>
      </c>
      <c r="E2380" s="8">
        <v>0</v>
      </c>
      <c r="F2380" s="9">
        <v>45443.666684444448</v>
      </c>
      <c r="G2380" t="s">
        <v>97</v>
      </c>
      <c r="H2380" t="s">
        <v>116</v>
      </c>
      <c r="I2380" t="s">
        <v>88</v>
      </c>
      <c r="J2380" t="str">
        <f t="shared" si="296"/>
        <v/>
      </c>
      <c r="K2380" t="str">
        <f t="shared" si="297"/>
        <v/>
      </c>
      <c r="L2380" t="str">
        <f t="shared" si="298"/>
        <v>Unusual</v>
      </c>
      <c r="M2380" t="str">
        <f t="shared" si="299"/>
        <v/>
      </c>
      <c r="N2380" t="str">
        <f t="shared" si="300"/>
        <v/>
      </c>
      <c r="O2380" t="str">
        <f t="shared" ca="1" si="301"/>
        <v>Outdated</v>
      </c>
      <c r="P2380" t="str">
        <f t="shared" si="302"/>
        <v>Damaged</v>
      </c>
      <c r="Q2380" t="str">
        <f t="shared" si="303"/>
        <v/>
      </c>
    </row>
    <row r="2381" spans="1:17" x14ac:dyDescent="0.45">
      <c r="A2381" t="s">
        <v>2882</v>
      </c>
      <c r="B2381" t="s">
        <v>90</v>
      </c>
      <c r="C2381" t="s">
        <v>708</v>
      </c>
      <c r="D2381" t="s">
        <v>74</v>
      </c>
      <c r="E2381" s="8">
        <v>6670.09</v>
      </c>
      <c r="F2381" s="9">
        <v>45637.666684444448</v>
      </c>
      <c r="G2381" t="s">
        <v>93</v>
      </c>
      <c r="H2381" t="s">
        <v>118</v>
      </c>
      <c r="I2381" t="s">
        <v>82</v>
      </c>
      <c r="J2381" t="str">
        <f t="shared" si="296"/>
        <v/>
      </c>
      <c r="K2381" t="str">
        <f t="shared" si="297"/>
        <v>Duplicate</v>
      </c>
      <c r="L2381" t="str">
        <f t="shared" si="298"/>
        <v/>
      </c>
      <c r="M2381" t="str">
        <f t="shared" si="299"/>
        <v/>
      </c>
      <c r="N2381" t="str">
        <f t="shared" si="300"/>
        <v>Invalid</v>
      </c>
      <c r="O2381" t="str">
        <f t="shared" ca="1" si="301"/>
        <v>Outdated</v>
      </c>
      <c r="P2381" t="str">
        <f t="shared" si="302"/>
        <v>Wrong Item</v>
      </c>
      <c r="Q2381" t="str">
        <f t="shared" si="303"/>
        <v/>
      </c>
    </row>
    <row r="2382" spans="1:17" x14ac:dyDescent="0.45">
      <c r="A2382" t="s">
        <v>3200</v>
      </c>
      <c r="B2382" t="s">
        <v>138</v>
      </c>
      <c r="C2382" t="s">
        <v>1631</v>
      </c>
      <c r="D2382" t="s">
        <v>101</v>
      </c>
      <c r="E2382" s="8">
        <v>2526.9499999999998</v>
      </c>
      <c r="F2382" s="9">
        <v>45151.666684444448</v>
      </c>
      <c r="G2382" t="s">
        <v>140</v>
      </c>
      <c r="H2382" t="s">
        <v>133</v>
      </c>
      <c r="I2382" t="s">
        <v>112</v>
      </c>
      <c r="J2382" t="str">
        <f t="shared" si="296"/>
        <v/>
      </c>
      <c r="K2382" t="str">
        <f t="shared" si="297"/>
        <v/>
      </c>
      <c r="L2382" t="str">
        <f t="shared" si="298"/>
        <v/>
      </c>
      <c r="M2382" t="str">
        <f t="shared" si="299"/>
        <v/>
      </c>
      <c r="N2382" t="str">
        <f t="shared" si="300"/>
        <v>Invalid</v>
      </c>
      <c r="O2382" t="str">
        <f t="shared" ca="1" si="301"/>
        <v>Outdated</v>
      </c>
      <c r="P2382" t="str">
        <f t="shared" si="302"/>
        <v>Damaged</v>
      </c>
      <c r="Q2382" t="str">
        <f t="shared" si="303"/>
        <v/>
      </c>
    </row>
    <row r="2383" spans="1:17" x14ac:dyDescent="0.45">
      <c r="A2383" t="s">
        <v>3201</v>
      </c>
      <c r="B2383" t="s">
        <v>172</v>
      </c>
      <c r="D2383" t="s">
        <v>74</v>
      </c>
      <c r="E2383" s="8">
        <v>9071.01</v>
      </c>
      <c r="F2383" s="9">
        <v>45220.666684444448</v>
      </c>
      <c r="G2383" t="s">
        <v>174</v>
      </c>
      <c r="H2383" t="s">
        <v>76</v>
      </c>
      <c r="I2383" t="s">
        <v>77</v>
      </c>
      <c r="J2383" t="str">
        <f t="shared" si="296"/>
        <v>Missing</v>
      </c>
      <c r="K2383" t="str">
        <f t="shared" si="297"/>
        <v/>
      </c>
      <c r="L2383" t="str">
        <f t="shared" si="298"/>
        <v/>
      </c>
      <c r="M2383" t="str">
        <f t="shared" si="299"/>
        <v/>
      </c>
      <c r="N2383" t="str">
        <f t="shared" si="300"/>
        <v/>
      </c>
      <c r="O2383" t="str">
        <f t="shared" ca="1" si="301"/>
        <v>Outdated</v>
      </c>
      <c r="P2383" t="str">
        <f t="shared" si="302"/>
        <v>Wrong Item</v>
      </c>
      <c r="Q2383" t="str">
        <f t="shared" si="303"/>
        <v/>
      </c>
    </row>
    <row r="2384" spans="1:17" x14ac:dyDescent="0.45">
      <c r="A2384" t="s">
        <v>3202</v>
      </c>
      <c r="B2384" t="s">
        <v>90</v>
      </c>
      <c r="C2384" t="s">
        <v>173</v>
      </c>
      <c r="D2384" t="s">
        <v>155</v>
      </c>
      <c r="E2384" s="8">
        <v>2813.39</v>
      </c>
      <c r="F2384" s="9">
        <v>45530.666684444448</v>
      </c>
      <c r="G2384" t="s">
        <v>93</v>
      </c>
      <c r="H2384" t="s">
        <v>81</v>
      </c>
      <c r="I2384" t="s">
        <v>82</v>
      </c>
      <c r="J2384" t="str">
        <f t="shared" si="296"/>
        <v/>
      </c>
      <c r="K2384" t="str">
        <f t="shared" si="297"/>
        <v/>
      </c>
      <c r="L2384" t="str">
        <f t="shared" si="298"/>
        <v/>
      </c>
      <c r="M2384" t="str">
        <f t="shared" si="299"/>
        <v/>
      </c>
      <c r="N2384" t="str">
        <f t="shared" si="300"/>
        <v/>
      </c>
      <c r="O2384" t="str">
        <f t="shared" ca="1" si="301"/>
        <v>Outdated</v>
      </c>
      <c r="P2384" t="str">
        <f t="shared" si="302"/>
        <v>Damaged</v>
      </c>
      <c r="Q2384" t="str">
        <f t="shared" si="303"/>
        <v>Inconsistent</v>
      </c>
    </row>
    <row r="2385" spans="1:17" x14ac:dyDescent="0.45">
      <c r="A2385" t="s">
        <v>3203</v>
      </c>
      <c r="B2385" t="s">
        <v>104</v>
      </c>
      <c r="C2385" t="s">
        <v>674</v>
      </c>
      <c r="D2385" t="s">
        <v>92</v>
      </c>
      <c r="E2385" s="8">
        <v>3082.77</v>
      </c>
      <c r="F2385" s="9">
        <v>45645.666684444448</v>
      </c>
      <c r="G2385" t="s">
        <v>115</v>
      </c>
      <c r="H2385" t="s">
        <v>116</v>
      </c>
      <c r="I2385" t="s">
        <v>88</v>
      </c>
      <c r="J2385" t="str">
        <f t="shared" si="296"/>
        <v/>
      </c>
      <c r="K2385" t="str">
        <f t="shared" si="297"/>
        <v/>
      </c>
      <c r="L2385" t="str">
        <f t="shared" si="298"/>
        <v/>
      </c>
      <c r="M2385" t="str">
        <f t="shared" si="299"/>
        <v/>
      </c>
      <c r="N2385" t="str">
        <f t="shared" si="300"/>
        <v/>
      </c>
      <c r="O2385" t="str">
        <f t="shared" ca="1" si="301"/>
        <v>Outdated</v>
      </c>
      <c r="P2385" t="str">
        <f t="shared" si="302"/>
        <v>Not As Described</v>
      </c>
      <c r="Q2385" t="str">
        <f t="shared" si="303"/>
        <v/>
      </c>
    </row>
    <row r="2386" spans="1:17" x14ac:dyDescent="0.45">
      <c r="A2386" t="s">
        <v>3204</v>
      </c>
      <c r="B2386" t="s">
        <v>104</v>
      </c>
      <c r="C2386" t="s">
        <v>1050</v>
      </c>
      <c r="D2386" t="s">
        <v>106</v>
      </c>
      <c r="E2386" s="8">
        <v>8288.02</v>
      </c>
      <c r="F2386" s="9">
        <v>45596.666684444448</v>
      </c>
      <c r="G2386" t="s">
        <v>115</v>
      </c>
      <c r="H2386" t="s">
        <v>128</v>
      </c>
      <c r="I2386" t="s">
        <v>88</v>
      </c>
      <c r="J2386" t="str">
        <f t="shared" si="296"/>
        <v/>
      </c>
      <c r="K2386" t="str">
        <f t="shared" si="297"/>
        <v/>
      </c>
      <c r="L2386" t="str">
        <f t="shared" si="298"/>
        <v/>
      </c>
      <c r="M2386" t="str">
        <f t="shared" si="299"/>
        <v/>
      </c>
      <c r="N2386" t="str">
        <f t="shared" si="300"/>
        <v>Invalid</v>
      </c>
      <c r="O2386" t="str">
        <f t="shared" ca="1" si="301"/>
        <v>Outdated</v>
      </c>
      <c r="P2386" t="str">
        <f t="shared" si="302"/>
        <v>Damaged</v>
      </c>
      <c r="Q2386" t="str">
        <f t="shared" si="303"/>
        <v>Inconsistent</v>
      </c>
    </row>
    <row r="2387" spans="1:17" x14ac:dyDescent="0.45">
      <c r="A2387" t="s">
        <v>3205</v>
      </c>
      <c r="B2387" t="s">
        <v>104</v>
      </c>
      <c r="D2387" t="s">
        <v>148</v>
      </c>
      <c r="E2387" s="8">
        <v>5778.47</v>
      </c>
      <c r="F2387" s="9">
        <v>45374.666684444448</v>
      </c>
      <c r="G2387" t="s">
        <v>115</v>
      </c>
      <c r="H2387" t="s">
        <v>136</v>
      </c>
      <c r="I2387" t="s">
        <v>82</v>
      </c>
      <c r="J2387" t="str">
        <f t="shared" si="296"/>
        <v>Missing</v>
      </c>
      <c r="K2387" t="str">
        <f t="shared" si="297"/>
        <v/>
      </c>
      <c r="L2387" t="str">
        <f t="shared" si="298"/>
        <v/>
      </c>
      <c r="M2387" t="str">
        <f t="shared" si="299"/>
        <v/>
      </c>
      <c r="N2387" t="str">
        <f t="shared" si="300"/>
        <v>Invalid</v>
      </c>
      <c r="O2387" t="str">
        <f t="shared" ca="1" si="301"/>
        <v>Outdated</v>
      </c>
      <c r="P2387" t="str">
        <f t="shared" si="302"/>
        <v>Wrong Item</v>
      </c>
      <c r="Q2387" t="str">
        <f t="shared" si="303"/>
        <v>Inconsistent</v>
      </c>
    </row>
    <row r="2388" spans="1:17" x14ac:dyDescent="0.45">
      <c r="A2388" t="s">
        <v>3206</v>
      </c>
      <c r="B2388" t="s">
        <v>138</v>
      </c>
      <c r="C2388" t="s">
        <v>1838</v>
      </c>
      <c r="D2388" t="s">
        <v>85</v>
      </c>
      <c r="E2388" s="8">
        <v>3632.97</v>
      </c>
      <c r="F2388" s="9">
        <v>45348.666684444448</v>
      </c>
      <c r="G2388" t="s">
        <v>140</v>
      </c>
      <c r="H2388" t="s">
        <v>118</v>
      </c>
      <c r="I2388" t="s">
        <v>88</v>
      </c>
      <c r="J2388" t="str">
        <f t="shared" si="296"/>
        <v/>
      </c>
      <c r="K2388" t="str">
        <f t="shared" si="297"/>
        <v/>
      </c>
      <c r="L2388" t="str">
        <f t="shared" si="298"/>
        <v/>
      </c>
      <c r="M2388" t="str">
        <f t="shared" si="299"/>
        <v/>
      </c>
      <c r="N2388" t="str">
        <f t="shared" si="300"/>
        <v>Invalid</v>
      </c>
      <c r="O2388" t="str">
        <f t="shared" ca="1" si="301"/>
        <v>Outdated</v>
      </c>
      <c r="P2388" t="str">
        <f t="shared" si="302"/>
        <v>Late Delivery</v>
      </c>
      <c r="Q2388" t="str">
        <f t="shared" si="303"/>
        <v/>
      </c>
    </row>
    <row r="2389" spans="1:17" x14ac:dyDescent="0.45">
      <c r="A2389" t="s">
        <v>3207</v>
      </c>
      <c r="B2389" t="s">
        <v>72</v>
      </c>
      <c r="D2389" t="s">
        <v>85</v>
      </c>
      <c r="E2389" s="8">
        <v>1583.8</v>
      </c>
      <c r="F2389" s="9">
        <v>45725.666684444448</v>
      </c>
      <c r="G2389" t="s">
        <v>75</v>
      </c>
      <c r="I2389" t="s">
        <v>88</v>
      </c>
      <c r="J2389" t="str">
        <f t="shared" si="296"/>
        <v>Missing</v>
      </c>
      <c r="K2389" t="str">
        <f t="shared" si="297"/>
        <v/>
      </c>
      <c r="L2389" t="str">
        <f t="shared" si="298"/>
        <v/>
      </c>
      <c r="M2389" t="str">
        <f t="shared" si="299"/>
        <v/>
      </c>
      <c r="N2389" t="str">
        <f t="shared" si="300"/>
        <v>Invalid</v>
      </c>
      <c r="O2389" t="str">
        <f t="shared" ca="1" si="301"/>
        <v>Outdated</v>
      </c>
      <c r="P2389" t="str">
        <f t="shared" si="302"/>
        <v>Late Delivery</v>
      </c>
      <c r="Q2389" t="str">
        <f t="shared" si="303"/>
        <v/>
      </c>
    </row>
    <row r="2390" spans="1:17" x14ac:dyDescent="0.45">
      <c r="A2390" t="s">
        <v>3208</v>
      </c>
      <c r="B2390" t="s">
        <v>72</v>
      </c>
      <c r="C2390" t="s">
        <v>586</v>
      </c>
      <c r="D2390" t="s">
        <v>74</v>
      </c>
      <c r="E2390" s="8">
        <v>9604.33</v>
      </c>
      <c r="F2390" s="9">
        <v>45489.666684444448</v>
      </c>
      <c r="G2390" t="s">
        <v>75</v>
      </c>
      <c r="H2390" t="s">
        <v>87</v>
      </c>
      <c r="I2390" t="s">
        <v>163</v>
      </c>
      <c r="J2390" t="str">
        <f t="shared" si="296"/>
        <v/>
      </c>
      <c r="K2390" t="str">
        <f t="shared" si="297"/>
        <v/>
      </c>
      <c r="L2390" t="str">
        <f t="shared" si="298"/>
        <v/>
      </c>
      <c r="M2390" t="str">
        <f t="shared" si="299"/>
        <v/>
      </c>
      <c r="N2390" t="str">
        <f t="shared" si="300"/>
        <v>Invalid</v>
      </c>
      <c r="O2390" t="str">
        <f t="shared" ca="1" si="301"/>
        <v>Outdated</v>
      </c>
      <c r="P2390" t="str">
        <f t="shared" si="302"/>
        <v>Wrong Item</v>
      </c>
      <c r="Q2390" t="str">
        <f t="shared" si="303"/>
        <v/>
      </c>
    </row>
    <row r="2391" spans="1:17" x14ac:dyDescent="0.45">
      <c r="A2391" t="s">
        <v>3209</v>
      </c>
      <c r="B2391" t="s">
        <v>90</v>
      </c>
      <c r="C2391" t="s">
        <v>785</v>
      </c>
      <c r="D2391" t="s">
        <v>85</v>
      </c>
      <c r="E2391" s="8">
        <v>6458.33</v>
      </c>
      <c r="F2391" s="9">
        <v>45177.666684444448</v>
      </c>
      <c r="G2391" t="s">
        <v>93</v>
      </c>
      <c r="H2391" t="s">
        <v>76</v>
      </c>
      <c r="I2391" t="s">
        <v>119</v>
      </c>
      <c r="J2391" t="str">
        <f t="shared" si="296"/>
        <v/>
      </c>
      <c r="K2391" t="str">
        <f t="shared" si="297"/>
        <v/>
      </c>
      <c r="L2391" t="str">
        <f t="shared" si="298"/>
        <v/>
      </c>
      <c r="M2391" t="str">
        <f t="shared" si="299"/>
        <v/>
      </c>
      <c r="N2391" t="str">
        <f t="shared" si="300"/>
        <v/>
      </c>
      <c r="O2391" t="str">
        <f t="shared" ca="1" si="301"/>
        <v>Outdated</v>
      </c>
      <c r="P2391" t="str">
        <f t="shared" si="302"/>
        <v>Late Delivery</v>
      </c>
      <c r="Q2391" t="str">
        <f t="shared" si="303"/>
        <v/>
      </c>
    </row>
    <row r="2392" spans="1:17" x14ac:dyDescent="0.45">
      <c r="A2392" t="s">
        <v>3210</v>
      </c>
      <c r="B2392" t="s">
        <v>104</v>
      </c>
      <c r="C2392" t="s">
        <v>932</v>
      </c>
      <c r="D2392" t="s">
        <v>155</v>
      </c>
      <c r="E2392" s="8">
        <v>5937.09</v>
      </c>
      <c r="F2392" s="9">
        <v>45179.666684444448</v>
      </c>
      <c r="G2392" t="s">
        <v>115</v>
      </c>
      <c r="H2392" t="s">
        <v>136</v>
      </c>
      <c r="I2392" t="s">
        <v>119</v>
      </c>
      <c r="J2392" t="str">
        <f t="shared" si="296"/>
        <v/>
      </c>
      <c r="K2392" t="str">
        <f t="shared" si="297"/>
        <v/>
      </c>
      <c r="L2392" t="str">
        <f t="shared" si="298"/>
        <v/>
      </c>
      <c r="M2392" t="str">
        <f t="shared" si="299"/>
        <v/>
      </c>
      <c r="N2392" t="str">
        <f t="shared" si="300"/>
        <v>Invalid</v>
      </c>
      <c r="O2392" t="str">
        <f t="shared" ca="1" si="301"/>
        <v>Outdated</v>
      </c>
      <c r="P2392" t="str">
        <f t="shared" si="302"/>
        <v>Damaged</v>
      </c>
      <c r="Q2392" t="str">
        <f t="shared" si="303"/>
        <v>Inconsistent</v>
      </c>
    </row>
    <row r="2393" spans="1:17" x14ac:dyDescent="0.45">
      <c r="A2393" t="s">
        <v>3211</v>
      </c>
      <c r="B2393" t="s">
        <v>95</v>
      </c>
      <c r="C2393" t="s">
        <v>1074</v>
      </c>
      <c r="D2393" t="s">
        <v>74</v>
      </c>
      <c r="E2393" s="8">
        <v>1924.49</v>
      </c>
      <c r="F2393" s="9">
        <v>45416.666684444448</v>
      </c>
      <c r="H2393" t="s">
        <v>87</v>
      </c>
      <c r="I2393" t="s">
        <v>119</v>
      </c>
      <c r="J2393" t="str">
        <f t="shared" si="296"/>
        <v/>
      </c>
      <c r="K2393" t="str">
        <f t="shared" si="297"/>
        <v/>
      </c>
      <c r="L2393" t="str">
        <f t="shared" si="298"/>
        <v/>
      </c>
      <c r="M2393" t="str">
        <f t="shared" si="299"/>
        <v>Invalid</v>
      </c>
      <c r="N2393" t="str">
        <f t="shared" si="300"/>
        <v>Invalid</v>
      </c>
      <c r="O2393" t="str">
        <f t="shared" ca="1" si="301"/>
        <v>Outdated</v>
      </c>
      <c r="P2393" t="str">
        <f t="shared" si="302"/>
        <v>Wrong Item</v>
      </c>
      <c r="Q2393" t="str">
        <f t="shared" si="303"/>
        <v/>
      </c>
    </row>
    <row r="2394" spans="1:17" x14ac:dyDescent="0.45">
      <c r="A2394" t="s">
        <v>3212</v>
      </c>
      <c r="B2394" t="s">
        <v>138</v>
      </c>
      <c r="C2394" t="s">
        <v>834</v>
      </c>
      <c r="D2394" t="s">
        <v>148</v>
      </c>
      <c r="E2394" s="8">
        <v>11153.11</v>
      </c>
      <c r="F2394" s="9">
        <v>45634.666684444448</v>
      </c>
      <c r="G2394" t="s">
        <v>140</v>
      </c>
      <c r="H2394" t="s">
        <v>145</v>
      </c>
      <c r="I2394" t="s">
        <v>77</v>
      </c>
      <c r="J2394" t="str">
        <f t="shared" si="296"/>
        <v/>
      </c>
      <c r="K2394" t="str">
        <f t="shared" si="297"/>
        <v/>
      </c>
      <c r="L2394" t="str">
        <f t="shared" si="298"/>
        <v>Unusual</v>
      </c>
      <c r="M2394" t="str">
        <f t="shared" si="299"/>
        <v/>
      </c>
      <c r="N2394" t="str">
        <f t="shared" si="300"/>
        <v/>
      </c>
      <c r="O2394" t="str">
        <f t="shared" ca="1" si="301"/>
        <v>Outdated</v>
      </c>
      <c r="P2394" t="str">
        <f t="shared" si="302"/>
        <v>Wrong Item</v>
      </c>
      <c r="Q2394" t="str">
        <f t="shared" si="303"/>
        <v>Inconsistent</v>
      </c>
    </row>
    <row r="2395" spans="1:17" x14ac:dyDescent="0.45">
      <c r="A2395" t="s">
        <v>636</v>
      </c>
      <c r="B2395" t="s">
        <v>72</v>
      </c>
      <c r="C2395" t="s">
        <v>3213</v>
      </c>
      <c r="D2395" t="s">
        <v>101</v>
      </c>
      <c r="E2395" s="8">
        <v>2160.2199999999998</v>
      </c>
      <c r="F2395" s="9">
        <v>45739.666684444448</v>
      </c>
      <c r="G2395" t="s">
        <v>75</v>
      </c>
      <c r="H2395" t="s">
        <v>81</v>
      </c>
      <c r="I2395" t="s">
        <v>112</v>
      </c>
      <c r="J2395" t="str">
        <f t="shared" si="296"/>
        <v/>
      </c>
      <c r="K2395" t="str">
        <f t="shared" si="297"/>
        <v>Duplicate</v>
      </c>
      <c r="L2395" t="str">
        <f t="shared" si="298"/>
        <v/>
      </c>
      <c r="M2395" t="str">
        <f t="shared" si="299"/>
        <v/>
      </c>
      <c r="N2395" t="str">
        <f t="shared" si="300"/>
        <v/>
      </c>
      <c r="O2395" t="str">
        <f t="shared" ca="1" si="301"/>
        <v>Outdated</v>
      </c>
      <c r="P2395" t="str">
        <f t="shared" si="302"/>
        <v>Damaged</v>
      </c>
      <c r="Q2395" t="str">
        <f t="shared" si="303"/>
        <v/>
      </c>
    </row>
    <row r="2396" spans="1:17" x14ac:dyDescent="0.45">
      <c r="A2396" t="s">
        <v>3214</v>
      </c>
      <c r="B2396" t="s">
        <v>79</v>
      </c>
      <c r="C2396" t="s">
        <v>2925</v>
      </c>
      <c r="D2396" t="s">
        <v>148</v>
      </c>
      <c r="E2396" s="8">
        <v>9682.7900000000009</v>
      </c>
      <c r="F2396" s="9">
        <v>45797.666684444448</v>
      </c>
      <c r="H2396" t="s">
        <v>116</v>
      </c>
      <c r="I2396" t="s">
        <v>112</v>
      </c>
      <c r="J2396" t="str">
        <f t="shared" si="296"/>
        <v/>
      </c>
      <c r="K2396" t="str">
        <f t="shared" si="297"/>
        <v/>
      </c>
      <c r="L2396" t="str">
        <f t="shared" si="298"/>
        <v/>
      </c>
      <c r="M2396" t="str">
        <f t="shared" si="299"/>
        <v>Invalid</v>
      </c>
      <c r="N2396" t="str">
        <f t="shared" si="300"/>
        <v/>
      </c>
      <c r="O2396" t="str">
        <f t="shared" ca="1" si="301"/>
        <v>Outdated</v>
      </c>
      <c r="P2396" t="str">
        <f t="shared" si="302"/>
        <v>Wrong Item</v>
      </c>
      <c r="Q2396" t="str">
        <f t="shared" si="303"/>
        <v>Inconsistent</v>
      </c>
    </row>
    <row r="2397" spans="1:17" x14ac:dyDescent="0.45">
      <c r="A2397" t="s">
        <v>3215</v>
      </c>
      <c r="B2397" t="s">
        <v>99</v>
      </c>
      <c r="D2397" t="s">
        <v>155</v>
      </c>
      <c r="E2397" s="8">
        <v>3046.96</v>
      </c>
      <c r="F2397" s="9">
        <v>45816.666684444448</v>
      </c>
      <c r="G2397" t="s">
        <v>285</v>
      </c>
      <c r="H2397" t="s">
        <v>145</v>
      </c>
      <c r="I2397" t="s">
        <v>119</v>
      </c>
      <c r="J2397" t="str">
        <f t="shared" si="296"/>
        <v>Missing</v>
      </c>
      <c r="K2397" t="str">
        <f t="shared" si="297"/>
        <v/>
      </c>
      <c r="L2397" t="str">
        <f t="shared" si="298"/>
        <v/>
      </c>
      <c r="M2397" t="str">
        <f t="shared" si="299"/>
        <v>Invalid</v>
      </c>
      <c r="N2397" t="str">
        <f t="shared" si="300"/>
        <v/>
      </c>
      <c r="O2397" t="str">
        <f t="shared" ca="1" si="301"/>
        <v>Outdated</v>
      </c>
      <c r="P2397" t="str">
        <f t="shared" si="302"/>
        <v>Damaged</v>
      </c>
      <c r="Q2397" t="str">
        <f t="shared" si="303"/>
        <v>Inconsistent</v>
      </c>
    </row>
    <row r="2398" spans="1:17" x14ac:dyDescent="0.45">
      <c r="A2398" t="s">
        <v>3216</v>
      </c>
      <c r="B2398" t="s">
        <v>109</v>
      </c>
      <c r="C2398" t="s">
        <v>2296</v>
      </c>
      <c r="D2398" t="s">
        <v>92</v>
      </c>
      <c r="E2398" s="8">
        <v>6427.38</v>
      </c>
      <c r="F2398" s="9">
        <v>45609.666684444448</v>
      </c>
      <c r="G2398" t="s">
        <v>307</v>
      </c>
      <c r="H2398" t="s">
        <v>87</v>
      </c>
      <c r="I2398" t="s">
        <v>77</v>
      </c>
      <c r="J2398" t="str">
        <f t="shared" si="296"/>
        <v/>
      </c>
      <c r="K2398" t="str">
        <f t="shared" si="297"/>
        <v/>
      </c>
      <c r="L2398" t="str">
        <f t="shared" si="298"/>
        <v/>
      </c>
      <c r="M2398" t="str">
        <f t="shared" si="299"/>
        <v>Invalid</v>
      </c>
      <c r="N2398" t="str">
        <f t="shared" si="300"/>
        <v>Invalid</v>
      </c>
      <c r="O2398" t="str">
        <f t="shared" ca="1" si="301"/>
        <v>Outdated</v>
      </c>
      <c r="P2398" t="str">
        <f t="shared" si="302"/>
        <v>Not As Described</v>
      </c>
      <c r="Q2398" t="str">
        <f t="shared" si="303"/>
        <v/>
      </c>
    </row>
    <row r="2399" spans="1:17" x14ac:dyDescent="0.45">
      <c r="A2399" t="s">
        <v>3217</v>
      </c>
      <c r="B2399" t="s">
        <v>72</v>
      </c>
      <c r="C2399" t="s">
        <v>1720</v>
      </c>
      <c r="D2399" t="s">
        <v>92</v>
      </c>
      <c r="E2399" s="8">
        <v>0</v>
      </c>
      <c r="F2399" s="9">
        <v>45420.666684444448</v>
      </c>
      <c r="G2399" t="s">
        <v>75</v>
      </c>
      <c r="H2399" t="s">
        <v>133</v>
      </c>
      <c r="I2399" t="s">
        <v>119</v>
      </c>
      <c r="J2399" t="str">
        <f t="shared" si="296"/>
        <v/>
      </c>
      <c r="K2399" t="str">
        <f t="shared" si="297"/>
        <v/>
      </c>
      <c r="L2399" t="str">
        <f t="shared" si="298"/>
        <v>Unusual</v>
      </c>
      <c r="M2399" t="str">
        <f t="shared" si="299"/>
        <v/>
      </c>
      <c r="N2399" t="str">
        <f t="shared" si="300"/>
        <v>Invalid</v>
      </c>
      <c r="O2399" t="str">
        <f t="shared" ca="1" si="301"/>
        <v>Outdated</v>
      </c>
      <c r="P2399" t="str">
        <f t="shared" si="302"/>
        <v>Not As Described</v>
      </c>
      <c r="Q2399" t="str">
        <f t="shared" si="303"/>
        <v/>
      </c>
    </row>
    <row r="2400" spans="1:17" x14ac:dyDescent="0.45">
      <c r="A2400" t="s">
        <v>3218</v>
      </c>
      <c r="B2400" t="s">
        <v>104</v>
      </c>
      <c r="C2400" t="s">
        <v>3219</v>
      </c>
      <c r="D2400" t="s">
        <v>85</v>
      </c>
      <c r="E2400" s="8">
        <v>0</v>
      </c>
      <c r="F2400" s="9">
        <v>45677.666684444448</v>
      </c>
      <c r="G2400" t="s">
        <v>115</v>
      </c>
      <c r="H2400" t="s">
        <v>107</v>
      </c>
      <c r="I2400" t="s">
        <v>163</v>
      </c>
      <c r="J2400" t="str">
        <f t="shared" si="296"/>
        <v/>
      </c>
      <c r="K2400" t="str">
        <f t="shared" si="297"/>
        <v/>
      </c>
      <c r="L2400" t="str">
        <f t="shared" si="298"/>
        <v>Unusual</v>
      </c>
      <c r="M2400" t="str">
        <f t="shared" si="299"/>
        <v/>
      </c>
      <c r="N2400" t="str">
        <f t="shared" si="300"/>
        <v/>
      </c>
      <c r="O2400" t="str">
        <f t="shared" ca="1" si="301"/>
        <v>Outdated</v>
      </c>
      <c r="P2400" t="str">
        <f t="shared" si="302"/>
        <v>Late Delivery</v>
      </c>
      <c r="Q2400" t="str">
        <f t="shared" si="303"/>
        <v/>
      </c>
    </row>
    <row r="2401" spans="1:17" x14ac:dyDescent="0.45">
      <c r="A2401" t="s">
        <v>3220</v>
      </c>
      <c r="B2401" t="s">
        <v>109</v>
      </c>
      <c r="C2401" t="s">
        <v>845</v>
      </c>
      <c r="E2401" s="8">
        <v>5581.48</v>
      </c>
      <c r="F2401" s="9">
        <v>45136.666684444448</v>
      </c>
      <c r="G2401" t="s">
        <v>111</v>
      </c>
      <c r="I2401" t="s">
        <v>77</v>
      </c>
      <c r="J2401" t="str">
        <f t="shared" si="296"/>
        <v>Missing</v>
      </c>
      <c r="K2401" t="str">
        <f t="shared" si="297"/>
        <v/>
      </c>
      <c r="L2401" t="str">
        <f t="shared" si="298"/>
        <v/>
      </c>
      <c r="M2401" t="str">
        <f t="shared" si="299"/>
        <v/>
      </c>
      <c r="N2401" t="str">
        <f t="shared" si="300"/>
        <v>Invalid</v>
      </c>
      <c r="O2401" t="str">
        <f t="shared" ca="1" si="301"/>
        <v>Outdated</v>
      </c>
      <c r="P2401" t="str">
        <f t="shared" si="302"/>
        <v/>
      </c>
      <c r="Q2401" t="str">
        <f t="shared" si="303"/>
        <v/>
      </c>
    </row>
    <row r="2402" spans="1:17" x14ac:dyDescent="0.45">
      <c r="A2402" t="s">
        <v>3221</v>
      </c>
      <c r="B2402" t="s">
        <v>95</v>
      </c>
      <c r="C2402" t="s">
        <v>597</v>
      </c>
      <c r="D2402" t="s">
        <v>106</v>
      </c>
      <c r="E2402" s="8">
        <v>8142.38</v>
      </c>
      <c r="F2402" s="9">
        <v>45238.666684444448</v>
      </c>
      <c r="G2402" t="s">
        <v>97</v>
      </c>
      <c r="H2402" t="s">
        <v>76</v>
      </c>
      <c r="I2402" t="s">
        <v>163</v>
      </c>
      <c r="J2402" t="str">
        <f t="shared" si="296"/>
        <v/>
      </c>
      <c r="K2402" t="str">
        <f t="shared" si="297"/>
        <v/>
      </c>
      <c r="L2402" t="str">
        <f t="shared" si="298"/>
        <v/>
      </c>
      <c r="M2402" t="str">
        <f t="shared" si="299"/>
        <v/>
      </c>
      <c r="N2402" t="str">
        <f t="shared" si="300"/>
        <v/>
      </c>
      <c r="O2402" t="str">
        <f t="shared" ca="1" si="301"/>
        <v>Outdated</v>
      </c>
      <c r="P2402" t="str">
        <f t="shared" si="302"/>
        <v>Damaged</v>
      </c>
      <c r="Q2402" t="str">
        <f t="shared" si="303"/>
        <v>Inconsistent</v>
      </c>
    </row>
    <row r="2403" spans="1:17" x14ac:dyDescent="0.45">
      <c r="A2403" t="s">
        <v>1847</v>
      </c>
      <c r="B2403" t="s">
        <v>79</v>
      </c>
      <c r="C2403" t="s">
        <v>2594</v>
      </c>
      <c r="D2403" t="s">
        <v>92</v>
      </c>
      <c r="E2403" s="8">
        <v>0</v>
      </c>
      <c r="F2403" s="9">
        <v>45569.666684444448</v>
      </c>
      <c r="G2403" t="s">
        <v>86</v>
      </c>
      <c r="H2403" t="s">
        <v>136</v>
      </c>
      <c r="I2403" t="s">
        <v>82</v>
      </c>
      <c r="J2403" t="str">
        <f t="shared" si="296"/>
        <v/>
      </c>
      <c r="K2403" t="str">
        <f t="shared" si="297"/>
        <v>Duplicate</v>
      </c>
      <c r="L2403" t="str">
        <f t="shared" si="298"/>
        <v>Unusual</v>
      </c>
      <c r="M2403" t="str">
        <f t="shared" si="299"/>
        <v/>
      </c>
      <c r="N2403" t="str">
        <f t="shared" si="300"/>
        <v>Invalid</v>
      </c>
      <c r="O2403" t="str">
        <f t="shared" ca="1" si="301"/>
        <v>Outdated</v>
      </c>
      <c r="P2403" t="str">
        <f t="shared" si="302"/>
        <v>Not As Described</v>
      </c>
      <c r="Q2403" t="str">
        <f t="shared" si="303"/>
        <v/>
      </c>
    </row>
    <row r="2404" spans="1:17" x14ac:dyDescent="0.45">
      <c r="A2404" t="s">
        <v>3222</v>
      </c>
      <c r="B2404" t="s">
        <v>90</v>
      </c>
      <c r="C2404" t="s">
        <v>324</v>
      </c>
      <c r="D2404" t="s">
        <v>85</v>
      </c>
      <c r="E2404" s="8">
        <v>4973.38</v>
      </c>
      <c r="F2404" s="9">
        <v>45265.666684444448</v>
      </c>
      <c r="G2404" t="s">
        <v>93</v>
      </c>
      <c r="H2404" t="s">
        <v>87</v>
      </c>
      <c r="I2404" t="s">
        <v>112</v>
      </c>
      <c r="J2404" t="str">
        <f t="shared" si="296"/>
        <v/>
      </c>
      <c r="K2404" t="str">
        <f t="shared" si="297"/>
        <v/>
      </c>
      <c r="L2404" t="str">
        <f t="shared" si="298"/>
        <v/>
      </c>
      <c r="M2404" t="str">
        <f t="shared" si="299"/>
        <v/>
      </c>
      <c r="N2404" t="str">
        <f t="shared" si="300"/>
        <v>Invalid</v>
      </c>
      <c r="O2404" t="str">
        <f t="shared" ca="1" si="301"/>
        <v>Outdated</v>
      </c>
      <c r="P2404" t="str">
        <f t="shared" si="302"/>
        <v>Late Delivery</v>
      </c>
      <c r="Q2404" t="str">
        <f t="shared" si="303"/>
        <v/>
      </c>
    </row>
    <row r="2405" spans="1:17" x14ac:dyDescent="0.45">
      <c r="A2405" t="s">
        <v>3223</v>
      </c>
      <c r="B2405" t="s">
        <v>109</v>
      </c>
      <c r="C2405" t="s">
        <v>203</v>
      </c>
      <c r="D2405" t="s">
        <v>85</v>
      </c>
      <c r="E2405" s="8">
        <v>11078.51</v>
      </c>
      <c r="F2405" s="9">
        <v>45398.666684444448</v>
      </c>
      <c r="G2405" t="s">
        <v>111</v>
      </c>
      <c r="H2405" t="s">
        <v>136</v>
      </c>
      <c r="I2405" t="s">
        <v>77</v>
      </c>
      <c r="J2405" t="str">
        <f t="shared" si="296"/>
        <v/>
      </c>
      <c r="K2405" t="str">
        <f t="shared" si="297"/>
        <v/>
      </c>
      <c r="L2405" t="str">
        <f t="shared" si="298"/>
        <v>Unusual</v>
      </c>
      <c r="M2405" t="str">
        <f t="shared" si="299"/>
        <v/>
      </c>
      <c r="N2405" t="str">
        <f t="shared" si="300"/>
        <v>Invalid</v>
      </c>
      <c r="O2405" t="str">
        <f t="shared" ca="1" si="301"/>
        <v>Outdated</v>
      </c>
      <c r="P2405" t="str">
        <f t="shared" si="302"/>
        <v>Late Delivery</v>
      </c>
      <c r="Q2405" t="str">
        <f t="shared" si="303"/>
        <v/>
      </c>
    </row>
    <row r="2406" spans="1:17" x14ac:dyDescent="0.45">
      <c r="A2406" t="s">
        <v>3224</v>
      </c>
      <c r="B2406" t="s">
        <v>95</v>
      </c>
      <c r="C2406" t="s">
        <v>622</v>
      </c>
      <c r="E2406" s="8">
        <v>2761.03</v>
      </c>
      <c r="F2406" s="9">
        <v>45502.666684444448</v>
      </c>
      <c r="G2406" t="s">
        <v>336</v>
      </c>
      <c r="H2406" t="s">
        <v>136</v>
      </c>
      <c r="I2406" t="s">
        <v>112</v>
      </c>
      <c r="J2406" t="str">
        <f t="shared" si="296"/>
        <v>Missing</v>
      </c>
      <c r="K2406" t="str">
        <f t="shared" si="297"/>
        <v/>
      </c>
      <c r="L2406" t="str">
        <f t="shared" si="298"/>
        <v/>
      </c>
      <c r="M2406" t="str">
        <f t="shared" si="299"/>
        <v>Invalid</v>
      </c>
      <c r="N2406" t="str">
        <f t="shared" si="300"/>
        <v>Invalid</v>
      </c>
      <c r="O2406" t="str">
        <f t="shared" ca="1" si="301"/>
        <v>Outdated</v>
      </c>
      <c r="P2406" t="str">
        <f t="shared" si="302"/>
        <v/>
      </c>
      <c r="Q2406" t="str">
        <f t="shared" si="303"/>
        <v/>
      </c>
    </row>
    <row r="2407" spans="1:17" x14ac:dyDescent="0.45">
      <c r="A2407" t="s">
        <v>3225</v>
      </c>
      <c r="B2407" t="s">
        <v>72</v>
      </c>
      <c r="C2407" t="s">
        <v>2673</v>
      </c>
      <c r="D2407" t="s">
        <v>85</v>
      </c>
      <c r="E2407" s="8">
        <v>384.22</v>
      </c>
      <c r="F2407" s="9">
        <v>45540.666684444448</v>
      </c>
      <c r="G2407" t="s">
        <v>75</v>
      </c>
      <c r="H2407" t="s">
        <v>116</v>
      </c>
      <c r="I2407" t="s">
        <v>119</v>
      </c>
      <c r="J2407" t="str">
        <f t="shared" si="296"/>
        <v/>
      </c>
      <c r="K2407" t="str">
        <f t="shared" si="297"/>
        <v/>
      </c>
      <c r="L2407" t="str">
        <f t="shared" si="298"/>
        <v/>
      </c>
      <c r="M2407" t="str">
        <f t="shared" si="299"/>
        <v/>
      </c>
      <c r="N2407" t="str">
        <f t="shared" si="300"/>
        <v/>
      </c>
      <c r="O2407" t="str">
        <f t="shared" ca="1" si="301"/>
        <v>Outdated</v>
      </c>
      <c r="P2407" t="str">
        <f t="shared" si="302"/>
        <v>Late Delivery</v>
      </c>
      <c r="Q2407" t="str">
        <f t="shared" si="303"/>
        <v/>
      </c>
    </row>
    <row r="2408" spans="1:17" x14ac:dyDescent="0.45">
      <c r="A2408" t="s">
        <v>3226</v>
      </c>
      <c r="B2408" t="s">
        <v>172</v>
      </c>
      <c r="C2408" t="s">
        <v>1157</v>
      </c>
      <c r="E2408" s="8">
        <v>7015.46</v>
      </c>
      <c r="F2408" s="9">
        <v>45502.666684444448</v>
      </c>
      <c r="G2408" t="s">
        <v>174</v>
      </c>
      <c r="H2408" t="s">
        <v>133</v>
      </c>
      <c r="I2408" t="s">
        <v>112</v>
      </c>
      <c r="J2408" t="str">
        <f t="shared" si="296"/>
        <v>Missing</v>
      </c>
      <c r="K2408" t="str">
        <f t="shared" si="297"/>
        <v/>
      </c>
      <c r="L2408" t="str">
        <f t="shared" si="298"/>
        <v/>
      </c>
      <c r="M2408" t="str">
        <f t="shared" si="299"/>
        <v/>
      </c>
      <c r="N2408" t="str">
        <f t="shared" si="300"/>
        <v>Invalid</v>
      </c>
      <c r="O2408" t="str">
        <f t="shared" ca="1" si="301"/>
        <v>Outdated</v>
      </c>
      <c r="P2408" t="str">
        <f t="shared" si="302"/>
        <v/>
      </c>
      <c r="Q2408" t="str">
        <f t="shared" si="303"/>
        <v/>
      </c>
    </row>
    <row r="2409" spans="1:17" x14ac:dyDescent="0.45">
      <c r="A2409" t="s">
        <v>3227</v>
      </c>
      <c r="B2409" t="s">
        <v>90</v>
      </c>
      <c r="C2409" t="s">
        <v>1542</v>
      </c>
      <c r="D2409" t="s">
        <v>85</v>
      </c>
      <c r="E2409" s="8">
        <v>11631.07</v>
      </c>
      <c r="F2409" s="9">
        <v>45174.666684444448</v>
      </c>
      <c r="G2409" t="s">
        <v>93</v>
      </c>
      <c r="H2409" t="s">
        <v>136</v>
      </c>
      <c r="I2409" t="s">
        <v>77</v>
      </c>
      <c r="J2409" t="str">
        <f t="shared" si="296"/>
        <v/>
      </c>
      <c r="K2409" t="str">
        <f t="shared" si="297"/>
        <v/>
      </c>
      <c r="L2409" t="str">
        <f t="shared" si="298"/>
        <v>Unusual</v>
      </c>
      <c r="M2409" t="str">
        <f t="shared" si="299"/>
        <v/>
      </c>
      <c r="N2409" t="str">
        <f t="shared" si="300"/>
        <v>Invalid</v>
      </c>
      <c r="O2409" t="str">
        <f t="shared" ca="1" si="301"/>
        <v>Outdated</v>
      </c>
      <c r="P2409" t="str">
        <f t="shared" si="302"/>
        <v>Late Delivery</v>
      </c>
      <c r="Q2409" t="str">
        <f t="shared" si="303"/>
        <v/>
      </c>
    </row>
    <row r="2410" spans="1:17" x14ac:dyDescent="0.45">
      <c r="A2410" t="s">
        <v>3228</v>
      </c>
      <c r="B2410" t="s">
        <v>138</v>
      </c>
      <c r="C2410" t="s">
        <v>858</v>
      </c>
      <c r="D2410" t="s">
        <v>74</v>
      </c>
      <c r="E2410" s="8">
        <v>0</v>
      </c>
      <c r="F2410" s="9">
        <v>45538.666684444448</v>
      </c>
      <c r="G2410" t="s">
        <v>140</v>
      </c>
      <c r="H2410" t="s">
        <v>87</v>
      </c>
      <c r="I2410" t="s">
        <v>163</v>
      </c>
      <c r="J2410" t="str">
        <f t="shared" si="296"/>
        <v/>
      </c>
      <c r="K2410" t="str">
        <f t="shared" si="297"/>
        <v/>
      </c>
      <c r="L2410" t="str">
        <f t="shared" si="298"/>
        <v>Unusual</v>
      </c>
      <c r="M2410" t="str">
        <f t="shared" si="299"/>
        <v/>
      </c>
      <c r="N2410" t="str">
        <f t="shared" si="300"/>
        <v>Invalid</v>
      </c>
      <c r="O2410" t="str">
        <f t="shared" ca="1" si="301"/>
        <v>Outdated</v>
      </c>
      <c r="P2410" t="str">
        <f t="shared" si="302"/>
        <v>Wrong Item</v>
      </c>
      <c r="Q2410" t="str">
        <f t="shared" si="303"/>
        <v/>
      </c>
    </row>
    <row r="2411" spans="1:17" x14ac:dyDescent="0.45">
      <c r="A2411" t="s">
        <v>3229</v>
      </c>
      <c r="B2411" t="s">
        <v>99</v>
      </c>
      <c r="C2411" t="s">
        <v>2240</v>
      </c>
      <c r="D2411" t="s">
        <v>101</v>
      </c>
      <c r="E2411" s="8">
        <v>10299.709999999999</v>
      </c>
      <c r="F2411" s="9">
        <v>45180.666684444448</v>
      </c>
      <c r="G2411" t="s">
        <v>102</v>
      </c>
      <c r="H2411" t="s">
        <v>107</v>
      </c>
      <c r="I2411" t="s">
        <v>163</v>
      </c>
      <c r="J2411" t="str">
        <f t="shared" si="296"/>
        <v/>
      </c>
      <c r="K2411" t="str">
        <f t="shared" si="297"/>
        <v/>
      </c>
      <c r="L2411" t="str">
        <f t="shared" si="298"/>
        <v>Unusual</v>
      </c>
      <c r="M2411" t="str">
        <f t="shared" si="299"/>
        <v/>
      </c>
      <c r="N2411" t="str">
        <f t="shared" si="300"/>
        <v/>
      </c>
      <c r="O2411" t="str">
        <f t="shared" ca="1" si="301"/>
        <v>Outdated</v>
      </c>
      <c r="P2411" t="str">
        <f t="shared" si="302"/>
        <v>Damaged</v>
      </c>
      <c r="Q2411" t="str">
        <f t="shared" si="303"/>
        <v/>
      </c>
    </row>
    <row r="2412" spans="1:17" x14ac:dyDescent="0.45">
      <c r="A2412" t="s">
        <v>3230</v>
      </c>
      <c r="B2412" t="s">
        <v>72</v>
      </c>
      <c r="C2412" t="s">
        <v>3231</v>
      </c>
      <c r="D2412" t="s">
        <v>101</v>
      </c>
      <c r="E2412" s="8">
        <v>35.549999999999997</v>
      </c>
      <c r="F2412" s="9">
        <v>45711.666684444448</v>
      </c>
      <c r="G2412" t="s">
        <v>75</v>
      </c>
      <c r="H2412" t="s">
        <v>136</v>
      </c>
      <c r="I2412" t="s">
        <v>119</v>
      </c>
      <c r="J2412" t="str">
        <f t="shared" si="296"/>
        <v/>
      </c>
      <c r="K2412" t="str">
        <f t="shared" si="297"/>
        <v/>
      </c>
      <c r="L2412" t="str">
        <f t="shared" si="298"/>
        <v/>
      </c>
      <c r="M2412" t="str">
        <f t="shared" si="299"/>
        <v/>
      </c>
      <c r="N2412" t="str">
        <f t="shared" si="300"/>
        <v>Invalid</v>
      </c>
      <c r="O2412" t="str">
        <f t="shared" ca="1" si="301"/>
        <v>Outdated</v>
      </c>
      <c r="P2412" t="str">
        <f t="shared" si="302"/>
        <v>Damaged</v>
      </c>
      <c r="Q2412" t="str">
        <f t="shared" si="303"/>
        <v/>
      </c>
    </row>
    <row r="2413" spans="1:17" x14ac:dyDescent="0.45">
      <c r="A2413" t="s">
        <v>3232</v>
      </c>
      <c r="B2413" t="s">
        <v>72</v>
      </c>
      <c r="C2413" t="s">
        <v>819</v>
      </c>
      <c r="D2413" t="s">
        <v>74</v>
      </c>
      <c r="E2413" s="8">
        <v>3885.23</v>
      </c>
      <c r="F2413" s="9">
        <v>45703.666684444448</v>
      </c>
      <c r="G2413" t="s">
        <v>75</v>
      </c>
      <c r="H2413" t="s">
        <v>136</v>
      </c>
      <c r="I2413" t="s">
        <v>119</v>
      </c>
      <c r="J2413" t="str">
        <f t="shared" si="296"/>
        <v/>
      </c>
      <c r="K2413" t="str">
        <f t="shared" si="297"/>
        <v/>
      </c>
      <c r="L2413" t="str">
        <f t="shared" si="298"/>
        <v/>
      </c>
      <c r="M2413" t="str">
        <f t="shared" si="299"/>
        <v/>
      </c>
      <c r="N2413" t="str">
        <f t="shared" si="300"/>
        <v>Invalid</v>
      </c>
      <c r="O2413" t="str">
        <f t="shared" ca="1" si="301"/>
        <v>Outdated</v>
      </c>
      <c r="P2413" t="str">
        <f t="shared" si="302"/>
        <v>Wrong Item</v>
      </c>
      <c r="Q2413" t="str">
        <f t="shared" si="303"/>
        <v/>
      </c>
    </row>
    <row r="2414" spans="1:17" x14ac:dyDescent="0.45">
      <c r="A2414" t="s">
        <v>3233</v>
      </c>
      <c r="B2414" t="s">
        <v>104</v>
      </c>
      <c r="C2414" t="s">
        <v>799</v>
      </c>
      <c r="D2414" t="s">
        <v>74</v>
      </c>
      <c r="E2414" s="8">
        <v>10941.28</v>
      </c>
      <c r="F2414" s="9">
        <v>45327.666684444448</v>
      </c>
      <c r="G2414" t="s">
        <v>115</v>
      </c>
      <c r="H2414" t="s">
        <v>133</v>
      </c>
      <c r="I2414" t="s">
        <v>88</v>
      </c>
      <c r="J2414" t="str">
        <f t="shared" si="296"/>
        <v/>
      </c>
      <c r="K2414" t="str">
        <f t="shared" si="297"/>
        <v/>
      </c>
      <c r="L2414" t="str">
        <f t="shared" si="298"/>
        <v>Unusual</v>
      </c>
      <c r="M2414" t="str">
        <f t="shared" si="299"/>
        <v/>
      </c>
      <c r="N2414" t="str">
        <f t="shared" si="300"/>
        <v>Invalid</v>
      </c>
      <c r="O2414" t="str">
        <f t="shared" ca="1" si="301"/>
        <v>Outdated</v>
      </c>
      <c r="P2414" t="str">
        <f t="shared" si="302"/>
        <v>Wrong Item</v>
      </c>
      <c r="Q2414" t="str">
        <f t="shared" si="303"/>
        <v/>
      </c>
    </row>
    <row r="2415" spans="1:17" x14ac:dyDescent="0.45">
      <c r="A2415" t="s">
        <v>3234</v>
      </c>
      <c r="B2415" t="s">
        <v>72</v>
      </c>
      <c r="C2415" t="s">
        <v>2802</v>
      </c>
      <c r="D2415" t="s">
        <v>85</v>
      </c>
      <c r="E2415" s="8">
        <v>9909.1</v>
      </c>
      <c r="F2415" s="9">
        <v>45499.666684444448</v>
      </c>
      <c r="G2415" t="s">
        <v>75</v>
      </c>
      <c r="H2415" t="s">
        <v>118</v>
      </c>
      <c r="I2415" t="s">
        <v>82</v>
      </c>
      <c r="J2415" t="str">
        <f t="shared" si="296"/>
        <v/>
      </c>
      <c r="K2415" t="str">
        <f t="shared" si="297"/>
        <v/>
      </c>
      <c r="L2415" t="str">
        <f t="shared" si="298"/>
        <v/>
      </c>
      <c r="M2415" t="str">
        <f t="shared" si="299"/>
        <v/>
      </c>
      <c r="N2415" t="str">
        <f t="shared" si="300"/>
        <v>Invalid</v>
      </c>
      <c r="O2415" t="str">
        <f t="shared" ca="1" si="301"/>
        <v>Outdated</v>
      </c>
      <c r="P2415" t="str">
        <f t="shared" si="302"/>
        <v>Late Delivery</v>
      </c>
      <c r="Q2415" t="str">
        <f t="shared" si="303"/>
        <v/>
      </c>
    </row>
    <row r="2416" spans="1:17" x14ac:dyDescent="0.45">
      <c r="A2416" t="s">
        <v>3235</v>
      </c>
      <c r="B2416" t="s">
        <v>109</v>
      </c>
      <c r="C2416" t="s">
        <v>385</v>
      </c>
      <c r="D2416" t="s">
        <v>74</v>
      </c>
      <c r="E2416" s="8">
        <v>10870.52</v>
      </c>
      <c r="F2416" s="9">
        <v>45694.666684444448</v>
      </c>
      <c r="G2416" t="s">
        <v>111</v>
      </c>
      <c r="H2416" t="s">
        <v>81</v>
      </c>
      <c r="I2416" t="s">
        <v>119</v>
      </c>
      <c r="J2416" t="str">
        <f t="shared" si="296"/>
        <v/>
      </c>
      <c r="K2416" t="str">
        <f t="shared" si="297"/>
        <v/>
      </c>
      <c r="L2416" t="str">
        <f t="shared" si="298"/>
        <v>Unusual</v>
      </c>
      <c r="M2416" t="str">
        <f t="shared" si="299"/>
        <v/>
      </c>
      <c r="N2416" t="str">
        <f t="shared" si="300"/>
        <v/>
      </c>
      <c r="O2416" t="str">
        <f t="shared" ca="1" si="301"/>
        <v>Outdated</v>
      </c>
      <c r="P2416" t="str">
        <f t="shared" si="302"/>
        <v>Wrong Item</v>
      </c>
      <c r="Q2416" t="str">
        <f t="shared" si="303"/>
        <v/>
      </c>
    </row>
    <row r="2417" spans="1:17" x14ac:dyDescent="0.45">
      <c r="A2417" t="s">
        <v>3236</v>
      </c>
      <c r="B2417" t="s">
        <v>109</v>
      </c>
      <c r="C2417" t="s">
        <v>3237</v>
      </c>
      <c r="D2417" t="s">
        <v>101</v>
      </c>
      <c r="E2417" s="8">
        <v>4200.8599999999997</v>
      </c>
      <c r="F2417" s="9">
        <v>45423.666684444448</v>
      </c>
      <c r="G2417" t="s">
        <v>111</v>
      </c>
      <c r="H2417" t="s">
        <v>116</v>
      </c>
      <c r="I2417" t="s">
        <v>119</v>
      </c>
      <c r="J2417" t="str">
        <f t="shared" si="296"/>
        <v/>
      </c>
      <c r="K2417" t="str">
        <f t="shared" si="297"/>
        <v/>
      </c>
      <c r="L2417" t="str">
        <f t="shared" si="298"/>
        <v/>
      </c>
      <c r="M2417" t="str">
        <f t="shared" si="299"/>
        <v/>
      </c>
      <c r="N2417" t="str">
        <f t="shared" si="300"/>
        <v/>
      </c>
      <c r="O2417" t="str">
        <f t="shared" ca="1" si="301"/>
        <v>Outdated</v>
      </c>
      <c r="P2417" t="str">
        <f t="shared" si="302"/>
        <v>Damaged</v>
      </c>
      <c r="Q2417" t="str">
        <f t="shared" si="303"/>
        <v/>
      </c>
    </row>
    <row r="2418" spans="1:17" x14ac:dyDescent="0.45">
      <c r="A2418" t="s">
        <v>1995</v>
      </c>
      <c r="B2418" t="s">
        <v>79</v>
      </c>
      <c r="C2418" t="s">
        <v>1420</v>
      </c>
      <c r="D2418" t="s">
        <v>92</v>
      </c>
      <c r="E2418" s="8">
        <v>6563</v>
      </c>
      <c r="F2418" s="9">
        <v>45203.666684444448</v>
      </c>
      <c r="G2418" t="s">
        <v>278</v>
      </c>
      <c r="H2418" t="s">
        <v>116</v>
      </c>
      <c r="I2418" t="s">
        <v>77</v>
      </c>
      <c r="J2418" t="str">
        <f t="shared" si="296"/>
        <v/>
      </c>
      <c r="K2418" t="str">
        <f t="shared" si="297"/>
        <v>Duplicate</v>
      </c>
      <c r="L2418" t="str">
        <f t="shared" si="298"/>
        <v/>
      </c>
      <c r="M2418" t="str">
        <f t="shared" si="299"/>
        <v>Invalid</v>
      </c>
      <c r="N2418" t="str">
        <f t="shared" si="300"/>
        <v/>
      </c>
      <c r="O2418" t="str">
        <f t="shared" ca="1" si="301"/>
        <v>Outdated</v>
      </c>
      <c r="P2418" t="str">
        <f t="shared" si="302"/>
        <v>Not As Described</v>
      </c>
      <c r="Q2418" t="str">
        <f t="shared" si="303"/>
        <v/>
      </c>
    </row>
    <row r="2419" spans="1:17" x14ac:dyDescent="0.45">
      <c r="A2419" t="s">
        <v>3238</v>
      </c>
      <c r="B2419" t="s">
        <v>79</v>
      </c>
      <c r="C2419" t="s">
        <v>612</v>
      </c>
      <c r="D2419" t="s">
        <v>106</v>
      </c>
      <c r="E2419" s="8">
        <v>391.49</v>
      </c>
      <c r="F2419" s="9">
        <v>45523.666684444448</v>
      </c>
      <c r="G2419" t="s">
        <v>86</v>
      </c>
      <c r="H2419" t="s">
        <v>116</v>
      </c>
      <c r="I2419" t="s">
        <v>119</v>
      </c>
      <c r="J2419" t="str">
        <f t="shared" si="296"/>
        <v/>
      </c>
      <c r="K2419" t="str">
        <f t="shared" si="297"/>
        <v/>
      </c>
      <c r="L2419" t="str">
        <f t="shared" si="298"/>
        <v/>
      </c>
      <c r="M2419" t="str">
        <f t="shared" si="299"/>
        <v/>
      </c>
      <c r="N2419" t="str">
        <f t="shared" si="300"/>
        <v/>
      </c>
      <c r="O2419" t="str">
        <f t="shared" ca="1" si="301"/>
        <v>Outdated</v>
      </c>
      <c r="P2419" t="str">
        <f t="shared" si="302"/>
        <v>Damaged</v>
      </c>
      <c r="Q2419" t="str">
        <f t="shared" si="303"/>
        <v>Inconsistent</v>
      </c>
    </row>
    <row r="2420" spans="1:17" x14ac:dyDescent="0.45">
      <c r="A2420" t="s">
        <v>3239</v>
      </c>
      <c r="B2420" t="s">
        <v>90</v>
      </c>
      <c r="C2420" t="s">
        <v>135</v>
      </c>
      <c r="D2420" t="s">
        <v>92</v>
      </c>
      <c r="E2420" s="8">
        <v>11108.89</v>
      </c>
      <c r="F2420" s="9">
        <v>45644.666684444448</v>
      </c>
      <c r="G2420" t="s">
        <v>93</v>
      </c>
      <c r="H2420" t="s">
        <v>116</v>
      </c>
      <c r="I2420" t="s">
        <v>163</v>
      </c>
      <c r="J2420" t="str">
        <f t="shared" si="296"/>
        <v/>
      </c>
      <c r="K2420" t="str">
        <f t="shared" si="297"/>
        <v/>
      </c>
      <c r="L2420" t="str">
        <f t="shared" si="298"/>
        <v>Unusual</v>
      </c>
      <c r="M2420" t="str">
        <f t="shared" si="299"/>
        <v/>
      </c>
      <c r="N2420" t="str">
        <f t="shared" si="300"/>
        <v/>
      </c>
      <c r="O2420" t="str">
        <f t="shared" ca="1" si="301"/>
        <v>Outdated</v>
      </c>
      <c r="P2420" t="str">
        <f t="shared" si="302"/>
        <v>Not As Described</v>
      </c>
      <c r="Q2420" t="str">
        <f t="shared" si="303"/>
        <v/>
      </c>
    </row>
    <row r="2421" spans="1:17" x14ac:dyDescent="0.45">
      <c r="A2421" t="s">
        <v>3240</v>
      </c>
      <c r="B2421" t="s">
        <v>72</v>
      </c>
      <c r="C2421" t="s">
        <v>3024</v>
      </c>
      <c r="D2421" t="s">
        <v>106</v>
      </c>
      <c r="E2421" s="8">
        <v>4892.88</v>
      </c>
      <c r="F2421" s="9">
        <v>45589.666684444448</v>
      </c>
      <c r="G2421" t="s">
        <v>75</v>
      </c>
      <c r="H2421" t="s">
        <v>133</v>
      </c>
      <c r="I2421" t="s">
        <v>82</v>
      </c>
      <c r="J2421" t="str">
        <f t="shared" si="296"/>
        <v/>
      </c>
      <c r="K2421" t="str">
        <f t="shared" si="297"/>
        <v/>
      </c>
      <c r="L2421" t="str">
        <f t="shared" si="298"/>
        <v/>
      </c>
      <c r="M2421" t="str">
        <f t="shared" si="299"/>
        <v/>
      </c>
      <c r="N2421" t="str">
        <f t="shared" si="300"/>
        <v>Invalid</v>
      </c>
      <c r="O2421" t="str">
        <f t="shared" ca="1" si="301"/>
        <v>Outdated</v>
      </c>
      <c r="P2421" t="str">
        <f t="shared" si="302"/>
        <v>Damaged</v>
      </c>
      <c r="Q2421" t="str">
        <f t="shared" si="303"/>
        <v>Inconsistent</v>
      </c>
    </row>
    <row r="2422" spans="1:17" x14ac:dyDescent="0.45">
      <c r="A2422" t="s">
        <v>3241</v>
      </c>
      <c r="B2422" t="s">
        <v>79</v>
      </c>
      <c r="C2422" t="s">
        <v>1279</v>
      </c>
      <c r="D2422" t="s">
        <v>92</v>
      </c>
      <c r="E2422" s="8">
        <v>7932</v>
      </c>
      <c r="F2422" s="9">
        <v>45691.666684444448</v>
      </c>
      <c r="G2422" t="s">
        <v>86</v>
      </c>
      <c r="H2422" t="s">
        <v>136</v>
      </c>
      <c r="I2422" t="s">
        <v>88</v>
      </c>
      <c r="J2422" t="str">
        <f t="shared" si="296"/>
        <v/>
      </c>
      <c r="K2422" t="str">
        <f t="shared" si="297"/>
        <v/>
      </c>
      <c r="L2422" t="str">
        <f t="shared" si="298"/>
        <v/>
      </c>
      <c r="M2422" t="str">
        <f t="shared" si="299"/>
        <v/>
      </c>
      <c r="N2422" t="str">
        <f t="shared" si="300"/>
        <v>Invalid</v>
      </c>
      <c r="O2422" t="str">
        <f t="shared" ca="1" si="301"/>
        <v>Outdated</v>
      </c>
      <c r="P2422" t="str">
        <f t="shared" si="302"/>
        <v>Not As Described</v>
      </c>
      <c r="Q2422" t="str">
        <f t="shared" si="303"/>
        <v/>
      </c>
    </row>
    <row r="2423" spans="1:17" x14ac:dyDescent="0.45">
      <c r="A2423" t="s">
        <v>3242</v>
      </c>
      <c r="B2423" t="s">
        <v>104</v>
      </c>
      <c r="C2423" t="s">
        <v>1088</v>
      </c>
      <c r="D2423" t="s">
        <v>101</v>
      </c>
      <c r="E2423" s="8">
        <v>8930.0499999999993</v>
      </c>
      <c r="F2423" s="9">
        <v>45414.666684444448</v>
      </c>
      <c r="G2423" t="s">
        <v>115</v>
      </c>
      <c r="H2423" t="s">
        <v>136</v>
      </c>
      <c r="I2423" t="s">
        <v>77</v>
      </c>
      <c r="J2423" t="str">
        <f t="shared" si="296"/>
        <v/>
      </c>
      <c r="K2423" t="str">
        <f t="shared" si="297"/>
        <v/>
      </c>
      <c r="L2423" t="str">
        <f t="shared" si="298"/>
        <v/>
      </c>
      <c r="M2423" t="str">
        <f t="shared" si="299"/>
        <v/>
      </c>
      <c r="N2423" t="str">
        <f t="shared" si="300"/>
        <v>Invalid</v>
      </c>
      <c r="O2423" t="str">
        <f t="shared" ca="1" si="301"/>
        <v>Outdated</v>
      </c>
      <c r="P2423" t="str">
        <f t="shared" si="302"/>
        <v>Damaged</v>
      </c>
      <c r="Q2423" t="str">
        <f t="shared" si="303"/>
        <v/>
      </c>
    </row>
    <row r="2424" spans="1:17" x14ac:dyDescent="0.45">
      <c r="A2424" t="s">
        <v>1130</v>
      </c>
      <c r="B2424" t="s">
        <v>95</v>
      </c>
      <c r="C2424" t="s">
        <v>3243</v>
      </c>
      <c r="D2424" t="s">
        <v>92</v>
      </c>
      <c r="E2424" s="8">
        <v>11113.9</v>
      </c>
      <c r="F2424" s="9">
        <v>45766.666684444448</v>
      </c>
      <c r="G2424" t="s">
        <v>97</v>
      </c>
      <c r="H2424" t="s">
        <v>128</v>
      </c>
      <c r="I2424" t="s">
        <v>119</v>
      </c>
      <c r="J2424" t="str">
        <f t="shared" si="296"/>
        <v/>
      </c>
      <c r="K2424" t="str">
        <f t="shared" si="297"/>
        <v>Duplicate</v>
      </c>
      <c r="L2424" t="str">
        <f t="shared" si="298"/>
        <v>Unusual</v>
      </c>
      <c r="M2424" t="str">
        <f t="shared" si="299"/>
        <v/>
      </c>
      <c r="N2424" t="str">
        <f t="shared" si="300"/>
        <v>Invalid</v>
      </c>
      <c r="O2424" t="str">
        <f t="shared" ca="1" si="301"/>
        <v>Outdated</v>
      </c>
      <c r="P2424" t="str">
        <f t="shared" si="302"/>
        <v>Not As Described</v>
      </c>
      <c r="Q2424" t="str">
        <f t="shared" si="303"/>
        <v/>
      </c>
    </row>
    <row r="2425" spans="1:17" x14ac:dyDescent="0.45">
      <c r="A2425" t="s">
        <v>3244</v>
      </c>
      <c r="B2425" t="s">
        <v>79</v>
      </c>
      <c r="C2425" t="s">
        <v>2608</v>
      </c>
      <c r="D2425" t="s">
        <v>92</v>
      </c>
      <c r="E2425" s="8">
        <v>2082.73</v>
      </c>
      <c r="F2425" s="9">
        <v>45824.666684444448</v>
      </c>
      <c r="G2425" t="s">
        <v>86</v>
      </c>
      <c r="H2425" t="s">
        <v>145</v>
      </c>
      <c r="I2425" t="s">
        <v>112</v>
      </c>
      <c r="J2425" t="str">
        <f t="shared" si="296"/>
        <v/>
      </c>
      <c r="K2425" t="str">
        <f t="shared" si="297"/>
        <v/>
      </c>
      <c r="L2425" t="str">
        <f t="shared" si="298"/>
        <v/>
      </c>
      <c r="M2425" t="str">
        <f t="shared" si="299"/>
        <v/>
      </c>
      <c r="N2425" t="str">
        <f t="shared" si="300"/>
        <v/>
      </c>
      <c r="O2425" t="str">
        <f t="shared" ca="1" si="301"/>
        <v>Outdated</v>
      </c>
      <c r="P2425" t="str">
        <f t="shared" si="302"/>
        <v>Not As Described</v>
      </c>
      <c r="Q2425" t="str">
        <f t="shared" si="303"/>
        <v/>
      </c>
    </row>
    <row r="2426" spans="1:17" x14ac:dyDescent="0.45">
      <c r="A2426" t="s">
        <v>3245</v>
      </c>
      <c r="B2426" t="s">
        <v>72</v>
      </c>
      <c r="C2426" t="s">
        <v>890</v>
      </c>
      <c r="D2426" t="s">
        <v>101</v>
      </c>
      <c r="E2426" s="8">
        <v>1110.67</v>
      </c>
      <c r="F2426" s="9">
        <v>45753.666684444448</v>
      </c>
      <c r="G2426" t="s">
        <v>521</v>
      </c>
      <c r="H2426" t="s">
        <v>81</v>
      </c>
      <c r="I2426" t="s">
        <v>82</v>
      </c>
      <c r="J2426" t="str">
        <f t="shared" si="296"/>
        <v/>
      </c>
      <c r="K2426" t="str">
        <f t="shared" si="297"/>
        <v/>
      </c>
      <c r="L2426" t="str">
        <f t="shared" si="298"/>
        <v/>
      </c>
      <c r="M2426" t="str">
        <f t="shared" si="299"/>
        <v>Invalid</v>
      </c>
      <c r="N2426" t="str">
        <f t="shared" si="300"/>
        <v/>
      </c>
      <c r="O2426" t="str">
        <f t="shared" ca="1" si="301"/>
        <v>Outdated</v>
      </c>
      <c r="P2426" t="str">
        <f t="shared" si="302"/>
        <v>Damaged</v>
      </c>
      <c r="Q2426" t="str">
        <f t="shared" si="303"/>
        <v/>
      </c>
    </row>
    <row r="2427" spans="1:17" x14ac:dyDescent="0.45">
      <c r="A2427" t="s">
        <v>3246</v>
      </c>
      <c r="B2427" t="s">
        <v>109</v>
      </c>
      <c r="C2427" t="s">
        <v>369</v>
      </c>
      <c r="D2427" t="s">
        <v>74</v>
      </c>
      <c r="E2427" s="8">
        <v>1685.97</v>
      </c>
      <c r="F2427" s="9">
        <v>45249.666684444448</v>
      </c>
      <c r="G2427" t="s">
        <v>111</v>
      </c>
      <c r="I2427" t="s">
        <v>119</v>
      </c>
      <c r="J2427" t="str">
        <f t="shared" si="296"/>
        <v/>
      </c>
      <c r="K2427" t="str">
        <f t="shared" si="297"/>
        <v/>
      </c>
      <c r="L2427" t="str">
        <f t="shared" si="298"/>
        <v/>
      </c>
      <c r="M2427" t="str">
        <f t="shared" si="299"/>
        <v/>
      </c>
      <c r="N2427" t="str">
        <f t="shared" si="300"/>
        <v>Invalid</v>
      </c>
      <c r="O2427" t="str">
        <f t="shared" ca="1" si="301"/>
        <v>Outdated</v>
      </c>
      <c r="P2427" t="str">
        <f t="shared" si="302"/>
        <v>Wrong Item</v>
      </c>
      <c r="Q2427" t="str">
        <f t="shared" si="303"/>
        <v/>
      </c>
    </row>
    <row r="2428" spans="1:17" x14ac:dyDescent="0.45">
      <c r="A2428" t="s">
        <v>3247</v>
      </c>
      <c r="B2428" t="s">
        <v>99</v>
      </c>
      <c r="C2428" t="s">
        <v>834</v>
      </c>
      <c r="D2428" t="s">
        <v>92</v>
      </c>
      <c r="E2428" s="8">
        <v>4938.67</v>
      </c>
      <c r="F2428" s="9">
        <v>45259.666684444448</v>
      </c>
      <c r="G2428" t="s">
        <v>102</v>
      </c>
      <c r="I2428" t="s">
        <v>77</v>
      </c>
      <c r="J2428" t="str">
        <f t="shared" si="296"/>
        <v/>
      </c>
      <c r="K2428" t="str">
        <f t="shared" si="297"/>
        <v/>
      </c>
      <c r="L2428" t="str">
        <f t="shared" si="298"/>
        <v/>
      </c>
      <c r="M2428" t="str">
        <f t="shared" si="299"/>
        <v/>
      </c>
      <c r="N2428" t="str">
        <f t="shared" si="300"/>
        <v>Invalid</v>
      </c>
      <c r="O2428" t="str">
        <f t="shared" ca="1" si="301"/>
        <v>Outdated</v>
      </c>
      <c r="P2428" t="str">
        <f t="shared" si="302"/>
        <v>Not As Described</v>
      </c>
      <c r="Q2428" t="str">
        <f t="shared" si="303"/>
        <v/>
      </c>
    </row>
    <row r="2429" spans="1:17" x14ac:dyDescent="0.45">
      <c r="A2429" t="s">
        <v>3248</v>
      </c>
      <c r="B2429" t="s">
        <v>172</v>
      </c>
      <c r="C2429" t="s">
        <v>401</v>
      </c>
      <c r="D2429" t="s">
        <v>74</v>
      </c>
      <c r="E2429" s="8">
        <v>11072.18</v>
      </c>
      <c r="F2429" s="9">
        <v>45227.666684444448</v>
      </c>
      <c r="G2429" t="s">
        <v>174</v>
      </c>
      <c r="I2429" t="s">
        <v>163</v>
      </c>
      <c r="J2429" t="str">
        <f t="shared" si="296"/>
        <v/>
      </c>
      <c r="K2429" t="str">
        <f t="shared" si="297"/>
        <v/>
      </c>
      <c r="L2429" t="str">
        <f t="shared" si="298"/>
        <v>Unusual</v>
      </c>
      <c r="M2429" t="str">
        <f t="shared" si="299"/>
        <v/>
      </c>
      <c r="N2429" t="str">
        <f t="shared" si="300"/>
        <v>Invalid</v>
      </c>
      <c r="O2429" t="str">
        <f t="shared" ca="1" si="301"/>
        <v>Outdated</v>
      </c>
      <c r="P2429" t="str">
        <f t="shared" si="302"/>
        <v>Wrong Item</v>
      </c>
      <c r="Q2429" t="str">
        <f t="shared" si="303"/>
        <v/>
      </c>
    </row>
    <row r="2430" spans="1:17" x14ac:dyDescent="0.45">
      <c r="A2430" t="s">
        <v>3249</v>
      </c>
      <c r="B2430" t="s">
        <v>138</v>
      </c>
      <c r="C2430" t="s">
        <v>3250</v>
      </c>
      <c r="D2430" t="s">
        <v>85</v>
      </c>
      <c r="E2430" s="8">
        <v>0</v>
      </c>
      <c r="F2430" s="9">
        <v>45531.666684444448</v>
      </c>
      <c r="G2430" t="s">
        <v>140</v>
      </c>
      <c r="H2430" t="s">
        <v>133</v>
      </c>
      <c r="I2430" t="s">
        <v>163</v>
      </c>
      <c r="J2430" t="str">
        <f t="shared" si="296"/>
        <v/>
      </c>
      <c r="K2430" t="str">
        <f t="shared" si="297"/>
        <v>Duplicate</v>
      </c>
      <c r="L2430" t="str">
        <f t="shared" si="298"/>
        <v>Unusual</v>
      </c>
      <c r="M2430" t="str">
        <f t="shared" si="299"/>
        <v/>
      </c>
      <c r="N2430" t="str">
        <f t="shared" si="300"/>
        <v>Invalid</v>
      </c>
      <c r="O2430" t="str">
        <f t="shared" ca="1" si="301"/>
        <v>Outdated</v>
      </c>
      <c r="P2430" t="str">
        <f t="shared" si="302"/>
        <v>Late Delivery</v>
      </c>
      <c r="Q2430" t="str">
        <f t="shared" si="303"/>
        <v/>
      </c>
    </row>
    <row r="2431" spans="1:17" x14ac:dyDescent="0.45">
      <c r="A2431" t="s">
        <v>3251</v>
      </c>
      <c r="B2431" t="s">
        <v>79</v>
      </c>
      <c r="C2431" t="s">
        <v>1524</v>
      </c>
      <c r="D2431" t="s">
        <v>74</v>
      </c>
      <c r="E2431" s="8">
        <v>10605.95</v>
      </c>
      <c r="F2431" s="9">
        <v>45510.666684444448</v>
      </c>
      <c r="G2431" t="s">
        <v>278</v>
      </c>
      <c r="H2431" t="s">
        <v>107</v>
      </c>
      <c r="I2431" t="s">
        <v>112</v>
      </c>
      <c r="J2431" t="str">
        <f t="shared" si="296"/>
        <v/>
      </c>
      <c r="K2431" t="str">
        <f t="shared" si="297"/>
        <v/>
      </c>
      <c r="L2431" t="str">
        <f t="shared" si="298"/>
        <v>Unusual</v>
      </c>
      <c r="M2431" t="str">
        <f t="shared" si="299"/>
        <v>Invalid</v>
      </c>
      <c r="N2431" t="str">
        <f t="shared" si="300"/>
        <v/>
      </c>
      <c r="O2431" t="str">
        <f t="shared" ca="1" si="301"/>
        <v>Outdated</v>
      </c>
      <c r="P2431" t="str">
        <f t="shared" si="302"/>
        <v>Wrong Item</v>
      </c>
      <c r="Q2431" t="str">
        <f t="shared" si="303"/>
        <v/>
      </c>
    </row>
    <row r="2432" spans="1:17" x14ac:dyDescent="0.45">
      <c r="A2432" t="s">
        <v>1913</v>
      </c>
      <c r="B2432" t="s">
        <v>138</v>
      </c>
      <c r="C2432" t="s">
        <v>556</v>
      </c>
      <c r="D2432" t="s">
        <v>85</v>
      </c>
      <c r="E2432" s="8">
        <v>8451.41</v>
      </c>
      <c r="F2432" s="9">
        <v>45475.666684444448</v>
      </c>
      <c r="G2432" t="s">
        <v>194</v>
      </c>
      <c r="H2432" t="s">
        <v>116</v>
      </c>
      <c r="I2432" t="s">
        <v>77</v>
      </c>
      <c r="J2432" t="str">
        <f t="shared" si="296"/>
        <v/>
      </c>
      <c r="K2432" t="str">
        <f t="shared" si="297"/>
        <v>Duplicate</v>
      </c>
      <c r="L2432" t="str">
        <f t="shared" si="298"/>
        <v/>
      </c>
      <c r="M2432" t="str">
        <f t="shared" si="299"/>
        <v>Invalid</v>
      </c>
      <c r="N2432" t="str">
        <f t="shared" si="300"/>
        <v/>
      </c>
      <c r="O2432" t="str">
        <f t="shared" ca="1" si="301"/>
        <v>Outdated</v>
      </c>
      <c r="P2432" t="str">
        <f t="shared" si="302"/>
        <v>Late Delivery</v>
      </c>
      <c r="Q2432" t="str">
        <f t="shared" si="303"/>
        <v/>
      </c>
    </row>
    <row r="2433" spans="1:17" x14ac:dyDescent="0.45">
      <c r="A2433" t="s">
        <v>3252</v>
      </c>
      <c r="B2433" t="s">
        <v>172</v>
      </c>
      <c r="C2433" t="s">
        <v>1277</v>
      </c>
      <c r="D2433" t="s">
        <v>85</v>
      </c>
      <c r="E2433" s="8">
        <v>9105.2800000000007</v>
      </c>
      <c r="F2433" s="9">
        <v>45699.666684444448</v>
      </c>
      <c r="G2433" t="s">
        <v>174</v>
      </c>
      <c r="I2433" t="s">
        <v>88</v>
      </c>
      <c r="J2433" t="str">
        <f t="shared" si="296"/>
        <v/>
      </c>
      <c r="K2433" t="str">
        <f t="shared" si="297"/>
        <v/>
      </c>
      <c r="L2433" t="str">
        <f t="shared" si="298"/>
        <v/>
      </c>
      <c r="M2433" t="str">
        <f t="shared" si="299"/>
        <v/>
      </c>
      <c r="N2433" t="str">
        <f t="shared" si="300"/>
        <v>Invalid</v>
      </c>
      <c r="O2433" t="str">
        <f t="shared" ca="1" si="301"/>
        <v>Outdated</v>
      </c>
      <c r="P2433" t="str">
        <f t="shared" si="302"/>
        <v>Late Delivery</v>
      </c>
      <c r="Q2433" t="str">
        <f t="shared" si="303"/>
        <v/>
      </c>
    </row>
    <row r="2434" spans="1:17" x14ac:dyDescent="0.45">
      <c r="A2434" t="s">
        <v>630</v>
      </c>
      <c r="B2434" t="s">
        <v>90</v>
      </c>
      <c r="C2434" t="s">
        <v>1731</v>
      </c>
      <c r="D2434" t="s">
        <v>74</v>
      </c>
      <c r="E2434" s="8">
        <v>3602.71</v>
      </c>
      <c r="F2434" s="9">
        <v>45502.666684444448</v>
      </c>
      <c r="G2434" t="s">
        <v>93</v>
      </c>
      <c r="H2434" t="s">
        <v>76</v>
      </c>
      <c r="I2434" t="s">
        <v>88</v>
      </c>
      <c r="J2434" t="str">
        <f t="shared" ref="J2434:J2501" si="304">IF(OR(ISBLANK(C2434),ISBLANK(D2434)),"Missing","")</f>
        <v/>
      </c>
      <c r="K2434" t="str">
        <f t="shared" ref="K2434:K2501" si="305">IF(COUNTIF($A$2:$A$2501,A2434)&gt;1,"Duplicate","")</f>
        <v>Duplicate</v>
      </c>
      <c r="L2434" t="str">
        <f t="shared" ref="L2434:L2501" si="306">IF(OR(E2434=0,E2434&gt;10000),"Unusual","")</f>
        <v/>
      </c>
      <c r="M2434" t="str">
        <f t="shared" ref="M2434:M2501" si="307">IF(OR(ISBLANK(G2434),ISERROR(FIND("@",G2434)),ISERROR(FIND(".",G2434,FIND("@",G2434)+1))),"Invalid","")</f>
        <v/>
      </c>
      <c r="N2434" t="str">
        <f t="shared" ref="N2434:N2501" si="308">IF(COUNTIF($S$2:$S$6,H2434)=0,"Invalid","")</f>
        <v/>
      </c>
      <c r="O2434" t="str">
        <f t="shared" ref="O2434:O2501" ca="1" si="309">IF(F2434&lt;EDATE(TODAY(),-12),"Outdated","")</f>
        <v>Outdated</v>
      </c>
      <c r="P2434" t="str">
        <f t="shared" ref="P2434:P2501" si="310">IF(ISBLANK(D2434),"",PROPER(TRIM(D2434)))</f>
        <v>Wrong Item</v>
      </c>
      <c r="Q2434" t="str">
        <f t="shared" ref="Q2434:Q2497" si="311">IF(ISBLANK(D2434),"",IF(EXACT(D2434,P2434),"","Inconsistent"))</f>
        <v/>
      </c>
    </row>
    <row r="2435" spans="1:17" x14ac:dyDescent="0.45">
      <c r="A2435" t="s">
        <v>3253</v>
      </c>
      <c r="B2435" t="s">
        <v>109</v>
      </c>
      <c r="C2435" t="s">
        <v>371</v>
      </c>
      <c r="D2435" t="s">
        <v>101</v>
      </c>
      <c r="E2435" s="8">
        <v>8278.66</v>
      </c>
      <c r="F2435" s="9">
        <v>45275.666684444448</v>
      </c>
      <c r="G2435" t="s">
        <v>111</v>
      </c>
      <c r="H2435" t="s">
        <v>87</v>
      </c>
      <c r="I2435" t="s">
        <v>112</v>
      </c>
      <c r="J2435" t="str">
        <f t="shared" si="304"/>
        <v/>
      </c>
      <c r="K2435" t="str">
        <f t="shared" si="305"/>
        <v/>
      </c>
      <c r="L2435" t="str">
        <f t="shared" si="306"/>
        <v/>
      </c>
      <c r="M2435" t="str">
        <f t="shared" si="307"/>
        <v/>
      </c>
      <c r="N2435" t="str">
        <f t="shared" si="308"/>
        <v>Invalid</v>
      </c>
      <c r="O2435" t="str">
        <f t="shared" ca="1" si="309"/>
        <v>Outdated</v>
      </c>
      <c r="P2435" t="str">
        <f t="shared" si="310"/>
        <v>Damaged</v>
      </c>
      <c r="Q2435" t="str">
        <f t="shared" si="311"/>
        <v/>
      </c>
    </row>
    <row r="2436" spans="1:17" x14ac:dyDescent="0.45">
      <c r="A2436" t="s">
        <v>3254</v>
      </c>
      <c r="B2436" t="s">
        <v>109</v>
      </c>
      <c r="C2436" t="s">
        <v>456</v>
      </c>
      <c r="D2436" t="s">
        <v>85</v>
      </c>
      <c r="E2436" s="8">
        <v>1568.72</v>
      </c>
      <c r="F2436" s="9">
        <v>45331.666684444448</v>
      </c>
      <c r="H2436" t="s">
        <v>133</v>
      </c>
      <c r="I2436" t="s">
        <v>112</v>
      </c>
      <c r="J2436" t="str">
        <f t="shared" si="304"/>
        <v/>
      </c>
      <c r="K2436" t="str">
        <f t="shared" si="305"/>
        <v/>
      </c>
      <c r="L2436" t="str">
        <f t="shared" si="306"/>
        <v/>
      </c>
      <c r="M2436" t="str">
        <f t="shared" si="307"/>
        <v>Invalid</v>
      </c>
      <c r="N2436" t="str">
        <f t="shared" si="308"/>
        <v>Invalid</v>
      </c>
      <c r="O2436" t="str">
        <f t="shared" ca="1" si="309"/>
        <v>Outdated</v>
      </c>
      <c r="P2436" t="str">
        <f t="shared" si="310"/>
        <v>Late Delivery</v>
      </c>
      <c r="Q2436" t="str">
        <f t="shared" si="311"/>
        <v/>
      </c>
    </row>
    <row r="2437" spans="1:17" x14ac:dyDescent="0.45">
      <c r="A2437" t="s">
        <v>3255</v>
      </c>
      <c r="B2437" t="s">
        <v>172</v>
      </c>
      <c r="C2437" t="s">
        <v>1927</v>
      </c>
      <c r="E2437" s="8">
        <v>3044.75</v>
      </c>
      <c r="F2437" s="9">
        <v>45744.666684444448</v>
      </c>
      <c r="G2437" t="s">
        <v>174</v>
      </c>
      <c r="H2437" t="s">
        <v>136</v>
      </c>
      <c r="I2437" t="s">
        <v>82</v>
      </c>
      <c r="J2437" t="str">
        <f t="shared" si="304"/>
        <v>Missing</v>
      </c>
      <c r="K2437" t="str">
        <f t="shared" si="305"/>
        <v/>
      </c>
      <c r="L2437" t="str">
        <f t="shared" si="306"/>
        <v/>
      </c>
      <c r="M2437" t="str">
        <f t="shared" si="307"/>
        <v/>
      </c>
      <c r="N2437" t="str">
        <f t="shared" si="308"/>
        <v>Invalid</v>
      </c>
      <c r="O2437" t="str">
        <f t="shared" ca="1" si="309"/>
        <v>Outdated</v>
      </c>
      <c r="P2437" t="str">
        <f t="shared" si="310"/>
        <v/>
      </c>
      <c r="Q2437" t="str">
        <f t="shared" si="311"/>
        <v/>
      </c>
    </row>
    <row r="2438" spans="1:17" x14ac:dyDescent="0.45">
      <c r="A2438" t="s">
        <v>3256</v>
      </c>
      <c r="B2438" t="s">
        <v>72</v>
      </c>
      <c r="C2438" t="s">
        <v>1310</v>
      </c>
      <c r="D2438" t="s">
        <v>148</v>
      </c>
      <c r="E2438" s="8">
        <v>842.85</v>
      </c>
      <c r="F2438" s="9">
        <v>45649.666684444448</v>
      </c>
      <c r="G2438" t="s">
        <v>75</v>
      </c>
      <c r="H2438" t="s">
        <v>87</v>
      </c>
      <c r="I2438" t="s">
        <v>163</v>
      </c>
      <c r="J2438" t="str">
        <f t="shared" si="304"/>
        <v/>
      </c>
      <c r="K2438" t="str">
        <f t="shared" si="305"/>
        <v/>
      </c>
      <c r="L2438" t="str">
        <f t="shared" si="306"/>
        <v/>
      </c>
      <c r="M2438" t="str">
        <f t="shared" si="307"/>
        <v/>
      </c>
      <c r="N2438" t="str">
        <f t="shared" si="308"/>
        <v>Invalid</v>
      </c>
      <c r="O2438" t="str">
        <f t="shared" ca="1" si="309"/>
        <v>Outdated</v>
      </c>
      <c r="P2438" t="str">
        <f t="shared" si="310"/>
        <v>Wrong Item</v>
      </c>
      <c r="Q2438" t="str">
        <f t="shared" si="311"/>
        <v>Inconsistent</v>
      </c>
    </row>
    <row r="2439" spans="1:17" x14ac:dyDescent="0.45">
      <c r="A2439" t="s">
        <v>3257</v>
      </c>
      <c r="B2439" t="s">
        <v>138</v>
      </c>
      <c r="C2439" t="s">
        <v>1818</v>
      </c>
      <c r="D2439" t="s">
        <v>85</v>
      </c>
      <c r="E2439" s="8">
        <v>2099.35</v>
      </c>
      <c r="F2439" s="9">
        <v>45539.666684444448</v>
      </c>
      <c r="G2439" t="s">
        <v>140</v>
      </c>
      <c r="H2439" t="s">
        <v>107</v>
      </c>
      <c r="I2439" t="s">
        <v>163</v>
      </c>
      <c r="J2439" t="str">
        <f t="shared" si="304"/>
        <v/>
      </c>
      <c r="K2439" t="str">
        <f t="shared" si="305"/>
        <v/>
      </c>
      <c r="L2439" t="str">
        <f t="shared" si="306"/>
        <v/>
      </c>
      <c r="M2439" t="str">
        <f t="shared" si="307"/>
        <v/>
      </c>
      <c r="N2439" t="str">
        <f t="shared" si="308"/>
        <v/>
      </c>
      <c r="O2439" t="str">
        <f t="shared" ca="1" si="309"/>
        <v>Outdated</v>
      </c>
      <c r="P2439" t="str">
        <f t="shared" si="310"/>
        <v>Late Delivery</v>
      </c>
      <c r="Q2439" t="str">
        <f t="shared" si="311"/>
        <v/>
      </c>
    </row>
    <row r="2440" spans="1:17" x14ac:dyDescent="0.45">
      <c r="A2440" t="s">
        <v>3258</v>
      </c>
      <c r="B2440" t="s">
        <v>138</v>
      </c>
      <c r="C2440" t="s">
        <v>1141</v>
      </c>
      <c r="D2440" t="s">
        <v>92</v>
      </c>
      <c r="E2440" s="8">
        <v>10028.31</v>
      </c>
      <c r="F2440" s="9">
        <v>45640.666684444448</v>
      </c>
      <c r="G2440" t="s">
        <v>140</v>
      </c>
      <c r="I2440" t="s">
        <v>77</v>
      </c>
      <c r="J2440" t="str">
        <f t="shared" si="304"/>
        <v/>
      </c>
      <c r="K2440" t="str">
        <f t="shared" si="305"/>
        <v/>
      </c>
      <c r="L2440" t="str">
        <f t="shared" si="306"/>
        <v>Unusual</v>
      </c>
      <c r="M2440" t="str">
        <f t="shared" si="307"/>
        <v/>
      </c>
      <c r="N2440" t="str">
        <f t="shared" si="308"/>
        <v>Invalid</v>
      </c>
      <c r="O2440" t="str">
        <f t="shared" ca="1" si="309"/>
        <v>Outdated</v>
      </c>
      <c r="P2440" t="str">
        <f t="shared" si="310"/>
        <v>Not As Described</v>
      </c>
      <c r="Q2440" t="str">
        <f t="shared" si="311"/>
        <v/>
      </c>
    </row>
    <row r="2441" spans="1:17" x14ac:dyDescent="0.45">
      <c r="A2441" t="s">
        <v>3259</v>
      </c>
      <c r="B2441" t="s">
        <v>172</v>
      </c>
      <c r="C2441" t="s">
        <v>1614</v>
      </c>
      <c r="D2441" t="s">
        <v>101</v>
      </c>
      <c r="E2441" s="8">
        <v>9035.31</v>
      </c>
      <c r="F2441" s="9">
        <v>45169.666684444448</v>
      </c>
      <c r="G2441" t="s">
        <v>174</v>
      </c>
      <c r="H2441" t="s">
        <v>76</v>
      </c>
      <c r="I2441" t="s">
        <v>82</v>
      </c>
      <c r="J2441" t="str">
        <f t="shared" si="304"/>
        <v/>
      </c>
      <c r="K2441" t="str">
        <f t="shared" si="305"/>
        <v/>
      </c>
      <c r="L2441" t="str">
        <f t="shared" si="306"/>
        <v/>
      </c>
      <c r="M2441" t="str">
        <f t="shared" si="307"/>
        <v/>
      </c>
      <c r="N2441" t="str">
        <f t="shared" si="308"/>
        <v/>
      </c>
      <c r="O2441" t="str">
        <f t="shared" ca="1" si="309"/>
        <v>Outdated</v>
      </c>
      <c r="P2441" t="str">
        <f t="shared" si="310"/>
        <v>Damaged</v>
      </c>
      <c r="Q2441" t="str">
        <f t="shared" si="311"/>
        <v/>
      </c>
    </row>
    <row r="2442" spans="1:17" x14ac:dyDescent="0.45">
      <c r="A2442" t="s">
        <v>3260</v>
      </c>
      <c r="B2442" t="s">
        <v>138</v>
      </c>
      <c r="C2442" t="s">
        <v>1007</v>
      </c>
      <c r="D2442" t="s">
        <v>101</v>
      </c>
      <c r="E2442" s="8">
        <v>10688.95</v>
      </c>
      <c r="F2442" s="9">
        <v>45174.666684444448</v>
      </c>
      <c r="G2442" t="s">
        <v>140</v>
      </c>
      <c r="H2442" t="s">
        <v>116</v>
      </c>
      <c r="I2442" t="s">
        <v>112</v>
      </c>
      <c r="J2442" t="str">
        <f t="shared" si="304"/>
        <v/>
      </c>
      <c r="K2442" t="str">
        <f t="shared" si="305"/>
        <v/>
      </c>
      <c r="L2442" t="str">
        <f t="shared" si="306"/>
        <v>Unusual</v>
      </c>
      <c r="M2442" t="str">
        <f t="shared" si="307"/>
        <v/>
      </c>
      <c r="N2442" t="str">
        <f t="shared" si="308"/>
        <v/>
      </c>
      <c r="O2442" t="str">
        <f t="shared" ca="1" si="309"/>
        <v>Outdated</v>
      </c>
      <c r="P2442" t="str">
        <f t="shared" si="310"/>
        <v>Damaged</v>
      </c>
      <c r="Q2442" t="str">
        <f t="shared" si="311"/>
        <v/>
      </c>
    </row>
    <row r="2443" spans="1:17" x14ac:dyDescent="0.45">
      <c r="A2443" t="s">
        <v>3261</v>
      </c>
      <c r="B2443" t="s">
        <v>72</v>
      </c>
      <c r="C2443" t="s">
        <v>827</v>
      </c>
      <c r="D2443" t="s">
        <v>74</v>
      </c>
      <c r="E2443" s="8">
        <v>11010.22</v>
      </c>
      <c r="F2443" s="9">
        <v>45167.666684444448</v>
      </c>
      <c r="G2443" t="s">
        <v>75</v>
      </c>
      <c r="H2443" t="s">
        <v>118</v>
      </c>
      <c r="I2443" t="s">
        <v>112</v>
      </c>
      <c r="J2443" t="str">
        <f t="shared" si="304"/>
        <v/>
      </c>
      <c r="K2443" t="str">
        <f t="shared" si="305"/>
        <v/>
      </c>
      <c r="L2443" t="str">
        <f t="shared" si="306"/>
        <v>Unusual</v>
      </c>
      <c r="M2443" t="str">
        <f t="shared" si="307"/>
        <v/>
      </c>
      <c r="N2443" t="str">
        <f t="shared" si="308"/>
        <v>Invalid</v>
      </c>
      <c r="O2443" t="str">
        <f t="shared" ca="1" si="309"/>
        <v>Outdated</v>
      </c>
      <c r="P2443" t="str">
        <f t="shared" si="310"/>
        <v>Wrong Item</v>
      </c>
      <c r="Q2443" t="str">
        <f t="shared" si="311"/>
        <v/>
      </c>
    </row>
    <row r="2444" spans="1:17" x14ac:dyDescent="0.45">
      <c r="A2444" t="s">
        <v>3262</v>
      </c>
      <c r="B2444" t="s">
        <v>109</v>
      </c>
      <c r="C2444" t="s">
        <v>2653</v>
      </c>
      <c r="D2444" t="s">
        <v>85</v>
      </c>
      <c r="E2444" s="8">
        <v>6071.59</v>
      </c>
      <c r="F2444" s="9">
        <v>45268.666684444448</v>
      </c>
      <c r="G2444" t="s">
        <v>111</v>
      </c>
      <c r="H2444" t="s">
        <v>116</v>
      </c>
      <c r="I2444" t="s">
        <v>77</v>
      </c>
      <c r="J2444" t="str">
        <f t="shared" si="304"/>
        <v/>
      </c>
      <c r="K2444" t="str">
        <f t="shared" si="305"/>
        <v/>
      </c>
      <c r="L2444" t="str">
        <f t="shared" si="306"/>
        <v/>
      </c>
      <c r="M2444" t="str">
        <f t="shared" si="307"/>
        <v/>
      </c>
      <c r="N2444" t="str">
        <f t="shared" si="308"/>
        <v/>
      </c>
      <c r="O2444" t="str">
        <f t="shared" ca="1" si="309"/>
        <v>Outdated</v>
      </c>
      <c r="P2444" t="str">
        <f t="shared" si="310"/>
        <v>Late Delivery</v>
      </c>
      <c r="Q2444" t="str">
        <f t="shared" si="311"/>
        <v/>
      </c>
    </row>
    <row r="2445" spans="1:17" x14ac:dyDescent="0.45">
      <c r="A2445" t="s">
        <v>3263</v>
      </c>
      <c r="B2445" t="s">
        <v>90</v>
      </c>
      <c r="C2445" t="s">
        <v>1249</v>
      </c>
      <c r="D2445" t="s">
        <v>101</v>
      </c>
      <c r="E2445" s="8">
        <v>6537.44</v>
      </c>
      <c r="F2445" s="9">
        <v>45858.666684444448</v>
      </c>
      <c r="G2445" t="s">
        <v>93</v>
      </c>
      <c r="H2445" t="s">
        <v>128</v>
      </c>
      <c r="I2445" t="s">
        <v>112</v>
      </c>
      <c r="J2445" t="str">
        <f t="shared" si="304"/>
        <v/>
      </c>
      <c r="K2445" t="str">
        <f t="shared" si="305"/>
        <v/>
      </c>
      <c r="L2445" t="str">
        <f t="shared" si="306"/>
        <v/>
      </c>
      <c r="M2445" t="str">
        <f t="shared" si="307"/>
        <v/>
      </c>
      <c r="N2445" t="str">
        <f t="shared" si="308"/>
        <v>Invalid</v>
      </c>
      <c r="O2445" t="str">
        <f t="shared" ca="1" si="309"/>
        <v/>
      </c>
      <c r="P2445" t="str">
        <f t="shared" si="310"/>
        <v>Damaged</v>
      </c>
      <c r="Q2445" t="str">
        <f t="shared" si="311"/>
        <v/>
      </c>
    </row>
    <row r="2446" spans="1:17" x14ac:dyDescent="0.45">
      <c r="A2446" t="s">
        <v>3264</v>
      </c>
      <c r="B2446" t="s">
        <v>104</v>
      </c>
      <c r="C2446" t="s">
        <v>1094</v>
      </c>
      <c r="D2446" t="s">
        <v>74</v>
      </c>
      <c r="E2446" s="8">
        <v>10436.280000000001</v>
      </c>
      <c r="F2446" s="9">
        <v>45469.666684444448</v>
      </c>
      <c r="G2446" t="s">
        <v>115</v>
      </c>
      <c r="H2446" t="s">
        <v>76</v>
      </c>
      <c r="I2446" t="s">
        <v>163</v>
      </c>
      <c r="J2446" t="str">
        <f t="shared" si="304"/>
        <v/>
      </c>
      <c r="K2446" t="str">
        <f t="shared" si="305"/>
        <v/>
      </c>
      <c r="L2446" t="str">
        <f t="shared" si="306"/>
        <v>Unusual</v>
      </c>
      <c r="M2446" t="str">
        <f t="shared" si="307"/>
        <v/>
      </c>
      <c r="N2446" t="str">
        <f t="shared" si="308"/>
        <v/>
      </c>
      <c r="O2446" t="str">
        <f t="shared" ca="1" si="309"/>
        <v>Outdated</v>
      </c>
      <c r="P2446" t="str">
        <f t="shared" si="310"/>
        <v>Wrong Item</v>
      </c>
      <c r="Q2446" t="str">
        <f t="shared" si="311"/>
        <v/>
      </c>
    </row>
    <row r="2447" spans="1:17" x14ac:dyDescent="0.45">
      <c r="A2447" t="s">
        <v>3265</v>
      </c>
      <c r="B2447" t="s">
        <v>109</v>
      </c>
      <c r="C2447" t="s">
        <v>73</v>
      </c>
      <c r="D2447" t="s">
        <v>92</v>
      </c>
      <c r="E2447" s="8">
        <v>11923.63</v>
      </c>
      <c r="F2447" s="9">
        <v>45613.666684444448</v>
      </c>
      <c r="G2447" t="s">
        <v>111</v>
      </c>
      <c r="H2447" t="s">
        <v>87</v>
      </c>
      <c r="I2447" t="s">
        <v>88</v>
      </c>
      <c r="J2447" t="str">
        <f t="shared" si="304"/>
        <v/>
      </c>
      <c r="K2447" t="str">
        <f t="shared" si="305"/>
        <v/>
      </c>
      <c r="L2447" t="str">
        <f t="shared" si="306"/>
        <v>Unusual</v>
      </c>
      <c r="M2447" t="str">
        <f t="shared" si="307"/>
        <v/>
      </c>
      <c r="N2447" t="str">
        <f t="shared" si="308"/>
        <v>Invalid</v>
      </c>
      <c r="O2447" t="str">
        <f t="shared" ca="1" si="309"/>
        <v>Outdated</v>
      </c>
      <c r="P2447" t="str">
        <f t="shared" si="310"/>
        <v>Not As Described</v>
      </c>
      <c r="Q2447" t="str">
        <f t="shared" si="311"/>
        <v/>
      </c>
    </row>
    <row r="2448" spans="1:17" x14ac:dyDescent="0.45">
      <c r="A2448" t="s">
        <v>3266</v>
      </c>
      <c r="B2448" t="s">
        <v>95</v>
      </c>
      <c r="C2448" t="s">
        <v>1290</v>
      </c>
      <c r="D2448" t="s">
        <v>92</v>
      </c>
      <c r="E2448" s="8">
        <v>0</v>
      </c>
      <c r="F2448" s="9">
        <v>45659.666684444448</v>
      </c>
      <c r="G2448" t="s">
        <v>97</v>
      </c>
      <c r="H2448" t="s">
        <v>81</v>
      </c>
      <c r="I2448" t="s">
        <v>112</v>
      </c>
      <c r="J2448" t="str">
        <f t="shared" si="304"/>
        <v/>
      </c>
      <c r="K2448" t="str">
        <f t="shared" si="305"/>
        <v/>
      </c>
      <c r="L2448" t="str">
        <f t="shared" si="306"/>
        <v>Unusual</v>
      </c>
      <c r="M2448" t="str">
        <f t="shared" si="307"/>
        <v/>
      </c>
      <c r="N2448" t="str">
        <f t="shared" si="308"/>
        <v/>
      </c>
      <c r="O2448" t="str">
        <f t="shared" ca="1" si="309"/>
        <v>Outdated</v>
      </c>
      <c r="P2448" t="str">
        <f t="shared" si="310"/>
        <v>Not As Described</v>
      </c>
      <c r="Q2448" t="str">
        <f t="shared" si="311"/>
        <v/>
      </c>
    </row>
    <row r="2449" spans="1:17" x14ac:dyDescent="0.45">
      <c r="A2449" t="s">
        <v>3267</v>
      </c>
      <c r="B2449" t="s">
        <v>95</v>
      </c>
      <c r="C2449" t="s">
        <v>749</v>
      </c>
      <c r="D2449" t="s">
        <v>101</v>
      </c>
      <c r="E2449" s="8">
        <v>10525.9</v>
      </c>
      <c r="F2449" s="9">
        <v>45595.666684444448</v>
      </c>
      <c r="G2449" t="s">
        <v>97</v>
      </c>
      <c r="H2449" t="s">
        <v>87</v>
      </c>
      <c r="I2449" t="s">
        <v>119</v>
      </c>
      <c r="J2449" t="str">
        <f t="shared" si="304"/>
        <v/>
      </c>
      <c r="K2449" t="str">
        <f t="shared" si="305"/>
        <v/>
      </c>
      <c r="L2449" t="str">
        <f t="shared" si="306"/>
        <v>Unusual</v>
      </c>
      <c r="M2449" t="str">
        <f t="shared" si="307"/>
        <v/>
      </c>
      <c r="N2449" t="str">
        <f t="shared" si="308"/>
        <v>Invalid</v>
      </c>
      <c r="O2449" t="str">
        <f t="shared" ca="1" si="309"/>
        <v>Outdated</v>
      </c>
      <c r="P2449" t="str">
        <f t="shared" si="310"/>
        <v>Damaged</v>
      </c>
      <c r="Q2449" t="str">
        <f t="shared" si="311"/>
        <v/>
      </c>
    </row>
    <row r="2450" spans="1:17" x14ac:dyDescent="0.45">
      <c r="A2450" t="s">
        <v>3268</v>
      </c>
      <c r="B2450" t="s">
        <v>109</v>
      </c>
      <c r="C2450" t="s">
        <v>2233</v>
      </c>
      <c r="D2450" t="s">
        <v>74</v>
      </c>
      <c r="E2450" s="8">
        <v>5595.64</v>
      </c>
      <c r="F2450" s="9">
        <v>45280.666684444448</v>
      </c>
      <c r="G2450" t="s">
        <v>111</v>
      </c>
      <c r="H2450" t="s">
        <v>128</v>
      </c>
      <c r="I2450" t="s">
        <v>88</v>
      </c>
      <c r="J2450" t="str">
        <f t="shared" si="304"/>
        <v/>
      </c>
      <c r="K2450" t="str">
        <f t="shared" si="305"/>
        <v/>
      </c>
      <c r="L2450" t="str">
        <f t="shared" si="306"/>
        <v/>
      </c>
      <c r="M2450" t="str">
        <f t="shared" si="307"/>
        <v/>
      </c>
      <c r="N2450" t="str">
        <f t="shared" si="308"/>
        <v>Invalid</v>
      </c>
      <c r="O2450" t="str">
        <f t="shared" ca="1" si="309"/>
        <v>Outdated</v>
      </c>
      <c r="P2450" t="str">
        <f t="shared" si="310"/>
        <v>Wrong Item</v>
      </c>
      <c r="Q2450" t="str">
        <f t="shared" si="311"/>
        <v/>
      </c>
    </row>
    <row r="2451" spans="1:17" x14ac:dyDescent="0.45">
      <c r="A2451" t="s">
        <v>3269</v>
      </c>
      <c r="B2451" t="s">
        <v>72</v>
      </c>
      <c r="C2451" t="s">
        <v>1247</v>
      </c>
      <c r="D2451" t="s">
        <v>101</v>
      </c>
      <c r="E2451" s="8">
        <v>6261.88</v>
      </c>
      <c r="F2451" s="9">
        <v>45748.666684444448</v>
      </c>
      <c r="G2451" t="s">
        <v>75</v>
      </c>
      <c r="H2451" t="s">
        <v>128</v>
      </c>
      <c r="I2451" t="s">
        <v>119</v>
      </c>
      <c r="J2451" t="str">
        <f t="shared" si="304"/>
        <v/>
      </c>
      <c r="K2451" t="str">
        <f t="shared" si="305"/>
        <v/>
      </c>
      <c r="L2451" t="str">
        <f t="shared" si="306"/>
        <v/>
      </c>
      <c r="M2451" t="str">
        <f t="shared" si="307"/>
        <v/>
      </c>
      <c r="N2451" t="str">
        <f t="shared" si="308"/>
        <v>Invalid</v>
      </c>
      <c r="O2451" t="str">
        <f t="shared" ca="1" si="309"/>
        <v>Outdated</v>
      </c>
      <c r="P2451" t="str">
        <f t="shared" si="310"/>
        <v>Damaged</v>
      </c>
      <c r="Q2451" t="str">
        <f t="shared" si="311"/>
        <v/>
      </c>
    </row>
    <row r="2452" spans="1:17" x14ac:dyDescent="0.45">
      <c r="A2452" t="s">
        <v>2964</v>
      </c>
      <c r="B2452" t="s">
        <v>104</v>
      </c>
      <c r="C2452" t="s">
        <v>563</v>
      </c>
      <c r="D2452" t="s">
        <v>101</v>
      </c>
      <c r="E2452" s="8">
        <v>10704.36</v>
      </c>
      <c r="F2452" s="9">
        <v>45655.666684444448</v>
      </c>
      <c r="G2452" t="s">
        <v>115</v>
      </c>
      <c r="H2452" t="s">
        <v>128</v>
      </c>
      <c r="I2452" t="s">
        <v>77</v>
      </c>
      <c r="J2452" t="str">
        <f t="shared" si="304"/>
        <v/>
      </c>
      <c r="K2452" t="str">
        <f t="shared" si="305"/>
        <v>Duplicate</v>
      </c>
      <c r="L2452" t="str">
        <f t="shared" si="306"/>
        <v>Unusual</v>
      </c>
      <c r="M2452" t="str">
        <f t="shared" si="307"/>
        <v/>
      </c>
      <c r="N2452" t="str">
        <f t="shared" si="308"/>
        <v>Invalid</v>
      </c>
      <c r="O2452" t="str">
        <f t="shared" ca="1" si="309"/>
        <v>Outdated</v>
      </c>
      <c r="P2452" t="str">
        <f t="shared" si="310"/>
        <v>Damaged</v>
      </c>
      <c r="Q2452" t="str">
        <f t="shared" si="311"/>
        <v/>
      </c>
    </row>
    <row r="2453" spans="1:17" x14ac:dyDescent="0.45">
      <c r="A2453" t="s">
        <v>3270</v>
      </c>
      <c r="B2453" t="s">
        <v>90</v>
      </c>
      <c r="C2453" t="s">
        <v>645</v>
      </c>
      <c r="D2453" t="s">
        <v>92</v>
      </c>
      <c r="E2453" s="8">
        <v>0</v>
      </c>
      <c r="F2453" s="9">
        <v>45271.666684444448</v>
      </c>
      <c r="G2453" t="s">
        <v>93</v>
      </c>
      <c r="H2453" t="s">
        <v>133</v>
      </c>
      <c r="I2453" t="s">
        <v>77</v>
      </c>
      <c r="J2453" t="str">
        <f t="shared" si="304"/>
        <v/>
      </c>
      <c r="K2453" t="str">
        <f t="shared" si="305"/>
        <v/>
      </c>
      <c r="L2453" t="str">
        <f t="shared" si="306"/>
        <v>Unusual</v>
      </c>
      <c r="M2453" t="str">
        <f t="shared" si="307"/>
        <v/>
      </c>
      <c r="N2453" t="str">
        <f t="shared" si="308"/>
        <v>Invalid</v>
      </c>
      <c r="O2453" t="str">
        <f t="shared" ca="1" si="309"/>
        <v>Outdated</v>
      </c>
      <c r="P2453" t="str">
        <f t="shared" si="310"/>
        <v>Not As Described</v>
      </c>
      <c r="Q2453" t="str">
        <f t="shared" si="311"/>
        <v/>
      </c>
    </row>
    <row r="2454" spans="1:17" x14ac:dyDescent="0.45">
      <c r="A2454" t="s">
        <v>3271</v>
      </c>
      <c r="B2454" t="s">
        <v>138</v>
      </c>
      <c r="C2454" t="s">
        <v>2949</v>
      </c>
      <c r="D2454" t="s">
        <v>101</v>
      </c>
      <c r="E2454" s="8">
        <v>606.24</v>
      </c>
      <c r="F2454" s="9">
        <v>45463.666684444448</v>
      </c>
      <c r="G2454" t="s">
        <v>140</v>
      </c>
      <c r="H2454" t="s">
        <v>116</v>
      </c>
      <c r="I2454" t="s">
        <v>119</v>
      </c>
      <c r="J2454" t="str">
        <f t="shared" si="304"/>
        <v/>
      </c>
      <c r="K2454" t="str">
        <f t="shared" si="305"/>
        <v/>
      </c>
      <c r="L2454" t="str">
        <f t="shared" si="306"/>
        <v/>
      </c>
      <c r="M2454" t="str">
        <f t="shared" si="307"/>
        <v/>
      </c>
      <c r="N2454" t="str">
        <f t="shared" si="308"/>
        <v/>
      </c>
      <c r="O2454" t="str">
        <f t="shared" ca="1" si="309"/>
        <v>Outdated</v>
      </c>
      <c r="P2454" t="str">
        <f t="shared" si="310"/>
        <v>Damaged</v>
      </c>
      <c r="Q2454" t="str">
        <f t="shared" si="311"/>
        <v/>
      </c>
    </row>
    <row r="2455" spans="1:17" x14ac:dyDescent="0.45">
      <c r="A2455" t="s">
        <v>3272</v>
      </c>
      <c r="B2455" t="s">
        <v>95</v>
      </c>
      <c r="C2455" t="s">
        <v>2557</v>
      </c>
      <c r="D2455" t="s">
        <v>92</v>
      </c>
      <c r="E2455" s="8">
        <v>860.15</v>
      </c>
      <c r="F2455" s="9">
        <v>45755.666684444448</v>
      </c>
      <c r="G2455" t="s">
        <v>97</v>
      </c>
      <c r="H2455" t="s">
        <v>128</v>
      </c>
      <c r="I2455" t="s">
        <v>112</v>
      </c>
      <c r="J2455" t="str">
        <f t="shared" si="304"/>
        <v/>
      </c>
      <c r="K2455" t="str">
        <f t="shared" si="305"/>
        <v/>
      </c>
      <c r="L2455" t="str">
        <f t="shared" si="306"/>
        <v/>
      </c>
      <c r="M2455" t="str">
        <f t="shared" si="307"/>
        <v/>
      </c>
      <c r="N2455" t="str">
        <f t="shared" si="308"/>
        <v>Invalid</v>
      </c>
      <c r="O2455" t="str">
        <f t="shared" ca="1" si="309"/>
        <v>Outdated</v>
      </c>
      <c r="P2455" t="str">
        <f t="shared" si="310"/>
        <v>Not As Described</v>
      </c>
      <c r="Q2455" t="str">
        <f t="shared" si="311"/>
        <v/>
      </c>
    </row>
    <row r="2456" spans="1:17" x14ac:dyDescent="0.45">
      <c r="A2456" t="s">
        <v>3273</v>
      </c>
      <c r="B2456" t="s">
        <v>95</v>
      </c>
      <c r="D2456" t="s">
        <v>148</v>
      </c>
      <c r="E2456" s="8">
        <v>407.66</v>
      </c>
      <c r="F2456" s="9">
        <v>45454.666684444448</v>
      </c>
      <c r="G2456" t="s">
        <v>336</v>
      </c>
      <c r="I2456" t="s">
        <v>119</v>
      </c>
      <c r="J2456" t="str">
        <f t="shared" si="304"/>
        <v>Missing</v>
      </c>
      <c r="K2456" t="str">
        <f t="shared" si="305"/>
        <v/>
      </c>
      <c r="L2456" t="str">
        <f t="shared" si="306"/>
        <v/>
      </c>
      <c r="M2456" t="str">
        <f t="shared" si="307"/>
        <v>Invalid</v>
      </c>
      <c r="N2456" t="str">
        <f t="shared" si="308"/>
        <v>Invalid</v>
      </c>
      <c r="O2456" t="str">
        <f t="shared" ca="1" si="309"/>
        <v>Outdated</v>
      </c>
      <c r="P2456" t="str">
        <f t="shared" si="310"/>
        <v>Wrong Item</v>
      </c>
      <c r="Q2456" t="str">
        <f t="shared" si="311"/>
        <v>Inconsistent</v>
      </c>
    </row>
    <row r="2457" spans="1:17" x14ac:dyDescent="0.45">
      <c r="A2457" t="s">
        <v>3274</v>
      </c>
      <c r="B2457" t="s">
        <v>95</v>
      </c>
      <c r="C2457" t="s">
        <v>992</v>
      </c>
      <c r="D2457" t="s">
        <v>74</v>
      </c>
      <c r="E2457" s="8">
        <v>5591.33</v>
      </c>
      <c r="F2457" s="9">
        <v>45294.666684444448</v>
      </c>
      <c r="G2457" t="s">
        <v>97</v>
      </c>
      <c r="H2457" t="s">
        <v>128</v>
      </c>
      <c r="I2457" t="s">
        <v>112</v>
      </c>
      <c r="J2457" t="str">
        <f t="shared" si="304"/>
        <v/>
      </c>
      <c r="K2457" t="str">
        <f t="shared" si="305"/>
        <v/>
      </c>
      <c r="L2457" t="str">
        <f t="shared" si="306"/>
        <v/>
      </c>
      <c r="M2457" t="str">
        <f t="shared" si="307"/>
        <v/>
      </c>
      <c r="N2457" t="str">
        <f t="shared" si="308"/>
        <v>Invalid</v>
      </c>
      <c r="O2457" t="str">
        <f t="shared" ca="1" si="309"/>
        <v>Outdated</v>
      </c>
      <c r="P2457" t="str">
        <f t="shared" si="310"/>
        <v>Wrong Item</v>
      </c>
      <c r="Q2457" t="str">
        <f t="shared" si="311"/>
        <v/>
      </c>
    </row>
    <row r="2458" spans="1:17" x14ac:dyDescent="0.45">
      <c r="A2458" t="s">
        <v>3275</v>
      </c>
      <c r="B2458" t="s">
        <v>72</v>
      </c>
      <c r="C2458" t="s">
        <v>2139</v>
      </c>
      <c r="D2458" t="s">
        <v>106</v>
      </c>
      <c r="E2458" s="8">
        <v>0</v>
      </c>
      <c r="F2458" s="9">
        <v>45530.666684444448</v>
      </c>
      <c r="G2458" t="s">
        <v>75</v>
      </c>
      <c r="H2458" t="s">
        <v>136</v>
      </c>
      <c r="I2458" t="s">
        <v>119</v>
      </c>
      <c r="J2458" t="str">
        <f t="shared" si="304"/>
        <v/>
      </c>
      <c r="K2458" t="str">
        <f t="shared" si="305"/>
        <v/>
      </c>
      <c r="L2458" t="str">
        <f t="shared" si="306"/>
        <v>Unusual</v>
      </c>
      <c r="M2458" t="str">
        <f t="shared" si="307"/>
        <v/>
      </c>
      <c r="N2458" t="str">
        <f t="shared" si="308"/>
        <v>Invalid</v>
      </c>
      <c r="O2458" t="str">
        <f t="shared" ca="1" si="309"/>
        <v>Outdated</v>
      </c>
      <c r="P2458" t="str">
        <f t="shared" si="310"/>
        <v>Damaged</v>
      </c>
      <c r="Q2458" t="str">
        <f t="shared" si="311"/>
        <v>Inconsistent</v>
      </c>
    </row>
    <row r="2459" spans="1:17" x14ac:dyDescent="0.45">
      <c r="A2459" t="s">
        <v>3276</v>
      </c>
      <c r="B2459" t="s">
        <v>109</v>
      </c>
      <c r="C2459" t="s">
        <v>1552</v>
      </c>
      <c r="D2459" t="s">
        <v>101</v>
      </c>
      <c r="E2459" s="8">
        <v>5871.48</v>
      </c>
      <c r="F2459" s="9">
        <v>45759.666684444448</v>
      </c>
      <c r="G2459" t="s">
        <v>111</v>
      </c>
      <c r="H2459" t="s">
        <v>116</v>
      </c>
      <c r="I2459" t="s">
        <v>82</v>
      </c>
      <c r="J2459" t="str">
        <f t="shared" si="304"/>
        <v/>
      </c>
      <c r="K2459" t="str">
        <f t="shared" si="305"/>
        <v/>
      </c>
      <c r="L2459" t="str">
        <f t="shared" si="306"/>
        <v/>
      </c>
      <c r="M2459" t="str">
        <f t="shared" si="307"/>
        <v/>
      </c>
      <c r="N2459" t="str">
        <f t="shared" si="308"/>
        <v/>
      </c>
      <c r="O2459" t="str">
        <f t="shared" ca="1" si="309"/>
        <v>Outdated</v>
      </c>
      <c r="P2459" t="str">
        <f t="shared" si="310"/>
        <v>Damaged</v>
      </c>
      <c r="Q2459" t="str">
        <f t="shared" si="311"/>
        <v/>
      </c>
    </row>
    <row r="2460" spans="1:17" x14ac:dyDescent="0.45">
      <c r="A2460" t="s">
        <v>3277</v>
      </c>
      <c r="B2460" t="s">
        <v>104</v>
      </c>
      <c r="C2460" t="s">
        <v>315</v>
      </c>
      <c r="D2460" t="s">
        <v>101</v>
      </c>
      <c r="E2460" s="8">
        <v>188.07</v>
      </c>
      <c r="F2460" s="9">
        <v>45434.666684444448</v>
      </c>
      <c r="G2460" t="s">
        <v>115</v>
      </c>
      <c r="H2460" t="s">
        <v>145</v>
      </c>
      <c r="I2460" t="s">
        <v>163</v>
      </c>
      <c r="J2460" t="str">
        <f t="shared" si="304"/>
        <v/>
      </c>
      <c r="K2460" t="str">
        <f t="shared" si="305"/>
        <v/>
      </c>
      <c r="L2460" t="str">
        <f t="shared" si="306"/>
        <v/>
      </c>
      <c r="M2460" t="str">
        <f t="shared" si="307"/>
        <v/>
      </c>
      <c r="N2460" t="str">
        <f t="shared" si="308"/>
        <v/>
      </c>
      <c r="O2460" t="str">
        <f t="shared" ca="1" si="309"/>
        <v>Outdated</v>
      </c>
      <c r="P2460" t="str">
        <f t="shared" si="310"/>
        <v>Damaged</v>
      </c>
      <c r="Q2460" t="str">
        <f t="shared" si="311"/>
        <v/>
      </c>
    </row>
    <row r="2461" spans="1:17" x14ac:dyDescent="0.45">
      <c r="A2461" t="s">
        <v>3278</v>
      </c>
      <c r="B2461" t="s">
        <v>109</v>
      </c>
      <c r="C2461" t="s">
        <v>225</v>
      </c>
      <c r="D2461" t="s">
        <v>101</v>
      </c>
      <c r="E2461" s="8">
        <v>1027.55</v>
      </c>
      <c r="F2461" s="9">
        <v>45735.666684444448</v>
      </c>
      <c r="G2461" t="s">
        <v>111</v>
      </c>
      <c r="H2461" t="s">
        <v>136</v>
      </c>
      <c r="I2461" t="s">
        <v>88</v>
      </c>
      <c r="J2461" t="str">
        <f t="shared" si="304"/>
        <v/>
      </c>
      <c r="K2461" t="str">
        <f t="shared" si="305"/>
        <v/>
      </c>
      <c r="L2461" t="str">
        <f t="shared" si="306"/>
        <v/>
      </c>
      <c r="M2461" t="str">
        <f t="shared" si="307"/>
        <v/>
      </c>
      <c r="N2461" t="str">
        <f t="shared" si="308"/>
        <v>Invalid</v>
      </c>
      <c r="O2461" t="str">
        <f t="shared" ca="1" si="309"/>
        <v>Outdated</v>
      </c>
      <c r="P2461" t="str">
        <f t="shared" si="310"/>
        <v>Damaged</v>
      </c>
      <c r="Q2461" t="str">
        <f t="shared" si="311"/>
        <v/>
      </c>
    </row>
    <row r="2462" spans="1:17" x14ac:dyDescent="0.45">
      <c r="A2462" t="s">
        <v>3279</v>
      </c>
      <c r="B2462" t="s">
        <v>95</v>
      </c>
      <c r="C2462" t="s">
        <v>2309</v>
      </c>
      <c r="D2462" t="s">
        <v>74</v>
      </c>
      <c r="E2462" s="8">
        <v>0</v>
      </c>
      <c r="F2462" s="9">
        <v>45472.666684444448</v>
      </c>
      <c r="G2462" t="s">
        <v>97</v>
      </c>
      <c r="H2462" t="s">
        <v>116</v>
      </c>
      <c r="I2462" t="s">
        <v>88</v>
      </c>
      <c r="J2462" t="str">
        <f t="shared" si="304"/>
        <v/>
      </c>
      <c r="K2462" t="str">
        <f t="shared" si="305"/>
        <v/>
      </c>
      <c r="L2462" t="str">
        <f t="shared" si="306"/>
        <v>Unusual</v>
      </c>
      <c r="M2462" t="str">
        <f t="shared" si="307"/>
        <v/>
      </c>
      <c r="N2462" t="str">
        <f t="shared" si="308"/>
        <v/>
      </c>
      <c r="O2462" t="str">
        <f t="shared" ca="1" si="309"/>
        <v>Outdated</v>
      </c>
      <c r="P2462" t="str">
        <f t="shared" si="310"/>
        <v>Wrong Item</v>
      </c>
      <c r="Q2462" t="str">
        <f t="shared" si="311"/>
        <v/>
      </c>
    </row>
    <row r="2463" spans="1:17" x14ac:dyDescent="0.45">
      <c r="A2463" t="s">
        <v>3280</v>
      </c>
      <c r="B2463" t="s">
        <v>172</v>
      </c>
      <c r="C2463" t="s">
        <v>210</v>
      </c>
      <c r="D2463" t="s">
        <v>74</v>
      </c>
      <c r="E2463" s="8">
        <v>7565.5</v>
      </c>
      <c r="F2463" s="9">
        <v>45647.666684444448</v>
      </c>
      <c r="G2463" t="s">
        <v>174</v>
      </c>
      <c r="H2463" t="s">
        <v>76</v>
      </c>
      <c r="I2463" t="s">
        <v>119</v>
      </c>
      <c r="J2463" t="str">
        <f t="shared" si="304"/>
        <v/>
      </c>
      <c r="K2463" t="str">
        <f t="shared" si="305"/>
        <v/>
      </c>
      <c r="L2463" t="str">
        <f t="shared" si="306"/>
        <v/>
      </c>
      <c r="M2463" t="str">
        <f t="shared" si="307"/>
        <v/>
      </c>
      <c r="N2463" t="str">
        <f t="shared" si="308"/>
        <v/>
      </c>
      <c r="O2463" t="str">
        <f t="shared" ca="1" si="309"/>
        <v>Outdated</v>
      </c>
      <c r="P2463" t="str">
        <f t="shared" si="310"/>
        <v>Wrong Item</v>
      </c>
      <c r="Q2463" t="str">
        <f t="shared" si="311"/>
        <v/>
      </c>
    </row>
    <row r="2464" spans="1:17" x14ac:dyDescent="0.45">
      <c r="A2464" t="s">
        <v>583</v>
      </c>
      <c r="B2464" t="s">
        <v>72</v>
      </c>
      <c r="C2464" t="s">
        <v>731</v>
      </c>
      <c r="D2464" t="s">
        <v>101</v>
      </c>
      <c r="E2464" s="8">
        <v>827.85</v>
      </c>
      <c r="F2464" s="9">
        <v>45649.666684444448</v>
      </c>
      <c r="G2464" t="s">
        <v>75</v>
      </c>
      <c r="I2464" t="s">
        <v>82</v>
      </c>
      <c r="J2464" t="str">
        <f t="shared" si="304"/>
        <v/>
      </c>
      <c r="K2464" t="str">
        <f t="shared" si="305"/>
        <v>Duplicate</v>
      </c>
      <c r="L2464" t="str">
        <f t="shared" si="306"/>
        <v/>
      </c>
      <c r="M2464" t="str">
        <f t="shared" si="307"/>
        <v/>
      </c>
      <c r="N2464" t="str">
        <f t="shared" si="308"/>
        <v>Invalid</v>
      </c>
      <c r="O2464" t="str">
        <f t="shared" ca="1" si="309"/>
        <v>Outdated</v>
      </c>
      <c r="P2464" t="str">
        <f t="shared" si="310"/>
        <v>Damaged</v>
      </c>
      <c r="Q2464" t="str">
        <f t="shared" si="311"/>
        <v/>
      </c>
    </row>
    <row r="2465" spans="1:17" x14ac:dyDescent="0.45">
      <c r="A2465" t="s">
        <v>3281</v>
      </c>
      <c r="B2465" t="s">
        <v>90</v>
      </c>
      <c r="C2465" t="s">
        <v>123</v>
      </c>
      <c r="D2465" t="s">
        <v>92</v>
      </c>
      <c r="E2465" s="8">
        <v>10646.02</v>
      </c>
      <c r="F2465" s="9">
        <v>45673.666684444448</v>
      </c>
      <c r="G2465" t="s">
        <v>93</v>
      </c>
      <c r="H2465" t="s">
        <v>76</v>
      </c>
      <c r="I2465" t="s">
        <v>112</v>
      </c>
      <c r="J2465" t="str">
        <f t="shared" si="304"/>
        <v/>
      </c>
      <c r="K2465" t="str">
        <f t="shared" si="305"/>
        <v/>
      </c>
      <c r="L2465" t="str">
        <f t="shared" si="306"/>
        <v>Unusual</v>
      </c>
      <c r="M2465" t="str">
        <f t="shared" si="307"/>
        <v/>
      </c>
      <c r="N2465" t="str">
        <f t="shared" si="308"/>
        <v/>
      </c>
      <c r="O2465" t="str">
        <f t="shared" ca="1" si="309"/>
        <v>Outdated</v>
      </c>
      <c r="P2465" t="str">
        <f t="shared" si="310"/>
        <v>Not As Described</v>
      </c>
      <c r="Q2465" t="str">
        <f t="shared" si="311"/>
        <v/>
      </c>
    </row>
    <row r="2466" spans="1:17" x14ac:dyDescent="0.45">
      <c r="A2466" t="s">
        <v>3282</v>
      </c>
      <c r="B2466" t="s">
        <v>138</v>
      </c>
      <c r="C2466" t="s">
        <v>3283</v>
      </c>
      <c r="D2466" t="s">
        <v>155</v>
      </c>
      <c r="E2466" s="8">
        <v>1468.06</v>
      </c>
      <c r="F2466" s="9">
        <v>45629.666684444448</v>
      </c>
      <c r="G2466" t="s">
        <v>140</v>
      </c>
      <c r="H2466" t="s">
        <v>81</v>
      </c>
      <c r="I2466" t="s">
        <v>77</v>
      </c>
      <c r="J2466" t="str">
        <f t="shared" si="304"/>
        <v/>
      </c>
      <c r="K2466" t="str">
        <f t="shared" si="305"/>
        <v/>
      </c>
      <c r="L2466" t="str">
        <f t="shared" si="306"/>
        <v/>
      </c>
      <c r="M2466" t="str">
        <f t="shared" si="307"/>
        <v/>
      </c>
      <c r="N2466" t="str">
        <f t="shared" si="308"/>
        <v/>
      </c>
      <c r="O2466" t="str">
        <f t="shared" ca="1" si="309"/>
        <v>Outdated</v>
      </c>
      <c r="P2466" t="str">
        <f t="shared" si="310"/>
        <v>Damaged</v>
      </c>
      <c r="Q2466" t="str">
        <f t="shared" si="311"/>
        <v>Inconsistent</v>
      </c>
    </row>
    <row r="2467" spans="1:17" x14ac:dyDescent="0.45">
      <c r="A2467" t="s">
        <v>3284</v>
      </c>
      <c r="B2467" t="s">
        <v>99</v>
      </c>
      <c r="C2467" t="s">
        <v>135</v>
      </c>
      <c r="D2467" t="s">
        <v>92</v>
      </c>
      <c r="E2467" s="8">
        <v>5533.7</v>
      </c>
      <c r="F2467" s="9">
        <v>45853.666684444448</v>
      </c>
      <c r="G2467" t="s">
        <v>285</v>
      </c>
      <c r="H2467" t="s">
        <v>128</v>
      </c>
      <c r="I2467" t="s">
        <v>77</v>
      </c>
      <c r="J2467" t="str">
        <f t="shared" si="304"/>
        <v/>
      </c>
      <c r="K2467" t="str">
        <f t="shared" si="305"/>
        <v/>
      </c>
      <c r="L2467" t="str">
        <f t="shared" si="306"/>
        <v/>
      </c>
      <c r="M2467" t="str">
        <f t="shared" si="307"/>
        <v>Invalid</v>
      </c>
      <c r="N2467" t="str">
        <f t="shared" si="308"/>
        <v>Invalid</v>
      </c>
      <c r="O2467" t="str">
        <f t="shared" ca="1" si="309"/>
        <v/>
      </c>
      <c r="P2467" t="str">
        <f t="shared" si="310"/>
        <v>Not As Described</v>
      </c>
      <c r="Q2467" t="str">
        <f t="shared" si="311"/>
        <v/>
      </c>
    </row>
    <row r="2468" spans="1:17" x14ac:dyDescent="0.45">
      <c r="A2468" t="s">
        <v>3285</v>
      </c>
      <c r="B2468" t="s">
        <v>104</v>
      </c>
      <c r="C2468" t="s">
        <v>563</v>
      </c>
      <c r="D2468" t="s">
        <v>74</v>
      </c>
      <c r="E2468" s="8">
        <v>5884.3</v>
      </c>
      <c r="F2468" s="9">
        <v>45704.666684444448</v>
      </c>
      <c r="G2468" t="s">
        <v>115</v>
      </c>
      <c r="H2468" t="s">
        <v>133</v>
      </c>
      <c r="I2468" t="s">
        <v>77</v>
      </c>
      <c r="J2468" t="str">
        <f t="shared" si="304"/>
        <v/>
      </c>
      <c r="K2468" t="str">
        <f t="shared" si="305"/>
        <v/>
      </c>
      <c r="L2468" t="str">
        <f t="shared" si="306"/>
        <v/>
      </c>
      <c r="M2468" t="str">
        <f t="shared" si="307"/>
        <v/>
      </c>
      <c r="N2468" t="str">
        <f t="shared" si="308"/>
        <v>Invalid</v>
      </c>
      <c r="O2468" t="str">
        <f t="shared" ca="1" si="309"/>
        <v>Outdated</v>
      </c>
      <c r="P2468" t="str">
        <f t="shared" si="310"/>
        <v>Wrong Item</v>
      </c>
      <c r="Q2468" t="str">
        <f t="shared" si="311"/>
        <v/>
      </c>
    </row>
    <row r="2469" spans="1:17" x14ac:dyDescent="0.45">
      <c r="A2469" t="s">
        <v>3286</v>
      </c>
      <c r="B2469" t="s">
        <v>90</v>
      </c>
      <c r="C2469" t="s">
        <v>2824</v>
      </c>
      <c r="D2469" t="s">
        <v>92</v>
      </c>
      <c r="E2469" s="8">
        <v>2020.62</v>
      </c>
      <c r="F2469" s="9">
        <v>45434.666684444448</v>
      </c>
      <c r="G2469" t="s">
        <v>93</v>
      </c>
      <c r="H2469" t="s">
        <v>118</v>
      </c>
      <c r="I2469" t="s">
        <v>77</v>
      </c>
      <c r="J2469" t="str">
        <f t="shared" si="304"/>
        <v/>
      </c>
      <c r="K2469" t="str">
        <f t="shared" si="305"/>
        <v/>
      </c>
      <c r="L2469" t="str">
        <f t="shared" si="306"/>
        <v/>
      </c>
      <c r="M2469" t="str">
        <f t="shared" si="307"/>
        <v/>
      </c>
      <c r="N2469" t="str">
        <f t="shared" si="308"/>
        <v>Invalid</v>
      </c>
      <c r="O2469" t="str">
        <f t="shared" ca="1" si="309"/>
        <v>Outdated</v>
      </c>
      <c r="P2469" t="str">
        <f t="shared" si="310"/>
        <v>Not As Described</v>
      </c>
      <c r="Q2469" t="str">
        <f t="shared" si="311"/>
        <v/>
      </c>
    </row>
    <row r="2470" spans="1:17" x14ac:dyDescent="0.45">
      <c r="A2470" t="s">
        <v>3287</v>
      </c>
      <c r="B2470" t="s">
        <v>99</v>
      </c>
      <c r="C2470" t="s">
        <v>3288</v>
      </c>
      <c r="D2470" t="s">
        <v>85</v>
      </c>
      <c r="E2470" s="8">
        <v>8993.36</v>
      </c>
      <c r="F2470" s="9">
        <v>45614.666684444448</v>
      </c>
      <c r="G2470" t="s">
        <v>102</v>
      </c>
      <c r="H2470" t="s">
        <v>116</v>
      </c>
      <c r="I2470" t="s">
        <v>88</v>
      </c>
      <c r="J2470" t="str">
        <f t="shared" si="304"/>
        <v/>
      </c>
      <c r="K2470" t="str">
        <f t="shared" si="305"/>
        <v/>
      </c>
      <c r="L2470" t="str">
        <f t="shared" si="306"/>
        <v/>
      </c>
      <c r="M2470" t="str">
        <f t="shared" si="307"/>
        <v/>
      </c>
      <c r="N2470" t="str">
        <f t="shared" si="308"/>
        <v/>
      </c>
      <c r="O2470" t="str">
        <f t="shared" ca="1" si="309"/>
        <v>Outdated</v>
      </c>
      <c r="P2470" t="str">
        <f t="shared" si="310"/>
        <v>Late Delivery</v>
      </c>
      <c r="Q2470" t="str">
        <f t="shared" si="311"/>
        <v/>
      </c>
    </row>
    <row r="2471" spans="1:17" x14ac:dyDescent="0.45">
      <c r="A2471" t="s">
        <v>3289</v>
      </c>
      <c r="B2471" t="s">
        <v>90</v>
      </c>
      <c r="C2471" t="s">
        <v>1420</v>
      </c>
      <c r="E2471" s="8">
        <v>10390.11</v>
      </c>
      <c r="F2471" s="9">
        <v>45145.666684444448</v>
      </c>
      <c r="G2471" t="s">
        <v>93</v>
      </c>
      <c r="H2471" t="s">
        <v>81</v>
      </c>
      <c r="I2471" t="s">
        <v>163</v>
      </c>
      <c r="J2471" t="str">
        <f t="shared" si="304"/>
        <v>Missing</v>
      </c>
      <c r="K2471" t="str">
        <f t="shared" si="305"/>
        <v/>
      </c>
      <c r="L2471" t="str">
        <f t="shared" si="306"/>
        <v>Unusual</v>
      </c>
      <c r="M2471" t="str">
        <f t="shared" si="307"/>
        <v/>
      </c>
      <c r="N2471" t="str">
        <f t="shared" si="308"/>
        <v/>
      </c>
      <c r="O2471" t="str">
        <f t="shared" ca="1" si="309"/>
        <v>Outdated</v>
      </c>
      <c r="P2471" t="str">
        <f t="shared" si="310"/>
        <v/>
      </c>
      <c r="Q2471" t="str">
        <f t="shared" si="311"/>
        <v/>
      </c>
    </row>
    <row r="2472" spans="1:17" x14ac:dyDescent="0.45">
      <c r="A2472" t="s">
        <v>3290</v>
      </c>
      <c r="B2472" t="s">
        <v>109</v>
      </c>
      <c r="C2472" t="s">
        <v>823</v>
      </c>
      <c r="E2472" s="8">
        <v>7145.75</v>
      </c>
      <c r="F2472" s="9">
        <v>45505.666684444448</v>
      </c>
      <c r="G2472" t="s">
        <v>307</v>
      </c>
      <c r="H2472" t="s">
        <v>76</v>
      </c>
      <c r="I2472" t="s">
        <v>112</v>
      </c>
      <c r="J2472" t="str">
        <f t="shared" si="304"/>
        <v>Missing</v>
      </c>
      <c r="K2472" t="str">
        <f t="shared" si="305"/>
        <v/>
      </c>
      <c r="L2472" t="str">
        <f t="shared" si="306"/>
        <v/>
      </c>
      <c r="M2472" t="str">
        <f t="shared" si="307"/>
        <v>Invalid</v>
      </c>
      <c r="N2472" t="str">
        <f t="shared" si="308"/>
        <v/>
      </c>
      <c r="O2472" t="str">
        <f t="shared" ca="1" si="309"/>
        <v>Outdated</v>
      </c>
      <c r="P2472" t="str">
        <f t="shared" si="310"/>
        <v/>
      </c>
      <c r="Q2472" t="str">
        <f t="shared" si="311"/>
        <v/>
      </c>
    </row>
    <row r="2473" spans="1:17" x14ac:dyDescent="0.45">
      <c r="A2473" t="s">
        <v>3291</v>
      </c>
      <c r="B2473" t="s">
        <v>109</v>
      </c>
      <c r="C2473" t="s">
        <v>1215</v>
      </c>
      <c r="D2473" t="s">
        <v>148</v>
      </c>
      <c r="E2473" s="8">
        <v>5067.51</v>
      </c>
      <c r="F2473" s="9">
        <v>45467.666684444448</v>
      </c>
      <c r="G2473" t="s">
        <v>111</v>
      </c>
      <c r="I2473" t="s">
        <v>112</v>
      </c>
      <c r="J2473" t="str">
        <f t="shared" si="304"/>
        <v/>
      </c>
      <c r="K2473" t="str">
        <f t="shared" si="305"/>
        <v/>
      </c>
      <c r="L2473" t="str">
        <f t="shared" si="306"/>
        <v/>
      </c>
      <c r="M2473" t="str">
        <f t="shared" si="307"/>
        <v/>
      </c>
      <c r="N2473" t="str">
        <f t="shared" si="308"/>
        <v>Invalid</v>
      </c>
      <c r="O2473" t="str">
        <f t="shared" ca="1" si="309"/>
        <v>Outdated</v>
      </c>
      <c r="P2473" t="str">
        <f t="shared" si="310"/>
        <v>Wrong Item</v>
      </c>
      <c r="Q2473" t="str">
        <f t="shared" si="311"/>
        <v>Inconsistent</v>
      </c>
    </row>
    <row r="2474" spans="1:17" x14ac:dyDescent="0.45">
      <c r="A2474" t="s">
        <v>1079</v>
      </c>
      <c r="B2474" t="s">
        <v>95</v>
      </c>
      <c r="C2474" t="s">
        <v>3292</v>
      </c>
      <c r="D2474" t="s">
        <v>101</v>
      </c>
      <c r="E2474" s="8">
        <v>4467.3599999999997</v>
      </c>
      <c r="F2474" s="9">
        <v>45817.666684444448</v>
      </c>
      <c r="G2474" t="s">
        <v>97</v>
      </c>
      <c r="H2474" t="s">
        <v>145</v>
      </c>
      <c r="I2474" t="s">
        <v>88</v>
      </c>
      <c r="J2474" t="str">
        <f t="shared" si="304"/>
        <v/>
      </c>
      <c r="K2474" t="str">
        <f t="shared" si="305"/>
        <v>Duplicate</v>
      </c>
      <c r="L2474" t="str">
        <f t="shared" si="306"/>
        <v/>
      </c>
      <c r="M2474" t="str">
        <f t="shared" si="307"/>
        <v/>
      </c>
      <c r="N2474" t="str">
        <f t="shared" si="308"/>
        <v/>
      </c>
      <c r="O2474" t="str">
        <f t="shared" ca="1" si="309"/>
        <v>Outdated</v>
      </c>
      <c r="P2474" t="str">
        <f t="shared" si="310"/>
        <v>Damaged</v>
      </c>
      <c r="Q2474" t="str">
        <f t="shared" si="311"/>
        <v/>
      </c>
    </row>
    <row r="2475" spans="1:17" x14ac:dyDescent="0.45">
      <c r="A2475" t="s">
        <v>1484</v>
      </c>
      <c r="B2475" t="s">
        <v>79</v>
      </c>
      <c r="C2475" t="s">
        <v>344</v>
      </c>
      <c r="D2475" t="s">
        <v>92</v>
      </c>
      <c r="E2475" s="8">
        <v>3019.19</v>
      </c>
      <c r="F2475" s="9">
        <v>45240.666684444448</v>
      </c>
      <c r="G2475" t="s">
        <v>86</v>
      </c>
      <c r="H2475" t="s">
        <v>136</v>
      </c>
      <c r="I2475" t="s">
        <v>163</v>
      </c>
      <c r="J2475" t="str">
        <f t="shared" si="304"/>
        <v/>
      </c>
      <c r="K2475" t="str">
        <f t="shared" si="305"/>
        <v>Duplicate</v>
      </c>
      <c r="L2475" t="str">
        <f t="shared" si="306"/>
        <v/>
      </c>
      <c r="M2475" t="str">
        <f t="shared" si="307"/>
        <v/>
      </c>
      <c r="N2475" t="str">
        <f t="shared" si="308"/>
        <v>Invalid</v>
      </c>
      <c r="O2475" t="str">
        <f t="shared" ca="1" si="309"/>
        <v>Outdated</v>
      </c>
      <c r="P2475" t="str">
        <f t="shared" si="310"/>
        <v>Not As Described</v>
      </c>
      <c r="Q2475" t="str">
        <f t="shared" si="311"/>
        <v/>
      </c>
    </row>
    <row r="2476" spans="1:17" x14ac:dyDescent="0.45">
      <c r="A2476" t="s">
        <v>3293</v>
      </c>
      <c r="B2476" t="s">
        <v>138</v>
      </c>
      <c r="C2476" t="s">
        <v>1367</v>
      </c>
      <c r="D2476" t="s">
        <v>101</v>
      </c>
      <c r="E2476" s="8">
        <v>8648.01</v>
      </c>
      <c r="F2476" s="9">
        <v>45554.666684444448</v>
      </c>
      <c r="G2476" t="s">
        <v>140</v>
      </c>
      <c r="H2476" t="s">
        <v>76</v>
      </c>
      <c r="I2476" t="s">
        <v>88</v>
      </c>
      <c r="J2476" t="str">
        <f t="shared" si="304"/>
        <v/>
      </c>
      <c r="K2476" t="str">
        <f t="shared" si="305"/>
        <v/>
      </c>
      <c r="L2476" t="str">
        <f t="shared" si="306"/>
        <v/>
      </c>
      <c r="M2476" t="str">
        <f t="shared" si="307"/>
        <v/>
      </c>
      <c r="N2476" t="str">
        <f t="shared" si="308"/>
        <v/>
      </c>
      <c r="O2476" t="str">
        <f t="shared" ca="1" si="309"/>
        <v>Outdated</v>
      </c>
      <c r="P2476" t="str">
        <f t="shared" si="310"/>
        <v>Damaged</v>
      </c>
      <c r="Q2476" t="str">
        <f t="shared" si="311"/>
        <v/>
      </c>
    </row>
    <row r="2477" spans="1:17" x14ac:dyDescent="0.45">
      <c r="A2477" t="s">
        <v>3294</v>
      </c>
      <c r="B2477" t="s">
        <v>72</v>
      </c>
      <c r="D2477" t="s">
        <v>106</v>
      </c>
      <c r="E2477" s="8">
        <v>0</v>
      </c>
      <c r="F2477" s="9">
        <v>45725.666684444448</v>
      </c>
      <c r="G2477" t="s">
        <v>75</v>
      </c>
      <c r="H2477" t="s">
        <v>116</v>
      </c>
      <c r="I2477" t="s">
        <v>82</v>
      </c>
      <c r="J2477" t="str">
        <f t="shared" si="304"/>
        <v>Missing</v>
      </c>
      <c r="K2477" t="str">
        <f t="shared" si="305"/>
        <v/>
      </c>
      <c r="L2477" t="str">
        <f t="shared" si="306"/>
        <v>Unusual</v>
      </c>
      <c r="M2477" t="str">
        <f t="shared" si="307"/>
        <v/>
      </c>
      <c r="N2477" t="str">
        <f t="shared" si="308"/>
        <v/>
      </c>
      <c r="O2477" t="str">
        <f t="shared" ca="1" si="309"/>
        <v>Outdated</v>
      </c>
      <c r="P2477" t="str">
        <f t="shared" si="310"/>
        <v>Damaged</v>
      </c>
      <c r="Q2477" t="str">
        <f t="shared" si="311"/>
        <v>Inconsistent</v>
      </c>
    </row>
    <row r="2478" spans="1:17" x14ac:dyDescent="0.45">
      <c r="A2478" t="s">
        <v>3295</v>
      </c>
      <c r="B2478" t="s">
        <v>72</v>
      </c>
      <c r="C2478" t="s">
        <v>466</v>
      </c>
      <c r="D2478" t="s">
        <v>74</v>
      </c>
      <c r="E2478" s="8">
        <v>2656.92</v>
      </c>
      <c r="F2478" s="9">
        <v>45443.666684444448</v>
      </c>
      <c r="G2478" t="s">
        <v>75</v>
      </c>
      <c r="H2478" t="s">
        <v>128</v>
      </c>
      <c r="I2478" t="s">
        <v>82</v>
      </c>
      <c r="J2478" t="str">
        <f t="shared" si="304"/>
        <v/>
      </c>
      <c r="K2478" t="str">
        <f t="shared" si="305"/>
        <v/>
      </c>
      <c r="L2478" t="str">
        <f t="shared" si="306"/>
        <v/>
      </c>
      <c r="M2478" t="str">
        <f t="shared" si="307"/>
        <v/>
      </c>
      <c r="N2478" t="str">
        <f t="shared" si="308"/>
        <v>Invalid</v>
      </c>
      <c r="O2478" t="str">
        <f t="shared" ca="1" si="309"/>
        <v>Outdated</v>
      </c>
      <c r="P2478" t="str">
        <f t="shared" si="310"/>
        <v>Wrong Item</v>
      </c>
      <c r="Q2478" t="str">
        <f t="shared" si="311"/>
        <v/>
      </c>
    </row>
    <row r="2479" spans="1:17" x14ac:dyDescent="0.45">
      <c r="A2479" t="s">
        <v>3296</v>
      </c>
      <c r="B2479" t="s">
        <v>95</v>
      </c>
      <c r="C2479" t="s">
        <v>191</v>
      </c>
      <c r="D2479" t="s">
        <v>74</v>
      </c>
      <c r="E2479" s="8">
        <v>0</v>
      </c>
      <c r="F2479" s="9">
        <v>45832.666684444448</v>
      </c>
      <c r="G2479" t="s">
        <v>97</v>
      </c>
      <c r="H2479" t="s">
        <v>107</v>
      </c>
      <c r="I2479" t="s">
        <v>88</v>
      </c>
      <c r="J2479" t="str">
        <f t="shared" si="304"/>
        <v/>
      </c>
      <c r="K2479" t="str">
        <f t="shared" si="305"/>
        <v/>
      </c>
      <c r="L2479" t="str">
        <f t="shared" si="306"/>
        <v>Unusual</v>
      </c>
      <c r="M2479" t="str">
        <f t="shared" si="307"/>
        <v/>
      </c>
      <c r="N2479" t="str">
        <f t="shared" si="308"/>
        <v/>
      </c>
      <c r="O2479" t="str">
        <f t="shared" ca="1" si="309"/>
        <v>Outdated</v>
      </c>
      <c r="P2479" t="str">
        <f t="shared" si="310"/>
        <v>Wrong Item</v>
      </c>
      <c r="Q2479" t="str">
        <f t="shared" si="311"/>
        <v/>
      </c>
    </row>
    <row r="2480" spans="1:17" x14ac:dyDescent="0.45">
      <c r="A2480" t="s">
        <v>3297</v>
      </c>
      <c r="B2480" t="s">
        <v>109</v>
      </c>
      <c r="C2480" t="s">
        <v>1120</v>
      </c>
      <c r="D2480" t="s">
        <v>74</v>
      </c>
      <c r="E2480" s="8">
        <v>2693.67</v>
      </c>
      <c r="F2480" s="9">
        <v>45772.666684444448</v>
      </c>
      <c r="G2480" t="s">
        <v>111</v>
      </c>
      <c r="H2480" t="s">
        <v>81</v>
      </c>
      <c r="I2480" t="s">
        <v>88</v>
      </c>
      <c r="J2480" t="str">
        <f t="shared" si="304"/>
        <v/>
      </c>
      <c r="K2480" t="str">
        <f t="shared" si="305"/>
        <v/>
      </c>
      <c r="L2480" t="str">
        <f t="shared" si="306"/>
        <v/>
      </c>
      <c r="M2480" t="str">
        <f t="shared" si="307"/>
        <v/>
      </c>
      <c r="N2480" t="str">
        <f t="shared" si="308"/>
        <v/>
      </c>
      <c r="O2480" t="str">
        <f t="shared" ca="1" si="309"/>
        <v>Outdated</v>
      </c>
      <c r="P2480" t="str">
        <f t="shared" si="310"/>
        <v>Wrong Item</v>
      </c>
      <c r="Q2480" t="str">
        <f t="shared" si="311"/>
        <v/>
      </c>
    </row>
    <row r="2481" spans="1:17" x14ac:dyDescent="0.45">
      <c r="A2481" t="s">
        <v>3298</v>
      </c>
      <c r="B2481" t="s">
        <v>95</v>
      </c>
      <c r="C2481" t="s">
        <v>913</v>
      </c>
      <c r="D2481" t="s">
        <v>92</v>
      </c>
      <c r="E2481" s="8">
        <v>4288.5200000000004</v>
      </c>
      <c r="F2481" s="9">
        <v>45155.666684444448</v>
      </c>
      <c r="G2481" t="s">
        <v>336</v>
      </c>
      <c r="H2481" t="s">
        <v>116</v>
      </c>
      <c r="I2481" t="s">
        <v>112</v>
      </c>
      <c r="J2481" t="str">
        <f t="shared" si="304"/>
        <v/>
      </c>
      <c r="K2481" t="str">
        <f t="shared" si="305"/>
        <v/>
      </c>
      <c r="L2481" t="str">
        <f t="shared" si="306"/>
        <v/>
      </c>
      <c r="M2481" t="str">
        <f t="shared" si="307"/>
        <v>Invalid</v>
      </c>
      <c r="N2481" t="str">
        <f t="shared" si="308"/>
        <v/>
      </c>
      <c r="O2481" t="str">
        <f t="shared" ca="1" si="309"/>
        <v>Outdated</v>
      </c>
      <c r="P2481" t="str">
        <f t="shared" si="310"/>
        <v>Not As Described</v>
      </c>
      <c r="Q2481" t="str">
        <f t="shared" si="311"/>
        <v/>
      </c>
    </row>
    <row r="2482" spans="1:17" x14ac:dyDescent="0.45">
      <c r="A2482" t="s">
        <v>3299</v>
      </c>
      <c r="B2482" t="s">
        <v>172</v>
      </c>
      <c r="C2482" t="s">
        <v>1290</v>
      </c>
      <c r="D2482" t="s">
        <v>101</v>
      </c>
      <c r="E2482" s="8">
        <v>11562.6</v>
      </c>
      <c r="F2482" s="9">
        <v>45739.666684444448</v>
      </c>
      <c r="H2482" t="s">
        <v>116</v>
      </c>
      <c r="I2482" t="s">
        <v>119</v>
      </c>
      <c r="J2482" t="str">
        <f t="shared" si="304"/>
        <v/>
      </c>
      <c r="K2482" t="str">
        <f t="shared" si="305"/>
        <v/>
      </c>
      <c r="L2482" t="str">
        <f t="shared" si="306"/>
        <v>Unusual</v>
      </c>
      <c r="M2482" t="str">
        <f t="shared" si="307"/>
        <v>Invalid</v>
      </c>
      <c r="N2482" t="str">
        <f t="shared" si="308"/>
        <v/>
      </c>
      <c r="O2482" t="str">
        <f t="shared" ca="1" si="309"/>
        <v>Outdated</v>
      </c>
      <c r="P2482" t="str">
        <f t="shared" si="310"/>
        <v>Damaged</v>
      </c>
      <c r="Q2482" t="str">
        <f t="shared" si="311"/>
        <v/>
      </c>
    </row>
    <row r="2483" spans="1:17" x14ac:dyDescent="0.45">
      <c r="A2483" t="s">
        <v>3300</v>
      </c>
      <c r="B2483" t="s">
        <v>104</v>
      </c>
      <c r="C2483" t="s">
        <v>719</v>
      </c>
      <c r="D2483" t="s">
        <v>101</v>
      </c>
      <c r="E2483" s="8">
        <v>9541.0499999999993</v>
      </c>
      <c r="F2483" s="9">
        <v>45613.666684444448</v>
      </c>
      <c r="G2483" t="s">
        <v>115</v>
      </c>
      <c r="H2483" t="s">
        <v>128</v>
      </c>
      <c r="I2483" t="s">
        <v>163</v>
      </c>
      <c r="J2483" t="str">
        <f t="shared" si="304"/>
        <v/>
      </c>
      <c r="K2483" t="str">
        <f t="shared" si="305"/>
        <v/>
      </c>
      <c r="L2483" t="str">
        <f t="shared" si="306"/>
        <v/>
      </c>
      <c r="M2483" t="str">
        <f t="shared" si="307"/>
        <v/>
      </c>
      <c r="N2483" t="str">
        <f t="shared" si="308"/>
        <v>Invalid</v>
      </c>
      <c r="O2483" t="str">
        <f t="shared" ca="1" si="309"/>
        <v>Outdated</v>
      </c>
      <c r="P2483" t="str">
        <f t="shared" si="310"/>
        <v>Damaged</v>
      </c>
      <c r="Q2483" t="str">
        <f t="shared" si="311"/>
        <v/>
      </c>
    </row>
    <row r="2484" spans="1:17" x14ac:dyDescent="0.45">
      <c r="A2484" t="s">
        <v>3301</v>
      </c>
      <c r="B2484" t="s">
        <v>109</v>
      </c>
      <c r="C2484" t="s">
        <v>3302</v>
      </c>
      <c r="D2484" t="s">
        <v>106</v>
      </c>
      <c r="E2484" s="8">
        <v>0</v>
      </c>
      <c r="F2484" s="9">
        <v>45399.666684444448</v>
      </c>
      <c r="G2484" t="s">
        <v>111</v>
      </c>
      <c r="H2484" t="s">
        <v>107</v>
      </c>
      <c r="I2484" t="s">
        <v>163</v>
      </c>
      <c r="J2484" t="str">
        <f t="shared" si="304"/>
        <v/>
      </c>
      <c r="K2484" t="str">
        <f t="shared" si="305"/>
        <v/>
      </c>
      <c r="L2484" t="str">
        <f t="shared" si="306"/>
        <v>Unusual</v>
      </c>
      <c r="M2484" t="str">
        <f t="shared" si="307"/>
        <v/>
      </c>
      <c r="N2484" t="str">
        <f t="shared" si="308"/>
        <v/>
      </c>
      <c r="O2484" t="str">
        <f t="shared" ca="1" si="309"/>
        <v>Outdated</v>
      </c>
      <c r="P2484" t="str">
        <f t="shared" si="310"/>
        <v>Damaged</v>
      </c>
      <c r="Q2484" t="str">
        <f t="shared" si="311"/>
        <v>Inconsistent</v>
      </c>
    </row>
    <row r="2485" spans="1:17" x14ac:dyDescent="0.45">
      <c r="A2485" t="s">
        <v>3303</v>
      </c>
      <c r="B2485" t="s">
        <v>79</v>
      </c>
      <c r="C2485" t="s">
        <v>2413</v>
      </c>
      <c r="D2485" t="s">
        <v>155</v>
      </c>
      <c r="E2485" s="8">
        <v>8919.59</v>
      </c>
      <c r="F2485" s="9">
        <v>45799.666684444448</v>
      </c>
      <c r="G2485" t="s">
        <v>86</v>
      </c>
      <c r="H2485" t="s">
        <v>118</v>
      </c>
      <c r="I2485" t="s">
        <v>77</v>
      </c>
      <c r="J2485" t="str">
        <f t="shared" si="304"/>
        <v/>
      </c>
      <c r="K2485" t="str">
        <f t="shared" si="305"/>
        <v/>
      </c>
      <c r="L2485" t="str">
        <f t="shared" si="306"/>
        <v/>
      </c>
      <c r="M2485" t="str">
        <f t="shared" si="307"/>
        <v/>
      </c>
      <c r="N2485" t="str">
        <f t="shared" si="308"/>
        <v>Invalid</v>
      </c>
      <c r="O2485" t="str">
        <f t="shared" ca="1" si="309"/>
        <v>Outdated</v>
      </c>
      <c r="P2485" t="str">
        <f t="shared" si="310"/>
        <v>Damaged</v>
      </c>
      <c r="Q2485" t="str">
        <f t="shared" si="311"/>
        <v>Inconsistent</v>
      </c>
    </row>
    <row r="2486" spans="1:17" x14ac:dyDescent="0.45">
      <c r="A2486" t="s">
        <v>3304</v>
      </c>
      <c r="B2486" t="s">
        <v>172</v>
      </c>
      <c r="C2486" t="s">
        <v>177</v>
      </c>
      <c r="D2486" t="s">
        <v>101</v>
      </c>
      <c r="E2486" s="8">
        <v>734.06</v>
      </c>
      <c r="F2486" s="9">
        <v>45720.666684444448</v>
      </c>
      <c r="G2486" t="s">
        <v>236</v>
      </c>
      <c r="H2486" t="s">
        <v>128</v>
      </c>
      <c r="I2486" t="s">
        <v>163</v>
      </c>
      <c r="J2486" t="str">
        <f t="shared" si="304"/>
        <v/>
      </c>
      <c r="K2486" t="str">
        <f t="shared" si="305"/>
        <v/>
      </c>
      <c r="L2486" t="str">
        <f t="shared" si="306"/>
        <v/>
      </c>
      <c r="M2486" t="str">
        <f t="shared" si="307"/>
        <v>Invalid</v>
      </c>
      <c r="N2486" t="str">
        <f t="shared" si="308"/>
        <v>Invalid</v>
      </c>
      <c r="O2486" t="str">
        <f t="shared" ca="1" si="309"/>
        <v>Outdated</v>
      </c>
      <c r="P2486" t="str">
        <f t="shared" si="310"/>
        <v>Damaged</v>
      </c>
      <c r="Q2486" t="str">
        <f t="shared" si="311"/>
        <v/>
      </c>
    </row>
    <row r="2487" spans="1:17" x14ac:dyDescent="0.45">
      <c r="A2487" t="s">
        <v>3305</v>
      </c>
      <c r="B2487" t="s">
        <v>172</v>
      </c>
      <c r="C2487" t="s">
        <v>592</v>
      </c>
      <c r="D2487" t="s">
        <v>74</v>
      </c>
      <c r="E2487" s="8">
        <v>5302.18</v>
      </c>
      <c r="F2487" s="9">
        <v>45719.666684444448</v>
      </c>
      <c r="G2487" t="s">
        <v>174</v>
      </c>
      <c r="H2487" t="s">
        <v>76</v>
      </c>
      <c r="I2487" t="s">
        <v>119</v>
      </c>
      <c r="J2487" t="str">
        <f t="shared" si="304"/>
        <v/>
      </c>
      <c r="K2487" t="str">
        <f t="shared" si="305"/>
        <v/>
      </c>
      <c r="L2487" t="str">
        <f t="shared" si="306"/>
        <v/>
      </c>
      <c r="M2487" t="str">
        <f t="shared" si="307"/>
        <v/>
      </c>
      <c r="N2487" t="str">
        <f t="shared" si="308"/>
        <v/>
      </c>
      <c r="O2487" t="str">
        <f t="shared" ca="1" si="309"/>
        <v>Outdated</v>
      </c>
      <c r="P2487" t="str">
        <f t="shared" si="310"/>
        <v>Wrong Item</v>
      </c>
      <c r="Q2487" t="str">
        <f t="shared" si="311"/>
        <v/>
      </c>
    </row>
    <row r="2488" spans="1:17" x14ac:dyDescent="0.45">
      <c r="A2488" t="s">
        <v>3306</v>
      </c>
      <c r="B2488" t="s">
        <v>109</v>
      </c>
      <c r="C2488" t="s">
        <v>2290</v>
      </c>
      <c r="E2488" s="8">
        <v>4570.62</v>
      </c>
      <c r="F2488" s="9">
        <v>45361.666684444448</v>
      </c>
      <c r="G2488" t="s">
        <v>111</v>
      </c>
      <c r="H2488" t="s">
        <v>87</v>
      </c>
      <c r="I2488" t="s">
        <v>88</v>
      </c>
      <c r="J2488" t="str">
        <f t="shared" si="304"/>
        <v>Missing</v>
      </c>
      <c r="K2488" t="str">
        <f t="shared" si="305"/>
        <v/>
      </c>
      <c r="L2488" t="str">
        <f t="shared" si="306"/>
        <v/>
      </c>
      <c r="M2488" t="str">
        <f t="shared" si="307"/>
        <v/>
      </c>
      <c r="N2488" t="str">
        <f t="shared" si="308"/>
        <v>Invalid</v>
      </c>
      <c r="O2488" t="str">
        <f t="shared" ca="1" si="309"/>
        <v>Outdated</v>
      </c>
      <c r="P2488" t="str">
        <f t="shared" si="310"/>
        <v/>
      </c>
      <c r="Q2488" t="str">
        <f t="shared" si="311"/>
        <v/>
      </c>
    </row>
    <row r="2489" spans="1:17" x14ac:dyDescent="0.45">
      <c r="A2489" t="s">
        <v>3249</v>
      </c>
      <c r="B2489" t="s">
        <v>99</v>
      </c>
      <c r="C2489" t="s">
        <v>2464</v>
      </c>
      <c r="D2489" t="s">
        <v>155</v>
      </c>
      <c r="E2489" s="8">
        <v>5642.82</v>
      </c>
      <c r="F2489" s="9">
        <v>45180.666684444448</v>
      </c>
      <c r="G2489" t="s">
        <v>102</v>
      </c>
      <c r="H2489" t="s">
        <v>136</v>
      </c>
      <c r="I2489" t="s">
        <v>119</v>
      </c>
      <c r="J2489" t="str">
        <f t="shared" si="304"/>
        <v/>
      </c>
      <c r="K2489" t="str">
        <f t="shared" si="305"/>
        <v>Duplicate</v>
      </c>
      <c r="L2489" t="str">
        <f t="shared" si="306"/>
        <v/>
      </c>
      <c r="M2489" t="str">
        <f t="shared" si="307"/>
        <v/>
      </c>
      <c r="N2489" t="str">
        <f t="shared" si="308"/>
        <v>Invalid</v>
      </c>
      <c r="O2489" t="str">
        <f t="shared" ca="1" si="309"/>
        <v>Outdated</v>
      </c>
      <c r="P2489" t="str">
        <f t="shared" si="310"/>
        <v>Damaged</v>
      </c>
      <c r="Q2489" t="str">
        <f t="shared" si="311"/>
        <v>Inconsistent</v>
      </c>
    </row>
    <row r="2490" spans="1:17" x14ac:dyDescent="0.45">
      <c r="A2490" t="s">
        <v>3307</v>
      </c>
      <c r="B2490" t="s">
        <v>104</v>
      </c>
      <c r="C2490" t="s">
        <v>2033</v>
      </c>
      <c r="D2490" t="s">
        <v>85</v>
      </c>
      <c r="E2490" s="8">
        <v>1262.9000000000001</v>
      </c>
      <c r="F2490" s="9">
        <v>45725.666684444448</v>
      </c>
      <c r="G2490" t="s">
        <v>115</v>
      </c>
      <c r="H2490" t="s">
        <v>81</v>
      </c>
      <c r="I2490" t="s">
        <v>112</v>
      </c>
      <c r="J2490" t="str">
        <f t="shared" si="304"/>
        <v/>
      </c>
      <c r="K2490" t="str">
        <f t="shared" si="305"/>
        <v/>
      </c>
      <c r="L2490" t="str">
        <f t="shared" si="306"/>
        <v/>
      </c>
      <c r="M2490" t="str">
        <f t="shared" si="307"/>
        <v/>
      </c>
      <c r="N2490" t="str">
        <f t="shared" si="308"/>
        <v/>
      </c>
      <c r="O2490" t="str">
        <f t="shared" ca="1" si="309"/>
        <v>Outdated</v>
      </c>
      <c r="P2490" t="str">
        <f t="shared" si="310"/>
        <v>Late Delivery</v>
      </c>
      <c r="Q2490" t="str">
        <f t="shared" si="311"/>
        <v/>
      </c>
    </row>
    <row r="2491" spans="1:17" x14ac:dyDescent="0.45">
      <c r="A2491" t="s">
        <v>3308</v>
      </c>
      <c r="B2491" t="s">
        <v>104</v>
      </c>
      <c r="C2491" t="s">
        <v>1473</v>
      </c>
      <c r="D2491" t="s">
        <v>85</v>
      </c>
      <c r="E2491" s="8">
        <v>8263.5300000000007</v>
      </c>
      <c r="F2491" s="9">
        <v>45619.666684444448</v>
      </c>
      <c r="G2491" t="s">
        <v>115</v>
      </c>
      <c r="H2491" t="s">
        <v>145</v>
      </c>
      <c r="I2491" t="s">
        <v>88</v>
      </c>
      <c r="J2491" t="str">
        <f t="shared" si="304"/>
        <v/>
      </c>
      <c r="K2491" t="str">
        <f t="shared" si="305"/>
        <v/>
      </c>
      <c r="L2491" t="str">
        <f t="shared" si="306"/>
        <v/>
      </c>
      <c r="M2491" t="str">
        <f t="shared" si="307"/>
        <v/>
      </c>
      <c r="N2491" t="str">
        <f t="shared" si="308"/>
        <v/>
      </c>
      <c r="O2491" t="str">
        <f t="shared" ca="1" si="309"/>
        <v>Outdated</v>
      </c>
      <c r="P2491" t="str">
        <f t="shared" si="310"/>
        <v>Late Delivery</v>
      </c>
      <c r="Q2491" t="str">
        <f t="shared" si="311"/>
        <v/>
      </c>
    </row>
    <row r="2492" spans="1:17" x14ac:dyDescent="0.45">
      <c r="A2492" t="s">
        <v>3309</v>
      </c>
      <c r="B2492" t="s">
        <v>109</v>
      </c>
      <c r="C2492" t="s">
        <v>100</v>
      </c>
      <c r="D2492" t="s">
        <v>101</v>
      </c>
      <c r="E2492" s="8">
        <v>8813.6200000000008</v>
      </c>
      <c r="F2492" s="9">
        <v>45302.666684444448</v>
      </c>
      <c r="G2492" t="s">
        <v>111</v>
      </c>
      <c r="H2492" t="s">
        <v>107</v>
      </c>
      <c r="I2492" t="s">
        <v>82</v>
      </c>
      <c r="J2492" t="str">
        <f t="shared" si="304"/>
        <v/>
      </c>
      <c r="K2492" t="str">
        <f t="shared" si="305"/>
        <v/>
      </c>
      <c r="L2492" t="str">
        <f t="shared" si="306"/>
        <v/>
      </c>
      <c r="M2492" t="str">
        <f t="shared" si="307"/>
        <v/>
      </c>
      <c r="N2492" t="str">
        <f t="shared" si="308"/>
        <v/>
      </c>
      <c r="O2492" t="str">
        <f t="shared" ca="1" si="309"/>
        <v>Outdated</v>
      </c>
      <c r="P2492" t="str">
        <f t="shared" si="310"/>
        <v>Damaged</v>
      </c>
      <c r="Q2492" t="str">
        <f t="shared" si="311"/>
        <v/>
      </c>
    </row>
    <row r="2493" spans="1:17" x14ac:dyDescent="0.45">
      <c r="A2493" t="s">
        <v>3310</v>
      </c>
      <c r="B2493" t="s">
        <v>138</v>
      </c>
      <c r="C2493" t="s">
        <v>1741</v>
      </c>
      <c r="E2493" s="8">
        <v>2536.8000000000002</v>
      </c>
      <c r="F2493" s="9">
        <v>45664.666684444448</v>
      </c>
      <c r="G2493" t="s">
        <v>140</v>
      </c>
      <c r="H2493" t="s">
        <v>81</v>
      </c>
      <c r="I2493" t="s">
        <v>119</v>
      </c>
      <c r="J2493" t="str">
        <f t="shared" si="304"/>
        <v>Missing</v>
      </c>
      <c r="K2493" t="str">
        <f t="shared" si="305"/>
        <v/>
      </c>
      <c r="L2493" t="str">
        <f t="shared" si="306"/>
        <v/>
      </c>
      <c r="M2493" t="str">
        <f t="shared" si="307"/>
        <v/>
      </c>
      <c r="N2493" t="str">
        <f t="shared" si="308"/>
        <v/>
      </c>
      <c r="O2493" t="str">
        <f t="shared" ca="1" si="309"/>
        <v>Outdated</v>
      </c>
      <c r="P2493" t="str">
        <f t="shared" si="310"/>
        <v/>
      </c>
      <c r="Q2493" t="str">
        <f t="shared" si="311"/>
        <v/>
      </c>
    </row>
    <row r="2494" spans="1:17" x14ac:dyDescent="0.45">
      <c r="A2494" t="s">
        <v>3311</v>
      </c>
      <c r="B2494" t="s">
        <v>138</v>
      </c>
      <c r="C2494" t="s">
        <v>1169</v>
      </c>
      <c r="D2494" t="s">
        <v>85</v>
      </c>
      <c r="E2494" s="8">
        <v>11495.78</v>
      </c>
      <c r="F2494" s="9">
        <v>45772.666684444448</v>
      </c>
      <c r="G2494" t="s">
        <v>140</v>
      </c>
      <c r="H2494" t="s">
        <v>128</v>
      </c>
      <c r="I2494" t="s">
        <v>119</v>
      </c>
      <c r="J2494" t="str">
        <f t="shared" si="304"/>
        <v/>
      </c>
      <c r="K2494" t="str">
        <f t="shared" si="305"/>
        <v/>
      </c>
      <c r="L2494" t="str">
        <f t="shared" si="306"/>
        <v>Unusual</v>
      </c>
      <c r="M2494" t="str">
        <f t="shared" si="307"/>
        <v/>
      </c>
      <c r="N2494" t="str">
        <f t="shared" si="308"/>
        <v>Invalid</v>
      </c>
      <c r="O2494" t="str">
        <f t="shared" ca="1" si="309"/>
        <v>Outdated</v>
      </c>
      <c r="P2494" t="str">
        <f t="shared" si="310"/>
        <v>Late Delivery</v>
      </c>
      <c r="Q2494" t="str">
        <f t="shared" si="311"/>
        <v/>
      </c>
    </row>
    <row r="2495" spans="1:17" x14ac:dyDescent="0.45">
      <c r="A2495" t="s">
        <v>3312</v>
      </c>
      <c r="B2495" t="s">
        <v>79</v>
      </c>
      <c r="C2495" t="s">
        <v>2509</v>
      </c>
      <c r="D2495" t="s">
        <v>85</v>
      </c>
      <c r="E2495" s="8">
        <v>132.57</v>
      </c>
      <c r="F2495" s="9">
        <v>45762.666684444448</v>
      </c>
      <c r="G2495" t="s">
        <v>86</v>
      </c>
      <c r="H2495" t="s">
        <v>107</v>
      </c>
      <c r="I2495" t="s">
        <v>163</v>
      </c>
      <c r="J2495" t="str">
        <f t="shared" si="304"/>
        <v/>
      </c>
      <c r="K2495" t="str">
        <f t="shared" si="305"/>
        <v/>
      </c>
      <c r="L2495" t="str">
        <f t="shared" si="306"/>
        <v/>
      </c>
      <c r="M2495" t="str">
        <f t="shared" si="307"/>
        <v/>
      </c>
      <c r="N2495" t="str">
        <f t="shared" si="308"/>
        <v/>
      </c>
      <c r="O2495" t="str">
        <f t="shared" ca="1" si="309"/>
        <v>Outdated</v>
      </c>
      <c r="P2495" t="str">
        <f t="shared" si="310"/>
        <v>Late Delivery</v>
      </c>
      <c r="Q2495" t="str">
        <f t="shared" si="311"/>
        <v/>
      </c>
    </row>
    <row r="2496" spans="1:17" x14ac:dyDescent="0.45">
      <c r="A2496" t="s">
        <v>1710</v>
      </c>
      <c r="B2496" t="s">
        <v>138</v>
      </c>
      <c r="C2496" t="s">
        <v>1064</v>
      </c>
      <c r="D2496" t="s">
        <v>74</v>
      </c>
      <c r="E2496" s="8">
        <v>0</v>
      </c>
      <c r="F2496" s="9">
        <v>45517.666684444448</v>
      </c>
      <c r="G2496" t="s">
        <v>140</v>
      </c>
      <c r="H2496" t="s">
        <v>136</v>
      </c>
      <c r="I2496" t="s">
        <v>112</v>
      </c>
      <c r="J2496" t="str">
        <f t="shared" si="304"/>
        <v/>
      </c>
      <c r="K2496" t="str">
        <f t="shared" si="305"/>
        <v>Duplicate</v>
      </c>
      <c r="L2496" t="str">
        <f t="shared" si="306"/>
        <v>Unusual</v>
      </c>
      <c r="M2496" t="str">
        <f t="shared" si="307"/>
        <v/>
      </c>
      <c r="N2496" t="str">
        <f t="shared" si="308"/>
        <v>Invalid</v>
      </c>
      <c r="O2496" t="str">
        <f t="shared" ca="1" si="309"/>
        <v>Outdated</v>
      </c>
      <c r="P2496" t="str">
        <f t="shared" si="310"/>
        <v>Wrong Item</v>
      </c>
      <c r="Q2496" t="str">
        <f t="shared" si="311"/>
        <v/>
      </c>
    </row>
    <row r="2497" spans="1:17" x14ac:dyDescent="0.45">
      <c r="A2497" t="s">
        <v>3313</v>
      </c>
      <c r="B2497" t="s">
        <v>90</v>
      </c>
      <c r="C2497" t="s">
        <v>423</v>
      </c>
      <c r="D2497" t="s">
        <v>155</v>
      </c>
      <c r="E2497" s="8">
        <v>863.36</v>
      </c>
      <c r="F2497" s="9">
        <v>45279.666684444448</v>
      </c>
      <c r="G2497" t="s">
        <v>93</v>
      </c>
      <c r="H2497" t="s">
        <v>128</v>
      </c>
      <c r="I2497" t="s">
        <v>119</v>
      </c>
      <c r="J2497" t="str">
        <f t="shared" si="304"/>
        <v/>
      </c>
      <c r="K2497" t="str">
        <f t="shared" si="305"/>
        <v/>
      </c>
      <c r="L2497" t="str">
        <f t="shared" si="306"/>
        <v/>
      </c>
      <c r="M2497" t="str">
        <f t="shared" si="307"/>
        <v/>
      </c>
      <c r="N2497" t="str">
        <f t="shared" si="308"/>
        <v>Invalid</v>
      </c>
      <c r="O2497" t="str">
        <f t="shared" ca="1" si="309"/>
        <v>Outdated</v>
      </c>
      <c r="P2497" t="str">
        <f t="shared" si="310"/>
        <v>Damaged</v>
      </c>
      <c r="Q2497" t="str">
        <f t="shared" si="311"/>
        <v>Inconsistent</v>
      </c>
    </row>
    <row r="2498" spans="1:17" x14ac:dyDescent="0.45">
      <c r="A2498" t="s">
        <v>3314</v>
      </c>
      <c r="B2498" t="s">
        <v>90</v>
      </c>
      <c r="C2498" t="s">
        <v>2079</v>
      </c>
      <c r="D2498" t="s">
        <v>85</v>
      </c>
      <c r="E2498" s="8">
        <v>0</v>
      </c>
      <c r="F2498" s="9">
        <v>45825.666684444448</v>
      </c>
      <c r="G2498" t="s">
        <v>93</v>
      </c>
      <c r="H2498" t="s">
        <v>133</v>
      </c>
      <c r="I2498" t="s">
        <v>88</v>
      </c>
      <c r="J2498" t="str">
        <f t="shared" si="304"/>
        <v/>
      </c>
      <c r="K2498" t="str">
        <f t="shared" si="305"/>
        <v/>
      </c>
      <c r="L2498" t="str">
        <f t="shared" si="306"/>
        <v>Unusual</v>
      </c>
      <c r="M2498" t="str">
        <f t="shared" si="307"/>
        <v/>
      </c>
      <c r="N2498" t="str">
        <f t="shared" si="308"/>
        <v>Invalid</v>
      </c>
      <c r="O2498" t="str">
        <f t="shared" ca="1" si="309"/>
        <v>Outdated</v>
      </c>
      <c r="P2498" t="str">
        <f t="shared" si="310"/>
        <v>Late Delivery</v>
      </c>
      <c r="Q2498" t="str">
        <f t="shared" ref="Q2498:Q2501" si="312">IF(ISBLANK(D2498),"",IF(EXACT(D2498,P2498),"","Inconsistent"))</f>
        <v/>
      </c>
    </row>
    <row r="2499" spans="1:17" x14ac:dyDescent="0.45">
      <c r="A2499" t="s">
        <v>1811</v>
      </c>
      <c r="B2499" t="s">
        <v>72</v>
      </c>
      <c r="C2499" t="s">
        <v>1904</v>
      </c>
      <c r="D2499" t="s">
        <v>74</v>
      </c>
      <c r="E2499" s="8">
        <v>11631.81</v>
      </c>
      <c r="F2499" s="9">
        <v>45376.666684444448</v>
      </c>
      <c r="G2499" t="s">
        <v>75</v>
      </c>
      <c r="H2499" t="s">
        <v>76</v>
      </c>
      <c r="I2499" t="s">
        <v>88</v>
      </c>
      <c r="J2499" t="str">
        <f t="shared" si="304"/>
        <v/>
      </c>
      <c r="K2499" t="str">
        <f t="shared" si="305"/>
        <v>Duplicate</v>
      </c>
      <c r="L2499" t="str">
        <f t="shared" si="306"/>
        <v>Unusual</v>
      </c>
      <c r="M2499" t="str">
        <f t="shared" si="307"/>
        <v/>
      </c>
      <c r="N2499" t="str">
        <f t="shared" si="308"/>
        <v/>
      </c>
      <c r="O2499" t="str">
        <f t="shared" ca="1" si="309"/>
        <v>Outdated</v>
      </c>
      <c r="P2499" t="str">
        <f t="shared" si="310"/>
        <v>Wrong Item</v>
      </c>
      <c r="Q2499" t="str">
        <f t="shared" si="312"/>
        <v/>
      </c>
    </row>
    <row r="2500" spans="1:17" x14ac:dyDescent="0.45">
      <c r="A2500" t="s">
        <v>3315</v>
      </c>
      <c r="B2500" t="s">
        <v>90</v>
      </c>
      <c r="C2500" t="s">
        <v>187</v>
      </c>
      <c r="D2500" t="s">
        <v>85</v>
      </c>
      <c r="E2500" s="8">
        <v>4918.6099999999997</v>
      </c>
      <c r="F2500" s="9">
        <v>45160.666684444448</v>
      </c>
      <c r="G2500" t="s">
        <v>93</v>
      </c>
      <c r="I2500" t="s">
        <v>82</v>
      </c>
      <c r="J2500" t="str">
        <f t="shared" si="304"/>
        <v/>
      </c>
      <c r="K2500" t="str">
        <f t="shared" si="305"/>
        <v/>
      </c>
      <c r="L2500" t="str">
        <f t="shared" si="306"/>
        <v/>
      </c>
      <c r="M2500" t="str">
        <f t="shared" si="307"/>
        <v/>
      </c>
      <c r="N2500" t="str">
        <f t="shared" si="308"/>
        <v>Invalid</v>
      </c>
      <c r="O2500" t="str">
        <f t="shared" ca="1" si="309"/>
        <v>Outdated</v>
      </c>
      <c r="P2500" t="str">
        <f t="shared" si="310"/>
        <v>Late Delivery</v>
      </c>
      <c r="Q2500" t="str">
        <f t="shared" si="312"/>
        <v/>
      </c>
    </row>
    <row r="2501" spans="1:17" x14ac:dyDescent="0.45">
      <c r="A2501" t="s">
        <v>3316</v>
      </c>
      <c r="B2501" t="s">
        <v>99</v>
      </c>
      <c r="C2501" t="s">
        <v>269</v>
      </c>
      <c r="D2501" t="s">
        <v>92</v>
      </c>
      <c r="E2501" s="8">
        <v>289.33999999999997</v>
      </c>
      <c r="F2501" s="9">
        <v>45714.666684444448</v>
      </c>
      <c r="G2501" t="s">
        <v>102</v>
      </c>
      <c r="H2501" t="s">
        <v>133</v>
      </c>
      <c r="I2501" t="s">
        <v>119</v>
      </c>
      <c r="J2501" t="str">
        <f t="shared" si="304"/>
        <v/>
      </c>
      <c r="K2501" t="str">
        <f t="shared" si="305"/>
        <v/>
      </c>
      <c r="L2501" t="str">
        <f t="shared" si="306"/>
        <v/>
      </c>
      <c r="M2501" t="str">
        <f t="shared" si="307"/>
        <v/>
      </c>
      <c r="N2501" t="str">
        <f t="shared" si="308"/>
        <v>Invalid</v>
      </c>
      <c r="O2501" t="str">
        <f t="shared" ca="1" si="309"/>
        <v>Outdated</v>
      </c>
      <c r="P2501" t="str">
        <f t="shared" si="310"/>
        <v>Not As Described</v>
      </c>
      <c r="Q2501" t="str">
        <f t="shared" si="312"/>
        <v/>
      </c>
    </row>
  </sheetData>
  <conditionalFormatting sqref="J2:J2501">
    <cfRule type="cellIs" dxfId="5" priority="1" operator="equal">
      <formula>"Missing"</formula>
    </cfRule>
  </conditionalFormatting>
  <conditionalFormatting sqref="K2:K2501">
    <cfRule type="cellIs" dxfId="4" priority="2" operator="equal">
      <formula>"Duplicate"</formula>
    </cfRule>
  </conditionalFormatting>
  <conditionalFormatting sqref="L2:L2501">
    <cfRule type="cellIs" dxfId="3" priority="3" operator="equal">
      <formula>"Unusual"</formula>
    </cfRule>
  </conditionalFormatting>
  <conditionalFormatting sqref="M2:N2501">
    <cfRule type="cellIs" dxfId="2" priority="4" operator="equal">
      <formula>"Invalid"</formula>
    </cfRule>
  </conditionalFormatting>
  <conditionalFormatting sqref="O2:O2501">
    <cfRule type="cellIs" dxfId="1" priority="6" operator="equal">
      <formula>"Outdated"</formula>
    </cfRule>
  </conditionalFormatting>
  <conditionalFormatting sqref="Q2:Q2501">
    <cfRule type="cellIs" dxfId="0" priority="7" operator="equal">
      <formula>"Inconsistent"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25" x14ac:dyDescent="0.45"/>
  <cols>
    <col min="1" max="1" width="38" customWidth="1"/>
    <col min="2" max="2" width="10" customWidth="1"/>
  </cols>
  <sheetData>
    <row r="1" spans="1:2" x14ac:dyDescent="0.45">
      <c r="A1" s="7" t="s">
        <v>3326</v>
      </c>
      <c r="B1" s="7" t="s">
        <v>3327</v>
      </c>
    </row>
    <row r="2" spans="1:2" x14ac:dyDescent="0.45">
      <c r="A2" t="s">
        <v>3328</v>
      </c>
      <c r="B2">
        <f>COUNTIF('Returns Audit (Solved)'!J2:J2501,"Missing")</f>
        <v>247</v>
      </c>
    </row>
    <row r="3" spans="1:2" x14ac:dyDescent="0.45">
      <c r="A3" t="s">
        <v>3329</v>
      </c>
      <c r="B3">
        <f>COUNTIF('Returns Audit (Solved)'!K2:K2501,"Duplicate")</f>
        <v>270</v>
      </c>
    </row>
    <row r="4" spans="1:2" x14ac:dyDescent="0.45">
      <c r="A4" t="s">
        <v>3330</v>
      </c>
      <c r="B4">
        <f>COUNTIF('Returns Audit (Solved)'!L2:L2501,"Unusual")</f>
        <v>610</v>
      </c>
    </row>
    <row r="5" spans="1:2" x14ac:dyDescent="0.45">
      <c r="A5" t="s">
        <v>3331</v>
      </c>
      <c r="B5">
        <f>COUNTIF('Returns Audit (Solved)'!M2:M2501,"Invalid")</f>
        <v>462</v>
      </c>
    </row>
    <row r="6" spans="1:2" x14ac:dyDescent="0.45">
      <c r="A6" t="s">
        <v>3332</v>
      </c>
      <c r="B6">
        <f>COUNTIF('Returns Audit (Solved)'!N2:N2501,"Invalid")</f>
        <v>1378</v>
      </c>
    </row>
    <row r="7" spans="1:2" x14ac:dyDescent="0.45">
      <c r="A7" t="s">
        <v>3333</v>
      </c>
      <c r="B7">
        <f ca="1">COUNTIF('Returns Audit (Solved)'!O2:O2501,"Outdated")</f>
        <v>2454</v>
      </c>
    </row>
    <row r="8" spans="1:2" x14ac:dyDescent="0.45">
      <c r="A8" t="s">
        <v>3334</v>
      </c>
      <c r="B8">
        <f>COUNTIF('Returns Audit (Solved)'!Q2:Q2501,"Inconsistent")</f>
        <v>356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Solution Notes</vt:lpstr>
      <vt:lpstr>Instructions</vt:lpstr>
      <vt:lpstr>Returns Audit</vt:lpstr>
      <vt:lpstr>Returns Audit (Solved)</vt:lpstr>
      <vt:lpstr>Data Quality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David-williams</cp:lastModifiedBy>
  <dcterms:created xsi:type="dcterms:W3CDTF">2025-07-20T16:00:30Z</dcterms:created>
  <dcterms:modified xsi:type="dcterms:W3CDTF">2026-07-06T13:46:15Z</dcterms:modified>
</cp:coreProperties>
</file>